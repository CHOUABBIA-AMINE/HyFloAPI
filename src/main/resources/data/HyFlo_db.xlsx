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data\"/>
    </mc:Choice>
  </mc:AlternateContent>
  <xr:revisionPtr revIDLastSave="0" documentId="13_ncr:1_{29EDFC76-C117-45D4-BFB1-2DBDB7EFC20B}" xr6:coauthVersionLast="47" xr6:coauthVersionMax="47" xr10:uidLastSave="{00000000-0000-0000-0000-000000000000}"/>
  <bookViews>
    <workbookView xWindow="-110" yWindow="-110" windowWidth="19420" windowHeight="10420" firstSheet="41"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'00-02-03'!$A$2:$B$15</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42"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41" i="50"/>
  <c r="D40" i="50"/>
  <c r="D39" i="50"/>
  <c r="D38" i="50"/>
  <c r="D37" i="50"/>
  <c r="D36" i="50"/>
  <c r="D35" i="50"/>
  <c r="D34" i="50"/>
  <c r="D33" i="50"/>
  <c r="D32" i="50"/>
  <c r="D31" i="50"/>
  <c r="D30" i="50"/>
  <c r="D29" i="50"/>
  <c r="D28" i="50"/>
  <c r="D27" i="50"/>
  <c r="D26" i="50"/>
  <c r="D25" i="50"/>
  <c r="D24" i="50"/>
  <c r="D23" i="50"/>
  <c r="D22" i="50"/>
  <c r="D21" i="50"/>
  <c r="D20" i="50"/>
  <c r="D19" i="50"/>
  <c r="D18" i="50"/>
  <c r="D17" i="50"/>
  <c r="D16" i="50"/>
  <c r="D4" i="50"/>
  <c r="D5" i="50"/>
  <c r="D6" i="50"/>
  <c r="D7" i="50"/>
  <c r="D8" i="50"/>
  <c r="D9" i="50"/>
  <c r="D10" i="50"/>
  <c r="D11" i="50"/>
  <c r="D12" i="50"/>
  <c r="D13" i="50"/>
  <c r="D14" i="50"/>
  <c r="D15"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4A16C36-2FA0-4EAF-9A0D-A237054CA9AD}"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7FB1D4C8-8FEB-420B-A5D9-19C522E56FCD}"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58CE37A4-C92E-41D3-AB60-F95CB03E8D6E}"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A2D4EE9B-0D88-448B-ACFF-C98F159474E4}"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B6EAD9DC-89A9-4A25-A9D9-57E6D6E11606}"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C4C17BF9-95B5-4340-9174-703F85DD81EF}"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4CEAEF74-D9BA-445F-B411-FE77E6F5DF72}"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18D2C502-C483-4D46-8E03-3AF73FD38002}"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<sst xmlns="http://schemas.openxmlformats.org/spreadsheetml/2006/main" count="12992" uniqueCount="6763">
  <si>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</si>
  <si>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</si>
  <si>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</si>
  <si>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</si>
  <si>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</si>
  <si>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</si>
  <si>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</si>
  <si>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</si>
  <si>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</si>
  <si>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</si>
  <si>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</si>
  <si>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</si>
  <si>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</si>
  <si>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</si>
  <si>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</si>
  <si>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</si>
  <si>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</si>
  <si>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</si>
  <si>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</si>
  <si>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</si>
  <si>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</si>
  <si>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</si>
  <si>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</si>
  <si>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</si>
  <si>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</si>
  <si>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</si>
  <si>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</si>
  <si>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</si>
  <si>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</si>
  <si>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</si>
  <si>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</si>
  <si>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</si>
  <si>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</si>
  <si>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</si>
  <si>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</si>
  <si>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</si>
  <si>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</si>
  <si>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</si>
  <si>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</si>
  <si>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</si>
  <si>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</si>
  <si>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</si>
  <si>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</si>
  <si>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</si>
  <si>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</si>
  <si>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</si>
  <si>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</si>
  <si>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</si>
  <si>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</si>
  <si>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</si>
  <si>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</si>
  <si>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</si>
  <si>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</si>
  <si>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</si>
  <si>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</si>
  <si>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</si>
  <si>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</si>
  <si>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</si>
  <si>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</si>
  <si>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</si>
  <si>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</si>
  <si>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</si>
  <si>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</si>
  <si>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</si>
  <si>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</si>
  <si>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</si>
  <si>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</si>
  <si>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</si>
  <si>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</si>
  <si>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</si>
  <si>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</si>
  <si>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</si>
  <si>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</si>
  <si>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</si>
  <si>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</si>
  <si>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</si>
  <si>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</si>
  <si>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</si>
  <si>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</si>
  <si>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</si>
  <si>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</si>
  <si>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</si>
  <si>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</si>
  <si>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</si>
  <si>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</si>
  <si>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</si>
  <si>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</si>
  <si>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</si>
  <si>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</si>
  <si>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</si>
  <si>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</si>
  <si>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</si>
  <si>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</si>
  <si>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</si>
  <si>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</si>
  <si>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</si>
  <si>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</si>
  <si>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</si>
  <si>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</si>
  <si>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</si>
  <si>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</si>
  <si>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</si>
  <si>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</si>
  <si>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</si>
  <si>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</si>
  <si>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</si>
  <si>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</si>
  <si>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</si>
  <si>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</si>
  <si>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</si>
  <si>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</si>
  <si>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</si>
  <si>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</si>
  <si>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</si>
  <si>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</si>
  <si>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</si>
  <si>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</si>
  <si>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</si>
  <si>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</si>
  <si>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</si>
  <si>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</si>
  <si>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</si>
  <si>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</si>
  <si>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</si>
  <si>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</si>
  <si>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</si>
  <si>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</si>
  <si>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</si>
  <si>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</si>
  <si>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</si>
  <si>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</si>
  <si>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</si>
  <si>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</si>
  <si>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</si>
  <si>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</si>
  <si>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</si>
  <si>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</si>
  <si>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</si>
  <si>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</si>
  <si>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</si>
  <si>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</si>
  <si>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</si>
  <si>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</si>
  <si>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</si>
  <si>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</si>
  <si>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</si>
  <si>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</si>
  <si>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</si>
  <si>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</si>
  <si>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</si>
  <si>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</si>
  <si>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</si>
  <si>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</si>
  <si>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</si>
  <si>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</si>
  <si>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</si>
  <si>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</si>
  <si>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</si>
  <si>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</si>
  <si>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</si>
  <si>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</si>
  <si>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</si>
  <si>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</si>
  <si>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</si>
  <si>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</si>
  <si>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</si>
  <si>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</si>
  <si>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</si>
  <si>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</si>
  <si>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</si>
  <si>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</si>
  <si>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</si>
  <si>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</si>
  <si>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</si>
  <si>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</si>
  <si>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</si>
  <si>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</si>
  <si>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</si>
  <si>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</si>
  <si>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</si>
  <si>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</si>
  <si>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</si>
  <si>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</si>
  <si>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</si>
  <si>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</si>
  <si>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</si>
  <si>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</si>
  <si>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</si>
  <si>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</si>
  <si>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</si>
  <si>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</si>
  <si>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</si>
  <si>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</si>
  <si>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</si>
  <si>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</si>
  <si>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</si>
  <si>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</si>
  <si>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</si>
  <si>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</si>
  <si>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</si>
  <si>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</si>
  <si>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</si>
  <si>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</si>
  <si>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</si>
  <si>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</si>
  <si>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</si>
  <si>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</si>
  <si>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</si>
  <si>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</si>
  <si>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</si>
  <si>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</si>
  <si>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</si>
  <si>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</si>
  <si>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</si>
  <si>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</si>
  <si>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</si>
  <si>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</si>
  <si>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</si>
  <si>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</si>
  <si>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</si>
  <si>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</si>
  <si>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</si>
  <si>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</si>
  <si>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</si>
  <si>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</si>
  <si>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</si>
  <si>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</si>
  <si>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</si>
  <si>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</si>
  <si>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</si>
  <si>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</si>
  <si>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</si>
  <si>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</si>
  <si>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</si>
  <si>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</si>
  <si>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</si>
  <si>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</si>
  <si>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</si>
  <si>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</si>
  <si>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</si>
  <si>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</si>
  <si>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</si>
  <si>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</si>
  <si>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</si>
  <si>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</si>
  <si>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</si>
  <si>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</si>
  <si>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</si>
  <si>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</si>
  <si>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</si>
  <si>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</si>
  <si>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</si>
  <si>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</si>
  <si>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</si>
  <si>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</si>
  <si>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</si>
  <si>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</si>
  <si>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</si>
  <si>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</si>
  <si>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</si>
  <si>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</si>
  <si>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</si>
  <si>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</si>
  <si>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</si>
  <si>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</si>
  <si>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</si>
  <si>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</si>
  <si>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</si>
  <si>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</si>
  <si>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</si>
  <si>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</si>
  <si>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</si>
  <si>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</si>
  <si>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</si>
  <si>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</si>
  <si>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</si>
  <si>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</si>
  <si>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</si>
  <si>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</si>
  <si>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</si>
  <si>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</si>
  <si>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</si>
  <si>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</si>
  <si>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</si>
  <si>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</si>
  <si>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</si>
  <si>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</si>
  <si>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</si>
  <si>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</si>
  <si>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</si>
  <si>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</si>
  <si>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</si>
  <si>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</si>
  <si>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</si>
  <si>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</si>
  <si>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</si>
  <si>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</si>
  <si>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</si>
  <si>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</si>
  <si>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</si>
  <si>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</si>
  <si>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</si>
  <si>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</si>
  <si>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</si>
  <si>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</si>
  <si>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</si>
  <si>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</si>
  <si>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</si>
  <si>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</si>
  <si>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</si>
  <si>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</si>
  <si>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</si>
  <si>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</si>
  <si>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</si>
  <si>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</si>
  <si>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</si>
  <si>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</si>
  <si>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</si>
  <si>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</si>
  <si>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</si>
  <si>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</si>
  <si>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</si>
  <si>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</si>
  <si>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</si>
  <si>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</si>
  <si>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</si>
  <si>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</si>
  <si>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</si>
  <si>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</si>
  <si>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</si>
  <si>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</si>
  <si>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</si>
  <si>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</si>
  <si>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</si>
  <si>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</si>
  <si>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</si>
  <si>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</si>
  <si>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</si>
  <si>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</si>
  <si>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</si>
  <si>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</si>
  <si>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</si>
  <si>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</si>
  <si>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</si>
  <si>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</si>
  <si>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</si>
  <si>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</si>
  <si>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</si>
  <si>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</si>
  <si>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</si>
  <si>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</si>
  <si>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</si>
  <si>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</si>
  <si>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</si>
  <si>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</si>
  <si>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</si>
  <si>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</si>
  <si>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</si>
  <si>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</si>
  <si>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</si>
  <si>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</si>
  <si>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</si>
  <si>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</si>
  <si>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</si>
  <si>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</si>
  <si>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</si>
  <si>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</si>
  <si>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</si>
  <si>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</si>
  <si>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</si>
  <si>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</si>
  <si>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</si>
  <si>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</si>
  <si>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</si>
  <si>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</si>
  <si>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</si>
  <si>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</si>
  <si>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</si>
  <si>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</si>
  <si>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</si>
  <si>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</si>
  <si>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</si>
  <si>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</si>
  <si>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</si>
  <si>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</si>
  <si>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</si>
  <si>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</si>
  <si>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</si>
  <si>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</si>
  <si>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</si>
  <si>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</si>
  <si>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</si>
  <si>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</si>
  <si>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</si>
  <si>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</si>
  <si>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</si>
  <si>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</si>
  <si>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</si>
  <si>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</si>
  <si>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</si>
  <si>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</si>
  <si>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</si>
  <si>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</si>
  <si>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</si>
  <si>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</si>
  <si>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</si>
  <si>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</si>
  <si>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</si>
  <si>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</si>
  <si>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</si>
  <si>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</si>
  <si>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</si>
  <si>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</si>
  <si>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</si>
  <si>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</si>
  <si>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</si>
  <si>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</si>
  <si>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</si>
  <si>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</si>
  <si>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</si>
  <si>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</si>
  <si>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</si>
  <si>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</si>
  <si>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</si>
  <si>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</si>
  <si>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</si>
  <si>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</si>
  <si>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</si>
  <si>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</si>
  <si>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</si>
  <si>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</si>
  <si>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</si>
  <si>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</si>
  <si>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</si>
  <si>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</si>
  <si>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</si>
  <si>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</si>
  <si>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</si>
  <si>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</si>
  <si>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</si>
  <si>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</si>
  <si>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</si>
  <si>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</si>
  <si>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</si>
  <si>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</si>
  <si>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</si>
  <si>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</si>
  <si>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</si>
  <si>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</si>
  <si>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</si>
  <si>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</si>
  <si>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</si>
  <si>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</si>
  <si>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</si>
  <si>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</si>
  <si>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</si>
  <si>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</si>
  <si>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</si>
  <si>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</si>
  <si>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</si>
  <si>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</si>
  <si>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</si>
  <si>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</si>
  <si>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</si>
  <si>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</si>
  <si>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</si>
  <si>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</si>
  <si>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</si>
  <si>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</si>
  <si>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</si>
  <si>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</si>
  <si>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</si>
  <si>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</si>
  <si>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</si>
  <si>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</si>
  <si>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</si>
  <si>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</si>
  <si>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</si>
  <si>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</si>
  <si>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</si>
  <si>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</si>
  <si>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</si>
  <si>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</si>
  <si>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</si>
  <si>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</si>
  <si>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</si>
  <si>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</si>
  <si>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</si>
  <si>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</si>
  <si>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</si>
  <si>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</si>
  <si>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</si>
  <si>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</si>
  <si>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</si>
  <si>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</si>
  <si>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</si>
  <si>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</si>
  <si>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</si>
  <si>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</si>
  <si>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</si>
  <si>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</si>
  <si>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</si>
  <si>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</si>
  <si>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</si>
  <si>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</si>
  <si>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</si>
  <si>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</si>
  <si>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</si>
  <si>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</si>
  <si>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</si>
  <si>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</si>
  <si>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</si>
  <si>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</si>
  <si>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</si>
  <si>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</si>
  <si>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</si>
  <si>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</si>
  <si>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</si>
  <si>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</si>
  <si>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</si>
  <si>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</si>
  <si>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</si>
  <si>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</si>
  <si>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</si>
  <si>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</si>
  <si>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</si>
  <si>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</si>
  <si>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</si>
  <si>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</si>
  <si>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</si>
  <si>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</si>
  <si>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</si>
  <si>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</si>
  <si>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</si>
  <si>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</si>
  <si>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</si>
  <si>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</si>
  <si>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</si>
  <si>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</si>
  <si>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</si>
  <si>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</si>
  <si>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</si>
  <si>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</si>
  <si>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</si>
  <si>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</si>
  <si>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</si>
  <si>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</si>
  <si>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</si>
  <si>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</si>
  <si>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</si>
  <si>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</si>
  <si>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</si>
  <si>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</si>
  <si>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</si>
  <si>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</si>
  <si>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</si>
  <si>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</si>
  <si>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</si>
  <si>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</si>
  <si>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</si>
  <si>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</si>
  <si>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</si>
  <si>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</si>
  <si>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</si>
  <si>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</si>
  <si>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</si>
  <si>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</si>
  <si>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</si>
  <si>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</si>
  <si>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</si>
  <si>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</si>
  <si>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</si>
  <si>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</si>
  <si>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</si>
  <si>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</si>
  <si>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</si>
  <si>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</si>
  <si>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</si>
  <si>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</si>
  <si>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</si>
  <si>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</si>
  <si>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</si>
  <si>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</si>
  <si>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</si>
  <si>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</si>
  <si>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</si>
  <si>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</si>
  <si>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</si>
  <si>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</si>
  <si>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</si>
  <si>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</si>
  <si>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</si>
  <si>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</si>
  <si>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</si>
  <si>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</si>
  <si>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</si>
  <si>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</si>
  <si>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</si>
  <si>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</si>
  <si>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</si>
  <si>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</si>
  <si>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</si>
  <si>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</si>
  <si>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</si>
  <si>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</si>
  <si>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</si>
  <si>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</si>
  <si>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</si>
  <si>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</si>
  <si>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</si>
  <si>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</si>
  <si>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</si>
  <si>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</si>
  <si>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</si>
  <si>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</si>
  <si>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</si>
  <si>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</si>
  <si>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</si>
  <si>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</si>
  <si>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</si>
  <si>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</si>
  <si>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</si>
  <si>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</si>
  <si>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</si>
  <si>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</si>
  <si>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</si>
  <si>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</si>
  <si>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</si>
  <si>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</si>
  <si>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</si>
  <si>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</si>
  <si>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</si>
  <si>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</si>
  <si>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</si>
  <si>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</si>
  <si>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</si>
  <si>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</si>
  <si>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</si>
  <si>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</si>
  <si>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</si>
  <si>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</si>
  <si>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</si>
  <si>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</si>
  <si>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</si>
  <si>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</si>
  <si>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</si>
  <si>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</si>
  <si>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</si>
  <si>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</si>
  <si>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</si>
  <si>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</si>
  <si>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</si>
  <si>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</si>
  <si>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</si>
  <si>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</si>
  <si>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</si>
  <si>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</si>
  <si>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</si>
  <si>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</si>
  <si>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</si>
  <si>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</si>
  <si>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</si>
  <si>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</si>
  <si>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</si>
  <si>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</si>
  <si>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</si>
  <si>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</si>
  <si>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</si>
  <si>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</si>
  <si>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</si>
  <si>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</si>
  <si>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</si>
  <si>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</si>
  <si>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</si>
  <si>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</si>
  <si>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</si>
  <si>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</si>
  <si>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</si>
  <si>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</si>
  <si>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</si>
  <si>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</si>
  <si>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</si>
  <si>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</si>
  <si>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</si>
  <si>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</si>
  <si>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</si>
  <si>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</si>
  <si>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</si>
  <si>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</si>
  <si>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</si>
  <si>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</si>
  <si>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</si>
  <si>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</si>
  <si>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</si>
  <si>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</si>
  <si>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</si>
  <si>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</si>
  <si>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</si>
  <si>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</si>
  <si>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</si>
  <si>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</si>
  <si>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</si>
  <si>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</si>
  <si>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</si>
  <si>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</si>
  <si>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</si>
  <si>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</si>
  <si>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</si>
  <si>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</si>
  <si>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</si>
  <si>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</si>
  <si>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</si>
  <si>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</si>
  <si>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</si>
  <si>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</si>
  <si>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</si>
  <si>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</si>
  <si>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</si>
  <si>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</si>
  <si>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</si>
  <si>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</si>
  <si>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</si>
  <si>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</si>
  <si>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</si>
  <si>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</si>
  <si>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</si>
  <si>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</si>
  <si>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</si>
  <si>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</si>
  <si>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</si>
  <si>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</si>
  <si>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</si>
  <si>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</si>
  <si>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</si>
  <si>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</si>
  <si>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</si>
  <si>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</si>
  <si>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</si>
  <si>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</si>
  <si>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</si>
  <si>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</si>
  <si>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</si>
  <si>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</si>
  <si>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</si>
  <si>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</si>
  <si>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</si>
  <si>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</si>
  <si>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</si>
  <si>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</si>
  <si>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</si>
  <si>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</si>
  <si>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</si>
  <si>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</si>
  <si>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</si>
  <si>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</si>
  <si>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</si>
  <si>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</si>
  <si>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</si>
  <si>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</si>
  <si>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</si>
  <si>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</si>
  <si>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</si>
  <si>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</si>
  <si>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</si>
  <si>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</si>
  <si>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</si>
  <si>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</si>
  <si>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</si>
  <si>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</si>
  <si>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</si>
  <si>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</si>
  <si>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</si>
  <si>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</si>
  <si>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</si>
  <si>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</si>
  <si>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</si>
  <si>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</si>
  <si>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</si>
  <si>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</si>
  <si>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</si>
  <si>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</si>
  <si>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</si>
  <si>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</si>
  <si>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</si>
  <si>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</si>
  <si>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</si>
  <si>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</si>
  <si>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</si>
  <si>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</si>
  <si>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</si>
  <si>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</si>
  <si>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</si>
  <si>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</si>
  <si>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</si>
  <si>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</si>
  <si>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</si>
  <si>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</si>
  <si>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</si>
  <si>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</si>
  <si>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</si>
  <si>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</si>
  <si>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</si>
  <si>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</si>
  <si>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</si>
  <si>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</si>
  <si>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</si>
  <si>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</si>
  <si>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</si>
  <si>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</si>
  <si>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</si>
  <si>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</si>
  <si>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</si>
  <si>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</si>
  <si>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</si>
  <si>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</si>
  <si>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</si>
  <si>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</si>
  <si>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</si>
  <si>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</si>
  <si>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</si>
  <si>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</si>
  <si>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</si>
  <si>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</si>
  <si>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</si>
  <si>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</si>
  <si>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</si>
  <si>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</si>
  <si>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</si>
  <si>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</si>
  <si>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</si>
  <si>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</si>
  <si>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</si>
  <si>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</si>
  <si>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</si>
  <si>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</si>
  <si>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</si>
  <si>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</si>
  <si>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</si>
  <si>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</si>
  <si>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</si>
  <si>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</si>
  <si>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</si>
  <si>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</si>
  <si>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</si>
  <si>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</si>
  <si>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</si>
  <si>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</si>
  <si>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</si>
  <si>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</si>
  <si>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</si>
  <si>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</si>
  <si>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</si>
  <si>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</si>
  <si>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</si>
  <si>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</si>
  <si>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</si>
  <si>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</si>
  <si>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</si>
  <si>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</si>
  <si>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</si>
  <si>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</si>
  <si>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</si>
  <si>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</si>
  <si>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</si>
  <si>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</si>
  <si>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</si>
  <si>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</si>
  <si>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</si>
  <si>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</si>
  <si>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</si>
  <si>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</si>
  <si>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</si>
  <si>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</si>
  <si>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</si>
  <si>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</si>
  <si>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</si>
  <si>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</si>
  <si>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</si>
  <si>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</si>
  <si>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</si>
  <si>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</si>
  <si>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</si>
  <si>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</si>
  <si>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</si>
  <si>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</si>
  <si>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</si>
  <si>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</si>
  <si>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</si>
  <si>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</si>
  <si>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</si>
  <si>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</si>
  <si>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</si>
  <si>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</si>
  <si>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</si>
  <si>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</si>
  <si>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</si>
  <si>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</si>
  <si>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</si>
  <si>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</si>
  <si>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</si>
  <si>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</si>
  <si>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</si>
  <si>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</si>
  <si>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</si>
  <si>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</si>
  <si>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</si>
  <si>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</si>
  <si>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</si>
  <si>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</si>
  <si>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</si>
  <si>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</si>
  <si>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</si>
  <si>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</si>
  <si>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</si>
  <si>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</si>
  <si>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</si>
  <si>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</si>
  <si>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</si>
  <si>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</si>
  <si>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</si>
  <si>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</si>
  <si>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</si>
  <si>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</si>
  <si>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</si>
  <si>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</si>
  <si>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</si>
  <si>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</si>
  <si>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</si>
  <si>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</si>
  <si>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</si>
  <si>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</si>
  <si>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</si>
  <si>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</si>
  <si>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</si>
  <si>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</si>
  <si>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</si>
  <si>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</si>
  <si>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</si>
  <si>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</si>
  <si>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</si>
  <si>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</si>
  <si>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</si>
  <si>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</si>
  <si>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</si>
  <si>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</si>
  <si>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</si>
  <si>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</si>
  <si>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</si>
  <si>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</si>
  <si>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</si>
  <si>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</si>
  <si>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</si>
  <si>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</si>
  <si>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</si>
  <si>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</si>
  <si>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</si>
  <si>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</si>
  <si>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</si>
  <si>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</si>
  <si>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</si>
  <si>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</si>
  <si>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</si>
  <si>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</si>
  <si>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</si>
  <si>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</si>
  <si>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</si>
  <si>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</si>
  <si>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</si>
  <si>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</si>
  <si>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</si>
  <si>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</si>
  <si>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</si>
  <si>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</si>
  <si>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</si>
  <si>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</si>
  <si>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</si>
  <si>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</si>
  <si>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</si>
  <si>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</si>
  <si>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</si>
  <si>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</si>
  <si>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</si>
  <si>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</si>
  <si>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</si>
  <si>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</si>
  <si>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</si>
  <si>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</si>
  <si>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</si>
  <si>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</si>
  <si>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</si>
  <si>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</si>
  <si>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</si>
  <si>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</si>
  <si>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</si>
  <si>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</si>
  <si>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</si>
  <si>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</si>
  <si>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</si>
  <si>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</si>
  <si>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</si>
  <si>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</si>
  <si>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</si>
  <si>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</si>
  <si>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</si>
  <si>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</si>
  <si>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</si>
  <si>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</si>
  <si>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</si>
  <si>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</si>
  <si>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</si>
  <si>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</si>
  <si>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</si>
  <si>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</si>
  <si>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</si>
  <si>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</si>
  <si>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</si>
  <si>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</si>
  <si>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</si>
  <si>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</si>
  <si>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</si>
  <si>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</si>
  <si>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</si>
  <si>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</si>
  <si>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</si>
  <si>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</si>
  <si>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</si>
  <si>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</si>
  <si>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</si>
  <si>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</si>
  <si>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</si>
  <si>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</si>
  <si>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</si>
  <si>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</si>
  <si>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</si>
  <si>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</si>
  <si>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</si>
  <si>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</si>
  <si>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</si>
  <si>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</si>
  <si>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</si>
  <si>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</si>
  <si>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</si>
  <si>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</si>
  <si>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</si>
  <si>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</si>
  <si>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</si>
  <si>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</si>
  <si>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</si>
  <si>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</si>
  <si>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</si>
  <si>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</si>
  <si>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</si>
  <si>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</si>
  <si>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</si>
  <si>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</si>
  <si>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</si>
  <si>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</si>
  <si>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</si>
  <si>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</si>
  <si>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</si>
  <si>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</si>
  <si>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</si>
  <si>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</si>
  <si>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</si>
  <si>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</si>
  <si>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</si>
  <si>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</si>
  <si>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</si>
  <si>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</si>
  <si>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</si>
  <si>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</si>
  <si>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</si>
  <si>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</si>
  <si>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</si>
  <si>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</si>
  <si>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</si>
  <si>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</si>
  <si>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</si>
  <si>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</si>
  <si>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</si>
  <si>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</si>
  <si>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</si>
  <si>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</si>
  <si>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</si>
  <si>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</si>
  <si>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</si>
  <si>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</si>
  <si>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</si>
  <si>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</si>
  <si>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</si>
  <si>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</si>
  <si>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</si>
  <si>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</si>
  <si>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</si>
  <si>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</si>
  <si>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</si>
  <si>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</si>
  <si>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</si>
  <si>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</si>
  <si>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</si>
  <si>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</si>
  <si>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</si>
  <si>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</si>
  <si>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</si>
  <si>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</si>
  <si>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</si>
  <si>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</si>
  <si>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</si>
  <si>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</si>
  <si>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</si>
  <si>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</si>
  <si>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</si>
  <si>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</si>
  <si>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</si>
  <si>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</si>
  <si>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</si>
  <si>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</si>
  <si>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</si>
  <si>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</si>
  <si>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</si>
  <si>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</si>
  <si>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</si>
  <si>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</si>
  <si>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</si>
  <si>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</si>
  <si>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</si>
  <si>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</si>
  <si>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</si>
  <si>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</si>
  <si>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</si>
  <si>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</si>
  <si>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</si>
  <si>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</si>
  <si>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</si>
  <si>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</si>
  <si>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</si>
  <si>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</si>
  <si>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</si>
  <si>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</si>
  <si>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</si>
  <si>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</si>
  <si>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</si>
  <si>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</si>
  <si>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</si>
  <si>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</si>
  <si>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</si>
  <si>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</si>
  <si>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</si>
  <si>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</si>
  <si>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</si>
  <si>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</si>
  <si>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</si>
  <si>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</si>
  <si>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</si>
  <si>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</si>
  <si>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</si>
  <si>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</si>
  <si>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</si>
  <si>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</si>
  <si>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</si>
  <si>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</si>
  <si>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</si>
  <si>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</si>
  <si>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</si>
  <si>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</si>
  <si>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</si>
  <si>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</si>
  <si>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</si>
  <si>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</si>
  <si>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</si>
  <si>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</si>
  <si>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</si>
  <si>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</si>
  <si>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</si>
  <si>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</si>
  <si>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</si>
  <si>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</si>
  <si>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</si>
  <si>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</si>
  <si>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</si>
  <si>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</si>
  <si>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</si>
  <si>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</si>
  <si>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</si>
  <si>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</si>
  <si>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</si>
  <si>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</si>
  <si>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</si>
  <si>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</si>
  <si>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</si>
  <si>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</si>
  <si>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</si>
  <si>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</si>
  <si>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</si>
  <si>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</si>
  <si>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</si>
  <si>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</si>
  <si>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</si>
  <si>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</si>
  <si>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</si>
  <si>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</si>
  <si>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</si>
  <si>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</si>
  <si>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</si>
  <si>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</si>
  <si>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</si>
  <si>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</si>
  <si>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</si>
  <si>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</si>
  <si>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</si>
  <si>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</si>
  <si>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</si>
  <si>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</si>
  <si>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</si>
  <si>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</si>
  <si>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</si>
  <si>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</si>
  <si>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</si>
  <si>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</si>
  <si>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</si>
  <si>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</si>
  <si>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</si>
  <si>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</si>
  <si>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</si>
  <si>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</si>
  <si>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</si>
  <si>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</si>
  <si>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</si>
  <si>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</si>
  <si>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</si>
  <si>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</si>
  <si>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</si>
  <si>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</si>
  <si>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</si>
  <si>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</si>
  <si>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</si>
  <si>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</si>
  <si>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</si>
  <si>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</si>
  <si>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</si>
  <si>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</si>
  <si>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</si>
  <si>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</si>
  <si>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</si>
  <si>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</si>
  <si>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</si>
  <si>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</si>
  <si>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</si>
  <si>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</si>
  <si>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</si>
  <si>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</si>
  <si>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</si>
  <si>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</si>
  <si>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</si>
  <si>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</si>
  <si>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</si>
  <si>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</si>
  <si>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</si>
  <si>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</si>
  <si>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</si>
  <si>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</si>
  <si>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</si>
  <si>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</si>
  <si>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</si>
  <si>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</si>
  <si>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</si>
  <si>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</si>
  <si>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</si>
  <si>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</si>
  <si>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</si>
  <si>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</si>
  <si>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</si>
  <si>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</si>
  <si>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</si>
  <si>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</si>
  <si>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</si>
  <si>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</si>
  <si>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</si>
  <si>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</si>
  <si>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</si>
  <si>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</si>
  <si>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</si>
  <si>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</si>
  <si>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</si>
  <si>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</si>
  <si>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</si>
  <si>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</si>
  <si>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</si>
  <si>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</si>
  <si>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</si>
  <si>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</si>
  <si>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</si>
  <si>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</si>
  <si>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</si>
  <si>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</si>
  <si>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</si>
  <si>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</si>
  <si>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</si>
  <si>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</si>
  <si>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</si>
  <si>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</si>
  <si>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</si>
  <si>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</si>
  <si>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</si>
  <si>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</si>
  <si>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</si>
  <si>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</si>
  <si>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</si>
  <si>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</si>
  <si>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</si>
  <si>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</si>
  <si>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</si>
  <si>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</si>
  <si>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</si>
  <si>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</si>
  <si>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</si>
  <si>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</si>
  <si>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</si>
  <si>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</si>
  <si>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</si>
  <si>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</si>
  <si>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</si>
  <si>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</si>
  <si>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</si>
  <si>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</si>
  <si>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</si>
  <si>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</si>
  <si>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</si>
  <si>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</si>
  <si>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</si>
  <si>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</si>
  <si>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</si>
  <si>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</si>
  <si>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</si>
  <si>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</si>
  <si>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</si>
  <si>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</si>
  <si>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</si>
  <si>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</si>
  <si>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</si>
  <si>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</si>
  <si>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</si>
  <si>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</si>
  <si>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</si>
  <si>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</si>
  <si>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</si>
  <si>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</si>
  <si>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</si>
  <si>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</si>
  <si>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</si>
  <si>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</si>
  <si>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</si>
  <si>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</si>
  <si>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</si>
  <si>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</si>
  <si>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</si>
  <si>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</si>
  <si>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</si>
  <si>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</si>
  <si>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</si>
  <si>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</si>
  <si>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</si>
  <si>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</si>
  <si>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</si>
  <si>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</si>
  <si>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</si>
  <si>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</si>
  <si>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</si>
  <si>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</si>
  <si>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</si>
  <si>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</si>
  <si>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</si>
  <si>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</si>
  <si>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</si>
  <si>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</si>
  <si>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</si>
  <si>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</si>
  <si>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</si>
  <si>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</si>
  <si>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</si>
  <si>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</si>
  <si>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</si>
  <si>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</si>
  <si>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</si>
  <si>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</si>
  <si>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</si>
  <si>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</si>
  <si>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</si>
  <si>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</si>
  <si>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</si>
  <si>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</si>
  <si>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</si>
  <si>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</si>
  <si>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</si>
  <si>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</si>
  <si>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</si>
  <si>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</si>
  <si>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</si>
  <si>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</si>
  <si>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</si>
  <si>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</si>
  <si>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</si>
  <si>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</si>
  <si>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</si>
  <si>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</si>
  <si>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</si>
  <si>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</si>
  <si>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</si>
  <si>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</si>
  <si>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</si>
  <si>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</si>
  <si>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</si>
  <si>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</si>
  <si>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</si>
  <si>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</si>
  <si>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</si>
  <si>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</si>
  <si>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</si>
  <si>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</si>
  <si>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</si>
  <si>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</si>
  <si>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</si>
  <si>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</si>
  <si>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</si>
  <si>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</si>
  <si>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</si>
  <si>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</si>
  <si>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</si>
  <si>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</si>
  <si>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</si>
  <si>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</si>
  <si>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</si>
  <si>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</si>
  <si>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</si>
  <si>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</si>
  <si>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</si>
  <si>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</si>
  <si>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</si>
  <si>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</si>
  <si>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</si>
  <si>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</si>
  <si>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</si>
  <si>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</si>
  <si>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</si>
  <si>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</si>
  <si>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</si>
  <si>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</si>
  <si>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</si>
  <si>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</si>
  <si>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</si>
  <si>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</si>
  <si>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</si>
  <si>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</si>
  <si>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</si>
  <si>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</si>
  <si>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</si>
  <si>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</si>
  <si>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</si>
  <si>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</si>
  <si>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</si>
  <si>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</si>
  <si>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</si>
  <si>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</si>
  <si>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</si>
  <si>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</si>
  <si>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</si>
  <si>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</si>
  <si>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</si>
  <si>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</si>
  <si>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</si>
  <si>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</si>
  <si>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</si>
  <si>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</si>
  <si>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</si>
  <si>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</si>
  <si>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</si>
  <si>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</si>
  <si>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</si>
  <si>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</si>
  <si>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</si>
  <si>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</si>
  <si>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</si>
  <si>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</si>
  <si>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</si>
  <si>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</si>
  <si>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</si>
  <si>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</si>
  <si>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</si>
  <si>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</si>
  <si>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</si>
  <si>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</si>
  <si>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</si>
  <si>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</si>
  <si>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</si>
  <si>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</si>
  <si>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</si>
  <si>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</si>
  <si>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</si>
  <si>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</si>
  <si>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</si>
  <si>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</si>
  <si>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</si>
  <si>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</si>
  <si>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</si>
  <si>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</si>
  <si>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</si>
  <si>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</si>
  <si>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</si>
  <si>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</si>
  <si>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</si>
  <si>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</si>
  <si>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</si>
  <si>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</si>
  <si>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</si>
  <si>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</si>
  <si>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</si>
  <si>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</si>
  <si>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</si>
  <si>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</si>
  <si>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</si>
  <si>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</si>
  <si>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</si>
  <si>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</si>
  <si>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</si>
  <si>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</si>
  <si>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</si>
  <si>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</si>
  <si>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</si>
  <si>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</si>
  <si>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</si>
  <si>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</si>
  <si>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</si>
  <si>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</si>
  <si>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</si>
  <si>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</si>
  <si>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</si>
  <si>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</si>
  <si>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</si>
  <si>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</si>
  <si>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</si>
  <si>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</si>
  <si>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</si>
  <si>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</si>
  <si>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</si>
  <si>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</si>
  <si>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</si>
  <si>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</si>
  <si>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</si>
  <si>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</si>
  <si>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</si>
  <si>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</si>
  <si>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</si>
  <si>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</si>
  <si>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</si>
  <si>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</si>
  <si>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</si>
  <si>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</si>
  <si>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</si>
  <si>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</si>
  <si>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</si>
  <si>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</si>
  <si>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</si>
  <si>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</si>
  <si>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</si>
  <si>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</si>
  <si>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</si>
  <si>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</si>
  <si>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</si>
  <si>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</si>
  <si>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</si>
  <si>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</si>
  <si>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</si>
  <si>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</si>
  <si>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</si>
  <si>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</si>
  <si>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</si>
  <si>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</si>
  <si>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</si>
  <si>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</si>
  <si>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</si>
  <si>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</si>
  <si>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</si>
  <si>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</si>
  <si>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</si>
  <si>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</si>
  <si>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</si>
  <si>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</si>
  <si>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</si>
  <si>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</si>
  <si>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</si>
  <si>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</si>
  <si>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</si>
  <si>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</si>
  <si>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</si>
  <si>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</si>
  <si>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</si>
  <si>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</si>
  <si>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</si>
  <si>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</si>
  <si>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</si>
  <si>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</si>
  <si>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</si>
  <si>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</si>
  <si>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</si>
  <si>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</si>
  <si>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</si>
  <si>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</si>
  <si>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</si>
  <si>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</si>
  <si>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</si>
  <si>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</si>
  <si>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</si>
  <si>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</si>
  <si>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</si>
  <si>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</si>
  <si>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</si>
  <si>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</si>
  <si>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</si>
  <si>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</si>
  <si>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</si>
  <si>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</si>
  <si>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</si>
  <si>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</si>
  <si>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</si>
  <si>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</si>
  <si>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</si>
  <si>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</si>
  <si>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</si>
  <si>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</si>
  <si>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</si>
  <si>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</si>
  <si>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</si>
  <si>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</si>
  <si>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</si>
  <si>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</si>
  <si>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</si>
  <si>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</si>
  <si>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</si>
  <si>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</si>
  <si>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</si>
  <si>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</si>
  <si>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</si>
  <si>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</si>
  <si>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</si>
  <si>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</si>
  <si>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</si>
  <si>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</si>
  <si>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</si>
  <si>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</si>
  <si>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</si>
  <si>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</si>
  <si>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</si>
  <si>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</si>
  <si>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</si>
  <si>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</si>
  <si>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</si>
  <si>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</si>
  <si>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</si>
  <si>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</si>
  <si>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</si>
  <si>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</si>
  <si>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</si>
  <si>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</si>
  <si>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</si>
  <si>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</si>
  <si>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</si>
  <si>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</si>
  <si>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</si>
  <si>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</si>
  <si>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</si>
  <si>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</si>
  <si>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</si>
  <si>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</si>
  <si>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</si>
  <si>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</si>
  <si>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</si>
  <si>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</si>
  <si>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</si>
  <si>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</si>
  <si>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</si>
  <si>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</si>
  <si>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</si>
  <si>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</si>
  <si>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</si>
  <si>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</si>
  <si>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</si>
  <si>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</si>
  <si>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</si>
  <si>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</si>
  <si>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</si>
  <si>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</si>
  <si>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</si>
  <si>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</si>
  <si>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</si>
  <si>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</si>
  <si>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</si>
  <si>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</si>
  <si>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</si>
  <si>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</si>
  <si>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</si>
  <si>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</si>
  <si>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</si>
  <si>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</si>
  <si>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</si>
  <si>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</si>
  <si>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</si>
  <si>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</si>
  <si>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</si>
  <si>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</si>
  <si>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</si>
  <si>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</si>
  <si>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</si>
  <si>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</si>
  <si>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</si>
  <si>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</si>
  <si>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</si>
  <si>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</si>
  <si>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</si>
  <si>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</si>
  <si>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</si>
  <si>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</si>
  <si>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</si>
  <si>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</si>
  <si>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</si>
  <si>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</si>
  <si>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</si>
  <si>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</si>
  <si>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</si>
  <si>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</si>
  <si>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</si>
  <si>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</si>
  <si>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</si>
  <si>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</si>
  <si>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</si>
  <si>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</si>
  <si>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</si>
  <si>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</si>
  <si>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</si>
  <si>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</si>
  <si>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</si>
  <si>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</si>
  <si>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</si>
  <si>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</si>
  <si>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</si>
  <si>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</si>
  <si>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</si>
  <si>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</si>
  <si>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</si>
  <si>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</si>
  <si>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</si>
  <si>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</si>
  <si>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</si>
  <si>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</si>
  <si>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</si>
  <si>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</si>
  <si>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</si>
  <si>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</si>
  <si>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</si>
  <si>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</si>
  <si>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</si>
  <si>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</si>
  <si>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</si>
  <si>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</si>
  <si>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</si>
  <si>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</si>
  <si>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</si>
  <si>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</si>
  <si>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</si>
  <si>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</si>
  <si>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</si>
  <si>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</si>
  <si>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</si>
  <si>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</si>
  <si>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</si>
  <si>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</si>
  <si>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</si>
  <si>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</si>
  <si>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</si>
  <si>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</si>
  <si>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</si>
  <si>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</si>
  <si>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</si>
  <si>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</si>
  <si>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</si>
  <si>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</si>
  <si>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</si>
  <si>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</si>
  <si>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</si>
  <si>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</si>
  <si>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</si>
  <si>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</si>
  <si>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</si>
  <si>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</si>
  <si>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</si>
  <si>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</si>
  <si>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</si>
  <si>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</si>
  <si>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</si>
  <si>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</si>
  <si>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</si>
  <si>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</si>
  <si>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</si>
  <si>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</si>
  <si>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</si>
  <si>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</si>
  <si>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</si>
  <si>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</si>
  <si>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</si>
  <si>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</si>
  <si>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</si>
  <si>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</si>
  <si>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</si>
  <si>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</si>
  <si>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</si>
  <si>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</si>
  <si>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</si>
  <si>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</si>
  <si>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</si>
  <si>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</si>
  <si>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</si>
  <si>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</si>
  <si>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</si>
  <si>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</si>
  <si>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</si>
  <si>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</si>
  <si>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</si>
  <si>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</si>
  <si>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</si>
  <si>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</si>
  <si>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</si>
  <si>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</si>
  <si>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</si>
  <si>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</si>
  <si>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</si>
  <si>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</si>
  <si>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</si>
  <si>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</si>
  <si>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</si>
  <si>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</si>
  <si>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</si>
  <si>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</si>
  <si>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</si>
  <si>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</si>
  <si>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</si>
  <si>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</si>
  <si>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</si>
  <si>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</si>
  <si>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</si>
  <si>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</si>
  <si>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</si>
  <si>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</si>
  <si>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</si>
  <si>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</si>
  <si>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</si>
  <si>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</si>
  <si>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</si>
  <si>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</si>
  <si>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</si>
  <si>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</si>
  <si>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</si>
  <si>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</si>
  <si>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</si>
  <si>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</si>
  <si>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</si>
  <si>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</si>
  <si>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</si>
  <si>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</si>
  <si>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</si>
  <si>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</si>
  <si>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</si>
  <si>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</si>
  <si>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</si>
  <si>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</si>
  <si>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</si>
  <si>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</si>
  <si>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</si>
  <si>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</si>
  <si>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</si>
  <si>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</si>
  <si>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</si>
  <si>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</si>
  <si>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</si>
  <si>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</si>
  <si>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</si>
  <si>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</si>
  <si>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</si>
  <si>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</si>
  <si>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</si>
  <si>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</si>
  <si>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</si>
  <si>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</si>
  <si>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</si>
  <si>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</si>
  <si>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</si>
  <si>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</si>
  <si>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</si>
  <si>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</si>
  <si>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</si>
  <si>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</si>
  <si>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</si>
  <si>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</si>
  <si>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</si>
  <si>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</si>
  <si>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</si>
  <si>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</si>
  <si>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</si>
  <si>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</si>
  <si>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</si>
  <si>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</si>
  <si>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</si>
  <si>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</si>
  <si>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</si>
  <si>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</si>
  <si>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</si>
  <si>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</si>
  <si>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</si>
  <si>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</si>
  <si>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</si>
  <si>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</si>
  <si>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</si>
  <si>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</si>
  <si>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</si>
  <si>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</si>
  <si>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</si>
  <si>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</si>
  <si>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</si>
  <si>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</si>
  <si>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</si>
  <si>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</si>
  <si>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</si>
  <si>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</si>
  <si>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</si>
  <si>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</si>
  <si>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</si>
  <si>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</si>
  <si>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</si>
  <si>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</si>
  <si>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</si>
  <si>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</si>
  <si>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</si>
  <si>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</si>
  <si>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</si>
  <si>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</si>
  <si>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</si>
  <si>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</si>
  <si>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</si>
  <si>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</si>
  <si>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</si>
  <si>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</si>
  <si>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</si>
  <si>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</si>
  <si>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</si>
  <si>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</si>
  <si>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</si>
  <si>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</si>
  <si>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</si>
  <si>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</si>
  <si>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</si>
  <si>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</si>
  <si>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</si>
  <si>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</si>
  <si>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</si>
  <si>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</si>
  <si>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</si>
  <si>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</si>
  <si>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</si>
  <si>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</si>
  <si>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</si>
  <si>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</si>
  <si>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</si>
  <si>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</si>
  <si>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</si>
  <si>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</si>
  <si>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</si>
  <si>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</si>
  <si>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</si>
  <si>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</si>
  <si>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</si>
  <si>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</si>
  <si>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</si>
  <si>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</si>
  <si>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</si>
  <si>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</si>
  <si>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</si>
  <si>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</si>
  <si>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</si>
  <si>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</si>
  <si>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</si>
  <si>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</si>
  <si>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</si>
  <si>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</si>
  <si>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</si>
  <si>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</si>
  <si>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</si>
  <si>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</si>
  <si>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</si>
  <si>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</si>
  <si>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</si>
  <si>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</si>
  <si>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</si>
  <si>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</si>
  <si>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</si>
  <si>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</si>
  <si>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</si>
  <si>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</si>
  <si>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</si>
  <si>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</si>
  <si>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</si>
  <si>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</si>
  <si>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</si>
  <si>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</si>
  <si>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</si>
  <si>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</si>
  <si>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</si>
  <si>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</si>
  <si>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</si>
  <si>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</si>
  <si>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</si>
  <si>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</si>
  <si>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</si>
  <si>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</si>
  <si>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</si>
  <si>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</si>
  <si>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</si>
  <si>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</si>
  <si>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</si>
  <si>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</si>
  <si>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</si>
  <si>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</si>
  <si>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</si>
  <si>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</si>
  <si>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</si>
  <si>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</si>
  <si>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</si>
  <si>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</si>
  <si>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</si>
  <si>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</si>
  <si>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</si>
  <si>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</si>
  <si>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</si>
  <si>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</si>
  <si>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</si>
  <si>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</si>
  <si>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</si>
  <si>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</si>
  <si>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</si>
  <si>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</si>
  <si>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</si>
  <si>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</si>
  <si>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</si>
  <si>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</si>
  <si>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</si>
  <si>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</si>
  <si>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</si>
  <si>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</si>
  <si>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</si>
  <si>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</si>
  <si>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</si>
  <si>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</si>
  <si>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</si>
  <si>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</si>
  <si>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</si>
  <si>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</si>
  <si>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</si>
  <si>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</si>
  <si>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</si>
  <si>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</si>
  <si>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</si>
  <si>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</si>
  <si>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</si>
  <si>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</si>
  <si>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</si>
  <si>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</si>
  <si>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</si>
  <si>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</si>
  <si>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</si>
  <si>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</si>
  <si>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</si>
  <si>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</si>
  <si>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</si>
  <si>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</si>
  <si>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</si>
  <si>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</si>
  <si>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</si>
  <si>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</si>
  <si>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</si>
  <si>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</si>
  <si>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</si>
  <si>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</si>
  <si>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</si>
  <si>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</si>
  <si>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</si>
  <si>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</si>
  <si>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</si>
  <si>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</si>
  <si>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</si>
  <si>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</si>
  <si>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</si>
  <si>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</si>
  <si>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</si>
  <si>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</si>
  <si>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</si>
  <si>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</si>
  <si>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</si>
  <si>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</si>
  <si>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</si>
  <si>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</si>
  <si>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</si>
  <si>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</si>
  <si>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</si>
  <si>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</si>
  <si>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</si>
  <si>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</si>
  <si>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</si>
  <si>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</si>
  <si>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</si>
  <si>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</si>
  <si>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</si>
  <si>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</si>
  <si>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</si>
  <si>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</si>
  <si>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</si>
  <si>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</si>
  <si>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</si>
  <si>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</si>
  <si>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</si>
  <si>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</si>
  <si>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</si>
  <si>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</si>
  <si>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</si>
  <si>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</si>
  <si>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</si>
  <si>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</si>
  <si>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</si>
  <si>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</si>
  <si>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</si>
  <si>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</si>
  <si>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</si>
  <si>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</si>
  <si>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</si>
  <si>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</si>
  <si>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</si>
  <si>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</si>
  <si>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</si>
  <si>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</si>
  <si>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</si>
  <si>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</si>
  <si>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</si>
  <si>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</si>
  <si>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</si>
  <si>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</si>
  <si>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</si>
  <si>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</si>
  <si>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</si>
  <si>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</si>
  <si>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</si>
  <si>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</si>
  <si>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</si>
  <si>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</si>
  <si>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</si>
  <si>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</si>
  <si>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</si>
  <si>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</si>
  <si>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</si>
  <si>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</si>
  <si>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</si>
  <si>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</si>
  <si>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</si>
  <si>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</si>
  <si>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</si>
  <si>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</si>
  <si>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</si>
  <si>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</si>
  <si>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</si>
  <si>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</si>
  <si>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</si>
  <si>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</si>
  <si>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</si>
  <si>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</si>
  <si>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</si>
  <si>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</si>
  <si>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</si>
  <si>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</si>
  <si>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</si>
  <si>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</si>
  <si>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</si>
  <si>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</si>
  <si>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</si>
  <si>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</si>
  <si>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</si>
  <si>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</si>
  <si>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</si>
  <si>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</si>
  <si>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</si>
  <si>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</si>
  <si>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</si>
  <si>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</si>
  <si>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</si>
  <si>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</si>
  <si>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</si>
  <si>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</si>
  <si>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</si>
  <si>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</si>
  <si>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</si>
  <si>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</si>
  <si>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</si>
  <si>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</si>
  <si>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</si>
  <si>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</si>
  <si>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</si>
  <si>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</si>
  <si>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</si>
  <si>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</si>
  <si>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</si>
  <si>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</si>
  <si>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</si>
  <si>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</si>
  <si>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</si>
  <si>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</si>
  <si>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</si>
  <si>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</si>
  <si>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</si>
  <si>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</si>
  <si>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</si>
  <si>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</si>
  <si>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</si>
  <si>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</si>
  <si>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</si>
  <si>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</si>
  <si>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</si>
  <si>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</si>
  <si>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</si>
  <si>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</si>
  <si>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</si>
  <si>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</si>
  <si>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</si>
  <si>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</si>
  <si>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</si>
  <si>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</si>
  <si>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</si>
  <si>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</si>
  <si>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</si>
  <si>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</si>
  <si>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</si>
  <si>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</si>
  <si>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</si>
  <si>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</si>
  <si>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</si>
  <si>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</si>
  <si>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</si>
  <si>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</si>
  <si>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</si>
  <si>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</si>
  <si>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</si>
  <si>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</si>
  <si>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</si>
  <si>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</si>
  <si>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</si>
  <si>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</si>
  <si>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</si>
  <si>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</si>
  <si>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</si>
  <si>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</si>
  <si>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</si>
  <si>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</si>
  <si>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</si>
  <si>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</si>
  <si>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</si>
  <si>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</si>
  <si>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</si>
  <si>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</si>
  <si>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</si>
  <si>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</si>
  <si>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</si>
  <si>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</si>
  <si>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</si>
  <si>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</si>
  <si>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</si>
  <si>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</si>
  <si>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</si>
  <si>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</si>
  <si>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</si>
  <si>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</si>
  <si>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</si>
  <si>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</si>
  <si>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</si>
  <si>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</si>
  <si>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</si>
  <si>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</si>
  <si>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</si>
  <si>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</si>
  <si>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</si>
  <si>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</si>
  <si>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</si>
  <si>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</si>
  <si>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</si>
  <si>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</si>
  <si>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</si>
  <si>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</si>
  <si>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</si>
  <si>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</si>
  <si>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</si>
  <si>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</si>
  <si>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</si>
  <si>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</si>
  <si>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</si>
  <si>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</si>
  <si>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</si>
  <si>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</si>
  <si>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</si>
  <si>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</si>
  <si>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</si>
  <si>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</si>
  <si>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</si>
  <si>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</si>
  <si>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</si>
  <si>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</si>
  <si>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</si>
  <si>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</si>
  <si>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</si>
  <si>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</si>
  <si>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</si>
  <si>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</si>
  <si>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</si>
  <si>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</si>
  <si>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</si>
  <si>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</si>
  <si>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</si>
  <si>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</si>
  <si>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</si>
  <si>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</si>
  <si>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</si>
  <si>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</si>
  <si>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</si>
  <si>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</si>
  <si>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</si>
  <si>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</si>
  <si>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</si>
  <si>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</si>
  <si>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</si>
  <si>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</si>
  <si>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</si>
  <si>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</si>
  <si>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</si>
  <si>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</si>
  <si>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</si>
  <si>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</si>
  <si>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</si>
  <si>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</si>
  <si>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</si>
  <si>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</si>
  <si>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</si>
  <si>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</si>
  <si>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</si>
  <si>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</si>
  <si>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</si>
  <si>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</si>
  <si>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</si>
  <si>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</si>
  <si>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</si>
  <si>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</si>
  <si>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</si>
  <si>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</si>
  <si>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</si>
  <si>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</si>
  <si>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</si>
  <si>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</si>
  <si>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</si>
  <si>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</si>
  <si>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</si>
  <si>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</si>
  <si>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</si>
  <si>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</si>
  <si>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</si>
  <si>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</si>
  <si>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</si>
  <si>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</si>
  <si>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</si>
  <si>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</si>
  <si>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</si>
  <si>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</si>
  <si>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</si>
  <si>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</si>
  <si>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</si>
  <si>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</si>
  <si>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</si>
  <si>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</si>
  <si>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</si>
  <si>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</si>
  <si>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</si>
  <si>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</si>
  <si>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</si>
  <si>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</si>
  <si>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</si>
  <si>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</si>
  <si>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</si>
  <si>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</si>
  <si>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</si>
  <si>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</si>
  <si>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</si>
  <si>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</si>
  <si>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</si>
  <si>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</si>
  <si>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</si>
  <si>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</si>
  <si>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</si>
  <si>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</si>
  <si>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</si>
  <si>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</si>
  <si>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</si>
  <si>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</si>
  <si>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</si>
  <si>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</si>
  <si>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</si>
  <si>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</si>
  <si>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</si>
  <si>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</si>
  <si>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</si>
  <si>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</si>
  <si>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</si>
  <si>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</si>
  <si>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</si>
  <si>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</si>
  <si>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</si>
  <si>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</si>
  <si>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</si>
  <si>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</si>
  <si>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</si>
  <si>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</si>
  <si>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</si>
  <si>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</si>
  <si>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</si>
  <si>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</si>
  <si>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</si>
  <si>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</si>
  <si>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</si>
  <si>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</si>
  <si>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</si>
  <si>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</si>
  <si>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</si>
  <si>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</si>
  <si>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</si>
  <si>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</si>
  <si>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</si>
  <si>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</si>
  <si>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</si>
  <si>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</si>
  <si>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</si>
  <si>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</si>
  <si>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</si>
  <si>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</si>
  <si>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</si>
  <si>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</si>
  <si>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</si>
  <si>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</si>
  <si>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</si>
  <si>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</si>
  <si>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</si>
  <si>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</si>
  <si>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</si>
  <si>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</si>
  <si>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</si>
  <si>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</si>
  <si>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</si>
  <si>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</si>
  <si>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</si>
  <si>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</si>
  <si>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</si>
  <si>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</si>
  <si>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</si>
  <si>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</si>
  <si>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</si>
  <si>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</si>
  <si>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</si>
  <si>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</si>
  <si>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</si>
  <si>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</si>
  <si>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</si>
  <si>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</si>
  <si>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</si>
  <si>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</si>
  <si>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</si>
  <si>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</si>
  <si>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</si>
  <si>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</si>
  <si>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</si>
  <si>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</si>
  <si>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</si>
  <si>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</si>
  <si>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</si>
  <si>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</si>
  <si>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</si>
  <si>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</si>
  <si>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</si>
  <si>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</si>
  <si>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</si>
  <si>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</si>
  <si>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</si>
  <si>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</si>
  <si>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</si>
  <si>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</si>
  <si>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</si>
  <si>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</si>
  <si>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</si>
  <si>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</si>
  <si>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</si>
  <si>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</si>
  <si>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</si>
  <si>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</si>
  <si>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</si>
  <si>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</si>
  <si>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</si>
  <si>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</si>
  <si>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</si>
  <si>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</si>
  <si>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</si>
  <si>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</si>
  <si>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</si>
  <si>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</si>
  <si>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</si>
  <si>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</si>
  <si>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</si>
  <si>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</si>
  <si>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</si>
  <si>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</si>
  <si>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</si>
  <si>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</si>
  <si>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</si>
  <si>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</si>
  <si>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</si>
  <si>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</si>
  <si>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</si>
  <si>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</si>
  <si>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</si>
  <si>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</si>
  <si>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</si>
  <si>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</si>
  <si>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</si>
  <si>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</si>
  <si>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</si>
  <si>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</si>
  <si>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</si>
  <si>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</si>
  <si>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</si>
  <si>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</si>
  <si>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</si>
  <si>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</si>
  <si>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</si>
  <si>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</si>
  <si>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</si>
  <si>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</si>
  <si>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</si>
  <si>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</si>
  <si>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</si>
  <si>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</si>
  <si>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</si>
  <si>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</si>
  <si>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</si>
  <si>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</si>
  <si>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</si>
  <si>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</si>
  <si>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</si>
  <si>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</si>
  <si>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</si>
  <si>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</si>
  <si>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</si>
  <si>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</si>
  <si>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</si>
  <si>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</si>
  <si>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</si>
  <si>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</si>
  <si>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</si>
  <si>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</si>
  <si>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</si>
  <si>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</si>
  <si>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</si>
  <si>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</si>
  <si>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</si>
  <si>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</si>
  <si>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</si>
  <si>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</si>
  <si>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</si>
  <si>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</si>
  <si>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</si>
  <si>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</si>
  <si>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</si>
  <si>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</si>
  <si>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</si>
  <si>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</si>
  <si>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</si>
  <si>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</si>
  <si>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</si>
  <si>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</si>
  <si>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</si>
  <si>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</si>
  <si>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</si>
  <si>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</si>
  <si>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</si>
  <si>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</si>
  <si>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</si>
  <si>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</si>
  <si>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</si>
  <si>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</si>
  <si>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</si>
  <si>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</si>
  <si>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</si>
  <si>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</si>
  <si>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</si>
  <si>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</si>
  <si>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</si>
  <si>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</si>
  <si>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</si>
  <si>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</si>
  <si>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</si>
  <si>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</si>
  <si>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</si>
  <si>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</si>
  <si>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</si>
  <si>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</si>
  <si>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</si>
  <si>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</si>
  <si>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</si>
  <si>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</si>
  <si>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</si>
  <si>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</si>
  <si>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</si>
  <si>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</si>
  <si>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</si>
  <si>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</si>
  <si>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</si>
  <si>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</si>
  <si>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</si>
  <si>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</si>
  <si>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</si>
  <si>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</si>
  <si>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</si>
  <si>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</si>
  <si>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</si>
  <si>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</si>
  <si>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</si>
  <si>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</si>
  <si>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</si>
  <si>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</si>
  <si>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</si>
  <si>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</si>
  <si>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</si>
  <si>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</si>
  <si>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</si>
  <si>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</si>
  <si>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</si>
  <si>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</si>
  <si>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</si>
  <si>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</si>
  <si>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</si>
  <si>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</si>
  <si>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</si>
  <si>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</si>
  <si>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</si>
  <si>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</si>
  <si>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</si>
  <si>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</si>
  <si>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</si>
  <si>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</si>
  <si>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</si>
  <si>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</si>
  <si>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</si>
  <si>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</si>
  <si>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</si>
  <si>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</si>
  <si>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</si>
  <si>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</si>
  <si>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</si>
  <si>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</si>
  <si>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</si>
  <si>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</si>
  <si>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</si>
  <si>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</si>
  <si>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</si>
  <si>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</si>
  <si>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</si>
  <si>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</si>
  <si>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</si>
  <si>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</si>
  <si>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</si>
  <si>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</si>
  <si>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</si>
  <si>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</si>
  <si>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</si>
  <si>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</si>
  <si>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</si>
  <si>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</si>
  <si>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</si>
  <si>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</si>
  <si>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</si>
  <si>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</si>
  <si>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</si>
  <si>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</si>
  <si>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</si>
  <si>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</si>
  <si>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</si>
  <si>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</si>
  <si>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</si>
  <si>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</si>
  <si>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</si>
  <si>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</si>
  <si>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</si>
  <si>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</si>
  <si>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</si>
  <si>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</si>
  <si>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</si>
  <si>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</si>
  <si>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</si>
  <si>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</si>
  <si>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</si>
  <si>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</si>
  <si>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</si>
  <si>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</si>
  <si>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</si>
  <si>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</si>
  <si>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</si>
  <si>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</si>
  <si>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</si>
  <si>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</si>
  <si>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</si>
  <si>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</si>
  <si>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</si>
  <si>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</si>
  <si>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</si>
  <si>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</si>
  <si>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</si>
  <si>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</si>
  <si>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</si>
  <si>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</si>
  <si>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</si>
  <si>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</si>
  <si>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</si>
  <si>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</si>
  <si>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</si>
  <si>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</si>
  <si>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</si>
  <si>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</si>
  <si>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</si>
  <si>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</si>
  <si>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</si>
  <si>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</si>
  <si>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</si>
  <si>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</si>
  <si>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</si>
  <si>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</si>
  <si>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</si>
  <si>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</si>
  <si>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</si>
  <si>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</si>
  <si>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</si>
  <si>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</si>
  <si>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</si>
  <si>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</si>
  <si>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</si>
  <si>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</si>
  <si>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</si>
  <si>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</si>
  <si>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</si>
  <si>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</si>
  <si>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</si>
  <si>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</si>
  <si>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</si>
  <si>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</si>
  <si>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</si>
  <si>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</si>
  <si>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</si>
  <si>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</si>
  <si>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</si>
  <si>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</si>
  <si>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</si>
  <si>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</si>
  <si>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</si>
  <si>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</si>
  <si>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</si>
  <si>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</si>
  <si>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</si>
  <si>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</si>
  <si>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</si>
  <si>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</si>
  <si>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</si>
  <si>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</si>
  <si>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</si>
  <si>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</si>
  <si>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</si>
  <si>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</si>
  <si>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</si>
  <si>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</si>
  <si>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</si>
  <si>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</si>
  <si>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</si>
  <si>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</si>
  <si>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</si>
  <si>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</si>
  <si>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</si>
  <si>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</si>
  <si>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</si>
  <si>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</si>
  <si>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</si>
  <si>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</si>
  <si>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</si>
  <si>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</si>
  <si>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</si>
  <si>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</si>
  <si>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</si>
  <si>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</si>
  <si>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</si>
  <si>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</si>
  <si>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</si>
  <si>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</si>
  <si>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</si>
  <si>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</si>
  <si>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</si>
  <si>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</si>
  <si>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</si>
  <si>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</si>
  <si>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</si>
  <si>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</si>
  <si>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</si>
  <si>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</si>
  <si>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</si>
  <si>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</si>
  <si>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</si>
  <si>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</si>
  <si>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</si>
  <si>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</si>
  <si>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</si>
  <si>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</si>
  <si>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</si>
  <si>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</si>
  <si>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</si>
  <si>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</si>
  <si>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</si>
  <si>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</si>
  <si>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</si>
  <si>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</si>
  <si>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</si>
  <si>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</si>
  <si>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</si>
  <si>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</si>
  <si>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</si>
  <si>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</si>
  <si>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</si>
  <si>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</si>
  <si>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</si>
  <si>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</si>
  <si>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</si>
  <si>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</si>
  <si>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</si>
  <si>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</si>
  <si>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</si>
  <si>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</si>
  <si>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</si>
  <si>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</si>
  <si>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</si>
  <si>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</si>
  <si>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</si>
  <si>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</si>
  <si>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</si>
  <si>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</si>
  <si>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</si>
  <si>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</si>
  <si>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</si>
  <si>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</si>
  <si>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</si>
  <si>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</si>
  <si>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</si>
  <si>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</si>
  <si>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</si>
  <si>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</si>
  <si>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</si>
  <si>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</si>
  <si>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</si>
  <si>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</si>
  <si>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</si>
  <si>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</si>
  <si>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</si>
  <si>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</si>
  <si>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</si>
  <si>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</si>
  <si>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</si>
  <si>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</si>
  <si>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</si>
  <si>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</si>
  <si>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</si>
  <si>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</si>
  <si>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</si>
  <si>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</si>
  <si>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</si>
  <si>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</si>
  <si>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</si>
  <si>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</si>
  <si>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</si>
  <si>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</si>
  <si>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</si>
  <si>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</si>
  <si>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</si>
  <si>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</si>
  <si>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</si>
  <si>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</si>
  <si>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</si>
  <si>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</si>
  <si>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</si>
  <si>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</si>
  <si>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</si>
  <si>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</si>
  <si>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</si>
  <si>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</si>
  <si>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</si>
  <si>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</si>
  <si>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</si>
  <si>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</si>
  <si>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</si>
  <si>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</si>
  <si>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</si>
  <si>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</si>
  <si>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</si>
  <si>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</si>
  <si>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</si>
  <si>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</si>
  <si>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</si>
  <si>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</si>
  <si>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</si>
  <si>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</si>
  <si>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</si>
  <si>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</si>
  <si>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</si>
  <si>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</si>
  <si>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</si>
  <si>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</si>
  <si>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</si>
  <si>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</si>
  <si>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</si>
  <si>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</si>
  <si>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</si>
  <si>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</si>
  <si>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</si>
  <si>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</si>
  <si>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</si>
  <si>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</si>
  <si>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</si>
  <si>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</si>
  <si>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</si>
  <si>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</si>
  <si>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</si>
  <si>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</si>
  <si>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</si>
  <si>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</si>
  <si>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</si>
  <si>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</si>
  <si>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</si>
  <si>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</si>
  <si>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</si>
  <si>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</si>
  <si>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</si>
  <si>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</si>
  <si>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</si>
  <si>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</si>
  <si>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</si>
  <si>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</si>
  <si>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</si>
  <si>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</si>
  <si>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</si>
  <si>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</si>
  <si>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</si>
  <si>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</si>
  <si>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</si>
  <si>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</si>
  <si>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</si>
  <si>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</si>
  <si>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</si>
  <si>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</si>
  <si>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</si>
  <si>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</si>
  <si>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</si>
  <si>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</si>
  <si>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</si>
  <si>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</si>
  <si>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</si>
  <si>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</si>
  <si>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</si>
  <si>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</si>
  <si>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</si>
  <si>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</si>
  <si>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</si>
  <si>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</si>
  <si>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</si>
  <si>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</si>
  <si>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</si>
  <si>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</si>
  <si>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</si>
  <si>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</si>
  <si>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</si>
  <si>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</si>
  <si>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</si>
  <si>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</si>
  <si>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</si>
  <si>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</si>
  <si>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</si>
  <si>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</si>
  <si>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</si>
  <si>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</si>
  <si>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</si>
  <si>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</si>
  <si>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</si>
  <si>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</si>
  <si>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</si>
  <si>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</si>
  <si>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</si>
  <si>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</si>
  <si>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</si>
  <si>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</si>
  <si>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</si>
  <si>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</si>
  <si>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</si>
  <si>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</si>
  <si>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</si>
  <si>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</si>
  <si>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</si>
  <si>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</si>
  <si>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</si>
  <si>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</si>
  <si>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</si>
  <si>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</si>
  <si>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</si>
  <si>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</si>
  <si>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</si>
  <si>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</si>
  <si>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</si>
  <si>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</si>
  <si>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</si>
  <si>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</si>
  <si>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</si>
  <si>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</si>
  <si>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</si>
  <si>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</si>
  <si>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</si>
  <si>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</si>
  <si>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</si>
  <si>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</si>
  <si>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</si>
  <si>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</si>
  <si>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</si>
  <si>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</si>
  <si>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</si>
  <si>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</si>
  <si>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</si>
  <si>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</si>
  <si>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</si>
  <si>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</si>
  <si>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</si>
  <si>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</si>
  <si>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</si>
  <si>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</si>
  <si>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</si>
  <si>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</si>
  <si>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</si>
  <si>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</si>
  <si>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</si>
  <si>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</si>
  <si>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</si>
  <si>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</si>
  <si>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</si>
  <si>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</si>
  <si>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</si>
  <si>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</si>
  <si>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</si>
  <si>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</si>
  <si>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</si>
  <si>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</si>
  <si>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</si>
  <si>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</si>
  <si>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</si>
  <si>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</si>
  <si>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</si>
  <si>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</si>
  <si>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</si>
  <si>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</si>
  <si>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</si>
  <si>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</si>
  <si>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</si>
  <si>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</si>
  <si>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</si>
  <si>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</si>
  <si>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</si>
  <si>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</si>
  <si>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</si>
  <si>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</si>
  <si>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</si>
  <si>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</si>
  <si>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</si>
  <si>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</si>
  <si>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</si>
  <si>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</si>
  <si>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</si>
  <si>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</si>
  <si>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</si>
  <si>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</si>
  <si>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</si>
  <si>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</si>
  <si>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</si>
  <si>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</si>
  <si>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</si>
  <si>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</si>
  <si>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</si>
  <si>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</si>
  <si>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</si>
  <si>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</si>
  <si>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</si>
  <si>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</si>
  <si>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</si>
  <si>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</si>
  <si>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</si>
  <si>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</si>
  <si>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</si>
  <si>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</si>
  <si>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</si>
  <si>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</si>
  <si>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</si>
  <si>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</si>
  <si>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</si>
  <si>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</si>
  <si>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</si>
  <si>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</si>
  <si>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</si>
  <si>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</si>
  <si>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</si>
  <si>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</si>
  <si>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</si>
  <si>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</si>
  <si>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</si>
  <si>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</si>
  <si>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</si>
  <si>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</si>
  <si>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</si>
  <si>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</si>
  <si>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</si>
  <si>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</si>
  <si>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</si>
  <si>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</si>
  <si>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</si>
  <si>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</si>
  <si>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</si>
  <si>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</si>
  <si>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</si>
  <si>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</si>
  <si>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</si>
  <si>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</si>
  <si>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</si>
  <si>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</si>
  <si>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</si>
  <si>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</si>
  <si>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</si>
  <si>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</si>
  <si>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</si>
  <si>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</si>
  <si>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</si>
  <si>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</si>
  <si>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</si>
  <si>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</si>
  <si>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</si>
  <si>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</si>
  <si>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</si>
  <si>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</si>
  <si>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</si>
  <si>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</si>
  <si>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</si>
  <si>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</si>
  <si>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</si>
  <si>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</si>
  <si>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</si>
  <si>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</si>
  <si>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</si>
  <si>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</si>
  <si>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</si>
  <si>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</si>
  <si>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</si>
  <si>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</si>
  <si>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</si>
  <si>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</si>
  <si>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</si>
  <si>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</si>
  <si>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</si>
  <si>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</si>
  <si>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</si>
  <si>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</si>
  <si>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</si>
  <si>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</si>
  <si>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</si>
  <si>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</si>
  <si>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</si>
  <si>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</si>
  <si>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</si>
  <si>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</si>
  <si>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</si>
  <si>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</si>
  <si>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</si>
  <si>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</si>
  <si>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</si>
  <si>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</si>
  <si>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</si>
  <si>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</si>
  <si>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</si>
  <si>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</si>
  <si>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</si>
  <si>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</si>
  <si>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</si>
  <si>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</si>
  <si>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</si>
  <si>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</si>
  <si>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</si>
  <si>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</si>
  <si>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</si>
  <si>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</si>
  <si>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</si>
  <si>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</si>
  <si>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</si>
  <si>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</si>
  <si>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</si>
  <si>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</si>
  <si>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</si>
  <si>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</si>
  <si>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</si>
  <si>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</si>
  <si>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</si>
  <si>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</si>
  <si>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</si>
  <si>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</si>
  <si>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</si>
  <si>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</si>
  <si>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</si>
  <si>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</si>
  <si>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</si>
  <si>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</si>
  <si>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</si>
  <si>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</si>
  <si>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</si>
  <si>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</si>
  <si>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</si>
  <si>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</si>
  <si>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</si>
  <si>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</si>
  <si>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</si>
  <si>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</si>
  <si>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</si>
  <si>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</si>
  <si>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</si>
  <si>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</si>
  <si>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</si>
  <si>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</si>
  <si>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</si>
  <si>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</si>
  <si>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</si>
  <si>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</si>
  <si>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</si>
  <si>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</si>
  <si>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</si>
  <si>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</si>
  <si>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</si>
  <si>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</si>
  <si>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</si>
  <si>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</si>
  <si>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</si>
  <si>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</si>
  <si>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</si>
  <si>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</si>
  <si>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</si>
  <si>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</si>
  <si>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</si>
  <si>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</si>
  <si>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</si>
  <si>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</si>
  <si>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</si>
  <si>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</si>
  <si>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</si>
  <si>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</si>
  <si>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</si>
  <si>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</si>
  <si>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</si>
  <si>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</si>
  <si>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</si>
  <si>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</si>
  <si>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</si>
  <si>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</si>
  <si>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</si>
  <si>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</si>
  <si>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</si>
  <si>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</si>
  <si>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</si>
  <si>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</si>
  <si>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</si>
  <si>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</si>
  <si>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</si>
  <si>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</si>
  <si>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</si>
  <si>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</si>
  <si>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</si>
  <si>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</si>
  <si>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</si>
  <si>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</si>
  <si>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</si>
  <si>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</si>
  <si>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</si>
  <si>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</si>
  <si>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</si>
  <si>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</si>
  <si>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</si>
  <si>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</si>
  <si>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</si>
  <si>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</si>
  <si>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</si>
  <si>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</si>
  <si>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</si>
  <si>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</si>
  <si>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</si>
  <si>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</si>
  <si>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</si>
  <si>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</si>
  <si>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</si>
  <si>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</si>
  <si>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</si>
  <si>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</si>
  <si>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</si>
  <si>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</si>
  <si>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</si>
  <si>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</si>
  <si>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</si>
  <si>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</si>
  <si>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</si>
  <si>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</si>
  <si>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</si>
  <si>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</si>
  <si>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</si>
  <si>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</si>
  <si>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</si>
  <si>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</si>
  <si>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</si>
  <si>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</si>
  <si>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</si>
  <si>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</si>
  <si>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</si>
  <si>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</si>
  <si>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</si>
  <si>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</si>
  <si>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</si>
  <si>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</si>
  <si>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</si>
  <si>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</si>
  <si>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</si>
  <si>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</si>
  <si>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</si>
  <si>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</si>
  <si>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</si>
  <si>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</si>
  <si>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</si>
  <si>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</si>
  <si>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</si>
  <si>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</si>
  <si>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</si>
  <si>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</si>
  <si>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</si>
  <si>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</si>
  <si>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</si>
  <si>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</si>
  <si>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</si>
  <si>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</si>
  <si>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</si>
  <si>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</si>
  <si>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</si>
  <si>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</si>
  <si>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</si>
  <si>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</si>
  <si>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</si>
  <si>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</si>
  <si>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</si>
  <si>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</si>
  <si>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</si>
  <si>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</si>
  <si>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</si>
  <si>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</si>
  <si>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</si>
  <si>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</si>
  <si>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</si>
  <si>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</si>
  <si>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</si>
  <si>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</si>
  <si>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</si>
  <si>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</si>
  <si>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</si>
  <si>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</si>
  <si>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</si>
  <si>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</si>
  <si>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</si>
  <si>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</si>
  <si>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</si>
  <si>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</si>
  <si>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</si>
  <si>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</si>
  <si>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</si>
  <si>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</si>
  <si>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</si>
  <si>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</si>
  <si>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</si>
  <si>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</si>
  <si>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</si>
  <si>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</si>
  <si>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</si>
  <si>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</si>
  <si>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</si>
  <si>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</si>
  <si>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</si>
  <si>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</si>
  <si>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</si>
  <si>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</si>
  <si>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</si>
  <si>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</si>
  <si>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</si>
  <si>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</si>
  <si>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</si>
  <si>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</si>
  <si>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</si>
  <si>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</si>
  <si>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</si>
  <si>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</si>
  <si>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</si>
  <si>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</si>
  <si>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</si>
  <si>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</si>
  <si>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</si>
  <si>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</si>
  <si>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</si>
  <si>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</si>
  <si>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</si>
  <si>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</si>
  <si>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</si>
  <si>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</si>
  <si>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</si>
  <si>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</si>
  <si>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</si>
  <si>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</si>
  <si>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</si>
  <si>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</si>
  <si>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</si>
  <si>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</si>
  <si>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</si>
  <si>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</si>
  <si>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</si>
  <si>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</si>
  <si>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</si>
  <si>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</si>
  <si>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</si>
  <si>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</si>
  <si>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</si>
  <si>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</si>
  <si>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</si>
  <si>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</si>
  <si>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</si>
  <si>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</si>
  <si>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</si>
  <si>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</si>
  <si>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</si>
  <si>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</si>
  <si>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</si>
  <si>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</si>
  <si>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</si>
  <si>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</si>
  <si>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</si>
  <si>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</si>
  <si>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</si>
  <si>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</si>
  <si>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</si>
  <si>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</si>
  <si>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</si>
  <si>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</si>
  <si>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</si>
  <si>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</si>
  <si>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</si>
  <si>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</si>
  <si>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</si>
  <si>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</si>
  <si>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</si>
  <si>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</si>
  <si>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</si>
  <si>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</si>
  <si>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</si>
  <si>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</si>
  <si>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</si>
  <si>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</si>
  <si>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</si>
  <si>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</si>
  <si>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</si>
  <si>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</si>
  <si>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</si>
  <si>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</si>
  <si>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</si>
  <si>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</si>
  <si>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</si>
  <si>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</si>
  <si>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</si>
  <si>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</si>
  <si>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</si>
  <si>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</si>
  <si>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</si>
  <si>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</si>
  <si>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</si>
  <si>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</si>
  <si>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</si>
  <si>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</si>
  <si>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</si>
  <si>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</si>
  <si>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</si>
  <si>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</si>
  <si>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</si>
  <si>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</si>
  <si>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</si>
  <si>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</si>
  <si>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</si>
  <si>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</si>
  <si>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</si>
  <si>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</si>
  <si>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</si>
  <si>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</si>
  <si>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</si>
  <si>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</si>
  <si>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</si>
  <si>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</si>
  <si>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</si>
  <si>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</si>
  <si>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</si>
  <si>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</si>
  <si>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</si>
  <si>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</si>
  <si>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</si>
  <si>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</si>
  <si>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</si>
  <si>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</si>
  <si>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</si>
  <si>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</si>
  <si>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</si>
  <si>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</si>
  <si>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</si>
  <si>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</si>
  <si>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</si>
  <si>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</si>
  <si>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</si>
  <si>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</si>
  <si>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</si>
  <si>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</si>
  <si>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</si>
  <si>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</si>
  <si>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</si>
  <si>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</si>
  <si>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</si>
  <si>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</si>
  <si>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</si>
  <si>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</si>
  <si>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</si>
  <si>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</si>
  <si>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</si>
  <si>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</si>
  <si>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</si>
  <si>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</si>
  <si>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</si>
  <si>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</si>
  <si>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</si>
  <si>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</si>
  <si>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</si>
  <si>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</si>
  <si>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</si>
  <si>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</si>
  <si>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</si>
  <si>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</si>
  <si>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</si>
  <si>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</si>
  <si>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</si>
  <si>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</si>
  <si>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</si>
  <si>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</si>
  <si>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</si>
  <si>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</si>
  <si>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</si>
  <si>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</si>
  <si>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</si>
  <si>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</si>
  <si>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</si>
  <si>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</si>
  <si>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</si>
  <si>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</si>
  <si>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</si>
  <si>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</si>
  <si>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</si>
  <si>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</si>
  <si>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</si>
  <si>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</si>
  <si>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</si>
  <si>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</si>
  <si>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</si>
  <si>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</si>
  <si>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</si>
  <si>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</si>
  <si>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</si>
  <si>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</si>
  <si>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</si>
  <si>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</si>
  <si>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</si>
  <si>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</si>
  <si>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</si>
  <si>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</si>
  <si>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</si>
  <si>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</si>
  <si>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</si>
  <si>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</si>
  <si>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</si>
  <si>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</si>
  <si>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</si>
  <si>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</si>
  <si>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</si>
  <si>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</si>
  <si>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</si>
  <si>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</si>
  <si>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</si>
  <si>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</si>
  <si>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</si>
  <si>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</si>
  <si>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</si>
  <si>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</si>
  <si>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</si>
  <si>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</si>
  <si>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</si>
  <si>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</si>
  <si>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</si>
  <si>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</si>
  <si>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</si>
  <si>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</si>
  <si>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</si>
  <si>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</si>
  <si>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</si>
  <si>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</si>
  <si>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</si>
  <si>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</si>
  <si>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</si>
  <si>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</si>
  <si>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</si>
  <si>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</si>
  <si>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</si>
  <si>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</si>
  <si>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</si>
  <si>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</si>
  <si>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</si>
  <si>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</si>
  <si>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</si>
  <si>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</si>
  <si>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</si>
  <si>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</si>
  <si>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</si>
  <si>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</si>
  <si>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</si>
  <si>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</si>
  <si>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</si>
  <si>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</si>
  <si>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</si>
  <si>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</si>
  <si>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</si>
  <si>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</si>
  <si>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</si>
  <si>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</si>
  <si>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</si>
  <si>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</si>
  <si>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</si>
  <si>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</si>
  <si>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</si>
  <si>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</si>
  <si>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</si>
  <si>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</si>
  <si>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</si>
  <si>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</si>
  <si>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</si>
  <si>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</si>
  <si>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</si>
  <si>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</si>
  <si>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</si>
  <si>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</si>
  <si>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</si>
  <si>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</si>
  <si>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</si>
  <si>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</si>
  <si>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</si>
  <si>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</si>
  <si>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</si>
  <si>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</si>
  <si>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</si>
  <si>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</si>
  <si>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</si>
  <si>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</si>
  <si>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</si>
  <si>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</si>
  <si>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</si>
  <si>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</si>
  <si>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</si>
  <si>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</si>
  <si>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</si>
  <si>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</si>
  <si>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</si>
  <si>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</si>
  <si>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</si>
  <si>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</si>
  <si>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</si>
  <si>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</si>
  <si>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</si>
  <si>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</si>
  <si>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</si>
  <si>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</si>
  <si>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</si>
  <si>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</si>
  <si>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</si>
  <si>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</si>
  <si>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</si>
  <si>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</si>
  <si>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</si>
  <si>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</si>
  <si>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</si>
  <si>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</si>
  <si>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</si>
  <si>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</si>
  <si>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</si>
  <si>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</si>
  <si>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</si>
  <si>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</si>
  <si>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</si>
  <si>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</si>
  <si>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</si>
  <si>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</si>
  <si>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</si>
  <si>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</si>
  <si>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</si>
  <si>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</si>
  <si>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</si>
  <si>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</si>
  <si>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</si>
  <si>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</si>
  <si>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</si>
  <si>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</si>
  <si>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</si>
  <si>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</si>
  <si>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</si>
  <si>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</si>
  <si>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</si>
  <si>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</si>
  <si>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</si>
  <si>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</si>
  <si>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</si>
  <si>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</si>
  <si>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</si>
  <si>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</si>
  <si>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</si>
  <si>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</si>
  <si>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</si>
  <si>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</si>
  <si>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</si>
  <si>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</si>
  <si>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</si>
  <si>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</si>
  <si>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</si>
  <si>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</si>
  <si>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</si>
  <si>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</si>
  <si>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</si>
  <si>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</si>
  <si>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</si>
  <si>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</si>
  <si>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</si>
  <si>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</si>
  <si>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</si>
  <si>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</si>
  <si>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</si>
  <si>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</si>
  <si>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</si>
  <si>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</si>
  <si>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</si>
  <si>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</si>
  <si>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</si>
  <si>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</si>
  <si>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</si>
  <si>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</si>
  <si>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</si>
  <si>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</si>
  <si>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</si>
  <si>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</si>
  <si>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</si>
  <si>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</si>
  <si>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</si>
  <si>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</si>
  <si>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</si>
  <si>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</si>
  <si>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</si>
  <si>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</si>
  <si>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</si>
  <si>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</si>
  <si>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</si>
  <si>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</si>
  <si>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</si>
  <si>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</si>
  <si>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</si>
  <si>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</si>
  <si>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</si>
  <si>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</si>
  <si>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</si>
  <si>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</si>
  <si>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</si>
  <si>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</si>
  <si>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</si>
  <si>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</si>
  <si>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</si>
  <si>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</si>
  <si>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</si>
  <si>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</si>
  <si>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</si>
  <si>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</si>
  <si>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</si>
  <si>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</si>
  <si>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</si>
  <si>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</si>
  <si>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</si>
  <si>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</si>
  <si>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</si>
  <si>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</si>
  <si>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</si>
  <si>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</si>
  <si>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</si>
  <si>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</si>
  <si>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</si>
  <si>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</si>
  <si>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</si>
  <si>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</si>
  <si>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</si>
  <si>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</si>
  <si>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</si>
  <si>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</si>
  <si>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</si>
  <si>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</si>
  <si>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</si>
  <si>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</si>
  <si>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</si>
  <si>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</si>
  <si>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</si>
  <si>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</si>
  <si>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</si>
  <si>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</si>
  <si>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</si>
  <si>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</si>
  <si>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</si>
  <si>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</si>
  <si>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</si>
  <si>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</si>
  <si>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</si>
  <si>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</si>
  <si>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</si>
  <si>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</si>
  <si>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</si>
  <si>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</si>
  <si>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</si>
  <si>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</si>
  <si>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</si>
  <si>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</si>
  <si>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</si>
  <si>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</si>
  <si>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</si>
  <si>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</si>
  <si>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</si>
  <si>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</si>
  <si>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</si>
  <si>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</si>
  <si>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</si>
  <si>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</si>
  <si>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</si>
  <si>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</si>
  <si>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</si>
  <si>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</si>
  <si>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</si>
  <si>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</si>
  <si>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</si>
  <si>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</si>
  <si>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</si>
  <si>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</si>
  <si>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</si>
  <si>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</si>
  <si>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</si>
  <si>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</si>
  <si>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</si>
  <si>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</si>
  <si>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</si>
  <si>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</si>
  <si>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</si>
  <si>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</si>
  <si>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</si>
  <si>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</si>
  <si>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</si>
  <si>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</si>
  <si>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</si>
  <si>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</si>
  <si>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</si>
  <si>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</si>
  <si>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</si>
  <si>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</si>
  <si>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</si>
  <si>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</si>
  <si>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</si>
  <si>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</si>
  <si>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</si>
  <si>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</si>
  <si>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</si>
  <si>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</si>
  <si>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</si>
  <si>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</si>
  <si>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</si>
  <si>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</si>
  <si>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</si>
  <si>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</si>
  <si>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</si>
  <si>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</si>
  <si>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</si>
  <si>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</si>
  <si>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</si>
  <si>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</si>
  <si>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</si>
  <si>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</si>
  <si>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</si>
  <si>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</si>
  <si>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</si>
  <si>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</si>
  <si>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</si>
  <si>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</si>
  <si>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</si>
  <si>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</si>
  <si>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</si>
  <si>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</si>
  <si>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</si>
  <si>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</si>
  <si>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</si>
  <si>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</si>
  <si>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</si>
  <si>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</si>
  <si>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</si>
  <si>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</si>
  <si>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</si>
  <si>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</si>
  <si>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</si>
  <si>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</si>
  <si>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</si>
  <si>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</si>
  <si>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</si>
  <si>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</si>
  <si>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</si>
  <si>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</si>
  <si>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</si>
  <si>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</si>
  <si>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</si>
  <si>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</si>
  <si>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</si>
  <si>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</si>
  <si>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</si>
  <si>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</si>
  <si>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</si>
  <si>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</si>
  <si>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</si>
  <si>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</si>
  <si>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</si>
  <si>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</si>
  <si>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</si>
  <si>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</si>
  <si>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</si>
  <si>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</si>
  <si>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</si>
  <si>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</si>
  <si>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</si>
  <si>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</si>
  <si>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</si>
  <si>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</si>
  <si>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</si>
  <si>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</si>
  <si>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</si>
  <si>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</si>
  <si>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</si>
  <si>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</si>
  <si>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</si>
  <si>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</si>
  <si>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</si>
  <si>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</si>
  <si>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</si>
  <si>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</si>
  <si>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</si>
  <si>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</si>
  <si>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</si>
  <si>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</si>
  <si>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</si>
  <si>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</si>
  <si>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</si>
  <si>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</si>
  <si>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</si>
  <si>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</si>
  <si>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</si>
  <si>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</si>
  <si>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</si>
  <si>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</si>
  <si>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</si>
  <si>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</si>
  <si>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</si>
  <si>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</si>
  <si>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</si>
  <si>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</si>
  <si>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</si>
  <si>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</si>
  <si>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</si>
  <si>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</si>
  <si>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</si>
  <si>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</si>
  <si>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</si>
  <si>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</si>
  <si>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</si>
  <si>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</si>
  <si>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</si>
  <si>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</si>
  <si>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</si>
  <si>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</si>
  <si>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</si>
  <si>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</si>
  <si>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</si>
  <si>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</si>
  <si>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</si>
  <si>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</si>
  <si>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</si>
  <si>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</si>
  <si>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</si>
  <si>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</si>
  <si>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</si>
  <si>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</si>
  <si>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</si>
  <si>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</si>
  <si>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</si>
  <si>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</si>
  <si>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</si>
  <si>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</si>
  <si>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</si>
  <si>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</si>
  <si>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</si>
  <si>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</si>
  <si>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</si>
  <si>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</si>
  <si>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</si>
  <si>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</si>
  <si>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</si>
  <si>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</si>
  <si>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</si>
  <si>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</si>
  <si>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</si>
  <si>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</si>
  <si>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</si>
  <si>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</si>
  <si>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</si>
  <si>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</si>
  <si>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</si>
  <si>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</si>
  <si>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</si>
  <si>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</si>
  <si>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</si>
  <si>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</si>
  <si>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</si>
  <si>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</si>
  <si>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</si>
  <si>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</si>
  <si>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</si>
  <si>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</si>
  <si>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</si>
  <si>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</si>
  <si>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</si>
  <si>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</si>
  <si>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</si>
  <si>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</si>
  <si>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</si>
  <si>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</si>
  <si>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</si>
  <si>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</si>
  <si>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</si>
  <si>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</si>
  <si>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</si>
  <si>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</si>
  <si>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</si>
  <si>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</si>
  <si>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</si>
  <si>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</si>
  <si>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</si>
  <si>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</si>
  <si>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</si>
  <si>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</si>
  <si>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</si>
  <si>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</si>
  <si>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</si>
  <si>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</si>
  <si>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</si>
  <si>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</si>
  <si>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</si>
  <si>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</si>
  <si>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</si>
  <si>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</si>
  <si>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</si>
  <si>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</si>
  <si>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</si>
  <si>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</si>
  <si>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</si>
  <si>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</si>
  <si>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</si>
  <si>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</si>
  <si>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</si>
  <si>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</si>
  <si>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</si>
  <si>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</si>
  <si>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</si>
  <si>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</si>
  <si>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</si>
  <si>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</si>
  <si>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</si>
  <si>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</si>
  <si>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</si>
  <si>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</si>
  <si>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</si>
  <si>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</si>
  <si>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</si>
  <si>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</si>
  <si>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</si>
  <si>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</si>
  <si>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</si>
  <si>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</si>
  <si>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</si>
  <si>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</si>
  <si>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</si>
  <si>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</si>
  <si>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</si>
  <si>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</si>
  <si>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</si>
  <si>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</si>
  <si>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</si>
  <si>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</si>
  <si>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</si>
  <si>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</si>
  <si>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</si>
  <si>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</si>
  <si>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</si>
  <si>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</si>
  <si>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</si>
  <si>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</si>
  <si>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</si>
  <si>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</si>
  <si>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</si>
  <si>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</si>
  <si>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</si>
  <si>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</si>
  <si>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</si>
  <si>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</si>
  <si>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</si>
  <si>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</si>
  <si>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</si>
  <si>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</si>
  <si>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</si>
  <si>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</si>
  <si>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</si>
  <si>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</si>
  <si>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</si>
  <si>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</si>
  <si>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</si>
  <si>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</si>
  <si>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</si>
  <si>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</si>
  <si>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</si>
  <si>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</si>
  <si>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</si>
  <si>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</si>
  <si>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</si>
  <si>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</si>
  <si>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</si>
  <si>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</si>
  <si>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</si>
  <si>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</si>
  <si>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</si>
  <si>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</si>
  <si>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</si>
  <si>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</si>
  <si>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</si>
  <si>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</si>
  <si>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</si>
  <si>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</si>
  <si>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</si>
  <si>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</si>
  <si>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</si>
  <si>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</si>
  <si>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</si>
  <si>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</si>
  <si>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</si>
  <si>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</si>
  <si>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</si>
  <si>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</si>
  <si>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</si>
  <si>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</si>
  <si>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</si>
  <si>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</si>
  <si>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</si>
  <si>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</si>
  <si>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</si>
  <si>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</si>
  <si>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</si>
  <si>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</si>
  <si>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</si>
  <si>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</si>
  <si>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</si>
  <si>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</si>
  <si>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</si>
  <si>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</si>
  <si>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</si>
  <si>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</si>
  <si>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</si>
  <si>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</si>
  <si>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</si>
  <si>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</si>
  <si>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</si>
  <si>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</si>
  <si>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</si>
  <si>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</si>
  <si>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</si>
  <si>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</si>
  <si>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</si>
  <si>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</si>
  <si>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</si>
  <si>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</si>
  <si>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</si>
  <si>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</si>
  <si>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</si>
  <si>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</si>
  <si>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</si>
  <si>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</si>
  <si>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</si>
  <si>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</si>
  <si>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</si>
  <si>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</si>
  <si>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</si>
  <si>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</si>
  <si>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</si>
  <si>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</si>
  <si>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</si>
  <si>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</si>
  <si>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</si>
  <si>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</si>
  <si>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</si>
  <si>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</si>
  <si>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</si>
  <si>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</si>
  <si>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</si>
  <si>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</si>
  <si>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</si>
  <si>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</si>
  <si>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</si>
  <si>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</si>
  <si>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</si>
  <si>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</si>
  <si>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</si>
  <si>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</si>
  <si>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</si>
  <si>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</si>
  <si>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</si>
  <si>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</si>
  <si>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</si>
  <si>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</si>
  <si>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</si>
  <si>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</si>
  <si>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</si>
  <si>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</si>
  <si>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</si>
  <si>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</si>
  <si>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</si>
  <si>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</si>
  <si>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</si>
  <si>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</si>
  <si>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</si>
  <si>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</si>
  <si>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</si>
  <si>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</si>
  <si>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</si>
  <si>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</si>
  <si>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</si>
  <si>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</si>
  <si>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</si>
  <si>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</si>
  <si>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</si>
  <si>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</si>
  <si>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</si>
  <si>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</si>
  <si>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</si>
  <si>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</si>
  <si>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</si>
  <si>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</si>
  <si>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</si>
  <si>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</si>
  <si>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</si>
  <si>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</si>
  <si>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</si>
  <si>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</si>
  <si>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</si>
  <si>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</si>
  <si>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</si>
  <si>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</si>
  <si>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</si>
  <si>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</si>
  <si>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</si>
  <si>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</si>
  <si>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</si>
  <si>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</si>
  <si>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</si>
  <si>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</si>
  <si>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</si>
  <si>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</si>
  <si>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</si>
  <si>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</si>
  <si>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</si>
  <si>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</si>
  <si>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</si>
  <si>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</si>
  <si>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</si>
  <si>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</si>
  <si>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</si>
  <si>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</si>
  <si>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</si>
  <si>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</si>
  <si>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</si>
  <si>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</si>
  <si>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</si>
  <si>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</si>
  <si>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</si>
  <si>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</si>
  <si>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</si>
  <si>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</si>
  <si>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</si>
  <si>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</si>
  <si>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</si>
  <si>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</si>
  <si>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</si>
  <si>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</si>
  <si>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</si>
  <si>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</si>
  <si>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</si>
  <si>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</si>
  <si>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</si>
  <si>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</si>
  <si>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</si>
  <si>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</si>
  <si>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</si>
  <si>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</si>
  <si>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</si>
  <si>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</si>
  <si>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</si>
  <si>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</si>
  <si>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</si>
  <si>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</si>
  <si>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</si>
  <si>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</si>
  <si>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</si>
  <si>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</si>
  <si>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</si>
  <si>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</si>
  <si>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</si>
  <si>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</si>
  <si>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</si>
  <si>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</si>
  <si>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</si>
  <si>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</si>
  <si>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</si>
  <si>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</si>
  <si>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</si>
  <si>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</si>
  <si>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</si>
  <si>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</si>
  <si>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</si>
  <si>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</si>
  <si>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</si>
  <si>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</si>
  <si>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</si>
  <si>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</si>
  <si>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</si>
  <si>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</si>
  <si>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</si>
  <si>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</si>
  <si>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</si>
  <si>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</si>
  <si>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</si>
  <si>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</si>
  <si>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</si>
  <si>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</si>
  <si>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</si>
  <si>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</si>
  <si>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</si>
  <si>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</si>
  <si>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</si>
  <si>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</si>
  <si>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</si>
  <si>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</si>
  <si>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</si>
  <si>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</si>
  <si>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</si>
  <si>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</si>
  <si>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</si>
  <si>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</si>
  <si>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</si>
  <si>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</si>
  <si>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</si>
  <si>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</si>
  <si>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</si>
  <si>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</si>
  <si>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</si>
  <si>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</si>
  <si>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</si>
  <si>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</si>
  <si>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</si>
  <si>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</si>
  <si>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</si>
  <si>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</si>
  <si>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</si>
  <si>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</si>
  <si>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</si>
  <si>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</si>
  <si>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</si>
  <si>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</si>
  <si>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</si>
  <si>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</si>
  <si>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</si>
  <si>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</si>
  <si>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</si>
  <si>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</si>
  <si>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</si>
  <si>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</si>
  <si>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</si>
  <si>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</si>
  <si>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</si>
  <si>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</si>
  <si>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</si>
  <si>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</si>
  <si>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</si>
  <si>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</si>
  <si>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</si>
  <si>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</si>
  <si>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</si>
  <si>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</si>
  <si>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</si>
  <si>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</si>
  <si>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</si>
  <si>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</si>
  <si>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</si>
  <si>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</si>
  <si>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</si>
  <si>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</si>
  <si>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</si>
  <si>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</si>
  <si>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</si>
  <si>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</si>
  <si>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</si>
  <si>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</si>
  <si>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</si>
  <si>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</si>
  <si>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</si>
  <si>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</si>
  <si>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</si>
  <si>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</si>
  <si>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</si>
  <si>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</si>
  <si>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</si>
  <si>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</si>
  <si>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</si>
  <si>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</si>
  <si>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</si>
  <si>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</si>
  <si>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</si>
  <si>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</si>
  <si>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</si>
  <si>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</si>
  <si>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</si>
  <si>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</si>
  <si>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</si>
  <si>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</si>
  <si>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</si>
  <si>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</si>
  <si>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</si>
  <si>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</si>
  <si>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</si>
  <si>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</si>
  <si>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</si>
  <si>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</si>
  <si>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</si>
  <si>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</si>
  <si>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</si>
  <si>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</si>
  <si>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</si>
  <si>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</si>
  <si>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</si>
  <si>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</si>
  <si>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</si>
  <si>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</si>
  <si>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</si>
  <si>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</si>
  <si>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</si>
  <si>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</si>
  <si>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</si>
  <si>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</si>
  <si>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</si>
  <si>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</si>
  <si>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</si>
  <si>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</si>
  <si>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</si>
  <si>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</si>
  <si>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</si>
  <si>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</si>
  <si>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</si>
  <si>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</si>
  <si>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</si>
  <si>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</si>
  <si>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</si>
  <si>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</si>
  <si>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</si>
  <si>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</si>
  <si>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</si>
  <si>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</si>
  <si>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</si>
  <si>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</si>
  <si>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</si>
  <si>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</si>
  <si>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</si>
  <si>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</si>
  <si>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</si>
  <si>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</si>
  <si>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</si>
  <si>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</si>
  <si>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</si>
  <si>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</si>
  <si>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</si>
  <si>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</si>
  <si>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</si>
  <si>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</si>
  <si>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</si>
  <si>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</si>
  <si>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</si>
  <si>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</si>
  <si>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</si>
  <si>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</si>
  <si>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</si>
  <si>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</si>
  <si>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</si>
  <si>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</si>
  <si>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</si>
  <si>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</si>
  <si>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</si>
  <si>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</si>
  <si>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</si>
  <si>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</si>
  <si>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</si>
  <si>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</si>
  <si>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</si>
  <si>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</si>
  <si>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</si>
  <si>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</si>
  <si>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</si>
  <si>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</si>
  <si>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</si>
  <si>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</si>
  <si>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</si>
  <si>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</si>
  <si>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</si>
  <si>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</si>
  <si>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</si>
  <si>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</si>
  <si>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</si>
  <si>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</si>
  <si>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</si>
  <si>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</si>
  <si>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</si>
  <si>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</si>
  <si>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</si>
  <si>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</si>
  <si>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</si>
  <si>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</si>
  <si>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</si>
  <si>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</si>
  <si>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</si>
  <si>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</si>
  <si>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</si>
  <si>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</si>
  <si>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</si>
  <si>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</si>
  <si>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</si>
  <si>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</si>
  <si>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</si>
  <si>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</si>
  <si>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</si>
  <si>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</si>
  <si>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</si>
  <si>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</si>
  <si>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</si>
  <si>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</si>
  <si>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</si>
  <si>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</si>
  <si>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</si>
  <si>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</si>
  <si>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</si>
  <si>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</si>
  <si>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</si>
  <si>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</si>
  <si>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</si>
  <si>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</si>
  <si>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</si>
  <si>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</si>
  <si>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</si>
  <si>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</si>
  <si>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</si>
  <si>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</si>
  <si>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</si>
  <si>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</si>
  <si>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</si>
  <si>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</si>
  <si>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</si>
  <si>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</si>
  <si>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</si>
  <si>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</si>
  <si>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</si>
  <si>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</si>
  <si>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</si>
  <si>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</si>
  <si>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</si>
  <si>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</si>
  <si>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</si>
  <si>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</si>
  <si>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</si>
  <si>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</si>
  <si>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</si>
  <si>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</si>
  <si>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</si>
  <si>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</si>
  <si>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</si>
  <si>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</si>
  <si>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</si>
  <si>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</si>
  <si>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</si>
  <si>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</si>
  <si>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</si>
  <si>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</si>
  <si>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</si>
  <si>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</si>
  <si>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</si>
  <si>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</si>
  <si>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</si>
  <si>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</si>
  <si>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</si>
  <si>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</si>
  <si>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</si>
  <si>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</si>
  <si>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</si>
  <si>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</si>
  <si>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</si>
  <si>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</si>
  <si>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</si>
  <si>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</si>
  <si>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</si>
  <si>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</si>
  <si>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</si>
  <si>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</si>
  <si>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</si>
  <si>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</si>
  <si>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</si>
  <si>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</si>
  <si>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</si>
  <si>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</si>
  <si>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</si>
  <si>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</si>
  <si>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</si>
  <si>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</si>
  <si>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</si>
  <si>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</si>
  <si>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</si>
  <si>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</si>
  <si>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</si>
  <si>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</si>
  <si>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</si>
  <si>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</si>
  <si>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</si>
  <si>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</si>
  <si>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</si>
  <si>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</si>
  <si>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</si>
  <si>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</si>
  <si>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</si>
  <si>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</si>
  <si>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</si>
  <si>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</si>
  <si>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</si>
  <si>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</si>
  <si>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</si>
  <si>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</si>
  <si>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</si>
  <si>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</si>
  <si>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</si>
  <si>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</si>
  <si>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</si>
  <si>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</si>
  <si>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</si>
  <si>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</si>
  <si>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</si>
  <si>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</si>
  <si>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</si>
  <si>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</si>
  <si>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</si>
  <si>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</si>
  <si>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</si>
  <si>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</si>
  <si>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</si>
  <si>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</si>
  <si>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</si>
  <si>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</si>
  <si>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</si>
  <si>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</si>
  <si>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</si>
  <si>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</si>
  <si>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</si>
  <si>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</si>
  <si>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</si>
  <si>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</si>
  <si>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</si>
  <si>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</si>
  <si>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</si>
  <si>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</si>
  <si>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</si>
  <si>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</si>
  <si>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</si>
  <si>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</si>
  <si>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</si>
  <si>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</si>
  <si>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</si>
  <si>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</si>
  <si>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</si>
  <si>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</si>
  <si>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</si>
  <si>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</si>
  <si>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</si>
  <si>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</si>
  <si>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</si>
  <si>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</si>
  <si>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</si>
  <si>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</si>
  <si>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</si>
  <si>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</si>
  <si>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</si>
  <si>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</si>
  <si>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</si>
  <si>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</si>
  <si>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</si>
  <si>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</si>
  <si>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</si>
  <si>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</si>
  <si>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</si>
  <si>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</si>
  <si>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</si>
  <si>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</si>
  <si>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</si>
  <si>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</si>
  <si>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</si>
  <si>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</si>
  <si>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</si>
  <si>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</si>
  <si>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</si>
  <si>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</si>
  <si>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</si>
  <si>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</si>
  <si>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</si>
  <si>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</si>
  <si>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</si>
  <si>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</si>
  <si>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</si>
  <si>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</si>
  <si>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</si>
  <si>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</si>
  <si>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</si>
  <si>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</si>
  <si>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</si>
  <si>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</si>
  <si>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</si>
  <si>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</si>
  <si>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</si>
  <si>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</si>
  <si>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</si>
  <si>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</si>
  <si>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</si>
  <si>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</si>
  <si>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</si>
  <si>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</si>
  <si>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</si>
  <si>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</si>
  <si>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</si>
  <si>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</si>
  <si>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</si>
  <si>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</si>
  <si>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</si>
  <si>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</si>
  <si>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</si>
  <si>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</si>
  <si>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</si>
  <si>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</si>
  <si>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</si>
  <si>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</si>
  <si>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</si>
  <si>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</si>
  <si>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</si>
  <si>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</si>
  <si>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</si>
  <si>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</si>
  <si>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</si>
  <si>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</si>
  <si>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</si>
  <si>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</si>
  <si>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</si>
  <si>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</si>
  <si>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</si>
  <si>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</si>
  <si>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</si>
  <si>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</si>
  <si>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</si>
  <si>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</si>
  <si>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</si>
  <si>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</si>
  <si>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</si>
  <si>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</si>
  <si>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</si>
  <si>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</si>
  <si>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</si>
  <si>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</si>
  <si>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</si>
  <si>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</si>
  <si>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</si>
  <si>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</si>
  <si>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</si>
  <si>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</si>
  <si>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</si>
  <si>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</si>
  <si>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</si>
  <si>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</si>
  <si>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</si>
  <si>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</si>
  <si>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</si>
  <si>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</si>
  <si>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</si>
  <si>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</si>
  <si>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</si>
  <si>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</si>
  <si>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</si>
  <si>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</si>
  <si>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</si>
  <si>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</si>
  <si>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</si>
  <si>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</si>
  <si>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</si>
  <si>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</si>
  <si>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</si>
  <si>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</si>
  <si>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</si>
  <si>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</si>
  <si>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</si>
  <si>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</si>
  <si>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</si>
  <si>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</si>
  <si>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</si>
  <si>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</si>
  <si>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</si>
  <si>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</si>
  <si>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</si>
  <si>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</si>
  <si>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</si>
  <si>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</si>
  <si>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</si>
  <si>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</si>
  <si>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</si>
  <si>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</si>
  <si>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</si>
  <si>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</si>
  <si>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</si>
  <si>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</si>
  <si>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</si>
  <si>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</si>
  <si>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</si>
  <si>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</si>
  <si>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</si>
  <si>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</si>
  <si>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</si>
  <si>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</si>
  <si>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</si>
  <si>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</si>
  <si>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</si>
  <si>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</si>
  <si>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</si>
  <si>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</si>
  <si>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</si>
  <si>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</si>
  <si>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</si>
  <si>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</si>
  <si>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</si>
  <si>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</si>
  <si>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</si>
  <si>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</si>
  <si>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</si>
  <si>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</si>
  <si>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</si>
  <si>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</si>
  <si>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</si>
  <si>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</si>
  <si>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</si>
  <si>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</si>
  <si>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</si>
  <si>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</si>
  <si>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</si>
  <si>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</si>
  <si>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</si>
  <si>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</si>
  <si>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</si>
  <si>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</si>
  <si>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</si>
  <si>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</si>
  <si>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</si>
  <si>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</si>
  <si>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</si>
  <si>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</si>
  <si>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</si>
  <si>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</si>
  <si>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</si>
  <si>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</si>
  <si>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</si>
  <si>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</si>
  <si>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</si>
  <si>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</si>
  <si>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</si>
  <si>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</si>
  <si>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</si>
  <si>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</si>
  <si>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</si>
  <si>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</si>
  <si>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</si>
  <si>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</si>
  <si>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</si>
  <si>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</si>
  <si>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</si>
  <si>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</si>
  <si>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</si>
  <si>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</si>
  <si>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</si>
  <si>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</si>
  <si>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</si>
  <si>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</si>
  <si>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</si>
  <si>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</si>
  <si>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</si>
  <si>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</si>
  <si>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</si>
  <si>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</si>
  <si>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</si>
  <si>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</si>
  <si>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</si>
  <si>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</si>
  <si>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</si>
  <si>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</si>
  <si>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</si>
  <si>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</si>
  <si>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</si>
  <si>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</si>
  <si>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</si>
  <si>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</si>
  <si>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</si>
  <si>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</si>
  <si>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</si>
  <si>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</si>
  <si>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</si>
  <si>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</si>
  <si>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</si>
  <si>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</si>
  <si>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</si>
  <si>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</si>
  <si>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</si>
  <si>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</si>
  <si>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</si>
  <si>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</si>
  <si>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</si>
  <si>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</si>
  <si>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</si>
  <si>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</si>
  <si>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</si>
  <si>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</si>
  <si>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</si>
  <si>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</si>
  <si>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</si>
  <si>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</si>
  <si>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</si>
  <si>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</si>
  <si>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</si>
  <si>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</si>
  <si>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</si>
  <si>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</si>
  <si>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</si>
  <si>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</si>
  <si>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</si>
  <si>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</si>
  <si>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</si>
  <si>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</si>
  <si>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</si>
  <si>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</si>
  <si>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</si>
  <si>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</si>
  <si>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</si>
  <si>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</si>
  <si>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</si>
  <si>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</si>
  <si>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</si>
  <si>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</si>
  <si>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</si>
  <si>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</si>
  <si>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</si>
  <si>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</si>
  <si>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</si>
  <si>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</si>
  <si>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</si>
  <si>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</si>
  <si>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</si>
  <si>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</si>
  <si>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</si>
  <si>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</si>
  <si>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</si>
  <si>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</si>
  <si>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</si>
  <si>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</si>
  <si>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</si>
  <si>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</si>
  <si>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</si>
  <si>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</si>
  <si>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</si>
  <si>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</si>
  <si>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</si>
  <si>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</si>
  <si>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</si>
  <si>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</si>
  <si>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</si>
  <si>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</si>
  <si>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</si>
  <si>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</si>
  <si>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</si>
  <si>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</si>
  <si>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</si>
  <si>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</si>
  <si>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</si>
  <si>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</si>
  <si>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</si>
  <si>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</si>
  <si>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</si>
  <si>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</si>
  <si>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</si>
  <si>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</si>
  <si>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</si>
  <si>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</si>
  <si>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</si>
  <si>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</si>
  <si>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</si>
  <si>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</si>
  <si>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</si>
  <si>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</si>
  <si>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</si>
  <si>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</si>
  <si>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</si>
  <si>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</si>
  <si>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</si>
  <si>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</si>
  <si>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</si>
  <si>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</si>
  <si>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</si>
  <si>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</si>
  <si>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</si>
  <si>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</si>
  <si>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</si>
  <si>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</si>
  <si>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</si>
  <si>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</si>
  <si>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</si>
  <si>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</si>
  <si>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</si>
  <si>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</si>
  <si>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</si>
  <si>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</si>
  <si>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</si>
  <si>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</si>
  <si>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</si>
  <si>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</si>
  <si>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</si>
  <si>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</si>
  <si>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</si>
  <si>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</si>
  <si>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</si>
  <si>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</si>
  <si>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</si>
  <si>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</si>
  <si>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</si>
  <si>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</si>
  <si>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</si>
  <si>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</si>
  <si>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</si>
  <si>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</si>
  <si>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</si>
  <si>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</si>
  <si>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</si>
  <si>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</si>
  <si>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</si>
  <si>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</si>
  <si>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</si>
  <si>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</si>
  <si>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</si>
  <si>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</si>
  <si>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</si>
  <si>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</si>
  <si>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</si>
  <si>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</si>
  <si>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</si>
  <si>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</si>
  <si>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</si>
  <si>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</si>
  <si>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</si>
  <si>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</si>
  <si>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</si>
  <si>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</si>
  <si>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</si>
  <si>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</si>
  <si>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</si>
  <si>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</si>
  <si>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</si>
  <si>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</si>
  <si>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</si>
  <si>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</si>
  <si>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</si>
  <si>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</si>
  <si>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</si>
  <si>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</si>
  <si>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</si>
  <si>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</si>
  <si>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</si>
  <si>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</si>
  <si>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</si>
  <si>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</si>
  <si>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</si>
  <si>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</si>
  <si>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</si>
  <si>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</si>
  <si>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</si>
  <si>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</si>
  <si>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</si>
  <si>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</si>
  <si>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</si>
  <si>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</si>
  <si>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</si>
  <si>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</si>
  <si>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</si>
  <si>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</si>
  <si>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</si>
  <si>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</si>
  <si>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</si>
  <si>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</si>
  <si>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</si>
  <si>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</si>
  <si>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</si>
  <si>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</si>
  <si>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</si>
  <si>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</si>
  <si>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</si>
  <si>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</si>
  <si>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</si>
  <si>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</si>
  <si>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</si>
  <si>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</si>
  <si>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</si>
  <si>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</si>
  <si>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</si>
  <si>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</si>
  <si>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</si>
  <si>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</si>
  <si>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</si>
  <si>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</si>
  <si>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</si>
  <si>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</si>
  <si>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</si>
  <si>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</si>
  <si>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</si>
  <si>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</si>
  <si>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</si>
  <si>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</si>
  <si>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</si>
  <si>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</si>
  <si>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</si>
  <si>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</si>
  <si>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</si>
  <si>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</si>
  <si>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</si>
  <si>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</si>
  <si>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</si>
  <si>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</si>
  <si>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</si>
  <si>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</si>
  <si>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</si>
  <si>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</si>
  <si>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</si>
  <si>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</si>
  <si>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</si>
  <si>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</si>
  <si>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</si>
  <si>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</si>
  <si>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</si>
  <si>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</si>
  <si>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</si>
  <si>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</si>
  <si>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</si>
  <si>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</si>
  <si>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</si>
  <si>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</si>
  <si>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</si>
  <si>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</si>
  <si>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</si>
  <si>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</si>
  <si>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</si>
  <si>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</si>
  <si>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</si>
  <si>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</si>
  <si>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</si>
  <si>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</si>
  <si>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</si>
  <si>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</si>
  <si>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</si>
  <si>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</si>
  <si>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</si>
  <si>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</si>
  <si>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</si>
  <si>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</si>
  <si>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</si>
  <si>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</si>
  <si>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</si>
  <si>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</si>
  <si>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</si>
  <si>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</si>
  <si>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</si>
  <si>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</si>
  <si>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</si>
  <si>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</si>
  <si>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</si>
  <si>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</si>
  <si>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</si>
  <si>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</si>
  <si>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</si>
  <si>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</si>
  <si>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</si>
  <si>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</si>
  <si>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</si>
  <si>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</si>
  <si>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</si>
  <si>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</si>
  <si>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</si>
  <si>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</si>
  <si>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</si>
  <si>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</si>
  <si>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</si>
  <si>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</si>
  <si>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</si>
  <si>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</si>
  <si>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</si>
  <si>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</si>
  <si>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</si>
  <si>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</si>
  <si>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</si>
  <si>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</si>
  <si>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</si>
  <si>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</si>
  <si>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</si>
  <si>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</si>
  <si>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</si>
  <si>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</si>
  <si>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</si>
  <si>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</si>
  <si>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</si>
  <si>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</si>
  <si>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</si>
  <si>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</si>
  <si>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</si>
  <si>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</si>
  <si>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</si>
  <si>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</si>
  <si>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</si>
  <si>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</si>
  <si>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</si>
  <si>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</si>
  <si>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</si>
  <si>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</si>
  <si>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</si>
  <si>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</si>
  <si>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</si>
  <si>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</si>
  <si>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</si>
  <si>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</si>
  <si>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</si>
  <si>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</si>
  <si>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</si>
  <si>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</si>
  <si>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</si>
  <si>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</si>
  <si>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</si>
  <si>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</si>
  <si>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</si>
  <si>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</si>
  <si>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</si>
  <si>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</si>
  <si>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</si>
  <si>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</si>
  <si>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</si>
  <si>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</si>
  <si>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</si>
  <si>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</si>
  <si>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</si>
  <si>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</si>
  <si>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</si>
  <si>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</si>
  <si>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</si>
  <si>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</si>
  <si>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</si>
  <si>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</si>
  <si>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</si>
  <si>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</si>
  <si>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</si>
  <si>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</si>
  <si>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</si>
  <si>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</si>
  <si>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</si>
  <si>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</si>
  <si>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</si>
  <si>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</si>
  <si>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</si>
  <si>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</si>
  <si>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</si>
  <si>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</si>
  <si>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</si>
  <si>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</si>
  <si>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</si>
  <si>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</si>
  <si>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</si>
  <si>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</si>
  <si>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</si>
  <si>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</si>
  <si>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</si>
  <si>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</si>
  <si>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</si>
  <si>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</si>
  <si>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</si>
  <si>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</si>
  <si>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</si>
  <si>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</si>
  <si>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</si>
  <si>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</si>
  <si>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</si>
  <si>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</si>
  <si>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</si>
  <si>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</si>
  <si>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</si>
  <si>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</si>
  <si>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</si>
  <si>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</si>
  <si>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</si>
  <si>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</si>
  <si>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</si>
  <si>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</si>
  <si>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</si>
  <si>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</si>
  <si>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</si>
  <si>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</si>
  <si>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</si>
  <si>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</si>
  <si>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</si>
  <si>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</si>
  <si>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</si>
  <si>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</si>
  <si>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</si>
  <si>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</si>
  <si>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</si>
  <si>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</si>
  <si>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</si>
  <si>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</si>
  <si>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</si>
  <si>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</si>
  <si>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</si>
  <si>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</si>
  <si>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</si>
  <si>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</si>
  <si>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</si>
  <si>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</si>
  <si>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</si>
  <si>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</si>
  <si>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</si>
  <si>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</si>
  <si>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</si>
  <si>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</si>
  <si>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</si>
  <si>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</si>
  <si>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</si>
  <si>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</si>
  <si>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</si>
  <si>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</si>
  <si>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</si>
  <si>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</si>
  <si>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</si>
  <si>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</si>
  <si>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</si>
  <si>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</si>
  <si>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</si>
  <si>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</si>
  <si>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</si>
  <si>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</si>
  <si>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</si>
  <si>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</si>
  <si>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</si>
  <si>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</si>
  <si>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</si>
  <si>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</si>
  <si>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</si>
  <si>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</si>
  <si>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</si>
  <si>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</si>
  <si>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</si>
  <si>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</si>
  <si>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</si>
  <si>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</si>
  <si>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</si>
  <si>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</si>
  <si>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</si>
  <si>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</si>
  <si>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</si>
  <si>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</si>
  <si>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</si>
  <si>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</si>
  <si>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</si>
  <si>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</si>
  <si>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</si>
  <si>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</si>
  <si>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</si>
  <si>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</si>
  <si>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</si>
  <si>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</si>
  <si>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</si>
  <si>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</si>
  <si>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</si>
  <si>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</si>
  <si>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</si>
  <si>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</si>
  <si>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</si>
  <si>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</si>
  <si>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</si>
  <si>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</si>
  <si>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</si>
  <si>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</si>
  <si>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</si>
  <si>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</si>
  <si>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</si>
  <si>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</si>
  <si>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</si>
  <si>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</si>
  <si>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</si>
  <si>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</si>
  <si>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</si>
  <si>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</si>
  <si>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</si>
  <si>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</si>
  <si>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</si>
  <si>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</si>
  <si>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</si>
  <si>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</si>
  <si>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</si>
  <si>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</si>
  <si>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</si>
  <si>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</si>
  <si>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</si>
  <si>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</si>
  <si>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</si>
  <si>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</si>
  <si>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</si>
  <si>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</si>
  <si>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</si>
  <si>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</si>
  <si>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</si>
  <si>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</si>
  <si>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</si>
  <si>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</si>
  <si>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</si>
  <si>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</si>
  <si>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</si>
  <si>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</si>
  <si>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</si>
  <si>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</si>
  <si>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</si>
  <si>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</si>
  <si>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</si>
  <si>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</si>
  <si>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</si>
  <si>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</si>
  <si>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</si>
  <si>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</si>
  <si>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</si>
  <si>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</si>
  <si>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</si>
  <si>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</si>
  <si>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</si>
  <si>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</si>
  <si>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</si>
  <si>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</si>
  <si>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</si>
  <si>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</si>
  <si>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</si>
  <si>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</si>
  <si>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</si>
  <si>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</si>
  <si>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</si>
  <si>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</si>
  <si>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</si>
  <si>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</si>
  <si>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</si>
  <si>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</si>
  <si>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</si>
  <si>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</si>
  <si>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</si>
  <si>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</si>
  <si>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</si>
  <si>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</si>
  <si>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</si>
  <si>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</si>
  <si>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</si>
  <si>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</si>
  <si>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</si>
  <si>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</si>
  <si>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</si>
  <si>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</si>
  <si>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</si>
  <si>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</si>
  <si>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</si>
  <si>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</si>
  <si>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</si>
  <si>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</si>
  <si>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</si>
  <si>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</si>
  <si>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</si>
  <si>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</si>
  <si>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</si>
  <si>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</si>
  <si>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</si>
  <si>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</si>
  <si>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</si>
  <si>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</si>
  <si>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</si>
  <si>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</si>
  <si>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</si>
  <si>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</si>
  <si>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</si>
  <si>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</si>
  <si>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</si>
  <si>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</si>
  <si>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</si>
  <si>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</si>
  <si>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</si>
  <si>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</si>
  <si>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</si>
  <si>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</si>
  <si>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</si>
  <si>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</si>
  <si>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</si>
  <si>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</si>
  <si>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</si>
  <si>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</si>
  <si>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</si>
  <si>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</si>
  <si>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</si>
  <si>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</si>
  <si>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</si>
  <si>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</si>
  <si>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</si>
  <si>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</si>
  <si>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</si>
  <si>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</si>
  <si>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</si>
  <si>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</si>
  <si>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</si>
  <si>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</si>
  <si>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</si>
  <si>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</si>
  <si>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</si>
  <si>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</si>
  <si>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</si>
  <si>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</si>
  <si>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</si>
  <si>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</si>
  <si>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</si>
  <si>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</si>
  <si>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</si>
  <si>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</si>
  <si>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</si>
  <si>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</si>
  <si>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</si>
  <si>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</si>
  <si>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</si>
  <si>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</si>
  <si>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</si>
  <si>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</si>
  <si>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</si>
  <si>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</si>
  <si>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</si>
  <si>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</si>
  <si>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</si>
  <si>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</si>
  <si>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</si>
  <si>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</si>
  <si>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</si>
  <si>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</si>
  <si>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</si>
  <si>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</si>
  <si>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</si>
  <si>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</si>
  <si>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</si>
  <si>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</si>
  <si>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</si>
  <si>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</si>
  <si>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</si>
  <si>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</si>
  <si>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</si>
  <si>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</si>
  <si>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</si>
  <si>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</si>
  <si>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</si>
  <si>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</si>
  <si>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</si>
  <si>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</si>
  <si>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</si>
  <si>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</si>
  <si>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</si>
  <si>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</si>
  <si>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</si>
  <si>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</si>
  <si>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</si>
  <si>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</si>
  <si>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</si>
  <si>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</si>
  <si>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</si>
  <si>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</si>
  <si>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</si>
  <si>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</si>
  <si>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</si>
  <si>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</si>
  <si>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</si>
  <si>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</si>
  <si>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</si>
  <si>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</si>
  <si>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</si>
  <si>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</si>
  <si>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</si>
  <si>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</si>
  <si>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</si>
  <si>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</si>
  <si>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</si>
  <si>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</si>
  <si>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</si>
  <si>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</si>
  <si>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</si>
  <si>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</si>
  <si>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</si>
  <si>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</si>
  <si>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</si>
  <si>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</si>
  <si>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</si>
  <si>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</si>
  <si>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</si>
  <si>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</si>
  <si>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</si>
  <si>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</si>
  <si>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</si>
  <si>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</si>
  <si>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</si>
  <si>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</si>
  <si>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</si>
  <si>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</si>
  <si>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</si>
  <si>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</si>
  <si>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</si>
  <si>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</si>
  <si>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</si>
  <si>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</si>
  <si>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</si>
  <si>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</si>
  <si>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</si>
  <si>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</si>
  <si>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</si>
  <si>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</si>
  <si>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</si>
  <si>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</si>
  <si>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</si>
  <si>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</si>
  <si>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</si>
  <si>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</si>
  <si>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</si>
  <si>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</si>
  <si>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</si>
  <si>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</si>
  <si>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</si>
  <si>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</si>
  <si>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</si>
  <si>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</si>
  <si>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</si>
  <si>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</si>
  <si>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</si>
  <si>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</si>
  <si>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</si>
  <si>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</si>
  <si>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</si>
  <si>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</si>
  <si>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</si>
  <si>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</si>
  <si>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</si>
  <si>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</si>
  <si>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</si>
  <si>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</si>
  <si>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</si>
  <si>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</si>
  <si>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</si>
  <si>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</si>
  <si>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</si>
  <si>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</si>
  <si>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</si>
  <si>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</si>
  <si>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</si>
  <si>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</si>
  <si>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</si>
  <si>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</si>
  <si>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</si>
  <si>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</si>
  <si>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</si>
  <si>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View system security data</t>
  </si>
  <si>
    <t>View system audit data</t>
  </si>
  <si>
    <t>View network type data</t>
  </si>
  <si>
    <t>View network common data</t>
  </si>
  <si>
    <t>View network core data</t>
  </si>
  <si>
    <t>View general Type</t>
  </si>
  <si>
    <t>View general localization</t>
  </si>
  <si>
    <t>View general organization</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</si>
  <si>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</si>
  <si>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</si>
  <si>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</si>
  <si>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</si>
  <si>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</si>
  <si>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</si>
  <si>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</si>
  <si>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</si>
  <si>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</si>
  <si>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</si>
  <si>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</si>
  <si>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</si>
  <si>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</si>
  <si>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</si>
  <si>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</si>
  <si>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</si>
  <si>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</si>
  <si>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</si>
  <si>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</si>
  <si>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</si>
  <si>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</si>
  <si>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</si>
  <si>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</si>
  <si>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</si>
  <si>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</si>
  <si>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</si>
  <si>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</si>
  <si>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</si>
  <si>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</si>
  <si>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</si>
  <si>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</si>
  <si>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</si>
  <si>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</si>
  <si>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</si>
  <si>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</si>
  <si>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</si>
  <si>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</si>
  <si>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</si>
  <si>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</si>
  <si>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</si>
  <si>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</si>
  <si>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</si>
  <si>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</si>
  <si>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</si>
  <si>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</si>
  <si>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</si>
  <si>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</si>
  <si>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</si>
  <si>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</si>
  <si>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</si>
  <si>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</si>
  <si>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</si>
  <si>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</si>
  <si>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</si>
  <si>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</si>
  <si>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</si>
  <si>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</si>
  <si>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</si>
  <si>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</si>
  <si>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</si>
  <si>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</si>
  <si>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</si>
  <si>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</si>
  <si>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</si>
  <si>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</si>
  <si>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</si>
  <si>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</si>
  <si>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</si>
  <si>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</si>
  <si>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</si>
  <si>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</si>
  <si>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</si>
  <si>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</si>
  <si>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</si>
  <si>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</si>
  <si>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</si>
  <si>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</si>
  <si>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</si>
  <si>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</si>
  <si>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</si>
  <si>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</si>
  <si>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</si>
  <si>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</si>
  <si>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</si>
  <si>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</si>
  <si>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</si>
  <si>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</si>
  <si>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</si>
  <si>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</si>
  <si>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</si>
  <si>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</si>
  <si>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</si>
  <si>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</si>
  <si>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</si>
  <si>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</si>
  <si>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</si>
  <si>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</si>
  <si>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</si>
  <si>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</si>
  <si>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</si>
  <si>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</si>
  <si>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</si>
  <si>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</si>
  <si>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</si>
  <si>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</si>
  <si>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</si>
  <si>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</si>
  <si>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</si>
  <si>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</si>
  <si>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</si>
  <si>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</si>
  <si>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</si>
  <si>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</si>
  <si>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</si>
  <si>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</si>
  <si>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</si>
  <si>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</si>
  <si>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</si>
  <si>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</si>
  <si>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</si>
  <si>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</si>
  <si>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</si>
  <si>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</si>
  <si>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</si>
  <si>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</si>
  <si>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</si>
  <si>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</si>
  <si>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</si>
  <si>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</si>
  <si>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</si>
  <si>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</si>
  <si>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</si>
  <si>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</si>
  <si>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</si>
  <si>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</si>
  <si>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</si>
  <si>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</si>
  <si>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</si>
  <si>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</si>
  <si>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</si>
  <si>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</si>
  <si>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</si>
  <si>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</si>
  <si>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</si>
  <si>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</si>
  <si>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</si>
  <si>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</si>
  <si>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</si>
  <si>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</si>
  <si>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</si>
  <si>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</si>
  <si>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</si>
  <si>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</si>
  <si>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</si>
  <si>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</si>
  <si>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</si>
  <si>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</si>
  <si>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</si>
  <si>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</si>
  <si>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</si>
  <si>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</si>
  <si>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</si>
  <si>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</si>
  <si>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</si>
  <si>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</si>
  <si>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</si>
  <si>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</si>
  <si>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</si>
  <si>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</si>
  <si>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</si>
  <si>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</si>
  <si>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</si>
  <si>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</si>
  <si>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</si>
  <si>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</si>
  <si>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</si>
  <si>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</si>
  <si>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</si>
  <si>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</si>
  <si>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</si>
  <si>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</si>
  <si>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</si>
  <si>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</si>
  <si>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</si>
  <si>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</si>
  <si>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</si>
  <si>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</si>
  <si>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</si>
  <si>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</si>
  <si>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</si>
  <si>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</si>
  <si>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</si>
  <si>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</si>
  <si>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</si>
  <si>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</si>
  <si>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</si>
  <si>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</si>
  <si>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</si>
  <si>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</si>
  <si>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</si>
  <si>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</si>
  <si>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</si>
  <si>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</si>
  <si>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</si>
  <si>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</si>
  <si>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</si>
  <si>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</si>
  <si>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</si>
  <si>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</si>
  <si>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</si>
  <si>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</si>
  <si>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</si>
  <si>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</si>
  <si>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</si>
  <si>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</si>
  <si>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</si>
  <si>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</si>
  <si>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</si>
  <si>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</si>
  <si>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</si>
  <si>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</si>
  <si>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</si>
  <si>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</si>
  <si>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</si>
  <si>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</si>
  <si>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</si>
  <si>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</si>
  <si>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</si>
  <si>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</si>
  <si>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</si>
  <si>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</si>
  <si>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</si>
  <si>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</si>
  <si>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</si>
  <si>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</si>
  <si>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</si>
  <si>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</si>
  <si>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</si>
  <si>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</si>
  <si>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</si>
  <si>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</si>
  <si>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</si>
  <si>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</si>
  <si>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</si>
  <si>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</si>
  <si>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</si>
  <si>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</si>
  <si>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</si>
  <si>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</si>
  <si>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</si>
  <si>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</si>
  <si>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</si>
  <si>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</si>
  <si>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</si>
  <si>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</si>
  <si>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</si>
  <si>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</si>
  <si>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</si>
  <si>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</si>
  <si>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</si>
  <si>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</si>
  <si>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</si>
  <si>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</si>
  <si>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</si>
  <si>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</si>
  <si>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</si>
  <si>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</si>
  <si>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</si>
  <si>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</si>
  <si>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</si>
  <si>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</si>
  <si>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</si>
  <si>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</si>
  <si>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</si>
  <si>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</si>
  <si>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</si>
  <si>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</si>
  <si>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</si>
  <si>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</si>
  <si>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</si>
  <si>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</si>
  <si>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</si>
  <si>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</si>
  <si>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</si>
  <si>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</si>
  <si>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</si>
  <si>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</si>
  <si>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</si>
  <si>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</si>
  <si>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</si>
  <si>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</si>
  <si>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</si>
  <si>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</si>
  <si>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</si>
  <si>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</si>
  <si>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</si>
  <si>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</si>
  <si>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</si>
  <si>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</si>
  <si>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</si>
  <si>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</si>
  <si>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</si>
  <si>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</si>
  <si>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</si>
  <si>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</si>
  <si>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</si>
  <si>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</si>
  <si>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</si>
  <si>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</si>
  <si>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</si>
  <si>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</si>
  <si>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</si>
  <si>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</si>
  <si>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</si>
  <si>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</si>
  <si>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</si>
  <si>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</si>
  <si>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</si>
  <si>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</si>
  <si>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</si>
  <si>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</si>
  <si>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</si>
  <si>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</si>
  <si>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</si>
  <si>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</si>
  <si>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</si>
  <si>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</si>
  <si>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</si>
  <si>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</si>
  <si>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</si>
  <si>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</si>
  <si>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</si>
  <si>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</si>
  <si>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</si>
  <si>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</si>
  <si>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</si>
  <si>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</si>
  <si>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</si>
  <si>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</si>
  <si>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</si>
  <si>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</si>
  <si>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</si>
  <si>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</si>
  <si>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</si>
  <si>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</si>
  <si>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</si>
  <si>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</si>
  <si>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</si>
  <si>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</si>
  <si>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</si>
  <si>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</si>
  <si>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</si>
  <si>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</si>
  <si>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</si>
  <si>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</si>
  <si>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</si>
  <si>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</si>
  <si>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</si>
  <si>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</si>
  <si>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</si>
  <si>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</si>
  <si>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</si>
  <si>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</si>
  <si>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</si>
  <si>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</si>
  <si>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</si>
  <si>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</si>
  <si>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</si>
  <si>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</si>
  <si>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</si>
  <si>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</si>
  <si>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</si>
  <si>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</si>
  <si>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</si>
  <si>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</si>
  <si>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</si>
  <si>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</si>
  <si>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</si>
  <si>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</si>
  <si>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</si>
  <si>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</si>
  <si>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</si>
  <si>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</si>
  <si>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</si>
  <si>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</si>
  <si>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</si>
  <si>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</si>
  <si>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</si>
  <si>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</si>
  <si>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</si>
  <si>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</si>
  <si>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</si>
  <si>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</si>
  <si>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</si>
  <si>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</si>
  <si>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</si>
  <si>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</si>
  <si>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</si>
  <si>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</si>
  <si>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</si>
  <si>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</si>
  <si>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</si>
  <si>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</si>
  <si>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</si>
  <si>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</si>
  <si>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</si>
  <si>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</si>
  <si>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</si>
  <si>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</si>
  <si>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</si>
  <si>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</si>
  <si>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</si>
  <si>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</si>
  <si>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</si>
  <si>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</si>
  <si>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</si>
  <si>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</si>
  <si>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</si>
  <si>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</si>
  <si>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</si>
  <si>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</si>
  <si>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</si>
  <si>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</si>
  <si>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</si>
  <si>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</si>
  <si>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</si>
  <si>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</si>
  <si>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</si>
  <si>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</si>
  <si>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</si>
  <si>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</si>
  <si>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</si>
  <si>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</si>
  <si>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</si>
  <si>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</si>
  <si>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</si>
  <si>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</si>
  <si>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</si>
  <si>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</si>
  <si>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</si>
  <si>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</si>
  <si>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</si>
  <si>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</si>
  <si>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</si>
  <si>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</si>
  <si>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</si>
  <si>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</si>
  <si>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</si>
  <si>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</si>
  <si>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</si>
  <si>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</si>
  <si>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</si>
  <si>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</si>
  <si>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</si>
  <si>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</si>
  <si>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</si>
  <si>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</si>
  <si>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</si>
  <si>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</si>
  <si>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</si>
  <si>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</si>
  <si>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</si>
  <si>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</si>
  <si>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</si>
  <si>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</si>
  <si>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</si>
  <si>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</si>
  <si>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</si>
  <si>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</si>
  <si>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</si>
  <si>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</si>
  <si>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</si>
  <si>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</si>
  <si>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</si>
  <si>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</si>
  <si>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</si>
  <si>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</si>
  <si>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</si>
  <si>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</si>
  <si>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</si>
  <si>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</si>
  <si>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</si>
  <si>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</si>
  <si>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</si>
  <si>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</si>
  <si>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</si>
  <si>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</si>
  <si>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</si>
  <si>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</si>
  <si>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</si>
  <si>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</si>
  <si>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</si>
  <si>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</si>
  <si>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</si>
  <si>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</si>
  <si>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</si>
  <si>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</si>
  <si>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</si>
  <si>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</si>
  <si>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</si>
  <si>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</si>
  <si>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</si>
  <si>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</si>
  <si>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</si>
  <si>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</si>
  <si>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</si>
  <si>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</si>
  <si>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</si>
  <si>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</si>
  <si>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</si>
  <si>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</si>
  <si>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</si>
  <si>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</si>
  <si>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</si>
  <si>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</si>
  <si>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</si>
  <si>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</si>
  <si>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</si>
  <si>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</si>
  <si>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</si>
  <si>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</si>
  <si>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</si>
  <si>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</si>
  <si>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</si>
  <si>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</si>
  <si>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</si>
  <si>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</si>
  <si>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</si>
  <si>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</si>
  <si>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</si>
  <si>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</si>
  <si>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</si>
  <si>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</si>
  <si>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</si>
  <si>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</si>
  <si>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</si>
  <si>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</si>
  <si>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</si>
  <si>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</si>
  <si>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</si>
  <si>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</si>
  <si>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</si>
  <si>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</si>
  <si>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</si>
  <si>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</si>
  <si>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</si>
  <si>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</si>
  <si>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</si>
  <si>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</si>
  <si>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</si>
  <si>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</si>
  <si>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</si>
  <si>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</si>
  <si>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</si>
  <si>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</si>
  <si>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</si>
  <si>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</si>
  <si>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</si>
  <si>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</si>
  <si>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</si>
  <si>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</si>
  <si>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</si>
  <si>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</si>
  <si>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</si>
  <si>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</si>
  <si>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</si>
  <si>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</si>
  <si>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</si>
  <si>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</si>
  <si>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</si>
  <si>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</si>
  <si>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</si>
  <si>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</si>
  <si>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</si>
  <si>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</si>
  <si>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</si>
  <si>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</si>
  <si>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</si>
  <si>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</si>
  <si>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</si>
  <si>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</si>
  <si>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</si>
  <si>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</si>
  <si>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</si>
  <si>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</si>
  <si>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</si>
  <si>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</si>
  <si>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</si>
  <si>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</si>
  <si>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</si>
  <si>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</si>
  <si>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</si>
  <si>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</si>
  <si>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</si>
  <si>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</si>
  <si>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</si>
  <si>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</si>
  <si>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</si>
  <si>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</si>
  <si>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</si>
  <si>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</si>
  <si>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</si>
  <si>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</si>
  <si>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</si>
  <si>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</si>
  <si>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</si>
  <si>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</si>
  <si>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</si>
  <si>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</si>
  <si>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</si>
  <si>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</si>
  <si>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</si>
  <si>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</si>
  <si>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</si>
  <si>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</si>
  <si>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</si>
  <si>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</si>
  <si>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</si>
  <si>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</si>
  <si>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</si>
  <si>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</si>
  <si>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</si>
  <si>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</si>
  <si>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</si>
  <si>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</si>
  <si>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</si>
  <si>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</si>
  <si>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</si>
  <si>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</si>
  <si>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</si>
  <si>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</si>
  <si>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</si>
  <si>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</si>
  <si>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</si>
  <si>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</si>
  <si>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</si>
  <si>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</si>
  <si>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</si>
  <si>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</si>
  <si>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</si>
  <si>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</si>
  <si>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</si>
  <si>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</si>
  <si>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</si>
  <si>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</si>
  <si>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</si>
  <si>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</si>
  <si>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</si>
  <si>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</si>
  <si>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</si>
  <si>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</si>
  <si>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</si>
  <si>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</si>
  <si>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</si>
  <si>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</si>
  <si>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</si>
  <si>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</si>
  <si>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</si>
  <si>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</si>
  <si>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</si>
  <si>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</si>
  <si>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</si>
  <si>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</si>
  <si>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</si>
  <si>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</si>
  <si>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</si>
  <si>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</si>
  <si>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</si>
  <si>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</si>
  <si>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</si>
  <si>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</si>
  <si>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</si>
  <si>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</si>
  <si>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</si>
  <si>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</si>
  <si>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</si>
  <si>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</si>
  <si>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</si>
  <si>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</si>
  <si>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</si>
  <si>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</si>
  <si>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</si>
  <si>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View system setting data</t>
  </si>
  <si>
    <t>View system utility data</t>
  </si>
  <si>
    <t>View flow type data</t>
  </si>
  <si>
    <t>View flow common data</t>
  </si>
  <si>
    <t>View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</si>
  <si>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</si>
  <si>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</si>
  <si>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</si>
  <si>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</si>
  <si>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</si>
  <si>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</si>
  <si>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</si>
  <si>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</si>
  <si>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</si>
  <si>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</si>
  <si>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</si>
  <si>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</si>
  <si>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</si>
  <si>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</si>
  <si>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</si>
  <si>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</si>
  <si>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</si>
  <si>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</si>
  <si>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</si>
  <si>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SYSTEM-SETTING-VIEWER</t>
  </si>
  <si>
    <t>SYSTEM-UTILITY-VIEWER</t>
  </si>
  <si>
    <t>SYSTEM-UTILITY-EDITOR</t>
  </si>
  <si>
    <t>SYSTEM-SECURITY-VIEWER</t>
  </si>
  <si>
    <t>SYSTEM-AUDIT-VIEWER</t>
  </si>
  <si>
    <t>GENERAL-TYPE-VIEWER</t>
  </si>
  <si>
    <t>GENERAL-LOCALIZATION-VIEWER</t>
  </si>
  <si>
    <t>GENERAL-ORGANIZATION-VIEWER</t>
  </si>
  <si>
    <t>NETWORK-TYPE-VIEWER</t>
  </si>
  <si>
    <t>NETWORK-COMMON-VIEWER</t>
  </si>
  <si>
    <t>NETWORK-CORE-VIEWER</t>
  </si>
  <si>
    <t>FLOW-TYPE-VIEWER</t>
  </si>
  <si>
    <t>FLOW-COMMON-VIEWER</t>
  </si>
  <si>
    <t>FLOW-CORE-VIEWER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</si>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</sst>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3">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5857</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6088</v>
      </c>
      <c r="B1" s="1" t="s">
        <v>6089</v>
      </c>
      <c r="C1" s="1" t="s">
        <v>5603</v>
      </c>
    </row>
    <row r="2" spans="1:3" ht="20.149999999999999" customHeight="1" x14ac:dyDescent="0.35">
      <c r="A2" s="1" t="s">
        <v>41</v>
      </c>
      <c r="B2" s="1" t="s">
        <v>42</v>
      </c>
      <c r="C2" s="1" t="s">
        <v>6090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5800</v>
      </c>
      <c r="C1" s="1" t="s">
        <v>5799</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5858</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6088</v>
      </c>
      <c r="C1" s="1" t="s">
        <v>5603</v>
      </c>
    </row>
    <row r="2" spans="1:3" ht="20.149999999999999" customHeight="1" x14ac:dyDescent="0.35">
      <c r="A2" s="1" t="s">
        <v>41</v>
      </c>
      <c r="B2" s="1" t="s">
        <v>42</v>
      </c>
      <c r="C2" s="1" t="s">
        <v>6092</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6096</v>
      </c>
      <c r="B1" s="1" t="s">
        <v>6089</v>
      </c>
      <c r="C1" s="1" t="s">
        <v>5603</v>
      </c>
    </row>
    <row r="2" spans="1:3" ht="20.149999999999999" customHeight="1" x14ac:dyDescent="0.35">
      <c r="A2" s="1" t="s">
        <v>41</v>
      </c>
      <c r="B2" s="1" t="s">
        <v>42</v>
      </c>
      <c r="C2" s="1" t="s">
        <v>6091</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42"/>
  <sheetViews>
    <sheetView topLeftCell="A34" workbookViewId="0">
      <selection activeCell="D42" sqref="D42"/>
    </sheetView>
  </sheetViews>
  <sheetFormatPr baseColWidth="10" defaultColWidth="10.81640625" defaultRowHeight="15.5" x14ac:dyDescent="0.35"/>
  <cols>
    <col min="1" max="1" width="4.453125" style="2" customWidth="1"/>
    <col min="2" max="2" width="39.26953125" style="2" customWidth="1"/>
    <col min="3" max="3" width="33.81640625" style="2" customWidth="1"/>
    <col min="4" max="4" width="80.6328125" style="2"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6408</v>
      </c>
      <c r="C2" s="1" t="s">
        <v>41</v>
      </c>
      <c r="D2" s="1" t="s">
        <v>5859</v>
      </c>
    </row>
    <row r="3" spans="1:4" ht="20.149999999999999" customHeight="1" x14ac:dyDescent="0.35">
      <c r="A3" s="3">
        <v>1</v>
      </c>
      <c r="B3" s="4" t="s">
        <v>6423</v>
      </c>
      <c r="C3" s="4" t="s">
        <v>6422</v>
      </c>
      <c r="D3" s="16" t="str">
        <f>CONCATENATE("(",A3,",'",B3,"','",C3,"'),")</f>
        <v>(1,'SYSTEM-SETTING-ADMIN','Manage system setting data'),</v>
      </c>
    </row>
    <row r="4" spans="1:4" ht="20.149999999999999" customHeight="1" x14ac:dyDescent="0.35">
      <c r="A4" s="3">
        <v>2</v>
      </c>
      <c r="B4" s="4" t="s">
        <v>6449</v>
      </c>
      <c r="C4" s="4" t="s">
        <v>6424</v>
      </c>
      <c r="D4" s="16" t="str">
        <f t="shared" ref="D4:D15" si="0">CONCATENATE("(",A4,",'",B4,"','",C4,"'),")</f>
        <v>(2,'SYSTEM-UTILITY-ADMIN','Manage system utility data'),</v>
      </c>
    </row>
    <row r="5" spans="1:4" ht="20.149999999999999" customHeight="1" x14ac:dyDescent="0.35">
      <c r="A5" s="3">
        <v>3</v>
      </c>
      <c r="B5" s="4" t="s">
        <v>6407</v>
      </c>
      <c r="C5" s="4" t="s">
        <v>5743</v>
      </c>
      <c r="D5" s="16" t="str">
        <f t="shared" si="0"/>
        <v>(3,'SYSTEM-SECURITY-ADMIN','Manage system security data'),</v>
      </c>
    </row>
    <row r="6" spans="1:4" ht="20.149999999999999" customHeight="1" x14ac:dyDescent="0.35">
      <c r="A6" s="3">
        <v>4</v>
      </c>
      <c r="B6" s="4" t="s">
        <v>6409</v>
      </c>
      <c r="C6" s="4" t="s">
        <v>5744</v>
      </c>
      <c r="D6" s="16" t="str">
        <f t="shared" si="0"/>
        <v>(4,'SYSTEM-AUDIT-ADMIN','Manage system audit data'),</v>
      </c>
    </row>
    <row r="7" spans="1:4" ht="20.149999999999999" customHeight="1" x14ac:dyDescent="0.35">
      <c r="A7" s="3">
        <v>5</v>
      </c>
      <c r="B7" s="4" t="s">
        <v>6410</v>
      </c>
      <c r="C7" s="4" t="s">
        <v>5756</v>
      </c>
      <c r="D7" s="16" t="str">
        <f t="shared" si="0"/>
        <v>(5,'GENERAL-TYPE-ADMIN','Manage general Type'),</v>
      </c>
    </row>
    <row r="8" spans="1:4" ht="20.149999999999999" customHeight="1" x14ac:dyDescent="0.35">
      <c r="A8" s="3">
        <v>6</v>
      </c>
      <c r="B8" s="4" t="s">
        <v>6411</v>
      </c>
      <c r="C8" s="4" t="s">
        <v>5757</v>
      </c>
      <c r="D8" s="16" t="str">
        <f t="shared" si="0"/>
        <v>(6,'GENERAL-LOCALIZATION-ADMIN','Manage general localization'),</v>
      </c>
    </row>
    <row r="9" spans="1:4" ht="20.149999999999999" customHeight="1" x14ac:dyDescent="0.35">
      <c r="A9" s="3">
        <v>7</v>
      </c>
      <c r="B9" s="4" t="s">
        <v>6412</v>
      </c>
      <c r="C9" s="4" t="s">
        <v>5758</v>
      </c>
      <c r="D9" s="16" t="str">
        <f t="shared" si="0"/>
        <v>(7,'GENERAL-ORGANIZATION-ADMIN','Manage general organization'),</v>
      </c>
    </row>
    <row r="10" spans="1:4" ht="20.149999999999999" customHeight="1" x14ac:dyDescent="0.35">
      <c r="A10" s="3">
        <v>8</v>
      </c>
      <c r="B10" s="4" t="s">
        <v>6413</v>
      </c>
      <c r="C10" s="4" t="s">
        <v>5745</v>
      </c>
      <c r="D10" s="16" t="str">
        <f t="shared" si="0"/>
        <v>(8,'NETWORK-TYPE-ADMIN','Manage network type data'),</v>
      </c>
    </row>
    <row r="11" spans="1:4" ht="20.149999999999999" customHeight="1" x14ac:dyDescent="0.35">
      <c r="A11" s="3">
        <v>9</v>
      </c>
      <c r="B11" s="4" t="s">
        <v>6414</v>
      </c>
      <c r="C11" s="4" t="s">
        <v>5746</v>
      </c>
      <c r="D11" s="16" t="str">
        <f t="shared" si="0"/>
        <v>(9,'NETWORK-COMMON-ADMIN','Manage network common data'),</v>
      </c>
    </row>
    <row r="12" spans="1:4" ht="20.149999999999999" customHeight="1" x14ac:dyDescent="0.35">
      <c r="A12" s="3">
        <v>10</v>
      </c>
      <c r="B12" s="4" t="s">
        <v>6415</v>
      </c>
      <c r="C12" s="4" t="s">
        <v>5747</v>
      </c>
      <c r="D12" s="16" t="str">
        <f t="shared" si="0"/>
        <v>(10,'NETWORK-CORE-ADMIN','Manage network core data'),</v>
      </c>
    </row>
    <row r="13" spans="1:4" ht="20.149999999999999" customHeight="1" x14ac:dyDescent="0.35">
      <c r="A13" s="3">
        <v>11</v>
      </c>
      <c r="B13" s="4" t="s">
        <v>6416</v>
      </c>
      <c r="C13" s="4" t="s">
        <v>6419</v>
      </c>
      <c r="D13" s="16" t="str">
        <f t="shared" si="0"/>
        <v>(11,'FLOW-TYPE-ADMIN','Manage flow type data'),</v>
      </c>
    </row>
    <row r="14" spans="1:4" ht="20.149999999999999" customHeight="1" x14ac:dyDescent="0.35">
      <c r="A14" s="3">
        <v>12</v>
      </c>
      <c r="B14" s="4" t="s">
        <v>6417</v>
      </c>
      <c r="C14" s="4" t="s">
        <v>6420</v>
      </c>
      <c r="D14" s="16" t="str">
        <f t="shared" si="0"/>
        <v>(12,'FLOW-COMMON-ADMIN','Manage flow common data'),</v>
      </c>
    </row>
    <row r="15" spans="1:4" ht="20.149999999999999" customHeight="1" x14ac:dyDescent="0.35">
      <c r="A15" s="3">
        <v>13</v>
      </c>
      <c r="B15" s="4" t="s">
        <v>6418</v>
      </c>
      <c r="C15" s="4" t="s">
        <v>6421</v>
      </c>
      <c r="D15" s="16" t="str">
        <f t="shared" si="0"/>
        <v>(13,'FLOW-CORE-ADMIN','Manage flow core data'),</v>
      </c>
    </row>
    <row r="16" spans="1:4" ht="20.149999999999999" customHeight="1" x14ac:dyDescent="0.35">
      <c r="A16" s="3">
        <v>21</v>
      </c>
      <c r="B16" s="4" t="s">
        <v>6450</v>
      </c>
      <c r="C16" s="4" t="s">
        <v>6425</v>
      </c>
      <c r="D16" s="16" t="str">
        <f>CONCATENATE("(",A16,",'",B16,"','",C16,"'),")</f>
        <v>(21,'SYSTEM-SETTING-EDITOR','Update system setting data'),</v>
      </c>
    </row>
    <row r="17" spans="1:4" ht="20.149999999999999" customHeight="1" x14ac:dyDescent="0.35">
      <c r="A17" s="3">
        <v>22</v>
      </c>
      <c r="B17" s="4" t="s">
        <v>6464</v>
      </c>
      <c r="C17" s="4" t="s">
        <v>6426</v>
      </c>
      <c r="D17" s="16" t="str">
        <f t="shared" ref="D17:D28" si="1">CONCATENATE("(",A17,",'",B17,"','",C17,"'),")</f>
        <v>(22,'SYSTEM-UTILITY-EDITOR','Update system utility data'),</v>
      </c>
    </row>
    <row r="18" spans="1:4" ht="20.149999999999999" customHeight="1" x14ac:dyDescent="0.35">
      <c r="A18" s="3">
        <v>23</v>
      </c>
      <c r="B18" s="4" t="s">
        <v>6451</v>
      </c>
      <c r="C18" s="4" t="s">
        <v>6427</v>
      </c>
      <c r="D18" s="16" t="str">
        <f t="shared" si="1"/>
        <v>(23,'SYSTEM-SECURITY-EDITOR','Update system security data'),</v>
      </c>
    </row>
    <row r="19" spans="1:4" ht="20.149999999999999" customHeight="1" x14ac:dyDescent="0.35">
      <c r="A19" s="3">
        <v>24</v>
      </c>
      <c r="B19" s="4" t="s">
        <v>6452</v>
      </c>
      <c r="C19" s="4" t="s">
        <v>6428</v>
      </c>
      <c r="D19" s="16" t="str">
        <f t="shared" si="1"/>
        <v>(24,'SYSTEM-AUDIT-EDITOR','Update system audit data'),</v>
      </c>
    </row>
    <row r="20" spans="1:4" ht="20.149999999999999" customHeight="1" x14ac:dyDescent="0.35">
      <c r="A20" s="3">
        <v>25</v>
      </c>
      <c r="B20" s="4" t="s">
        <v>6453</v>
      </c>
      <c r="C20" s="4" t="s">
        <v>6429</v>
      </c>
      <c r="D20" s="16" t="str">
        <f t="shared" si="1"/>
        <v>(25,'GENERAL-TYPE-EDITOR','Update general Type'),</v>
      </c>
    </row>
    <row r="21" spans="1:4" ht="20.149999999999999" customHeight="1" x14ac:dyDescent="0.35">
      <c r="A21" s="3">
        <v>26</v>
      </c>
      <c r="B21" s="4" t="s">
        <v>6454</v>
      </c>
      <c r="C21" s="4" t="s">
        <v>6430</v>
      </c>
      <c r="D21" s="16" t="str">
        <f t="shared" si="1"/>
        <v>(26,'GENERAL-LOCALIZATION-EDITOR','Update general localization'),</v>
      </c>
    </row>
    <row r="22" spans="1:4" ht="20.149999999999999" customHeight="1" x14ac:dyDescent="0.35">
      <c r="A22" s="3">
        <v>27</v>
      </c>
      <c r="B22" s="4" t="s">
        <v>6455</v>
      </c>
      <c r="C22" s="4" t="s">
        <v>6431</v>
      </c>
      <c r="D22" s="16" t="str">
        <f t="shared" si="1"/>
        <v>(27,'GENERAL-ORGANIZATION-EDITOR','Update general organization'),</v>
      </c>
    </row>
    <row r="23" spans="1:4" ht="20.149999999999999" customHeight="1" x14ac:dyDescent="0.35">
      <c r="A23" s="3">
        <v>28</v>
      </c>
      <c r="B23" s="4" t="s">
        <v>6456</v>
      </c>
      <c r="C23" s="4" t="s">
        <v>6432</v>
      </c>
      <c r="D23" s="16" t="str">
        <f t="shared" si="1"/>
        <v>(28,'NETWORK-TYPE-EDITOR','Update network type data'),</v>
      </c>
    </row>
    <row r="24" spans="1:4" ht="20.149999999999999" customHeight="1" x14ac:dyDescent="0.35">
      <c r="A24" s="3">
        <v>29</v>
      </c>
      <c r="B24" s="4" t="s">
        <v>6457</v>
      </c>
      <c r="C24" s="4" t="s">
        <v>6433</v>
      </c>
      <c r="D24" s="16" t="str">
        <f t="shared" si="1"/>
        <v>(29,'NETWORK-COMMON-EDITOR','Update network common data'),</v>
      </c>
    </row>
    <row r="25" spans="1:4" ht="20.149999999999999" customHeight="1" x14ac:dyDescent="0.35">
      <c r="A25" s="3">
        <v>30</v>
      </c>
      <c r="B25" s="4" t="s">
        <v>6458</v>
      </c>
      <c r="C25" s="4" t="s">
        <v>6434</v>
      </c>
      <c r="D25" s="16" t="str">
        <f t="shared" si="1"/>
        <v>(30,'NETWORK-CORE-EDITOR','Update network core data'),</v>
      </c>
    </row>
    <row r="26" spans="1:4" ht="20.149999999999999" customHeight="1" x14ac:dyDescent="0.35">
      <c r="A26" s="3">
        <v>31</v>
      </c>
      <c r="B26" s="4" t="s">
        <v>6459</v>
      </c>
      <c r="C26" s="4" t="s">
        <v>6435</v>
      </c>
      <c r="D26" s="16" t="str">
        <f t="shared" si="1"/>
        <v>(31,'FLOW-TYPE-EDITOR','Update flow type data'),</v>
      </c>
    </row>
    <row r="27" spans="1:4" ht="20.149999999999999" customHeight="1" x14ac:dyDescent="0.35">
      <c r="A27" s="3">
        <v>32</v>
      </c>
      <c r="B27" s="4" t="s">
        <v>6460</v>
      </c>
      <c r="C27" s="4" t="s">
        <v>6436</v>
      </c>
      <c r="D27" s="16" t="str">
        <f t="shared" si="1"/>
        <v>(32,'FLOW-COMMON-EDITOR','Update flow common data'),</v>
      </c>
    </row>
    <row r="28" spans="1:4" ht="20.149999999999999" customHeight="1" x14ac:dyDescent="0.35">
      <c r="A28" s="3">
        <v>33</v>
      </c>
      <c r="B28" s="4" t="s">
        <v>6461</v>
      </c>
      <c r="C28" s="4" t="s">
        <v>6437</v>
      </c>
      <c r="D28" s="16" t="str">
        <f t="shared" si="1"/>
        <v>(33,'FLOW-CORE-EDITOR','Update flow core data'),</v>
      </c>
    </row>
    <row r="29" spans="1:4" ht="20.149999999999999" customHeight="1" x14ac:dyDescent="0.35">
      <c r="A29" s="3">
        <v>41</v>
      </c>
      <c r="B29" s="4" t="s">
        <v>6462</v>
      </c>
      <c r="C29" s="4" t="s">
        <v>6438</v>
      </c>
      <c r="D29" s="16" t="str">
        <f>CONCATENATE("(",A29,",'",B29,"','",C29,"'),")</f>
        <v>(41,'SYSTEM-SETTING-VIEWER','View system setting data'),</v>
      </c>
    </row>
    <row r="30" spans="1:4" ht="20.149999999999999" customHeight="1" x14ac:dyDescent="0.35">
      <c r="A30" s="3">
        <v>42</v>
      </c>
      <c r="B30" s="4" t="s">
        <v>6463</v>
      </c>
      <c r="C30" s="4" t="s">
        <v>6439</v>
      </c>
      <c r="D30" s="16" t="str">
        <f t="shared" ref="D30:D41" si="2">CONCATENATE("(",A30,",'",B30,"','",C30,"'),")</f>
        <v>(42,'SYSTEM-UTILITY-VIEWER','View system utility data'),</v>
      </c>
    </row>
    <row r="31" spans="1:4" ht="20.149999999999999" customHeight="1" x14ac:dyDescent="0.35">
      <c r="A31" s="3">
        <v>43</v>
      </c>
      <c r="B31" s="4" t="s">
        <v>6465</v>
      </c>
      <c r="C31" s="4" t="s">
        <v>5748</v>
      </c>
      <c r="D31" s="16" t="str">
        <f t="shared" si="2"/>
        <v>(43,'SYSTEM-SECURITY-VIEWER','View system security data'),</v>
      </c>
    </row>
    <row r="32" spans="1:4" ht="20.149999999999999" customHeight="1" x14ac:dyDescent="0.35">
      <c r="A32" s="3">
        <v>44</v>
      </c>
      <c r="B32" s="4" t="s">
        <v>6466</v>
      </c>
      <c r="C32" s="4" t="s">
        <v>5749</v>
      </c>
      <c r="D32" s="16" t="str">
        <f t="shared" si="2"/>
        <v>(44,'SYSTEM-AUDIT-VIEWER','View system audit data'),</v>
      </c>
    </row>
    <row r="33" spans="1:4" ht="20.149999999999999" customHeight="1" x14ac:dyDescent="0.35">
      <c r="A33" s="3">
        <v>45</v>
      </c>
      <c r="B33" s="4" t="s">
        <v>6467</v>
      </c>
      <c r="C33" s="4" t="s">
        <v>5753</v>
      </c>
      <c r="D33" s="16" t="str">
        <f t="shared" si="2"/>
        <v>(45,'GENERAL-TYPE-VIEWER','View general Type'),</v>
      </c>
    </row>
    <row r="34" spans="1:4" ht="20.149999999999999" customHeight="1" x14ac:dyDescent="0.35">
      <c r="A34" s="3">
        <v>46</v>
      </c>
      <c r="B34" s="4" t="s">
        <v>6468</v>
      </c>
      <c r="C34" s="4" t="s">
        <v>5754</v>
      </c>
      <c r="D34" s="16" t="str">
        <f t="shared" si="2"/>
        <v>(46,'GENERAL-LOCALIZATION-VIEWER','View general localization'),</v>
      </c>
    </row>
    <row r="35" spans="1:4" ht="20.149999999999999" customHeight="1" x14ac:dyDescent="0.35">
      <c r="A35" s="3">
        <v>47</v>
      </c>
      <c r="B35" s="4" t="s">
        <v>6469</v>
      </c>
      <c r="C35" s="4" t="s">
        <v>5755</v>
      </c>
      <c r="D35" s="16" t="str">
        <f t="shared" si="2"/>
        <v>(47,'GENERAL-ORGANIZATION-VIEWER','View general organization'),</v>
      </c>
    </row>
    <row r="36" spans="1:4" ht="20.149999999999999" customHeight="1" x14ac:dyDescent="0.35">
      <c r="A36" s="3">
        <v>48</v>
      </c>
      <c r="B36" s="4" t="s">
        <v>6470</v>
      </c>
      <c r="C36" s="4" t="s">
        <v>5750</v>
      </c>
      <c r="D36" s="16" t="str">
        <f t="shared" si="2"/>
        <v>(48,'NETWORK-TYPE-VIEWER','View network type data'),</v>
      </c>
    </row>
    <row r="37" spans="1:4" ht="20.149999999999999" customHeight="1" x14ac:dyDescent="0.35">
      <c r="A37" s="3">
        <v>49</v>
      </c>
      <c r="B37" s="4" t="s">
        <v>6471</v>
      </c>
      <c r="C37" s="4" t="s">
        <v>5751</v>
      </c>
      <c r="D37" s="16" t="str">
        <f t="shared" si="2"/>
        <v>(49,'NETWORK-COMMON-VIEWER','View network common data'),</v>
      </c>
    </row>
    <row r="38" spans="1:4" ht="20.149999999999999" customHeight="1" x14ac:dyDescent="0.35">
      <c r="A38" s="3">
        <v>50</v>
      </c>
      <c r="B38" s="4" t="s">
        <v>6472</v>
      </c>
      <c r="C38" s="4" t="s">
        <v>5752</v>
      </c>
      <c r="D38" s="16" t="str">
        <f t="shared" si="2"/>
        <v>(50,'NETWORK-CORE-VIEWER','View network core data'),</v>
      </c>
    </row>
    <row r="39" spans="1:4" ht="20.149999999999999" customHeight="1" x14ac:dyDescent="0.35">
      <c r="A39" s="3">
        <v>51</v>
      </c>
      <c r="B39" s="4" t="s">
        <v>6473</v>
      </c>
      <c r="C39" s="4" t="s">
        <v>6440</v>
      </c>
      <c r="D39" s="16" t="str">
        <f t="shared" si="2"/>
        <v>(51,'FLOW-TYPE-VIEWER','View flow type data'),</v>
      </c>
    </row>
    <row r="40" spans="1:4" ht="20.149999999999999" customHeight="1" x14ac:dyDescent="0.35">
      <c r="A40" s="3">
        <v>52</v>
      </c>
      <c r="B40" s="4" t="s">
        <v>6474</v>
      </c>
      <c r="C40" s="4" t="s">
        <v>6441</v>
      </c>
      <c r="D40" s="16" t="str">
        <f t="shared" si="2"/>
        <v>(52,'FLOW-COMMON-VIEWER','View flow common data'),</v>
      </c>
    </row>
    <row r="41" spans="1:4" ht="20.149999999999999" customHeight="1" x14ac:dyDescent="0.35">
      <c r="A41" s="3">
        <v>53</v>
      </c>
      <c r="B41" s="4" t="s">
        <v>6475</v>
      </c>
      <c r="C41" s="4" t="s">
        <v>6442</v>
      </c>
      <c r="D41" s="16" t="str">
        <f t="shared" si="2"/>
        <v>(53,'FLOW-CORE-VIEWER','View flow core data'),</v>
      </c>
    </row>
    <row r="42" spans="1:4" ht="20.149999999999999" customHeight="1" x14ac:dyDescent="0.35">
      <c r="A42" s="3">
        <v>99</v>
      </c>
      <c r="B42" s="4" t="s">
        <v>6476</v>
      </c>
      <c r="C42" s="4" t="s">
        <v>6477</v>
      </c>
      <c r="D42" s="16" t="str">
        <f t="shared" ref="D42" si="3">CONCATENATE("(",A42,",'",B42,"','",C42,"'),")</f>
        <v>(99,'TESTER','Test Role'),</v>
      </c>
    </row>
  </sheetData>
  <autoFilter ref="A2:B15"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62"/>
  <sheetViews>
    <sheetView workbookViewId="0">
      <selection activeCell="A19" sqref="A19"/>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6097</v>
      </c>
      <c r="C1" s="1" t="s">
        <v>5603</v>
      </c>
    </row>
    <row r="2" spans="1:3" ht="20.149999999999999" customHeight="1" x14ac:dyDescent="0.35">
      <c r="A2" s="1" t="s">
        <v>41</v>
      </c>
      <c r="B2" s="1" t="s">
        <v>42</v>
      </c>
      <c r="C2" s="1" t="s">
        <v>6093</v>
      </c>
    </row>
    <row r="3" spans="1:3" ht="20.149999999999999" customHeight="1" x14ac:dyDescent="0.35">
      <c r="A3" s="4">
        <v>1</v>
      </c>
      <c r="B3" s="4">
        <v>1</v>
      </c>
      <c r="C3" s="16" t="str">
        <f>CONCATENATE("(",A3,",",B3,"),")</f>
        <v>(1,1),</v>
      </c>
    </row>
    <row r="4" spans="1:3" ht="20.149999999999999" customHeight="1" x14ac:dyDescent="0.35">
      <c r="A4" s="4">
        <v>2</v>
      </c>
      <c r="B4" s="4">
        <v>2</v>
      </c>
      <c r="C4" s="16" t="str">
        <f t="shared" ref="C4:C19" si="0">CONCATENATE("(",A4,",",B4,"),")</f>
        <v>(2,2),</v>
      </c>
    </row>
    <row r="5" spans="1:3" ht="20.149999999999999" customHeight="1" x14ac:dyDescent="0.35">
      <c r="A5" s="4">
        <v>3</v>
      </c>
      <c r="B5" s="4">
        <v>3</v>
      </c>
      <c r="C5" s="16" t="str">
        <f t="shared" si="0"/>
        <v>(3,3),</v>
      </c>
    </row>
    <row r="6" spans="1:3" ht="20.149999999999999" customHeight="1" x14ac:dyDescent="0.35">
      <c r="A6" s="4">
        <v>3</v>
      </c>
      <c r="B6" s="4">
        <v>4</v>
      </c>
      <c r="C6" s="16" t="str">
        <f t="shared" si="0"/>
        <v>(3,4),</v>
      </c>
    </row>
    <row r="7" spans="1:3" ht="20.149999999999999" customHeight="1" x14ac:dyDescent="0.35">
      <c r="A7" s="4">
        <v>3</v>
      </c>
      <c r="B7" s="4">
        <v>5</v>
      </c>
      <c r="C7" s="16" t="str">
        <f t="shared" si="0"/>
        <v>(3,5),</v>
      </c>
    </row>
    <row r="8" spans="1:3" ht="20.149999999999999" customHeight="1" x14ac:dyDescent="0.35">
      <c r="A8" s="4">
        <v>3</v>
      </c>
      <c r="B8" s="4">
        <v>6</v>
      </c>
      <c r="C8" s="16" t="str">
        <f t="shared" si="0"/>
        <v>(3,6),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5</v>
      </c>
      <c r="B11" s="4">
        <v>9</v>
      </c>
      <c r="C11" s="16" t="str">
        <f t="shared" si="0"/>
        <v>(5,9),</v>
      </c>
    </row>
    <row r="12" spans="1:3" ht="20.149999999999999" customHeight="1" x14ac:dyDescent="0.35">
      <c r="A12" s="4">
        <v>6</v>
      </c>
      <c r="B12" s="4">
        <v>10</v>
      </c>
      <c r="C12" s="16" t="str">
        <f t="shared" si="0"/>
        <v>(6,10),</v>
      </c>
    </row>
    <row r="13" spans="1:3" ht="20.149999999999999" customHeight="1" x14ac:dyDescent="0.35">
      <c r="A13" s="4">
        <v>6</v>
      </c>
      <c r="B13" s="4">
        <v>11</v>
      </c>
      <c r="C13" s="16" t="str">
        <f t="shared" si="0"/>
        <v>(6,11),</v>
      </c>
    </row>
    <row r="14" spans="1:3" ht="20.149999999999999" customHeight="1" x14ac:dyDescent="0.35">
      <c r="A14" s="4">
        <v>6</v>
      </c>
      <c r="B14" s="4">
        <v>12</v>
      </c>
      <c r="C14" s="16" t="str">
        <f t="shared" si="0"/>
        <v>(6,12),</v>
      </c>
    </row>
    <row r="15" spans="1:3" ht="20.149999999999999" customHeight="1" x14ac:dyDescent="0.35">
      <c r="A15" s="4">
        <v>6</v>
      </c>
      <c r="B15" s="4">
        <v>13</v>
      </c>
      <c r="C15" s="16" t="str">
        <f t="shared" si="0"/>
        <v>(6,13),</v>
      </c>
    </row>
    <row r="16" spans="1:3" ht="20.149999999999999" customHeight="1" x14ac:dyDescent="0.35">
      <c r="A16" s="4">
        <v>6</v>
      </c>
      <c r="B16" s="4">
        <v>14</v>
      </c>
      <c r="C16" s="16" t="str">
        <f t="shared" si="0"/>
        <v>(6,14),</v>
      </c>
    </row>
    <row r="17" spans="1:3" ht="20.149999999999999" customHeight="1" x14ac:dyDescent="0.35">
      <c r="A17" s="4">
        <v>6</v>
      </c>
      <c r="B17" s="4">
        <v>15</v>
      </c>
      <c r="C17" s="16" t="str">
        <f t="shared" si="0"/>
        <v>(6,15),</v>
      </c>
    </row>
    <row r="18" spans="1:3" ht="20.149999999999999" customHeight="1" x14ac:dyDescent="0.35">
      <c r="A18" s="4">
        <v>6</v>
      </c>
      <c r="B18" s="4">
        <v>16</v>
      </c>
      <c r="C18" s="16" t="str">
        <f t="shared" si="0"/>
        <v>(6,16),</v>
      </c>
    </row>
    <row r="19" spans="1:3" ht="20.149999999999999" customHeight="1" x14ac:dyDescent="0.35">
      <c r="A19" s="4"/>
      <c r="B19" s="4">
        <v>17</v>
      </c>
      <c r="C19" s="16" t="str">
        <f t="shared" si="0"/>
        <v>(,17),</v>
      </c>
    </row>
    <row r="20" spans="1:3" ht="20.149999999999999" customHeight="1" x14ac:dyDescent="0.35">
      <c r="A20" s="4"/>
      <c r="B20" s="4">
        <v>18</v>
      </c>
      <c r="C20" s="16" t="str">
        <f t="shared" ref="C20:C22" si="1">CONCATENATE("(",A20,",",B20,"),")</f>
        <v>(,18),</v>
      </c>
    </row>
    <row r="21" spans="1:3" ht="20.149999999999999" customHeight="1" x14ac:dyDescent="0.35">
      <c r="A21" s="4"/>
      <c r="B21" s="4">
        <v>19</v>
      </c>
      <c r="C21" s="16" t="str">
        <f t="shared" si="1"/>
        <v>(,19),</v>
      </c>
    </row>
    <row r="22" spans="1:3" ht="20.149999999999999" customHeight="1" x14ac:dyDescent="0.35">
      <c r="A22" s="4"/>
      <c r="B22" s="4">
        <v>20</v>
      </c>
      <c r="C22" s="16" t="str">
        <f t="shared" si="1"/>
        <v>(,20),</v>
      </c>
    </row>
    <row r="23" spans="1:3" ht="20.149999999999999" customHeight="1" x14ac:dyDescent="0.35">
      <c r="A23" s="4"/>
      <c r="B23" s="4">
        <v>21</v>
      </c>
      <c r="C23" s="16" t="str">
        <f t="shared" ref="C23:C62" si="2">CONCATENATE("(",A23,",",B23,"),")</f>
        <v>(,21),</v>
      </c>
    </row>
    <row r="24" spans="1:3" ht="20.149999999999999" customHeight="1" x14ac:dyDescent="0.35">
      <c r="A24" s="4"/>
      <c r="B24" s="4">
        <v>22</v>
      </c>
      <c r="C24" s="16" t="str">
        <f t="shared" si="2"/>
        <v>(,22),</v>
      </c>
    </row>
    <row r="25" spans="1:3" ht="20.149999999999999" customHeight="1" x14ac:dyDescent="0.35">
      <c r="A25" s="4"/>
      <c r="B25" s="4">
        <v>23</v>
      </c>
      <c r="C25" s="16" t="str">
        <f t="shared" si="2"/>
        <v>(,23),</v>
      </c>
    </row>
    <row r="26" spans="1:3" ht="20.149999999999999" customHeight="1" x14ac:dyDescent="0.35">
      <c r="A26" s="4"/>
      <c r="B26" s="4">
        <v>24</v>
      </c>
      <c r="C26" s="16" t="str">
        <f t="shared" si="2"/>
        <v>(,24),</v>
      </c>
    </row>
    <row r="27" spans="1:3" ht="20.149999999999999" customHeight="1" x14ac:dyDescent="0.35">
      <c r="A27" s="4"/>
      <c r="B27" s="4">
        <v>25</v>
      </c>
      <c r="C27" s="16" t="str">
        <f t="shared" si="2"/>
        <v>(,25),</v>
      </c>
    </row>
    <row r="28" spans="1:3" ht="20.149999999999999" customHeight="1" x14ac:dyDescent="0.35">
      <c r="A28" s="4"/>
      <c r="B28" s="4">
        <v>26</v>
      </c>
      <c r="C28" s="16" t="str">
        <f t="shared" si="2"/>
        <v>(,26),</v>
      </c>
    </row>
    <row r="29" spans="1:3" ht="20.149999999999999" customHeight="1" x14ac:dyDescent="0.35">
      <c r="A29" s="4"/>
      <c r="B29" s="4">
        <v>27</v>
      </c>
      <c r="C29" s="16" t="str">
        <f t="shared" si="2"/>
        <v>(,27),</v>
      </c>
    </row>
    <row r="30" spans="1:3" ht="20.149999999999999" customHeight="1" x14ac:dyDescent="0.35">
      <c r="A30" s="4"/>
      <c r="B30" s="4">
        <v>28</v>
      </c>
      <c r="C30" s="16" t="str">
        <f t="shared" si="2"/>
        <v>(,28),</v>
      </c>
    </row>
    <row r="31" spans="1:3" ht="20.149999999999999" customHeight="1" x14ac:dyDescent="0.35">
      <c r="A31" s="4"/>
      <c r="B31" s="4">
        <v>29</v>
      </c>
      <c r="C31" s="16" t="str">
        <f t="shared" si="2"/>
        <v>(,29),</v>
      </c>
    </row>
    <row r="32" spans="1:3" ht="20.149999999999999" customHeight="1" x14ac:dyDescent="0.35">
      <c r="A32" s="4"/>
      <c r="B32" s="4">
        <v>30</v>
      </c>
      <c r="C32" s="16" t="str">
        <f t="shared" si="2"/>
        <v>(,30),</v>
      </c>
    </row>
    <row r="33" spans="1:3" ht="20.149999999999999" customHeight="1" x14ac:dyDescent="0.35">
      <c r="A33" s="4"/>
      <c r="B33" s="4">
        <v>31</v>
      </c>
      <c r="C33" s="16" t="str">
        <f t="shared" si="2"/>
        <v>(,31),</v>
      </c>
    </row>
    <row r="34" spans="1:3" ht="20.149999999999999" customHeight="1" x14ac:dyDescent="0.35">
      <c r="A34" s="4"/>
      <c r="B34" s="4">
        <v>32</v>
      </c>
      <c r="C34" s="16" t="str">
        <f t="shared" si="2"/>
        <v>(,32),</v>
      </c>
    </row>
    <row r="35" spans="1:3" ht="20.149999999999999" customHeight="1" x14ac:dyDescent="0.35">
      <c r="A35" s="4"/>
      <c r="B35" s="4">
        <v>33</v>
      </c>
      <c r="C35" s="16" t="str">
        <f t="shared" si="2"/>
        <v>(,33),</v>
      </c>
    </row>
    <row r="36" spans="1:3" ht="20.149999999999999" customHeight="1" x14ac:dyDescent="0.35">
      <c r="A36" s="4"/>
      <c r="B36" s="4">
        <v>34</v>
      </c>
      <c r="C36" s="16" t="str">
        <f t="shared" si="2"/>
        <v>(,34),</v>
      </c>
    </row>
    <row r="37" spans="1:3" ht="20.149999999999999" customHeight="1" x14ac:dyDescent="0.35">
      <c r="A37" s="4"/>
      <c r="B37" s="4">
        <v>35</v>
      </c>
      <c r="C37" s="16" t="str">
        <f t="shared" si="2"/>
        <v>(,35),</v>
      </c>
    </row>
    <row r="38" spans="1:3" ht="20.149999999999999" customHeight="1" x14ac:dyDescent="0.35">
      <c r="A38" s="4"/>
      <c r="B38" s="4">
        <v>36</v>
      </c>
      <c r="C38" s="16" t="str">
        <f t="shared" si="2"/>
        <v>(,36),</v>
      </c>
    </row>
    <row r="39" spans="1:3" ht="20.149999999999999" customHeight="1" x14ac:dyDescent="0.35">
      <c r="A39" s="4"/>
      <c r="B39" s="4">
        <v>37</v>
      </c>
      <c r="C39" s="16" t="str">
        <f t="shared" si="2"/>
        <v>(,37),</v>
      </c>
    </row>
    <row r="40" spans="1:3" ht="20.149999999999999" customHeight="1" x14ac:dyDescent="0.35">
      <c r="A40" s="4"/>
      <c r="B40" s="4">
        <v>38</v>
      </c>
      <c r="C40" s="16" t="str">
        <f t="shared" si="2"/>
        <v>(,38),</v>
      </c>
    </row>
    <row r="41" spans="1:3" ht="20.149999999999999" customHeight="1" x14ac:dyDescent="0.35">
      <c r="A41" s="4"/>
      <c r="B41" s="4">
        <v>39</v>
      </c>
      <c r="C41" s="16" t="str">
        <f t="shared" si="2"/>
        <v>(,39),</v>
      </c>
    </row>
    <row r="42" spans="1:3" ht="20.149999999999999" customHeight="1" x14ac:dyDescent="0.35">
      <c r="A42" s="4"/>
      <c r="B42" s="4">
        <v>40</v>
      </c>
      <c r="C42" s="16" t="str">
        <f t="shared" si="2"/>
        <v>(,40),</v>
      </c>
    </row>
    <row r="43" spans="1:3" ht="20.149999999999999" customHeight="1" x14ac:dyDescent="0.35">
      <c r="A43" s="4"/>
      <c r="B43" s="4">
        <v>41</v>
      </c>
      <c r="C43" s="16" t="str">
        <f t="shared" si="2"/>
        <v>(,41),</v>
      </c>
    </row>
    <row r="44" spans="1:3" ht="20.149999999999999" customHeight="1" x14ac:dyDescent="0.35">
      <c r="A44" s="4"/>
      <c r="B44" s="4">
        <v>42</v>
      </c>
      <c r="C44" s="16" t="str">
        <f t="shared" si="2"/>
        <v>(,42),</v>
      </c>
    </row>
    <row r="45" spans="1:3" ht="20.149999999999999" customHeight="1" x14ac:dyDescent="0.35">
      <c r="A45" s="4"/>
      <c r="B45" s="4">
        <v>43</v>
      </c>
      <c r="C45" s="16" t="str">
        <f t="shared" si="2"/>
        <v>(,43),</v>
      </c>
    </row>
    <row r="46" spans="1:3" ht="20.149999999999999" customHeight="1" x14ac:dyDescent="0.35">
      <c r="A46" s="4"/>
      <c r="B46" s="4">
        <v>44</v>
      </c>
      <c r="C46" s="16" t="str">
        <f t="shared" si="2"/>
        <v>(,44),</v>
      </c>
    </row>
    <row r="47" spans="1:3" ht="20.149999999999999" customHeight="1" x14ac:dyDescent="0.35">
      <c r="A47" s="4"/>
      <c r="B47" s="4">
        <v>45</v>
      </c>
      <c r="C47" s="16" t="str">
        <f t="shared" si="2"/>
        <v>(,45),</v>
      </c>
    </row>
    <row r="48" spans="1:3" ht="20.149999999999999" customHeight="1" x14ac:dyDescent="0.35">
      <c r="A48" s="4"/>
      <c r="B48" s="4">
        <v>46</v>
      </c>
      <c r="C48" s="16" t="str">
        <f t="shared" si="2"/>
        <v>(,46),</v>
      </c>
    </row>
    <row r="49" spans="1:3" ht="20.149999999999999" customHeight="1" x14ac:dyDescent="0.35">
      <c r="A49" s="4"/>
      <c r="B49" s="4">
        <v>47</v>
      </c>
      <c r="C49" s="16" t="str">
        <f t="shared" si="2"/>
        <v>(,47),</v>
      </c>
    </row>
    <row r="50" spans="1:3" ht="20.149999999999999" customHeight="1" x14ac:dyDescent="0.35">
      <c r="A50" s="4"/>
      <c r="B50" s="4">
        <v>48</v>
      </c>
      <c r="C50" s="16" t="str">
        <f t="shared" si="2"/>
        <v>(,48),</v>
      </c>
    </row>
    <row r="51" spans="1:3" ht="20.149999999999999" customHeight="1" x14ac:dyDescent="0.35">
      <c r="A51" s="4"/>
      <c r="B51" s="4">
        <v>49</v>
      </c>
      <c r="C51" s="16" t="str">
        <f t="shared" si="2"/>
        <v>(,49),</v>
      </c>
    </row>
    <row r="52" spans="1:3" ht="20.149999999999999" customHeight="1" x14ac:dyDescent="0.35">
      <c r="A52" s="4"/>
      <c r="B52" s="4">
        <v>50</v>
      </c>
      <c r="C52" s="16" t="str">
        <f t="shared" si="2"/>
        <v>(,50),</v>
      </c>
    </row>
    <row r="53" spans="1:3" ht="20.149999999999999" customHeight="1" x14ac:dyDescent="0.35">
      <c r="A53" s="4"/>
      <c r="B53" s="4">
        <v>51</v>
      </c>
      <c r="C53" s="16" t="str">
        <f t="shared" si="2"/>
        <v>(,51),</v>
      </c>
    </row>
    <row r="54" spans="1:3" ht="20.149999999999999" customHeight="1" x14ac:dyDescent="0.35">
      <c r="A54" s="4"/>
      <c r="B54" s="4">
        <v>52</v>
      </c>
      <c r="C54" s="16" t="str">
        <f t="shared" si="2"/>
        <v>(,52),</v>
      </c>
    </row>
    <row r="55" spans="1:3" ht="20.149999999999999" customHeight="1" x14ac:dyDescent="0.35">
      <c r="A55" s="4"/>
      <c r="B55" s="4">
        <v>53</v>
      </c>
      <c r="C55" s="16" t="str">
        <f t="shared" si="2"/>
        <v>(,53),</v>
      </c>
    </row>
    <row r="56" spans="1:3" ht="20.149999999999999" customHeight="1" x14ac:dyDescent="0.35">
      <c r="A56" s="4"/>
      <c r="B56" s="4">
        <v>54</v>
      </c>
      <c r="C56" s="16" t="str">
        <f t="shared" si="2"/>
        <v>(,54),</v>
      </c>
    </row>
    <row r="57" spans="1:3" ht="20.149999999999999" customHeight="1" x14ac:dyDescent="0.35">
      <c r="A57" s="4"/>
      <c r="B57" s="4">
        <v>55</v>
      </c>
      <c r="C57" s="16" t="str">
        <f t="shared" si="2"/>
        <v>(,55),</v>
      </c>
    </row>
    <row r="58" spans="1:3" ht="20.149999999999999" customHeight="1" x14ac:dyDescent="0.35">
      <c r="A58" s="4"/>
      <c r="B58" s="4">
        <v>56</v>
      </c>
      <c r="C58" s="16" t="str">
        <f t="shared" si="2"/>
        <v>(,56),</v>
      </c>
    </row>
    <row r="59" spans="1:3" ht="20.149999999999999" customHeight="1" x14ac:dyDescent="0.35">
      <c r="A59" s="4"/>
      <c r="B59" s="4">
        <v>57</v>
      </c>
      <c r="C59" s="16" t="str">
        <f t="shared" si="2"/>
        <v>(,57),</v>
      </c>
    </row>
    <row r="60" spans="1:3" ht="20.149999999999999" customHeight="1" x14ac:dyDescent="0.35">
      <c r="A60" s="4"/>
      <c r="B60" s="4">
        <v>58</v>
      </c>
      <c r="C60" s="16" t="str">
        <f t="shared" si="2"/>
        <v>(,58),</v>
      </c>
    </row>
    <row r="61" spans="1:3" ht="20.149999999999999" customHeight="1" x14ac:dyDescent="0.35">
      <c r="A61" s="4"/>
      <c r="B61" s="4">
        <v>59</v>
      </c>
      <c r="C61" s="16" t="str">
        <f t="shared" si="2"/>
        <v>(,59),</v>
      </c>
    </row>
    <row r="62" spans="1:3" ht="20.149999999999999" customHeight="1" x14ac:dyDescent="0.35">
      <c r="A62" s="4"/>
      <c r="B62" s="4">
        <v>60</v>
      </c>
      <c r="C62" s="16" t="str">
        <f t="shared" si="2"/>
        <v>(,60),</v>
      </c>
    </row>
  </sheetData>
  <autoFilter ref="A2:B62"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474"/>
  <sheetViews>
    <sheetView topLeftCell="A91" workbookViewId="0">
      <selection activeCell="B12" sqref="B12"/>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5797</v>
      </c>
      <c r="E1" s="1" t="s">
        <v>5798</v>
      </c>
      <c r="F1" s="1" t="s">
        <v>5603</v>
      </c>
    </row>
    <row r="2" spans="1:6" ht="20.149999999999999" customHeight="1" x14ac:dyDescent="0.35">
      <c r="A2" s="1" t="s">
        <v>44</v>
      </c>
      <c r="B2" s="1" t="s">
        <v>41</v>
      </c>
      <c r="C2" s="1" t="s">
        <v>6110</v>
      </c>
      <c r="D2" s="1" t="s">
        <v>43</v>
      </c>
      <c r="E2" s="1" t="s">
        <v>53</v>
      </c>
      <c r="F2" s="1" t="s">
        <v>6111</v>
      </c>
    </row>
    <row r="3" spans="1:6" ht="20.149999999999999" customHeight="1" x14ac:dyDescent="0.35">
      <c r="A3" s="3">
        <v>1</v>
      </c>
      <c r="B3" s="4" t="str">
        <f>CONCATENATE(D3,":",E3)</f>
        <v>PARAMETER:MANAGE</v>
      </c>
      <c r="C3" s="4" t="str">
        <f t="shared" ref="C3:C34" si="0">CONCATENATE(LOWER(D3)," management")</f>
        <v>parameter management</v>
      </c>
      <c r="D3" s="4" t="s">
        <v>6388</v>
      </c>
      <c r="E3" s="5" t="s">
        <v>6443</v>
      </c>
      <c r="F3" s="16" t="str">
        <f>CONCATENATE("(",A3,",'",B3,"','",C3,"','",D3,"','",E3,"'),")</f>
        <v>(1,'PARAMETER:MANAGE','parameter management','PARAMETER','MANAGE'),</v>
      </c>
    </row>
    <row r="4" spans="1:6" ht="20.149999999999999" customHeight="1" x14ac:dyDescent="0.35">
      <c r="A4" s="3">
        <v>2</v>
      </c>
      <c r="B4" s="4" t="str">
        <f t="shared" ref="B4:B67" si="1">CONCATENATE(D4,":",E4)</f>
        <v>FILE:MANAGE</v>
      </c>
      <c r="C4" s="4" t="str">
        <f t="shared" si="0"/>
        <v>file management</v>
      </c>
      <c r="D4" s="4" t="s">
        <v>6389</v>
      </c>
      <c r="E4" s="5" t="s">
        <v>6443</v>
      </c>
      <c r="F4" s="16" t="str">
        <f t="shared" ref="F4:F67" si="2">CONCATENATE("(",A4,",'",B4,"','",C4,"','",D4,"','",E4,"'),")</f>
        <v>(2,'FILE:MANAGE','file management','FILE','MANAGE'),</v>
      </c>
    </row>
    <row r="5" spans="1:6" ht="20.149999999999999" customHeight="1" x14ac:dyDescent="0.35">
      <c r="A5" s="3">
        <v>3</v>
      </c>
      <c r="B5" s="4" t="str">
        <f t="shared" si="1"/>
        <v>GROUP:MANAGE</v>
      </c>
      <c r="C5" s="4" t="str">
        <f t="shared" si="0"/>
        <v>group management</v>
      </c>
      <c r="D5" s="4" t="s">
        <v>5759</v>
      </c>
      <c r="E5" s="5" t="s">
        <v>6443</v>
      </c>
      <c r="F5" s="16" t="str">
        <f t="shared" si="2"/>
        <v>(3,'GROUP:MANAGE','group management','GROUP','MANAGE'),</v>
      </c>
    </row>
    <row r="6" spans="1:6" ht="20.149999999999999" customHeight="1" x14ac:dyDescent="0.35">
      <c r="A6" s="3">
        <v>4</v>
      </c>
      <c r="B6" s="4" t="str">
        <f t="shared" si="1"/>
        <v>USER:MANAGE</v>
      </c>
      <c r="C6" s="4" t="str">
        <f t="shared" si="0"/>
        <v>user management</v>
      </c>
      <c r="D6" s="4" t="s">
        <v>5760</v>
      </c>
      <c r="E6" s="5" t="s">
        <v>6443</v>
      </c>
      <c r="F6" s="16" t="str">
        <f t="shared" si="2"/>
        <v>(4,'USER:MANAGE','user management','USER','MANAGE'),</v>
      </c>
    </row>
    <row r="7" spans="1:6" ht="20.149999999999999" customHeight="1" x14ac:dyDescent="0.35">
      <c r="A7" s="3">
        <v>5</v>
      </c>
      <c r="B7" s="4" t="str">
        <f t="shared" si="1"/>
        <v>ROLE:MANAGE</v>
      </c>
      <c r="C7" s="4" t="str">
        <f t="shared" si="0"/>
        <v>role management</v>
      </c>
      <c r="D7" s="4" t="s">
        <v>5761</v>
      </c>
      <c r="E7" s="5" t="s">
        <v>6443</v>
      </c>
      <c r="F7" s="16" t="str">
        <f t="shared" si="2"/>
        <v>(5,'ROLE:MANAGE','role management','ROLE','MANAGE'),</v>
      </c>
    </row>
    <row r="8" spans="1:6" ht="20.149999999999999" customHeight="1" x14ac:dyDescent="0.35">
      <c r="A8" s="3">
        <v>6</v>
      </c>
      <c r="B8" s="4" t="str">
        <f t="shared" si="1"/>
        <v>PERMISSION:MANAGE</v>
      </c>
      <c r="C8" s="4" t="str">
        <f t="shared" si="0"/>
        <v>permission management</v>
      </c>
      <c r="D8" s="4" t="s">
        <v>5762</v>
      </c>
      <c r="E8" s="5" t="s">
        <v>6443</v>
      </c>
      <c r="F8" s="16" t="str">
        <f t="shared" si="2"/>
        <v>(6,'PERMISSION:MANAGE','permission management','PERMISSION','MANAGE'),</v>
      </c>
    </row>
    <row r="9" spans="1:6" ht="20.149999999999999" customHeight="1" x14ac:dyDescent="0.35">
      <c r="A9" s="3">
        <v>7</v>
      </c>
      <c r="B9" s="4" t="str">
        <f t="shared" si="1"/>
        <v>AUTHORITY:MANAGE</v>
      </c>
      <c r="C9" s="4" t="str">
        <f t="shared" si="0"/>
        <v>authority management</v>
      </c>
      <c r="D9" s="4" t="s">
        <v>5763</v>
      </c>
      <c r="E9" s="5" t="s">
        <v>6443</v>
      </c>
      <c r="F9" s="16" t="str">
        <f t="shared" si="2"/>
        <v>(7,'AUTHORITY:MANAGE','authority management','AUTHORITY','MANAGE'),</v>
      </c>
    </row>
    <row r="10" spans="1:6" ht="20.149999999999999" customHeight="1" x14ac:dyDescent="0.35">
      <c r="A10" s="3">
        <v>8</v>
      </c>
      <c r="B10" s="4" t="str">
        <f t="shared" si="1"/>
        <v>AUDIT:MANAGE</v>
      </c>
      <c r="C10" s="4" t="str">
        <f t="shared" si="0"/>
        <v>audit management</v>
      </c>
      <c r="D10" s="4" t="s">
        <v>5764</v>
      </c>
      <c r="E10" s="5" t="s">
        <v>6443</v>
      </c>
      <c r="F10" s="16" t="str">
        <f t="shared" si="2"/>
        <v>(8,'AUDIT:MANAGE','audit management','AUDIT','MANAGE'),</v>
      </c>
    </row>
    <row r="11" spans="1:6" ht="20.149999999999999" customHeight="1" x14ac:dyDescent="0.35">
      <c r="A11" s="3">
        <v>9</v>
      </c>
      <c r="B11" s="4" t="str">
        <f t="shared" si="1"/>
        <v>STRUCTURE_TYPE:MANAGE</v>
      </c>
      <c r="C11" s="4" t="str">
        <f t="shared" si="0"/>
        <v>structure_type management</v>
      </c>
      <c r="D11" s="4" t="s">
        <v>5769</v>
      </c>
      <c r="E11" s="5" t="s">
        <v>6443</v>
      </c>
      <c r="F11" s="16" t="str">
        <f t="shared" si="2"/>
        <v>(9,'STRUCTURE_TYPE:MANAGE','structure_type management','STRUCTURE_TYPE','MANAGE'),</v>
      </c>
    </row>
    <row r="12" spans="1:6" ht="20.149999999999999" customHeight="1" x14ac:dyDescent="0.35">
      <c r="A12" s="3">
        <v>10</v>
      </c>
      <c r="B12" s="4" t="str">
        <f t="shared" si="1"/>
        <v>ZONE:MANAGE</v>
      </c>
      <c r="C12" s="4" t="str">
        <f t="shared" si="0"/>
        <v>zone management</v>
      </c>
      <c r="D12" s="4" t="s">
        <v>5781</v>
      </c>
      <c r="E12" s="5" t="s">
        <v>6443</v>
      </c>
      <c r="F12" s="16" t="str">
        <f t="shared" si="2"/>
        <v>(10,'ZONE:MANAGE','zone management','ZONE','MANAGE'),</v>
      </c>
    </row>
    <row r="13" spans="1:6" ht="20.149999999999999" customHeight="1" x14ac:dyDescent="0.35">
      <c r="A13" s="3">
        <v>11</v>
      </c>
      <c r="B13" s="4" t="str">
        <f t="shared" si="1"/>
        <v>COUNTRY:MANAGE</v>
      </c>
      <c r="C13" s="4" t="str">
        <f t="shared" si="0"/>
        <v>country management</v>
      </c>
      <c r="D13" s="4" t="s">
        <v>5766</v>
      </c>
      <c r="E13" s="5" t="s">
        <v>6443</v>
      </c>
      <c r="F13" s="16" t="str">
        <f t="shared" si="2"/>
        <v>(11,'COUNTRY:MANAGE','country management','COUNTRY','MANAGE'),</v>
      </c>
    </row>
    <row r="14" spans="1:6" ht="20.149999999999999" customHeight="1" x14ac:dyDescent="0.35">
      <c r="A14" s="3">
        <v>12</v>
      </c>
      <c r="B14" s="4" t="str">
        <f t="shared" si="1"/>
        <v>STATE:MANAGE</v>
      </c>
      <c r="C14" s="4" t="str">
        <f t="shared" si="0"/>
        <v>state management</v>
      </c>
      <c r="D14" s="4" t="s">
        <v>5767</v>
      </c>
      <c r="E14" s="5" t="s">
        <v>6443</v>
      </c>
      <c r="F14" s="16" t="str">
        <f t="shared" si="2"/>
        <v>(12,'STATE:MANAGE','state management','STATE','MANAGE'),</v>
      </c>
    </row>
    <row r="15" spans="1:6" ht="20.149999999999999" customHeight="1" x14ac:dyDescent="0.35">
      <c r="A15" s="3">
        <v>13</v>
      </c>
      <c r="B15" s="4" t="str">
        <f t="shared" si="1"/>
        <v>DISTRICT:MANAGE</v>
      </c>
      <c r="C15" s="4" t="str">
        <f t="shared" si="0"/>
        <v>district management</v>
      </c>
      <c r="D15" s="4" t="s">
        <v>5801</v>
      </c>
      <c r="E15" s="5" t="s">
        <v>6443</v>
      </c>
      <c r="F15" s="16" t="str">
        <f t="shared" si="2"/>
        <v>(13,'DISTRICT:MANAGE','district management','DISTRICT','MANAGE'),</v>
      </c>
    </row>
    <row r="16" spans="1:6" ht="20.149999999999999" customHeight="1" x14ac:dyDescent="0.35">
      <c r="A16" s="3">
        <v>14</v>
      </c>
      <c r="B16" s="4" t="str">
        <f t="shared" si="1"/>
        <v>LOCALITY:MANAGE</v>
      </c>
      <c r="C16" s="4" t="str">
        <f t="shared" si="0"/>
        <v>locality management</v>
      </c>
      <c r="D16" s="4" t="s">
        <v>5768</v>
      </c>
      <c r="E16" s="5" t="s">
        <v>6443</v>
      </c>
      <c r="F16" s="16" t="str">
        <f t="shared" si="2"/>
        <v>(14,'LOCALITY:MANAGE','locality management','LOCALITY','MANAGE'),</v>
      </c>
    </row>
    <row r="17" spans="1:6" ht="20.149999999999999" customHeight="1" x14ac:dyDescent="0.35">
      <c r="A17" s="3">
        <v>15</v>
      </c>
      <c r="B17" s="4" t="str">
        <f t="shared" si="1"/>
        <v>LOCATION:MANAGE</v>
      </c>
      <c r="C17" s="4" t="str">
        <f t="shared" si="0"/>
        <v>location management</v>
      </c>
      <c r="D17" s="4" t="s">
        <v>5782</v>
      </c>
      <c r="E17" s="5" t="s">
        <v>6443</v>
      </c>
      <c r="F17" s="16" t="str">
        <f t="shared" si="2"/>
        <v>(15,'LOCATION:MANAGE','location management','LOCATION','MANAGE'),</v>
      </c>
    </row>
    <row r="18" spans="1:6" ht="20.149999999999999" customHeight="1" x14ac:dyDescent="0.35">
      <c r="A18" s="3">
        <v>16</v>
      </c>
      <c r="B18" s="4" t="str">
        <f t="shared" si="1"/>
        <v>COORDINATE:MANAGE</v>
      </c>
      <c r="C18" s="4" t="str">
        <f t="shared" si="0"/>
        <v>coordinate management</v>
      </c>
      <c r="D18" s="4" t="s">
        <v>6390</v>
      </c>
      <c r="E18" s="5" t="s">
        <v>6443</v>
      </c>
      <c r="F18" s="16" t="str">
        <f t="shared" si="2"/>
        <v>(16,'COORDINATE:MANAGE','coordinate management','COORDINATE','MANAGE'),</v>
      </c>
    </row>
    <row r="19" spans="1:6" ht="20.149999999999999" customHeight="1" x14ac:dyDescent="0.35">
      <c r="A19" s="3">
        <v>17</v>
      </c>
      <c r="B19" s="4" t="str">
        <f t="shared" si="1"/>
        <v>STRUCTURE:MANAGE</v>
      </c>
      <c r="C19" s="4" t="str">
        <f t="shared" si="0"/>
        <v>structure management</v>
      </c>
      <c r="D19" s="4" t="s">
        <v>5770</v>
      </c>
      <c r="E19" s="5" t="s">
        <v>6443</v>
      </c>
      <c r="F19" s="16" t="str">
        <f t="shared" si="2"/>
        <v>(17,'STRUCTURE:MANAGE','structure management','STRUCTURE','MANAGE'),</v>
      </c>
    </row>
    <row r="20" spans="1:6" ht="20.149999999999999" customHeight="1" x14ac:dyDescent="0.35">
      <c r="A20" s="3">
        <v>18</v>
      </c>
      <c r="B20" s="4" t="str">
        <f t="shared" si="1"/>
        <v>JOB:MANAGE</v>
      </c>
      <c r="C20" s="4" t="str">
        <f t="shared" si="0"/>
        <v>job management</v>
      </c>
      <c r="D20" s="4" t="s">
        <v>5771</v>
      </c>
      <c r="E20" s="5" t="s">
        <v>6443</v>
      </c>
      <c r="F20" s="16" t="str">
        <f t="shared" si="2"/>
        <v>(18,'JOB:MANAGE','job management','JOB','MANAGE'),</v>
      </c>
    </row>
    <row r="21" spans="1:6" ht="20.149999999999999" customHeight="1" x14ac:dyDescent="0.35">
      <c r="A21" s="3">
        <v>19</v>
      </c>
      <c r="B21" s="4" t="str">
        <f t="shared" si="1"/>
        <v>PERSON:MANAGE</v>
      </c>
      <c r="C21" s="4" t="str">
        <f t="shared" si="0"/>
        <v>person management</v>
      </c>
      <c r="D21" s="4" t="s">
        <v>5772</v>
      </c>
      <c r="E21" s="5" t="s">
        <v>6443</v>
      </c>
      <c r="F21" s="16" t="str">
        <f t="shared" si="2"/>
        <v>(19,'PERSON:MANAGE','person management','PERSON','MANAGE'),</v>
      </c>
    </row>
    <row r="22" spans="1:6" ht="20.149999999999999" customHeight="1" x14ac:dyDescent="0.35">
      <c r="A22" s="3">
        <v>20</v>
      </c>
      <c r="B22" s="4" t="str">
        <f t="shared" si="1"/>
        <v>EMPLOYEE:MANAGE</v>
      </c>
      <c r="C22" s="4" t="str">
        <f t="shared" si="0"/>
        <v>employee management</v>
      </c>
      <c r="D22" s="4" t="s">
        <v>5773</v>
      </c>
      <c r="E22" s="5" t="s">
        <v>6443</v>
      </c>
      <c r="F22" s="16" t="str">
        <f t="shared" si="2"/>
        <v>(20,'EMPLOYEE:MANAGE','employee management','EMPLOYEE','MANAGE'),</v>
      </c>
    </row>
    <row r="23" spans="1:6" ht="20.149999999999999" customHeight="1" x14ac:dyDescent="0.35">
      <c r="A23" s="3">
        <v>21</v>
      </c>
      <c r="B23" s="4" t="str">
        <f t="shared" si="1"/>
        <v>COMPANY_TYPE:MANAGE</v>
      </c>
      <c r="C23" s="4" t="str">
        <f t="shared" si="0"/>
        <v>company_type management</v>
      </c>
      <c r="D23" s="4" t="s">
        <v>5774</v>
      </c>
      <c r="E23" s="5" t="s">
        <v>6443</v>
      </c>
      <c r="F23" s="16" t="str">
        <f t="shared" si="2"/>
        <v>(21,'COMPANY_TYPE:MANAGE','company_type management','COMPANY_TYPE','MANAGE'),</v>
      </c>
    </row>
    <row r="24" spans="1:6" ht="20.149999999999999" customHeight="1" x14ac:dyDescent="0.35">
      <c r="A24" s="3">
        <v>22</v>
      </c>
      <c r="B24" s="4" t="str">
        <f t="shared" si="1"/>
        <v>PARTNER_TYPE:MANAGE</v>
      </c>
      <c r="C24" s="4" t="str">
        <f t="shared" si="0"/>
        <v>partner_type management</v>
      </c>
      <c r="D24" s="4" t="s">
        <v>5775</v>
      </c>
      <c r="E24" s="5" t="s">
        <v>6443</v>
      </c>
      <c r="F24" s="16" t="str">
        <f t="shared" si="2"/>
        <v>(22,'PARTNER_TYPE:MANAGE','partner_type management','PARTNER_TYPE','MANAGE'),</v>
      </c>
    </row>
    <row r="25" spans="1:6" ht="20.149999999999999" customHeight="1" x14ac:dyDescent="0.35">
      <c r="A25" s="3">
        <v>23</v>
      </c>
      <c r="B25" s="4" t="str">
        <f t="shared" si="1"/>
        <v>VENDOR_TYPE:MANAGE</v>
      </c>
      <c r="C25" s="4" t="str">
        <f t="shared" si="0"/>
        <v>vendor_type management</v>
      </c>
      <c r="D25" s="4" t="s">
        <v>5776</v>
      </c>
      <c r="E25" s="5" t="s">
        <v>6443</v>
      </c>
      <c r="F25" s="16" t="str">
        <f t="shared" si="2"/>
        <v>(23,'VENDOR_TYPE:MANAGE','vendor_type management','VENDOR_TYPE','MANAGE'),</v>
      </c>
    </row>
    <row r="26" spans="1:6" ht="20.149999999999999" customHeight="1" x14ac:dyDescent="0.35">
      <c r="A26" s="3">
        <v>24</v>
      </c>
      <c r="B26" s="4" t="str">
        <f t="shared" si="1"/>
        <v>FACILITY_TYPE:MANAGE</v>
      </c>
      <c r="C26" s="4" t="str">
        <f t="shared" si="0"/>
        <v>facility_type management</v>
      </c>
      <c r="D26" s="4" t="s">
        <v>5777</v>
      </c>
      <c r="E26" s="5" t="s">
        <v>6443</v>
      </c>
      <c r="F26" s="16" t="str">
        <f t="shared" si="2"/>
        <v>(24,'FACILITY_TYPE:MANAGE','facility_type management','FACILITY_TYPE','MANAGE'),</v>
      </c>
    </row>
    <row r="27" spans="1:6" ht="20.149999999999999" customHeight="1" x14ac:dyDescent="0.35">
      <c r="A27" s="3">
        <v>25</v>
      </c>
      <c r="B27" s="4" t="str">
        <f t="shared" si="1"/>
        <v>STATION_TYPE:MANAGE</v>
      </c>
      <c r="C27" s="4" t="str">
        <f t="shared" si="0"/>
        <v>station_type management</v>
      </c>
      <c r="D27" s="4" t="s">
        <v>5778</v>
      </c>
      <c r="E27" s="5" t="s">
        <v>6443</v>
      </c>
      <c r="F27" s="16" t="str">
        <f t="shared" si="2"/>
        <v>(25,'STATION_TYPE:MANAGE','station_type management','STATION_TYPE','MANAGE'),</v>
      </c>
    </row>
    <row r="28" spans="1:6" ht="20.149999999999999" customHeight="1" x14ac:dyDescent="0.35">
      <c r="A28" s="3">
        <v>26</v>
      </c>
      <c r="B28" s="4" t="str">
        <f t="shared" si="1"/>
        <v>TERMINAL_TYPE:MANAGE</v>
      </c>
      <c r="C28" s="4" t="str">
        <f t="shared" si="0"/>
        <v>terminal_type management</v>
      </c>
      <c r="D28" s="4" t="s">
        <v>5779</v>
      </c>
      <c r="E28" s="5" t="s">
        <v>6443</v>
      </c>
      <c r="F28" s="16" t="str">
        <f t="shared" si="2"/>
        <v>(26,'TERMINAL_TYPE:MANAGE','terminal_type management','TERMINAL_TYPE','MANAGE'),</v>
      </c>
    </row>
    <row r="29" spans="1:6" ht="20.149999999999999" customHeight="1" x14ac:dyDescent="0.35">
      <c r="A29" s="3">
        <v>27</v>
      </c>
      <c r="B29" s="4" t="str">
        <f t="shared" si="1"/>
        <v>PROCESSING_PLANT_TYPE:MANAGE</v>
      </c>
      <c r="C29" s="4" t="str">
        <f t="shared" si="0"/>
        <v>processing_plant_type management</v>
      </c>
      <c r="D29" s="4" t="s">
        <v>5802</v>
      </c>
      <c r="E29" s="5" t="s">
        <v>6443</v>
      </c>
      <c r="F29" s="16" t="str">
        <f t="shared" si="2"/>
        <v>(27,'PROCESSING_PLANT_TYPE:MANAGE','processing_plant_type management','PROCESSING_PLANT_TYPE','MANAGE'),</v>
      </c>
    </row>
    <row r="30" spans="1:6" ht="20.149999999999999" customHeight="1" x14ac:dyDescent="0.35">
      <c r="A30" s="3">
        <v>28</v>
      </c>
      <c r="B30" s="4" t="str">
        <f t="shared" si="1"/>
        <v>PRODUCTION_FIELD_TYPE:MANAGE</v>
      </c>
      <c r="C30" s="4" t="str">
        <f t="shared" si="0"/>
        <v>production_field_type management</v>
      </c>
      <c r="D30" s="4" t="s">
        <v>5803</v>
      </c>
      <c r="E30" s="5" t="s">
        <v>6443</v>
      </c>
      <c r="F30" s="16" t="str">
        <f t="shared" si="2"/>
        <v>(28,'PRODUCTION_FIELD_TYPE:MANAGE','production_field_type management','PRODUCTION_FIELD_TYPE','MANAGE'),</v>
      </c>
    </row>
    <row r="31" spans="1:6" ht="20.149999999999999" customHeight="1" x14ac:dyDescent="0.35">
      <c r="A31" s="3">
        <v>29</v>
      </c>
      <c r="B31" s="4" t="str">
        <f t="shared" si="1"/>
        <v>EQUIPMENT_TYPE:MANAGE</v>
      </c>
      <c r="C31" s="4" t="str">
        <f t="shared" si="0"/>
        <v>equipment_type management</v>
      </c>
      <c r="D31" s="4" t="s">
        <v>5780</v>
      </c>
      <c r="E31" s="5" t="s">
        <v>6443</v>
      </c>
      <c r="F31" s="16" t="str">
        <f t="shared" si="2"/>
        <v>(29,'EQUIPMENT_TYPE:MANAGE','equipment_type management','EQUIPMENT_TYPE','MANAGE'),</v>
      </c>
    </row>
    <row r="32" spans="1:6" ht="20.149999999999999" customHeight="1" x14ac:dyDescent="0.35">
      <c r="A32" s="3">
        <v>30</v>
      </c>
      <c r="B32" s="4" t="str">
        <f t="shared" si="1"/>
        <v>PRODUCT:MANAGE</v>
      </c>
      <c r="C32" s="4" t="str">
        <f t="shared" si="0"/>
        <v>product management</v>
      </c>
      <c r="D32" s="4" t="s">
        <v>5783</v>
      </c>
      <c r="E32" s="5" t="s">
        <v>6443</v>
      </c>
      <c r="F32" s="16" t="str">
        <f t="shared" si="2"/>
        <v>(30,'PRODUCT:MANAGE','product management','PRODUCT','MANAGE'),</v>
      </c>
    </row>
    <row r="33" spans="1:6" ht="20.149999999999999" customHeight="1" x14ac:dyDescent="0.35">
      <c r="A33" s="3">
        <v>31</v>
      </c>
      <c r="B33" s="4" t="str">
        <f t="shared" si="1"/>
        <v>OPERATIONAL_STATUS:MANAGE</v>
      </c>
      <c r="C33" s="4" t="str">
        <f t="shared" si="0"/>
        <v>operational_status management</v>
      </c>
      <c r="D33" s="4" t="s">
        <v>5784</v>
      </c>
      <c r="E33" s="5" t="s">
        <v>6443</v>
      </c>
      <c r="F33" s="16" t="str">
        <f t="shared" si="2"/>
        <v>(31,'OPERATIONAL_STATUS:MANAGE','operational_status management','OPERATIONAL_STATUS','MANAGE'),</v>
      </c>
    </row>
    <row r="34" spans="1:6" ht="20.149999999999999" customHeight="1" x14ac:dyDescent="0.35">
      <c r="A34" s="3">
        <v>32</v>
      </c>
      <c r="B34" s="4" t="str">
        <f t="shared" si="1"/>
        <v>ALLOY:MANAGE</v>
      </c>
      <c r="C34" s="4" t="str">
        <f t="shared" si="0"/>
        <v>alloy management</v>
      </c>
      <c r="D34" s="4" t="s">
        <v>5785</v>
      </c>
      <c r="E34" s="5" t="s">
        <v>6443</v>
      </c>
      <c r="F34" s="16" t="str">
        <f t="shared" si="2"/>
        <v>(32,'ALLOY:MANAGE','alloy management','ALLOY','MANAGE'),</v>
      </c>
    </row>
    <row r="35" spans="1:6" ht="20.149999999999999" customHeight="1" x14ac:dyDescent="0.35">
      <c r="A35" s="3">
        <v>33</v>
      </c>
      <c r="B35" s="4" t="str">
        <f t="shared" si="1"/>
        <v>PARTNER:MANAGE</v>
      </c>
      <c r="C35" s="4" t="str">
        <f t="shared" ref="C35:C61" si="3">CONCATENATE(LOWER(D35)," management")</f>
        <v>partner management</v>
      </c>
      <c r="D35" s="4" t="s">
        <v>5786</v>
      </c>
      <c r="E35" s="5" t="s">
        <v>6443</v>
      </c>
      <c r="F35" s="16" t="str">
        <f t="shared" si="2"/>
        <v>(33,'PARTNER:MANAGE','partner management','PARTNER','MANAGE'),</v>
      </c>
    </row>
    <row r="36" spans="1:6" ht="20.149999999999999" customHeight="1" x14ac:dyDescent="0.35">
      <c r="A36" s="3">
        <v>34</v>
      </c>
      <c r="B36" s="4" t="str">
        <f t="shared" si="1"/>
        <v>VENDOR:MANAGE</v>
      </c>
      <c r="C36" s="4" t="str">
        <f t="shared" si="3"/>
        <v>vendor management</v>
      </c>
      <c r="D36" s="4" t="s">
        <v>5787</v>
      </c>
      <c r="E36" s="5" t="s">
        <v>6443</v>
      </c>
      <c r="F36" s="16" t="str">
        <f t="shared" si="2"/>
        <v>(34,'VENDOR:MANAGE','vendor management','VENDOR','MANAGE'),</v>
      </c>
    </row>
    <row r="37" spans="1:6" ht="20.149999999999999" customHeight="1" x14ac:dyDescent="0.35">
      <c r="A37" s="3">
        <v>35</v>
      </c>
      <c r="B37" s="4" t="str">
        <f t="shared" si="1"/>
        <v>INFRASTRUCTURE:MANAGE</v>
      </c>
      <c r="C37" s="4" t="str">
        <f t="shared" si="3"/>
        <v>infrastructure management</v>
      </c>
      <c r="D37" s="4" t="s">
        <v>5788</v>
      </c>
      <c r="E37" s="5" t="s">
        <v>6443</v>
      </c>
      <c r="F37" s="16" t="str">
        <f t="shared" si="2"/>
        <v>(35,'INFRASTRUCTURE:MANAGE','infrastructure management','INFRASTRUCTURE','MANAGE'),</v>
      </c>
    </row>
    <row r="38" spans="1:6" ht="20.149999999999999" customHeight="1" x14ac:dyDescent="0.35">
      <c r="A38" s="3">
        <v>36</v>
      </c>
      <c r="B38" s="4" t="str">
        <f t="shared" si="1"/>
        <v>FACILITY:MANAGE</v>
      </c>
      <c r="C38" s="4" t="str">
        <f t="shared" si="3"/>
        <v>facility management</v>
      </c>
      <c r="D38" s="4" t="s">
        <v>5789</v>
      </c>
      <c r="E38" s="5" t="s">
        <v>6443</v>
      </c>
      <c r="F38" s="16" t="str">
        <f t="shared" si="2"/>
        <v>(36,'FACILITY:MANAGE','facility management','FACILITY','MANAGE'),</v>
      </c>
    </row>
    <row r="39" spans="1:6" ht="20.149999999999999" customHeight="1" x14ac:dyDescent="0.35">
      <c r="A39" s="3">
        <v>37</v>
      </c>
      <c r="B39" s="4" t="str">
        <f t="shared" si="1"/>
        <v>PIPELINE_SYSTEM:MANAGE</v>
      </c>
      <c r="C39" s="4" t="str">
        <f t="shared" si="3"/>
        <v>pipeline_system management</v>
      </c>
      <c r="D39" s="4" t="s">
        <v>5790</v>
      </c>
      <c r="E39" s="5" t="s">
        <v>6443</v>
      </c>
      <c r="F39" s="16" t="str">
        <f t="shared" si="2"/>
        <v>(37,'PIPELINE_SYSTEM:MANAGE','pipeline_system management','PIPELINE_SYSTEM','MANAGE'),</v>
      </c>
    </row>
    <row r="40" spans="1:6" ht="20.149999999999999" customHeight="1" x14ac:dyDescent="0.35">
      <c r="A40" s="3">
        <v>38</v>
      </c>
      <c r="B40" s="4" t="str">
        <f t="shared" si="1"/>
        <v>PIPELINE:MANAGE</v>
      </c>
      <c r="C40" s="4" t="str">
        <f t="shared" si="3"/>
        <v>pipeline management</v>
      </c>
      <c r="D40" s="4" t="s">
        <v>5791</v>
      </c>
      <c r="E40" s="5" t="s">
        <v>6443</v>
      </c>
      <c r="F40" s="16" t="str">
        <f t="shared" si="2"/>
        <v>(38,'PIPELINE:MANAGE','pipeline management','PIPELINE','MANAGE'),</v>
      </c>
    </row>
    <row r="41" spans="1:6" ht="20.149999999999999" customHeight="1" x14ac:dyDescent="0.35">
      <c r="A41" s="3">
        <v>39</v>
      </c>
      <c r="B41" s="4" t="str">
        <f t="shared" si="1"/>
        <v>PIPELINE_SEGMENT:MANAGE</v>
      </c>
      <c r="C41" s="4" t="str">
        <f t="shared" si="3"/>
        <v>pipeline_segment management</v>
      </c>
      <c r="D41" s="4" t="s">
        <v>5792</v>
      </c>
      <c r="E41" s="5" t="s">
        <v>6443</v>
      </c>
      <c r="F41" s="16" t="str">
        <f t="shared" si="2"/>
        <v>(39,'PIPELINE_SEGMENT:MANAGE','pipeline_segment management','PIPELINE_SEGMENT','MANAGE'),</v>
      </c>
    </row>
    <row r="42" spans="1:6" ht="20.149999999999999" customHeight="1" x14ac:dyDescent="0.35">
      <c r="A42" s="3">
        <v>40</v>
      </c>
      <c r="B42" s="4" t="str">
        <f t="shared" si="1"/>
        <v>STATION:MANAGE</v>
      </c>
      <c r="C42" s="4" t="str">
        <f t="shared" si="3"/>
        <v>station management</v>
      </c>
      <c r="D42" s="4" t="s">
        <v>5793</v>
      </c>
      <c r="E42" s="5" t="s">
        <v>6443</v>
      </c>
      <c r="F42" s="16" t="str">
        <f t="shared" si="2"/>
        <v>(40,'STATION:MANAGE','station management','STATION','MANAGE'),</v>
      </c>
    </row>
    <row r="43" spans="1:6" ht="20.149999999999999" customHeight="1" x14ac:dyDescent="0.35">
      <c r="A43" s="3">
        <v>41</v>
      </c>
      <c r="B43" s="4" t="str">
        <f t="shared" si="1"/>
        <v>TERMINAL:MANAGE</v>
      </c>
      <c r="C43" s="4" t="str">
        <f t="shared" si="3"/>
        <v>terminal management</v>
      </c>
      <c r="D43" s="4" t="s">
        <v>5794</v>
      </c>
      <c r="E43" s="5" t="s">
        <v>6443</v>
      </c>
      <c r="F43" s="16" t="str">
        <f t="shared" si="2"/>
        <v>(41,'TERMINAL:MANAGE','terminal management','TERMINAL','MANAGE'),</v>
      </c>
    </row>
    <row r="44" spans="1:6" ht="20.149999999999999" customHeight="1" x14ac:dyDescent="0.35">
      <c r="A44" s="3">
        <v>42</v>
      </c>
      <c r="B44" s="4" t="str">
        <f t="shared" si="1"/>
        <v>PROCESSING_PLANT:MANAGE</v>
      </c>
      <c r="C44" s="4" t="str">
        <f t="shared" si="3"/>
        <v>processing_plant management</v>
      </c>
      <c r="D44" s="4" t="s">
        <v>5804</v>
      </c>
      <c r="E44" s="5" t="s">
        <v>6443</v>
      </c>
      <c r="F44" s="16" t="str">
        <f t="shared" si="2"/>
        <v>(42,'PROCESSING_PLANT:MANAGE','processing_plant management','PROCESSING_PLANT','MANAGE'),</v>
      </c>
    </row>
    <row r="45" spans="1:6" ht="20.149999999999999" customHeight="1" x14ac:dyDescent="0.35">
      <c r="A45" s="3">
        <v>43</v>
      </c>
      <c r="B45" s="4" t="str">
        <f t="shared" si="1"/>
        <v>PRODUCTION_FIELD:MANAGE</v>
      </c>
      <c r="C45" s="4" t="str">
        <f t="shared" si="3"/>
        <v>production_field management</v>
      </c>
      <c r="D45" s="4" t="s">
        <v>5805</v>
      </c>
      <c r="E45" s="5" t="s">
        <v>6443</v>
      </c>
      <c r="F45" s="16" t="str">
        <f t="shared" si="2"/>
        <v>(43,'PRODUCTION_FIELD:MANAGE','production_field management','PRODUCTION_FIELD','MANAGE'),</v>
      </c>
    </row>
    <row r="46" spans="1:6" ht="20.149999999999999" customHeight="1" x14ac:dyDescent="0.35">
      <c r="A46" s="3">
        <v>44</v>
      </c>
      <c r="B46" s="4" t="str">
        <f t="shared" si="1"/>
        <v>EQUIPMENT:MANAGE</v>
      </c>
      <c r="C46" s="4" t="str">
        <f t="shared" si="3"/>
        <v>equipment management</v>
      </c>
      <c r="D46" s="4" t="s">
        <v>5795</v>
      </c>
      <c r="E46" s="5" t="s">
        <v>6443</v>
      </c>
      <c r="F46" s="16" t="str">
        <f t="shared" si="2"/>
        <v>(44,'EQUIPMENT:MANAGE','equipment management','EQUIPMENT','MANAGE'),</v>
      </c>
    </row>
    <row r="47" spans="1:6" ht="20.149999999999999" customHeight="1" x14ac:dyDescent="0.35">
      <c r="A47" s="3">
        <v>45</v>
      </c>
      <c r="B47" s="4" t="str">
        <f t="shared" si="1"/>
        <v>EVENT_TYPE:MANAGE</v>
      </c>
      <c r="C47" s="4" t="str">
        <f t="shared" si="3"/>
        <v>event_type management</v>
      </c>
      <c r="D47" s="4" t="s">
        <v>6392</v>
      </c>
      <c r="E47" s="5" t="s">
        <v>6443</v>
      </c>
      <c r="F47" s="16" t="str">
        <f t="shared" si="2"/>
        <v>(45,'EVENT_TYPE:MANAGE','event_type management','EVENT_TYPE','MANAGE'),</v>
      </c>
    </row>
    <row r="48" spans="1:6" ht="20.149999999999999" customHeight="1" x14ac:dyDescent="0.35">
      <c r="A48" s="3">
        <v>46</v>
      </c>
      <c r="B48" s="4" t="str">
        <f t="shared" si="1"/>
        <v>OPERATION_TYPE:MANAGE</v>
      </c>
      <c r="C48" s="4" t="str">
        <f t="shared" si="3"/>
        <v>operation_type management</v>
      </c>
      <c r="D48" s="4" t="s">
        <v>6391</v>
      </c>
      <c r="E48" s="5" t="s">
        <v>6443</v>
      </c>
      <c r="F48" s="16" t="str">
        <f t="shared" si="2"/>
        <v>(46,'OPERATION_TYPE:MANAGE','operation_type management','OPERATION_TYPE','MANAGE'),</v>
      </c>
    </row>
    <row r="49" spans="1:6" ht="20.149999999999999" customHeight="1" x14ac:dyDescent="0.35">
      <c r="A49" s="3">
        <v>47</v>
      </c>
      <c r="B49" s="4" t="str">
        <f t="shared" si="1"/>
        <v>EVENT_STATUS:MANAGE</v>
      </c>
      <c r="C49" s="4" t="str">
        <f t="shared" si="3"/>
        <v>event_status management</v>
      </c>
      <c r="D49" s="4" t="s">
        <v>6395</v>
      </c>
      <c r="E49" s="5" t="s">
        <v>6443</v>
      </c>
      <c r="F49" s="16" t="str">
        <f t="shared" si="2"/>
        <v>(47,'EVENT_STATUS:MANAGE','event_status management','EVENT_STATUS','MANAGE'),</v>
      </c>
    </row>
    <row r="50" spans="1:6" ht="20.149999999999999" customHeight="1" x14ac:dyDescent="0.35">
      <c r="A50" s="3">
        <v>48</v>
      </c>
      <c r="B50" s="4" t="str">
        <f t="shared" si="1"/>
        <v>ALERT_STATUS:MANAGE</v>
      </c>
      <c r="C50" s="4" t="str">
        <f t="shared" si="3"/>
        <v>alert_status management</v>
      </c>
      <c r="D50" s="4" t="s">
        <v>6393</v>
      </c>
      <c r="E50" s="5" t="s">
        <v>6443</v>
      </c>
      <c r="F50" s="16" t="str">
        <f t="shared" si="2"/>
        <v>(48,'ALERT_STATUS:MANAGE','alert_status management','ALERT_STATUS','MANAGE'),</v>
      </c>
    </row>
    <row r="51" spans="1:6" ht="20.149999999999999" customHeight="1" x14ac:dyDescent="0.35">
      <c r="A51" s="3">
        <v>49</v>
      </c>
      <c r="B51" s="4" t="str">
        <f t="shared" si="1"/>
        <v>SEVERITY:MANAGE</v>
      </c>
      <c r="C51" s="4" t="str">
        <f t="shared" si="3"/>
        <v>severity management</v>
      </c>
      <c r="D51" s="4" t="s">
        <v>6397</v>
      </c>
      <c r="E51" s="5" t="s">
        <v>6443</v>
      </c>
      <c r="F51" s="16" t="str">
        <f t="shared" si="2"/>
        <v>(49,'SEVERITY:MANAGE','severity management','SEVERITY','MANAGE'),</v>
      </c>
    </row>
    <row r="52" spans="1:6" ht="20.149999999999999" customHeight="1" x14ac:dyDescent="0.35">
      <c r="A52" s="3">
        <v>50</v>
      </c>
      <c r="B52" s="4" t="str">
        <f t="shared" si="1"/>
        <v>DATA_SOURCE:MANAGE</v>
      </c>
      <c r="C52" s="4" t="str">
        <f t="shared" si="3"/>
        <v>data_source management</v>
      </c>
      <c r="D52" s="4" t="s">
        <v>6394</v>
      </c>
      <c r="E52" s="5" t="s">
        <v>6443</v>
      </c>
      <c r="F52" s="16" t="str">
        <f t="shared" si="2"/>
        <v>(50,'DATA_SOURCE:MANAGE','data_source management','DATA_SOURCE','MANAGE'),</v>
      </c>
    </row>
    <row r="53" spans="1:6" ht="20.149999999999999" customHeight="1" x14ac:dyDescent="0.35">
      <c r="A53" s="3">
        <v>51</v>
      </c>
      <c r="B53" s="4" t="str">
        <f t="shared" si="1"/>
        <v>QUALITY_FLAG:MANAGE</v>
      </c>
      <c r="C53" s="4" t="str">
        <f t="shared" si="3"/>
        <v>quality_flag management</v>
      </c>
      <c r="D53" s="4" t="s">
        <v>6396</v>
      </c>
      <c r="E53" s="5" t="s">
        <v>6443</v>
      </c>
      <c r="F53" s="16" t="str">
        <f t="shared" si="2"/>
        <v>(51,'QUALITY_FLAG:MANAGE','quality_flag management','QUALITY_FLAG','MANAGE'),</v>
      </c>
    </row>
    <row r="54" spans="1:6" ht="20.149999999999999" customHeight="1" x14ac:dyDescent="0.35">
      <c r="A54" s="3">
        <v>52</v>
      </c>
      <c r="B54" s="4" t="str">
        <f t="shared" si="1"/>
        <v>VALIDATION_STATUS:MANAGE</v>
      </c>
      <c r="C54" s="4" t="str">
        <f t="shared" si="3"/>
        <v>validation_status management</v>
      </c>
      <c r="D54" s="4" t="s">
        <v>6398</v>
      </c>
      <c r="E54" s="5" t="s">
        <v>6443</v>
      </c>
      <c r="F54" s="16" t="str">
        <f t="shared" si="2"/>
        <v>(52,'VALIDATION_STATUS:MANAGE','validation_status management','VALIDATION_STATUS','MANAGE'),</v>
      </c>
    </row>
    <row r="55" spans="1:6" ht="20.149999999999999" customHeight="1" x14ac:dyDescent="0.35">
      <c r="A55" s="3">
        <v>53</v>
      </c>
      <c r="B55" s="4" t="str">
        <f t="shared" si="1"/>
        <v>READING_SLOT:MANAGE</v>
      </c>
      <c r="C55" s="4" t="str">
        <f t="shared" si="3"/>
        <v>reading_slot management</v>
      </c>
      <c r="D55" s="4" t="s">
        <v>6399</v>
      </c>
      <c r="E55" s="5" t="s">
        <v>6443</v>
      </c>
      <c r="F55" s="16" t="str">
        <f t="shared" si="2"/>
        <v>(53,'READING_SLOT:MANAGE','reading_slot management','READING_SLOT','MANAGE'),</v>
      </c>
    </row>
    <row r="56" spans="1:6" ht="20.149999999999999" customHeight="1" x14ac:dyDescent="0.35">
      <c r="A56" s="3">
        <v>54</v>
      </c>
      <c r="B56" s="4" t="str">
        <f t="shared" si="1"/>
        <v>FLOW_OPERATION:MANAGE</v>
      </c>
      <c r="C56" s="4" t="str">
        <f t="shared" si="3"/>
        <v>flow_operation management</v>
      </c>
      <c r="D56" s="4" t="s">
        <v>6400</v>
      </c>
      <c r="E56" s="5" t="s">
        <v>6443</v>
      </c>
      <c r="F56" s="16" t="str">
        <f t="shared" si="2"/>
        <v>(54,'FLOW_OPERATION:MANAGE','flow_operation management','FLOW_OPERATION','MANAGE'),</v>
      </c>
    </row>
    <row r="57" spans="1:6" ht="20.149999999999999" customHeight="1" x14ac:dyDescent="0.35">
      <c r="A57" s="3">
        <v>55</v>
      </c>
      <c r="B57" s="4" t="str">
        <f t="shared" si="1"/>
        <v>FLOW_FORECAST:MANAGE</v>
      </c>
      <c r="C57" s="4" t="str">
        <f t="shared" si="3"/>
        <v>flow_forecast management</v>
      </c>
      <c r="D57" s="4" t="s">
        <v>6401</v>
      </c>
      <c r="E57" s="5" t="s">
        <v>6443</v>
      </c>
      <c r="F57" s="16" t="str">
        <f t="shared" si="2"/>
        <v>(55,'FLOW_FORECAST:MANAGE','flow_forecast management','FLOW_FORECAST','MANAGE'),</v>
      </c>
    </row>
    <row r="58" spans="1:6" ht="20.149999999999999" customHeight="1" x14ac:dyDescent="0.35">
      <c r="A58" s="3">
        <v>56</v>
      </c>
      <c r="B58" s="4" t="str">
        <f t="shared" si="1"/>
        <v>FLOW_READING:MANAGE</v>
      </c>
      <c r="C58" s="4" t="str">
        <f t="shared" si="3"/>
        <v>flow_reading management</v>
      </c>
      <c r="D58" s="4" t="s">
        <v>6402</v>
      </c>
      <c r="E58" s="5" t="s">
        <v>6443</v>
      </c>
      <c r="F58" s="16" t="str">
        <f t="shared" si="2"/>
        <v>(56,'FLOW_READING:MANAGE','flow_reading management','FLOW_READING','MANAGE'),</v>
      </c>
    </row>
    <row r="59" spans="1:6" ht="20.149999999999999" customHeight="1" x14ac:dyDescent="0.35">
      <c r="A59" s="3">
        <v>57</v>
      </c>
      <c r="B59" s="4" t="str">
        <f t="shared" si="1"/>
        <v>FLOW_EVENT:MANAGE</v>
      </c>
      <c r="C59" s="4" t="str">
        <f t="shared" si="3"/>
        <v>flow_event management</v>
      </c>
      <c r="D59" s="4" t="s">
        <v>6405</v>
      </c>
      <c r="E59" s="5" t="s">
        <v>6443</v>
      </c>
      <c r="F59" s="16" t="str">
        <f t="shared" si="2"/>
        <v>(57,'FLOW_EVENT:MANAGE','flow_event management','FLOW_EVENT','MANAGE'),</v>
      </c>
    </row>
    <row r="60" spans="1:6" ht="20.149999999999999" customHeight="1" x14ac:dyDescent="0.35">
      <c r="A60" s="3">
        <v>58</v>
      </c>
      <c r="B60" s="4" t="str">
        <f t="shared" si="1"/>
        <v>FLOW_ALERT:MANAGE</v>
      </c>
      <c r="C60" s="4" t="str">
        <f t="shared" si="3"/>
        <v>flow_alert management</v>
      </c>
      <c r="D60" s="4" t="s">
        <v>6404</v>
      </c>
      <c r="E60" s="5" t="s">
        <v>6443</v>
      </c>
      <c r="F60" s="16" t="str">
        <f t="shared" si="2"/>
        <v>(58,'FLOW_ALERT:MANAGE','flow_alert management','FLOW_ALERT','MANAGE'),</v>
      </c>
    </row>
    <row r="61" spans="1:6" ht="20.149999999999999" customHeight="1" x14ac:dyDescent="0.35">
      <c r="A61" s="3">
        <v>59</v>
      </c>
      <c r="B61" s="4" t="str">
        <f t="shared" si="1"/>
        <v>FLOW_THRESHOLD:MANAGE</v>
      </c>
      <c r="C61" s="4" t="str">
        <f t="shared" si="3"/>
        <v>flow_threshold management</v>
      </c>
      <c r="D61" s="4" t="s">
        <v>6403</v>
      </c>
      <c r="E61" s="5" t="s">
        <v>6443</v>
      </c>
      <c r="F61" s="16" t="str">
        <f t="shared" si="2"/>
        <v>(59,'FLOW_THRESHOLD:MANAGE','flow_threshold management','FLOW_THRESHOLD','MANAGE'),</v>
      </c>
    </row>
    <row r="62" spans="1:6" ht="20.149999999999999" customHeight="1" x14ac:dyDescent="0.35">
      <c r="A62" s="3">
        <v>101</v>
      </c>
      <c r="B62" s="4" t="str">
        <f t="shared" si="1"/>
        <v>PARAMETER:EXECUTE</v>
      </c>
      <c r="C62" s="4" t="str">
        <f t="shared" ref="C62:C93" si="4">CONCATENATE(LOWER(D62)," execution")</f>
        <v>parameter execution</v>
      </c>
      <c r="D62" s="4" t="s">
        <v>6388</v>
      </c>
      <c r="E62" s="5" t="s">
        <v>6444</v>
      </c>
      <c r="F62" s="16" t="str">
        <f t="shared" si="2"/>
        <v>(101,'PARAMETER:EXECUTE','parameter execution','PARAMETER','EXECUTE'),</v>
      </c>
    </row>
    <row r="63" spans="1:6" ht="20.149999999999999" customHeight="1" x14ac:dyDescent="0.35">
      <c r="A63" s="3">
        <v>102</v>
      </c>
      <c r="B63" s="4" t="str">
        <f t="shared" si="1"/>
        <v>FILE:EXECUTE</v>
      </c>
      <c r="C63" s="4" t="str">
        <f t="shared" si="4"/>
        <v>file execution</v>
      </c>
      <c r="D63" s="4" t="s">
        <v>6389</v>
      </c>
      <c r="E63" s="5" t="s">
        <v>6444</v>
      </c>
      <c r="F63" s="16" t="str">
        <f t="shared" si="2"/>
        <v>(102,'FILE:EXECUTE','file execution','FILE','EXECUTE'),</v>
      </c>
    </row>
    <row r="64" spans="1:6" ht="20.149999999999999" customHeight="1" x14ac:dyDescent="0.35">
      <c r="A64" s="3">
        <v>103</v>
      </c>
      <c r="B64" s="4" t="str">
        <f t="shared" si="1"/>
        <v>GROUP:EXECUTE</v>
      </c>
      <c r="C64" s="4" t="str">
        <f t="shared" si="4"/>
        <v>group execution</v>
      </c>
      <c r="D64" s="4" t="s">
        <v>5759</v>
      </c>
      <c r="E64" s="5" t="s">
        <v>6444</v>
      </c>
      <c r="F64" s="16" t="str">
        <f t="shared" si="2"/>
        <v>(103,'GROUP:EXECUTE','group execution','GROUP','EXECUTE'),</v>
      </c>
    </row>
    <row r="65" spans="1:6" ht="20.149999999999999" customHeight="1" x14ac:dyDescent="0.35">
      <c r="A65" s="3">
        <v>104</v>
      </c>
      <c r="B65" s="4" t="str">
        <f t="shared" si="1"/>
        <v>USER:EXECUTE</v>
      </c>
      <c r="C65" s="4" t="str">
        <f t="shared" si="4"/>
        <v>user execution</v>
      </c>
      <c r="D65" s="4" t="s">
        <v>5760</v>
      </c>
      <c r="E65" s="5" t="s">
        <v>6444</v>
      </c>
      <c r="F65" s="16" t="str">
        <f t="shared" si="2"/>
        <v>(104,'USER:EXECUTE','user execution','USER','EXECUTE'),</v>
      </c>
    </row>
    <row r="66" spans="1:6" ht="20.149999999999999" customHeight="1" x14ac:dyDescent="0.35">
      <c r="A66" s="3">
        <v>105</v>
      </c>
      <c r="B66" s="4" t="str">
        <f t="shared" si="1"/>
        <v>ROLE:EXECUTE</v>
      </c>
      <c r="C66" s="4" t="str">
        <f t="shared" si="4"/>
        <v>role execution</v>
      </c>
      <c r="D66" s="4" t="s">
        <v>5761</v>
      </c>
      <c r="E66" s="5" t="s">
        <v>6444</v>
      </c>
      <c r="F66" s="16" t="str">
        <f t="shared" si="2"/>
        <v>(105,'ROLE:EXECUTE','role execution','ROLE','EXECUTE'),</v>
      </c>
    </row>
    <row r="67" spans="1:6" ht="20.149999999999999" customHeight="1" x14ac:dyDescent="0.35">
      <c r="A67" s="3">
        <v>106</v>
      </c>
      <c r="B67" s="4" t="str">
        <f t="shared" si="1"/>
        <v>PERMISSION:EXECUTE</v>
      </c>
      <c r="C67" s="4" t="str">
        <f t="shared" si="4"/>
        <v>permission execution</v>
      </c>
      <c r="D67" s="4" t="s">
        <v>5762</v>
      </c>
      <c r="E67" s="5" t="s">
        <v>6444</v>
      </c>
      <c r="F67" s="16" t="str">
        <f t="shared" si="2"/>
        <v>(106,'PERMISSION:EXECUTE','permission execution','PERMISSION','EXECUTE'),</v>
      </c>
    </row>
    <row r="68" spans="1:6" ht="20.149999999999999" customHeight="1" x14ac:dyDescent="0.35">
      <c r="A68" s="3">
        <v>107</v>
      </c>
      <c r="B68" s="4" t="str">
        <f t="shared" ref="B68:B131" si="5">CONCATENATE(D68,":",E68)</f>
        <v>AUTHORITY:EXECUTE</v>
      </c>
      <c r="C68" s="4" t="str">
        <f t="shared" si="4"/>
        <v>authority execution</v>
      </c>
      <c r="D68" s="4" t="s">
        <v>5763</v>
      </c>
      <c r="E68" s="5" t="s">
        <v>6444</v>
      </c>
      <c r="F68" s="16" t="str">
        <f t="shared" ref="F68:F131" si="6">CONCATENATE("(",A68,",'",B68,"','",C68,"','",D68,"','",E68,"'),")</f>
        <v>(107,'AUTHORITY:EXECUTE','authority execution','AUTHORITY','EXECUTE'),</v>
      </c>
    </row>
    <row r="69" spans="1:6" ht="20.149999999999999" customHeight="1" x14ac:dyDescent="0.35">
      <c r="A69" s="3">
        <v>108</v>
      </c>
      <c r="B69" s="4" t="str">
        <f t="shared" si="5"/>
        <v>AUDIT:EXECUTE</v>
      </c>
      <c r="C69" s="4" t="str">
        <f t="shared" si="4"/>
        <v>audit execution</v>
      </c>
      <c r="D69" s="4" t="s">
        <v>5764</v>
      </c>
      <c r="E69" s="5" t="s">
        <v>6444</v>
      </c>
      <c r="F69" s="16" t="str">
        <f t="shared" si="6"/>
        <v>(108,'AUDIT:EXECUTE','audit execution','AUDIT','EXECUTE'),</v>
      </c>
    </row>
    <row r="70" spans="1:6" ht="20.149999999999999" customHeight="1" x14ac:dyDescent="0.35">
      <c r="A70" s="3">
        <v>109</v>
      </c>
      <c r="B70" s="4" t="str">
        <f t="shared" si="5"/>
        <v>STRUCTURE_TYPE:EXECUTE</v>
      </c>
      <c r="C70" s="4" t="str">
        <f t="shared" si="4"/>
        <v>structure_type execution</v>
      </c>
      <c r="D70" s="4" t="s">
        <v>5769</v>
      </c>
      <c r="E70" s="5" t="s">
        <v>6444</v>
      </c>
      <c r="F70" s="16" t="str">
        <f t="shared" si="6"/>
        <v>(109,'STRUCTURE_TYPE:EXECUTE','structure_type execution','STRUCTURE_TYPE','EXECUTE'),</v>
      </c>
    </row>
    <row r="71" spans="1:6" ht="20.149999999999999" customHeight="1" x14ac:dyDescent="0.35">
      <c r="A71" s="3">
        <v>110</v>
      </c>
      <c r="B71" s="4" t="str">
        <f t="shared" si="5"/>
        <v>ZONE:EXECUTE</v>
      </c>
      <c r="C71" s="4" t="str">
        <f t="shared" si="4"/>
        <v>zone execution</v>
      </c>
      <c r="D71" s="4" t="s">
        <v>5781</v>
      </c>
      <c r="E71" s="5" t="s">
        <v>6444</v>
      </c>
      <c r="F71" s="16" t="str">
        <f t="shared" si="6"/>
        <v>(110,'ZONE:EXECUTE','zone execution','ZONE','EXECUTE'),</v>
      </c>
    </row>
    <row r="72" spans="1:6" ht="20.149999999999999" customHeight="1" x14ac:dyDescent="0.35">
      <c r="A72" s="3">
        <v>111</v>
      </c>
      <c r="B72" s="4" t="str">
        <f t="shared" si="5"/>
        <v>COUNTRY:EXECUTE</v>
      </c>
      <c r="C72" s="4" t="str">
        <f t="shared" si="4"/>
        <v>country execution</v>
      </c>
      <c r="D72" s="4" t="s">
        <v>5766</v>
      </c>
      <c r="E72" s="5" t="s">
        <v>6444</v>
      </c>
      <c r="F72" s="16" t="str">
        <f t="shared" si="6"/>
        <v>(111,'COUNTRY:EXECUTE','country execution','COUNTRY','EXECUTE'),</v>
      </c>
    </row>
    <row r="73" spans="1:6" ht="20.149999999999999" customHeight="1" x14ac:dyDescent="0.35">
      <c r="A73" s="3">
        <v>112</v>
      </c>
      <c r="B73" s="4" t="str">
        <f t="shared" si="5"/>
        <v>STATE:EXECUTE</v>
      </c>
      <c r="C73" s="4" t="str">
        <f t="shared" si="4"/>
        <v>state execution</v>
      </c>
      <c r="D73" s="4" t="s">
        <v>5767</v>
      </c>
      <c r="E73" s="5" t="s">
        <v>6444</v>
      </c>
      <c r="F73" s="16" t="str">
        <f t="shared" si="6"/>
        <v>(112,'STATE:EXECUTE','state execution','STATE','EXECUTE'),</v>
      </c>
    </row>
    <row r="74" spans="1:6" ht="20.149999999999999" customHeight="1" x14ac:dyDescent="0.35">
      <c r="A74" s="3">
        <v>113</v>
      </c>
      <c r="B74" s="4" t="str">
        <f t="shared" si="5"/>
        <v>DISTRICT:EXECUTE</v>
      </c>
      <c r="C74" s="4" t="str">
        <f t="shared" si="4"/>
        <v>district execution</v>
      </c>
      <c r="D74" s="4" t="s">
        <v>5801</v>
      </c>
      <c r="E74" s="5" t="s">
        <v>6444</v>
      </c>
      <c r="F74" s="16" t="str">
        <f t="shared" si="6"/>
        <v>(113,'DISTRICT:EXECUTE','district execution','DISTRICT','EXECUTE'),</v>
      </c>
    </row>
    <row r="75" spans="1:6" ht="20.149999999999999" customHeight="1" x14ac:dyDescent="0.35">
      <c r="A75" s="3">
        <v>114</v>
      </c>
      <c r="B75" s="4" t="str">
        <f t="shared" si="5"/>
        <v>LOCALITY:EXECUTE</v>
      </c>
      <c r="C75" s="4" t="str">
        <f t="shared" si="4"/>
        <v>locality execution</v>
      </c>
      <c r="D75" s="4" t="s">
        <v>5768</v>
      </c>
      <c r="E75" s="5" t="s">
        <v>6444</v>
      </c>
      <c r="F75" s="16" t="str">
        <f t="shared" si="6"/>
        <v>(114,'LOCALITY:EXECUTE','locality execution','LOCALITY','EXECUTE'),</v>
      </c>
    </row>
    <row r="76" spans="1:6" ht="20.149999999999999" customHeight="1" x14ac:dyDescent="0.35">
      <c r="A76" s="3">
        <v>115</v>
      </c>
      <c r="B76" s="4" t="str">
        <f t="shared" si="5"/>
        <v>LOCATION:EXECUTE</v>
      </c>
      <c r="C76" s="4" t="str">
        <f t="shared" si="4"/>
        <v>location execution</v>
      </c>
      <c r="D76" s="4" t="s">
        <v>5782</v>
      </c>
      <c r="E76" s="5" t="s">
        <v>6444</v>
      </c>
      <c r="F76" s="16" t="str">
        <f t="shared" si="6"/>
        <v>(115,'LOCATION:EXECUTE','location execution','LOCATION','EXECUTE'),</v>
      </c>
    </row>
    <row r="77" spans="1:6" ht="20.149999999999999" customHeight="1" x14ac:dyDescent="0.35">
      <c r="A77" s="3">
        <v>116</v>
      </c>
      <c r="B77" s="4" t="str">
        <f t="shared" si="5"/>
        <v>COORDINATE:EXECUTE</v>
      </c>
      <c r="C77" s="4" t="str">
        <f t="shared" si="4"/>
        <v>coordinate execution</v>
      </c>
      <c r="D77" s="4" t="s">
        <v>6390</v>
      </c>
      <c r="E77" s="5" t="s">
        <v>6444</v>
      </c>
      <c r="F77" s="16" t="str">
        <f t="shared" si="6"/>
        <v>(116,'COORDINATE:EXECUTE','coordinate execution','COORDINATE','EXECUTE'),</v>
      </c>
    </row>
    <row r="78" spans="1:6" ht="20.149999999999999" customHeight="1" x14ac:dyDescent="0.35">
      <c r="A78" s="3">
        <v>117</v>
      </c>
      <c r="B78" s="4" t="str">
        <f t="shared" si="5"/>
        <v>STRUCTURE:EXECUTE</v>
      </c>
      <c r="C78" s="4" t="str">
        <f t="shared" si="4"/>
        <v>structure execution</v>
      </c>
      <c r="D78" s="4" t="s">
        <v>5770</v>
      </c>
      <c r="E78" s="5" t="s">
        <v>6444</v>
      </c>
      <c r="F78" s="16" t="str">
        <f t="shared" si="6"/>
        <v>(117,'STRUCTURE:EXECUTE','structure execution','STRUCTURE','EXECUTE'),</v>
      </c>
    </row>
    <row r="79" spans="1:6" ht="20.149999999999999" customHeight="1" x14ac:dyDescent="0.35">
      <c r="A79" s="3">
        <v>118</v>
      </c>
      <c r="B79" s="4" t="str">
        <f t="shared" si="5"/>
        <v>JOB:EXECUTE</v>
      </c>
      <c r="C79" s="4" t="str">
        <f t="shared" si="4"/>
        <v>job execution</v>
      </c>
      <c r="D79" s="4" t="s">
        <v>5771</v>
      </c>
      <c r="E79" s="5" t="s">
        <v>6444</v>
      </c>
      <c r="F79" s="16" t="str">
        <f t="shared" si="6"/>
        <v>(118,'JOB:EXECUTE','job execution','JOB','EXECUTE'),</v>
      </c>
    </row>
    <row r="80" spans="1:6" ht="20.149999999999999" customHeight="1" x14ac:dyDescent="0.35">
      <c r="A80" s="3">
        <v>119</v>
      </c>
      <c r="B80" s="4" t="str">
        <f t="shared" si="5"/>
        <v>PERSON:EXECUTE</v>
      </c>
      <c r="C80" s="4" t="str">
        <f t="shared" si="4"/>
        <v>person execution</v>
      </c>
      <c r="D80" s="4" t="s">
        <v>5772</v>
      </c>
      <c r="E80" s="5" t="s">
        <v>6444</v>
      </c>
      <c r="F80" s="16" t="str">
        <f t="shared" si="6"/>
        <v>(119,'PERSON:EXECUTE','person execution','PERSON','EXECUTE'),</v>
      </c>
    </row>
    <row r="81" spans="1:6" ht="20.149999999999999" customHeight="1" x14ac:dyDescent="0.35">
      <c r="A81" s="3">
        <v>120</v>
      </c>
      <c r="B81" s="4" t="str">
        <f t="shared" si="5"/>
        <v>EMPLOYEE:EXECUTE</v>
      </c>
      <c r="C81" s="4" t="str">
        <f t="shared" si="4"/>
        <v>employee execution</v>
      </c>
      <c r="D81" s="4" t="s">
        <v>5773</v>
      </c>
      <c r="E81" s="5" t="s">
        <v>6444</v>
      </c>
      <c r="F81" s="16" t="str">
        <f t="shared" si="6"/>
        <v>(120,'EMPLOYEE:EXECUTE','employee execution','EMPLOYEE','EXECUTE'),</v>
      </c>
    </row>
    <row r="82" spans="1:6" ht="20.149999999999999" customHeight="1" x14ac:dyDescent="0.35">
      <c r="A82" s="3">
        <v>121</v>
      </c>
      <c r="B82" s="4" t="str">
        <f t="shared" si="5"/>
        <v>COMPANY_TYPE:EXECUTE</v>
      </c>
      <c r="C82" s="4" t="str">
        <f t="shared" si="4"/>
        <v>company_type execution</v>
      </c>
      <c r="D82" s="4" t="s">
        <v>5774</v>
      </c>
      <c r="E82" s="5" t="s">
        <v>6444</v>
      </c>
      <c r="F82" s="16" t="str">
        <f t="shared" si="6"/>
        <v>(121,'COMPANY_TYPE:EXECUTE','company_type execution','COMPANY_TYPE','EXECUTE'),</v>
      </c>
    </row>
    <row r="83" spans="1:6" ht="20.149999999999999" customHeight="1" x14ac:dyDescent="0.35">
      <c r="A83" s="3">
        <v>122</v>
      </c>
      <c r="B83" s="4" t="str">
        <f t="shared" si="5"/>
        <v>PARTNER_TYPE:EXECUTE</v>
      </c>
      <c r="C83" s="4" t="str">
        <f t="shared" si="4"/>
        <v>partner_type execution</v>
      </c>
      <c r="D83" s="4" t="s">
        <v>5775</v>
      </c>
      <c r="E83" s="5" t="s">
        <v>6444</v>
      </c>
      <c r="F83" s="16" t="str">
        <f t="shared" si="6"/>
        <v>(122,'PARTNER_TYPE:EXECUTE','partner_type execution','PARTNER_TYPE','EXECUTE'),</v>
      </c>
    </row>
    <row r="84" spans="1:6" ht="20.149999999999999" customHeight="1" x14ac:dyDescent="0.35">
      <c r="A84" s="3">
        <v>123</v>
      </c>
      <c r="B84" s="4" t="str">
        <f t="shared" si="5"/>
        <v>VENDOR_TYPE:EXECUTE</v>
      </c>
      <c r="C84" s="4" t="str">
        <f t="shared" si="4"/>
        <v>vendor_type execution</v>
      </c>
      <c r="D84" s="4" t="s">
        <v>5776</v>
      </c>
      <c r="E84" s="5" t="s">
        <v>6444</v>
      </c>
      <c r="F84" s="16" t="str">
        <f t="shared" si="6"/>
        <v>(123,'VENDOR_TYPE:EXECUTE','vendor_type execution','VENDOR_TYPE','EXECUTE'),</v>
      </c>
    </row>
    <row r="85" spans="1:6" ht="20.149999999999999" customHeight="1" x14ac:dyDescent="0.35">
      <c r="A85" s="3">
        <v>124</v>
      </c>
      <c r="B85" s="4" t="str">
        <f t="shared" si="5"/>
        <v>FACILITY_TYPE:EXECUTE</v>
      </c>
      <c r="C85" s="4" t="str">
        <f t="shared" si="4"/>
        <v>facility_type execution</v>
      </c>
      <c r="D85" s="4" t="s">
        <v>5777</v>
      </c>
      <c r="E85" s="5" t="s">
        <v>6444</v>
      </c>
      <c r="F85" s="16" t="str">
        <f t="shared" si="6"/>
        <v>(124,'FACILITY_TYPE:EXECUTE','facility_type execution','FACILITY_TYPE','EXECUTE'),</v>
      </c>
    </row>
    <row r="86" spans="1:6" ht="20.149999999999999" customHeight="1" x14ac:dyDescent="0.35">
      <c r="A86" s="3">
        <v>125</v>
      </c>
      <c r="B86" s="4" t="str">
        <f t="shared" si="5"/>
        <v>STATION_TYPE:EXECUTE</v>
      </c>
      <c r="C86" s="4" t="str">
        <f t="shared" si="4"/>
        <v>station_type execution</v>
      </c>
      <c r="D86" s="4" t="s">
        <v>5778</v>
      </c>
      <c r="E86" s="5" t="s">
        <v>6444</v>
      </c>
      <c r="F86" s="16" t="str">
        <f t="shared" si="6"/>
        <v>(125,'STATION_TYPE:EXECUTE','station_type execution','STATION_TYPE','EXECUTE'),</v>
      </c>
    </row>
    <row r="87" spans="1:6" ht="20.149999999999999" customHeight="1" x14ac:dyDescent="0.35">
      <c r="A87" s="3">
        <v>126</v>
      </c>
      <c r="B87" s="4" t="str">
        <f t="shared" si="5"/>
        <v>TERMINAL_TYPE:EXECUTE</v>
      </c>
      <c r="C87" s="4" t="str">
        <f t="shared" si="4"/>
        <v>terminal_type execution</v>
      </c>
      <c r="D87" s="4" t="s">
        <v>5779</v>
      </c>
      <c r="E87" s="5" t="s">
        <v>6444</v>
      </c>
      <c r="F87" s="16" t="str">
        <f t="shared" si="6"/>
        <v>(126,'TERMINAL_TYPE:EXECUTE','terminal_type execution','TERMINAL_TYPE','EXECUTE'),</v>
      </c>
    </row>
    <row r="88" spans="1:6" ht="20.149999999999999" customHeight="1" x14ac:dyDescent="0.35">
      <c r="A88" s="3">
        <v>127</v>
      </c>
      <c r="B88" s="4" t="str">
        <f t="shared" si="5"/>
        <v>PROCESSING_PLANT_TYPE:EXECUTE</v>
      </c>
      <c r="C88" s="4" t="str">
        <f t="shared" si="4"/>
        <v>processing_plant_type execution</v>
      </c>
      <c r="D88" s="4" t="s">
        <v>5802</v>
      </c>
      <c r="E88" s="5" t="s">
        <v>6444</v>
      </c>
      <c r="F88" s="16" t="str">
        <f t="shared" si="6"/>
        <v>(127,'PROCESSING_PLANT_TYPE:EXECUTE','processing_plant_type execution','PROCESSING_PLANT_TYPE','EXECUTE'),</v>
      </c>
    </row>
    <row r="89" spans="1:6" ht="20.149999999999999" customHeight="1" x14ac:dyDescent="0.35">
      <c r="A89" s="3">
        <v>128</v>
      </c>
      <c r="B89" s="4" t="str">
        <f t="shared" si="5"/>
        <v>PRODUCTION_FIELD_TYPE:EXECUTE</v>
      </c>
      <c r="C89" s="4" t="str">
        <f t="shared" si="4"/>
        <v>production_field_type execution</v>
      </c>
      <c r="D89" s="4" t="s">
        <v>5803</v>
      </c>
      <c r="E89" s="5" t="s">
        <v>6444</v>
      </c>
      <c r="F89" s="16" t="str">
        <f t="shared" si="6"/>
        <v>(128,'PRODUCTION_FIELD_TYPE:EXECUTE','production_field_type execution','PRODUCTION_FIELD_TYPE','EXECUTE'),</v>
      </c>
    </row>
    <row r="90" spans="1:6" ht="20.149999999999999" customHeight="1" x14ac:dyDescent="0.35">
      <c r="A90" s="3">
        <v>129</v>
      </c>
      <c r="B90" s="4" t="str">
        <f t="shared" si="5"/>
        <v>EQUIPMENT_TYPE:EXECUTE</v>
      </c>
      <c r="C90" s="4" t="str">
        <f t="shared" si="4"/>
        <v>equipment_type execution</v>
      </c>
      <c r="D90" s="4" t="s">
        <v>5780</v>
      </c>
      <c r="E90" s="5" t="s">
        <v>6444</v>
      </c>
      <c r="F90" s="16" t="str">
        <f t="shared" si="6"/>
        <v>(129,'EQUIPMENT_TYPE:EXECUTE','equipment_type execution','EQUIPMENT_TYPE','EXECUTE'),</v>
      </c>
    </row>
    <row r="91" spans="1:6" ht="20.149999999999999" customHeight="1" x14ac:dyDescent="0.35">
      <c r="A91" s="3">
        <v>130</v>
      </c>
      <c r="B91" s="4" t="str">
        <f t="shared" si="5"/>
        <v>PRODUCT:EXECUTE</v>
      </c>
      <c r="C91" s="4" t="str">
        <f t="shared" si="4"/>
        <v>product execution</v>
      </c>
      <c r="D91" s="4" t="s">
        <v>5783</v>
      </c>
      <c r="E91" s="5" t="s">
        <v>6444</v>
      </c>
      <c r="F91" s="16" t="str">
        <f t="shared" si="6"/>
        <v>(130,'PRODUCT:EXECUTE','product execution','PRODUCT','EXECUTE'),</v>
      </c>
    </row>
    <row r="92" spans="1:6" ht="20.149999999999999" customHeight="1" x14ac:dyDescent="0.35">
      <c r="A92" s="3">
        <v>131</v>
      </c>
      <c r="B92" s="4" t="str">
        <f t="shared" si="5"/>
        <v>OPERATIONAL_STATUS:EXECUTE</v>
      </c>
      <c r="C92" s="4" t="str">
        <f t="shared" si="4"/>
        <v>operational_status execution</v>
      </c>
      <c r="D92" s="4" t="s">
        <v>5784</v>
      </c>
      <c r="E92" s="5" t="s">
        <v>6444</v>
      </c>
      <c r="F92" s="16" t="str">
        <f t="shared" si="6"/>
        <v>(131,'OPERATIONAL_STATUS:EXECUTE','operational_status execution','OPERATIONAL_STATUS','EXECUTE'),</v>
      </c>
    </row>
    <row r="93" spans="1:6" ht="20.149999999999999" customHeight="1" x14ac:dyDescent="0.35">
      <c r="A93" s="3">
        <v>132</v>
      </c>
      <c r="B93" s="4" t="str">
        <f t="shared" si="5"/>
        <v>ALLOY:EXECUTE</v>
      </c>
      <c r="C93" s="4" t="str">
        <f t="shared" si="4"/>
        <v>alloy execution</v>
      </c>
      <c r="D93" s="4" t="s">
        <v>5785</v>
      </c>
      <c r="E93" s="5" t="s">
        <v>6444</v>
      </c>
      <c r="F93" s="16" t="str">
        <f t="shared" si="6"/>
        <v>(132,'ALLOY:EXECUTE','alloy execution','ALLOY','EXECUTE'),</v>
      </c>
    </row>
    <row r="94" spans="1:6" ht="20.149999999999999" customHeight="1" x14ac:dyDescent="0.35">
      <c r="A94" s="3">
        <v>133</v>
      </c>
      <c r="B94" s="4" t="str">
        <f t="shared" si="5"/>
        <v>PARTNER:EXECUTE</v>
      </c>
      <c r="C94" s="4" t="str">
        <f t="shared" ref="C94:C120" si="7">CONCATENATE(LOWER(D94)," execution")</f>
        <v>partner execution</v>
      </c>
      <c r="D94" s="4" t="s">
        <v>5786</v>
      </c>
      <c r="E94" s="5" t="s">
        <v>6444</v>
      </c>
      <c r="F94" s="16" t="str">
        <f t="shared" si="6"/>
        <v>(133,'PARTNER:EXECUTE','partner execution','PARTNER','EXECUTE'),</v>
      </c>
    </row>
    <row r="95" spans="1:6" ht="20.149999999999999" customHeight="1" x14ac:dyDescent="0.35">
      <c r="A95" s="3">
        <v>134</v>
      </c>
      <c r="B95" s="4" t="str">
        <f t="shared" si="5"/>
        <v>VENDOR:EXECUTE</v>
      </c>
      <c r="C95" s="4" t="str">
        <f t="shared" si="7"/>
        <v>vendor execution</v>
      </c>
      <c r="D95" s="4" t="s">
        <v>5787</v>
      </c>
      <c r="E95" s="5" t="s">
        <v>6444</v>
      </c>
      <c r="F95" s="16" t="str">
        <f t="shared" si="6"/>
        <v>(134,'VENDOR:EXECUTE','vendor execution','VENDOR','EXECUTE'),</v>
      </c>
    </row>
    <row r="96" spans="1:6" ht="20.149999999999999" customHeight="1" x14ac:dyDescent="0.35">
      <c r="A96" s="3">
        <v>135</v>
      </c>
      <c r="B96" s="4" t="str">
        <f t="shared" si="5"/>
        <v>INFRASTRUCTURE:EXECUTE</v>
      </c>
      <c r="C96" s="4" t="str">
        <f t="shared" si="7"/>
        <v>infrastructure execution</v>
      </c>
      <c r="D96" s="4" t="s">
        <v>5788</v>
      </c>
      <c r="E96" s="5" t="s">
        <v>6444</v>
      </c>
      <c r="F96" s="16" t="str">
        <f t="shared" si="6"/>
        <v>(135,'INFRASTRUCTURE:EXECUTE','infrastructure execution','INFRASTRUCTURE','EXECUTE'),</v>
      </c>
    </row>
    <row r="97" spans="1:6" ht="20.149999999999999" customHeight="1" x14ac:dyDescent="0.35">
      <c r="A97" s="3">
        <v>136</v>
      </c>
      <c r="B97" s="4" t="str">
        <f t="shared" si="5"/>
        <v>FACILITY:EXECUTE</v>
      </c>
      <c r="C97" s="4" t="str">
        <f t="shared" si="7"/>
        <v>facility execution</v>
      </c>
      <c r="D97" s="4" t="s">
        <v>5789</v>
      </c>
      <c r="E97" s="5" t="s">
        <v>6444</v>
      </c>
      <c r="F97" s="16" t="str">
        <f t="shared" si="6"/>
        <v>(136,'FACILITY:EXECUTE','facility execution','FACILITY','EXECUTE'),</v>
      </c>
    </row>
    <row r="98" spans="1:6" ht="20.149999999999999" customHeight="1" x14ac:dyDescent="0.35">
      <c r="A98" s="3">
        <v>137</v>
      </c>
      <c r="B98" s="4" t="str">
        <f t="shared" si="5"/>
        <v>PIPELINE_SYSTEM:EXECUTE</v>
      </c>
      <c r="C98" s="4" t="str">
        <f t="shared" si="7"/>
        <v>pipeline_system execution</v>
      </c>
      <c r="D98" s="4" t="s">
        <v>5790</v>
      </c>
      <c r="E98" s="5" t="s">
        <v>6444</v>
      </c>
      <c r="F98" s="16" t="str">
        <f t="shared" si="6"/>
        <v>(137,'PIPELINE_SYSTEM:EXECUTE','pipeline_system execution','PIPELINE_SYSTEM','EXECUTE'),</v>
      </c>
    </row>
    <row r="99" spans="1:6" ht="20.149999999999999" customHeight="1" x14ac:dyDescent="0.35">
      <c r="A99" s="3">
        <v>138</v>
      </c>
      <c r="B99" s="4" t="str">
        <f t="shared" si="5"/>
        <v>PIPELINE:EXECUTE</v>
      </c>
      <c r="C99" s="4" t="str">
        <f t="shared" si="7"/>
        <v>pipeline execution</v>
      </c>
      <c r="D99" s="4" t="s">
        <v>5791</v>
      </c>
      <c r="E99" s="5" t="s">
        <v>6444</v>
      </c>
      <c r="F99" s="16" t="str">
        <f t="shared" si="6"/>
        <v>(138,'PIPELINE:EXECUTE','pipeline execution','PIPELINE','EXECUTE'),</v>
      </c>
    </row>
    <row r="100" spans="1:6" ht="20.149999999999999" customHeight="1" x14ac:dyDescent="0.35">
      <c r="A100" s="3">
        <v>139</v>
      </c>
      <c r="B100" s="4" t="str">
        <f t="shared" si="5"/>
        <v>PIPELINE_SEGMENT:EXECUTE</v>
      </c>
      <c r="C100" s="4" t="str">
        <f t="shared" si="7"/>
        <v>pipeline_segment execution</v>
      </c>
      <c r="D100" s="4" t="s">
        <v>5792</v>
      </c>
      <c r="E100" s="5" t="s">
        <v>6444</v>
      </c>
      <c r="F100" s="16" t="str">
        <f t="shared" si="6"/>
        <v>(139,'PIPELINE_SEGMENT:EXECUTE','pipeline_segment execution','PIPELINE_SEGMENT','EXECUTE'),</v>
      </c>
    </row>
    <row r="101" spans="1:6" ht="20.149999999999999" customHeight="1" x14ac:dyDescent="0.35">
      <c r="A101" s="3">
        <v>140</v>
      </c>
      <c r="B101" s="4" t="str">
        <f t="shared" si="5"/>
        <v>STATION:EXECUTE</v>
      </c>
      <c r="C101" s="4" t="str">
        <f t="shared" si="7"/>
        <v>station execution</v>
      </c>
      <c r="D101" s="4" t="s">
        <v>5793</v>
      </c>
      <c r="E101" s="5" t="s">
        <v>6444</v>
      </c>
      <c r="F101" s="16" t="str">
        <f t="shared" si="6"/>
        <v>(140,'STATION:EXECUTE','station execution','STATION','EXECUTE'),</v>
      </c>
    </row>
    <row r="102" spans="1:6" ht="20.149999999999999" customHeight="1" x14ac:dyDescent="0.35">
      <c r="A102" s="3">
        <v>141</v>
      </c>
      <c r="B102" s="4" t="str">
        <f t="shared" si="5"/>
        <v>TERMINAL:EXECUTE</v>
      </c>
      <c r="C102" s="4" t="str">
        <f t="shared" si="7"/>
        <v>terminal execution</v>
      </c>
      <c r="D102" s="4" t="s">
        <v>5794</v>
      </c>
      <c r="E102" s="5" t="s">
        <v>6444</v>
      </c>
      <c r="F102" s="16" t="str">
        <f t="shared" si="6"/>
        <v>(141,'TERMINAL:EXECUTE','terminal execution','TERMINAL','EXECUTE'),</v>
      </c>
    </row>
    <row r="103" spans="1:6" ht="20.149999999999999" customHeight="1" x14ac:dyDescent="0.35">
      <c r="A103" s="3">
        <v>142</v>
      </c>
      <c r="B103" s="4" t="str">
        <f t="shared" si="5"/>
        <v>PROCESSING_PLANT:EXECUTE</v>
      </c>
      <c r="C103" s="4" t="str">
        <f t="shared" si="7"/>
        <v>processing_plant execution</v>
      </c>
      <c r="D103" s="4" t="s">
        <v>5804</v>
      </c>
      <c r="E103" s="5" t="s">
        <v>6444</v>
      </c>
      <c r="F103" s="16" t="str">
        <f t="shared" si="6"/>
        <v>(142,'PROCESSING_PLANT:EXECUTE','processing_plant execution','PROCESSING_PLANT','EXECUTE'),</v>
      </c>
    </row>
    <row r="104" spans="1:6" ht="20.149999999999999" customHeight="1" x14ac:dyDescent="0.35">
      <c r="A104" s="3">
        <v>143</v>
      </c>
      <c r="B104" s="4" t="str">
        <f t="shared" si="5"/>
        <v>PRODUCTION_FIELD:EXECUTE</v>
      </c>
      <c r="C104" s="4" t="str">
        <f t="shared" si="7"/>
        <v>production_field execution</v>
      </c>
      <c r="D104" s="4" t="s">
        <v>5805</v>
      </c>
      <c r="E104" s="5" t="s">
        <v>6444</v>
      </c>
      <c r="F104" s="16" t="str">
        <f t="shared" si="6"/>
        <v>(143,'PRODUCTION_FIELD:EXECUTE','production_field execution','PRODUCTION_FIELD','EXECUTE'),</v>
      </c>
    </row>
    <row r="105" spans="1:6" ht="20.149999999999999" customHeight="1" x14ac:dyDescent="0.35">
      <c r="A105" s="3">
        <v>144</v>
      </c>
      <c r="B105" s="4" t="str">
        <f t="shared" si="5"/>
        <v>EQUIPMENT:EXECUTE</v>
      </c>
      <c r="C105" s="4" t="str">
        <f t="shared" si="7"/>
        <v>equipment execution</v>
      </c>
      <c r="D105" s="4" t="s">
        <v>5795</v>
      </c>
      <c r="E105" s="5" t="s">
        <v>6444</v>
      </c>
      <c r="F105" s="16" t="str">
        <f t="shared" si="6"/>
        <v>(144,'EQUIPMENT:EXECUTE','equipment execution','EQUIPMENT','EXECUTE'),</v>
      </c>
    </row>
    <row r="106" spans="1:6" ht="20.149999999999999" customHeight="1" x14ac:dyDescent="0.35">
      <c r="A106" s="3">
        <v>145</v>
      </c>
      <c r="B106" s="4" t="str">
        <f t="shared" si="5"/>
        <v>EVENT_TYPE:EXECUTE</v>
      </c>
      <c r="C106" s="4" t="str">
        <f t="shared" si="7"/>
        <v>event_type execution</v>
      </c>
      <c r="D106" s="4" t="s">
        <v>6392</v>
      </c>
      <c r="E106" s="5" t="s">
        <v>6444</v>
      </c>
      <c r="F106" s="16" t="str">
        <f t="shared" si="6"/>
        <v>(145,'EVENT_TYPE:EXECUTE','event_type execution','EVENT_TYPE','EXECUTE'),</v>
      </c>
    </row>
    <row r="107" spans="1:6" ht="20.149999999999999" customHeight="1" x14ac:dyDescent="0.35">
      <c r="A107" s="3">
        <v>146</v>
      </c>
      <c r="B107" s="4" t="str">
        <f t="shared" si="5"/>
        <v>OPERATION_TYPE:EXECUTE</v>
      </c>
      <c r="C107" s="4" t="str">
        <f t="shared" si="7"/>
        <v>operation_type execution</v>
      </c>
      <c r="D107" s="4" t="s">
        <v>6391</v>
      </c>
      <c r="E107" s="5" t="s">
        <v>6444</v>
      </c>
      <c r="F107" s="16" t="str">
        <f t="shared" si="6"/>
        <v>(146,'OPERATION_TYPE:EXECUTE','operation_type execution','OPERATION_TYPE','EXECUTE'),</v>
      </c>
    </row>
    <row r="108" spans="1:6" ht="20.149999999999999" customHeight="1" x14ac:dyDescent="0.35">
      <c r="A108" s="3">
        <v>147</v>
      </c>
      <c r="B108" s="4" t="str">
        <f t="shared" si="5"/>
        <v>EVENT_STATUS:EXECUTE</v>
      </c>
      <c r="C108" s="4" t="str">
        <f t="shared" si="7"/>
        <v>event_status execution</v>
      </c>
      <c r="D108" s="4" t="s">
        <v>6395</v>
      </c>
      <c r="E108" s="5" t="s">
        <v>6444</v>
      </c>
      <c r="F108" s="16" t="str">
        <f t="shared" si="6"/>
        <v>(147,'EVENT_STATUS:EXECUTE','event_status execution','EVENT_STATUS','EXECUTE'),</v>
      </c>
    </row>
    <row r="109" spans="1:6" ht="20.149999999999999" customHeight="1" x14ac:dyDescent="0.35">
      <c r="A109" s="3">
        <v>148</v>
      </c>
      <c r="B109" s="4" t="str">
        <f t="shared" si="5"/>
        <v>ALERT_STATUS:EXECUTE</v>
      </c>
      <c r="C109" s="4" t="str">
        <f t="shared" si="7"/>
        <v>alert_status execution</v>
      </c>
      <c r="D109" s="4" t="s">
        <v>6393</v>
      </c>
      <c r="E109" s="5" t="s">
        <v>6444</v>
      </c>
      <c r="F109" s="16" t="str">
        <f t="shared" si="6"/>
        <v>(148,'ALERT_STATUS:EXECUTE','alert_status execution','ALERT_STATUS','EXECUTE'),</v>
      </c>
    </row>
    <row r="110" spans="1:6" ht="20.149999999999999" customHeight="1" x14ac:dyDescent="0.35">
      <c r="A110" s="3">
        <v>149</v>
      </c>
      <c r="B110" s="4" t="str">
        <f t="shared" si="5"/>
        <v>SEVERITY:EXECUTE</v>
      </c>
      <c r="C110" s="4" t="str">
        <f t="shared" si="7"/>
        <v>severity execution</v>
      </c>
      <c r="D110" s="4" t="s">
        <v>6397</v>
      </c>
      <c r="E110" s="5" t="s">
        <v>6444</v>
      </c>
      <c r="F110" s="16" t="str">
        <f t="shared" si="6"/>
        <v>(149,'SEVERITY:EXECUTE','severity execution','SEVERITY','EXECUTE'),</v>
      </c>
    </row>
    <row r="111" spans="1:6" ht="20.149999999999999" customHeight="1" x14ac:dyDescent="0.35">
      <c r="A111" s="3">
        <v>150</v>
      </c>
      <c r="B111" s="4" t="str">
        <f t="shared" si="5"/>
        <v>DATA_SOURCE:EXECUTE</v>
      </c>
      <c r="C111" s="4" t="str">
        <f t="shared" si="7"/>
        <v>data_source execution</v>
      </c>
      <c r="D111" s="4" t="s">
        <v>6394</v>
      </c>
      <c r="E111" s="5" t="s">
        <v>6444</v>
      </c>
      <c r="F111" s="16" t="str">
        <f t="shared" si="6"/>
        <v>(150,'DATA_SOURCE:EXECUTE','data_source execution','DATA_SOURCE','EXECUTE'),</v>
      </c>
    </row>
    <row r="112" spans="1:6" ht="20.149999999999999" customHeight="1" x14ac:dyDescent="0.35">
      <c r="A112" s="3">
        <v>151</v>
      </c>
      <c r="B112" s="4" t="str">
        <f t="shared" si="5"/>
        <v>QUALITY_FLAG:EXECUTE</v>
      </c>
      <c r="C112" s="4" t="str">
        <f t="shared" si="7"/>
        <v>quality_flag execution</v>
      </c>
      <c r="D112" s="4" t="s">
        <v>6396</v>
      </c>
      <c r="E112" s="5" t="s">
        <v>6444</v>
      </c>
      <c r="F112" s="16" t="str">
        <f t="shared" si="6"/>
        <v>(151,'QUALITY_FLAG:EXECUTE','quality_flag execution','QUALITY_FLAG','EXECUTE'),</v>
      </c>
    </row>
    <row r="113" spans="1:6" ht="20.149999999999999" customHeight="1" x14ac:dyDescent="0.35">
      <c r="A113" s="3">
        <v>152</v>
      </c>
      <c r="B113" s="4" t="str">
        <f t="shared" si="5"/>
        <v>VALIDATION_STATUS:EXECUTE</v>
      </c>
      <c r="C113" s="4" t="str">
        <f t="shared" si="7"/>
        <v>validation_status execution</v>
      </c>
      <c r="D113" s="4" t="s">
        <v>6398</v>
      </c>
      <c r="E113" s="5" t="s">
        <v>6444</v>
      </c>
      <c r="F113" s="16" t="str">
        <f t="shared" si="6"/>
        <v>(152,'VALIDATION_STATUS:EXECUTE','validation_status execution','VALIDATION_STATUS','EXECUTE'),</v>
      </c>
    </row>
    <row r="114" spans="1:6" ht="20.149999999999999" customHeight="1" x14ac:dyDescent="0.35">
      <c r="A114" s="3">
        <v>153</v>
      </c>
      <c r="B114" s="4" t="str">
        <f t="shared" si="5"/>
        <v>READING_SLOT:EXECUTE</v>
      </c>
      <c r="C114" s="4" t="str">
        <f t="shared" si="7"/>
        <v>reading_slot execution</v>
      </c>
      <c r="D114" s="4" t="s">
        <v>6399</v>
      </c>
      <c r="E114" s="5" t="s">
        <v>6444</v>
      </c>
      <c r="F114" s="16" t="str">
        <f t="shared" si="6"/>
        <v>(153,'READING_SLOT:EXECUTE','reading_slot execution','READING_SLOT','EXECUTE'),</v>
      </c>
    </row>
    <row r="115" spans="1:6" ht="20.149999999999999" customHeight="1" x14ac:dyDescent="0.35">
      <c r="A115" s="3">
        <v>154</v>
      </c>
      <c r="B115" s="4" t="str">
        <f t="shared" si="5"/>
        <v>FLOW_OPERATION:EXECUTE</v>
      </c>
      <c r="C115" s="4" t="str">
        <f t="shared" si="7"/>
        <v>flow_operation execution</v>
      </c>
      <c r="D115" s="4" t="s">
        <v>6400</v>
      </c>
      <c r="E115" s="5" t="s">
        <v>6444</v>
      </c>
      <c r="F115" s="16" t="str">
        <f t="shared" si="6"/>
        <v>(154,'FLOW_OPERATION:EXECUTE','flow_operation execution','FLOW_OPERATION','EXECUTE'),</v>
      </c>
    </row>
    <row r="116" spans="1:6" ht="20.149999999999999" customHeight="1" x14ac:dyDescent="0.35">
      <c r="A116" s="3">
        <v>155</v>
      </c>
      <c r="B116" s="4" t="str">
        <f t="shared" si="5"/>
        <v>FLOW_FORECAST:EXECUTE</v>
      </c>
      <c r="C116" s="4" t="str">
        <f t="shared" si="7"/>
        <v>flow_forecast execution</v>
      </c>
      <c r="D116" s="4" t="s">
        <v>6401</v>
      </c>
      <c r="E116" s="5" t="s">
        <v>6444</v>
      </c>
      <c r="F116" s="16" t="str">
        <f t="shared" si="6"/>
        <v>(155,'FLOW_FORECAST:EXECUTE','flow_forecast execution','FLOW_FORECAST','EXECUTE'),</v>
      </c>
    </row>
    <row r="117" spans="1:6" ht="20.149999999999999" customHeight="1" x14ac:dyDescent="0.35">
      <c r="A117" s="3">
        <v>156</v>
      </c>
      <c r="B117" s="4" t="str">
        <f t="shared" si="5"/>
        <v>FLOW_READING:EXECUTE</v>
      </c>
      <c r="C117" s="4" t="str">
        <f t="shared" si="7"/>
        <v>flow_reading execution</v>
      </c>
      <c r="D117" s="4" t="s">
        <v>6402</v>
      </c>
      <c r="E117" s="5" t="s">
        <v>6444</v>
      </c>
      <c r="F117" s="16" t="str">
        <f t="shared" si="6"/>
        <v>(156,'FLOW_READING:EXECUTE','flow_reading execution','FLOW_READING','EXECUTE'),</v>
      </c>
    </row>
    <row r="118" spans="1:6" ht="20.149999999999999" customHeight="1" x14ac:dyDescent="0.35">
      <c r="A118" s="3">
        <v>157</v>
      </c>
      <c r="B118" s="4" t="str">
        <f t="shared" si="5"/>
        <v>FLOW_EVENT:EXECUTE</v>
      </c>
      <c r="C118" s="4" t="str">
        <f t="shared" si="7"/>
        <v>flow_event execution</v>
      </c>
      <c r="D118" s="4" t="s">
        <v>6405</v>
      </c>
      <c r="E118" s="5" t="s">
        <v>6444</v>
      </c>
      <c r="F118" s="16" t="str">
        <f t="shared" si="6"/>
        <v>(157,'FLOW_EVENT:EXECUTE','flow_event execution','FLOW_EVENT','EXECUTE'),</v>
      </c>
    </row>
    <row r="119" spans="1:6" ht="20.149999999999999" customHeight="1" x14ac:dyDescent="0.35">
      <c r="A119" s="3">
        <v>158</v>
      </c>
      <c r="B119" s="4" t="str">
        <f t="shared" si="5"/>
        <v>FLOW_ALERT:EXECUTE</v>
      </c>
      <c r="C119" s="4" t="str">
        <f t="shared" si="7"/>
        <v>flow_alert execution</v>
      </c>
      <c r="D119" s="4" t="s">
        <v>6404</v>
      </c>
      <c r="E119" s="5" t="s">
        <v>6444</v>
      </c>
      <c r="F119" s="16" t="str">
        <f t="shared" si="6"/>
        <v>(158,'FLOW_ALERT:EXECUTE','flow_alert execution','FLOW_ALERT','EXECUTE'),</v>
      </c>
    </row>
    <row r="120" spans="1:6" ht="20.149999999999999" customHeight="1" x14ac:dyDescent="0.35">
      <c r="A120" s="3">
        <v>159</v>
      </c>
      <c r="B120" s="4" t="str">
        <f t="shared" si="5"/>
        <v>FLOW_THRESHOLD:EXECUTE</v>
      </c>
      <c r="C120" s="4" t="str">
        <f t="shared" si="7"/>
        <v>flow_threshold execution</v>
      </c>
      <c r="D120" s="4" t="s">
        <v>6403</v>
      </c>
      <c r="E120" s="5" t="s">
        <v>6444</v>
      </c>
      <c r="F120" s="16" t="str">
        <f t="shared" si="6"/>
        <v>(159,'FLOW_THRESHOLD:EXECUTE','flow_threshold execution','FLOW_THRESHOLD','EXECUTE'),</v>
      </c>
    </row>
    <row r="121" spans="1:6" ht="20.149999999999999" customHeight="1" x14ac:dyDescent="0.35">
      <c r="A121" s="3">
        <v>201</v>
      </c>
      <c r="B121" s="4" t="str">
        <f t="shared" si="5"/>
        <v>PARAMETER:APPROVE</v>
      </c>
      <c r="C121" s="4" t="str">
        <f t="shared" ref="C121:C152" si="8">CONCATENATE(LOWER(D121)," approval")</f>
        <v>parameter approval</v>
      </c>
      <c r="D121" s="4" t="s">
        <v>6388</v>
      </c>
      <c r="E121" s="5" t="s">
        <v>6445</v>
      </c>
      <c r="F121" s="16" t="str">
        <f t="shared" si="6"/>
        <v>(201,'PARAMETER:APPROVE','parameter approval','PARAMETER','APPROVE'),</v>
      </c>
    </row>
    <row r="122" spans="1:6" ht="20.149999999999999" customHeight="1" x14ac:dyDescent="0.35">
      <c r="A122" s="3">
        <v>202</v>
      </c>
      <c r="B122" s="4" t="str">
        <f t="shared" si="5"/>
        <v>FILE:APPROVE</v>
      </c>
      <c r="C122" s="4" t="str">
        <f t="shared" si="8"/>
        <v>file approval</v>
      </c>
      <c r="D122" s="4" t="s">
        <v>6389</v>
      </c>
      <c r="E122" s="5" t="s">
        <v>6445</v>
      </c>
      <c r="F122" s="16" t="str">
        <f t="shared" si="6"/>
        <v>(202,'FILE:APPROVE','file approval','FILE','APPROVE'),</v>
      </c>
    </row>
    <row r="123" spans="1:6" ht="20.149999999999999" customHeight="1" x14ac:dyDescent="0.35">
      <c r="A123" s="3">
        <v>203</v>
      </c>
      <c r="B123" s="4" t="str">
        <f t="shared" si="5"/>
        <v>GROUP:APPROVE</v>
      </c>
      <c r="C123" s="4" t="str">
        <f t="shared" si="8"/>
        <v>group approval</v>
      </c>
      <c r="D123" s="4" t="s">
        <v>5759</v>
      </c>
      <c r="E123" s="5" t="s">
        <v>6445</v>
      </c>
      <c r="F123" s="16" t="str">
        <f t="shared" si="6"/>
        <v>(203,'GROUP:APPROVE','group approval','GROUP','APPROVE'),</v>
      </c>
    </row>
    <row r="124" spans="1:6" ht="20.149999999999999" customHeight="1" x14ac:dyDescent="0.35">
      <c r="A124" s="3">
        <v>204</v>
      </c>
      <c r="B124" s="4" t="str">
        <f t="shared" si="5"/>
        <v>USER:APPROVE</v>
      </c>
      <c r="C124" s="4" t="str">
        <f t="shared" si="8"/>
        <v>user approval</v>
      </c>
      <c r="D124" s="4" t="s">
        <v>5760</v>
      </c>
      <c r="E124" s="5" t="s">
        <v>6445</v>
      </c>
      <c r="F124" s="16" t="str">
        <f t="shared" si="6"/>
        <v>(204,'USER:APPROVE','user approval','USER','APPROVE'),</v>
      </c>
    </row>
    <row r="125" spans="1:6" ht="20.149999999999999" customHeight="1" x14ac:dyDescent="0.35">
      <c r="A125" s="3">
        <v>205</v>
      </c>
      <c r="B125" s="4" t="str">
        <f t="shared" si="5"/>
        <v>ROLE:APPROVE</v>
      </c>
      <c r="C125" s="4" t="str">
        <f t="shared" si="8"/>
        <v>role approval</v>
      </c>
      <c r="D125" s="4" t="s">
        <v>5761</v>
      </c>
      <c r="E125" s="5" t="s">
        <v>6445</v>
      </c>
      <c r="F125" s="16" t="str">
        <f t="shared" si="6"/>
        <v>(205,'ROLE:APPROVE','role approval','ROLE','APPROVE'),</v>
      </c>
    </row>
    <row r="126" spans="1:6" ht="20.149999999999999" customHeight="1" x14ac:dyDescent="0.35">
      <c r="A126" s="3">
        <v>206</v>
      </c>
      <c r="B126" s="4" t="str">
        <f t="shared" si="5"/>
        <v>PERMISSION:APPROVE</v>
      </c>
      <c r="C126" s="4" t="str">
        <f t="shared" si="8"/>
        <v>permission approval</v>
      </c>
      <c r="D126" s="4" t="s">
        <v>5762</v>
      </c>
      <c r="E126" s="5" t="s">
        <v>6445</v>
      </c>
      <c r="F126" s="16" t="str">
        <f t="shared" si="6"/>
        <v>(206,'PERMISSION:APPROVE','permission approval','PERMISSION','APPROVE'),</v>
      </c>
    </row>
    <row r="127" spans="1:6" ht="20.149999999999999" customHeight="1" x14ac:dyDescent="0.35">
      <c r="A127" s="3">
        <v>207</v>
      </c>
      <c r="B127" s="4" t="str">
        <f t="shared" si="5"/>
        <v>AUTHORITY:APPROVE</v>
      </c>
      <c r="C127" s="4" t="str">
        <f t="shared" si="8"/>
        <v>authority approval</v>
      </c>
      <c r="D127" s="4" t="s">
        <v>5763</v>
      </c>
      <c r="E127" s="5" t="s">
        <v>6445</v>
      </c>
      <c r="F127" s="16" t="str">
        <f t="shared" si="6"/>
        <v>(207,'AUTHORITY:APPROVE','authority approval','AUTHORITY','APPROVE'),</v>
      </c>
    </row>
    <row r="128" spans="1:6" ht="20.149999999999999" customHeight="1" x14ac:dyDescent="0.35">
      <c r="A128" s="3">
        <v>208</v>
      </c>
      <c r="B128" s="4" t="str">
        <f t="shared" si="5"/>
        <v>AUDIT:APPROVE</v>
      </c>
      <c r="C128" s="4" t="str">
        <f t="shared" si="8"/>
        <v>audit approval</v>
      </c>
      <c r="D128" s="4" t="s">
        <v>5764</v>
      </c>
      <c r="E128" s="5" t="s">
        <v>6445</v>
      </c>
      <c r="F128" s="16" t="str">
        <f t="shared" si="6"/>
        <v>(208,'AUDIT:APPROVE','audit approval','AUDIT','APPROVE'),</v>
      </c>
    </row>
    <row r="129" spans="1:6" ht="20.149999999999999" customHeight="1" x14ac:dyDescent="0.35">
      <c r="A129" s="3">
        <v>209</v>
      </c>
      <c r="B129" s="4" t="str">
        <f t="shared" si="5"/>
        <v>STRUCTURE_TYPE:APPROVE</v>
      </c>
      <c r="C129" s="4" t="str">
        <f t="shared" si="8"/>
        <v>structure_type approval</v>
      </c>
      <c r="D129" s="4" t="s">
        <v>5769</v>
      </c>
      <c r="E129" s="5" t="s">
        <v>6445</v>
      </c>
      <c r="F129" s="16" t="str">
        <f t="shared" si="6"/>
        <v>(209,'STRUCTURE_TYPE:APPROVE','structure_type approval','STRUCTURE_TYPE','APPROVE'),</v>
      </c>
    </row>
    <row r="130" spans="1:6" ht="20.149999999999999" customHeight="1" x14ac:dyDescent="0.35">
      <c r="A130" s="3">
        <v>210</v>
      </c>
      <c r="B130" s="4" t="str">
        <f t="shared" si="5"/>
        <v>ZONE:APPROVE</v>
      </c>
      <c r="C130" s="4" t="str">
        <f t="shared" si="8"/>
        <v>zone approval</v>
      </c>
      <c r="D130" s="4" t="s">
        <v>5781</v>
      </c>
      <c r="E130" s="5" t="s">
        <v>6445</v>
      </c>
      <c r="F130" s="16" t="str">
        <f t="shared" si="6"/>
        <v>(210,'ZONE:APPROVE','zone approval','ZONE','APPROVE'),</v>
      </c>
    </row>
    <row r="131" spans="1:6" ht="20.149999999999999" customHeight="1" x14ac:dyDescent="0.35">
      <c r="A131" s="3">
        <v>211</v>
      </c>
      <c r="B131" s="4" t="str">
        <f t="shared" si="5"/>
        <v>COUNTRY:APPROVE</v>
      </c>
      <c r="C131" s="4" t="str">
        <f t="shared" si="8"/>
        <v>country approval</v>
      </c>
      <c r="D131" s="4" t="s">
        <v>5766</v>
      </c>
      <c r="E131" s="5" t="s">
        <v>6445</v>
      </c>
      <c r="F131" s="16" t="str">
        <f t="shared" si="6"/>
        <v>(211,'COUNTRY:APPROVE','country approval','COUNTRY','APPROVE'),</v>
      </c>
    </row>
    <row r="132" spans="1:6" ht="20.149999999999999" customHeight="1" x14ac:dyDescent="0.35">
      <c r="A132" s="3">
        <v>212</v>
      </c>
      <c r="B132" s="4" t="str">
        <f t="shared" ref="B132:B190" si="9">CONCATENATE(D132,":",E132)</f>
        <v>STATE:APPROVE</v>
      </c>
      <c r="C132" s="4" t="str">
        <f t="shared" si="8"/>
        <v>state approval</v>
      </c>
      <c r="D132" s="4" t="s">
        <v>5767</v>
      </c>
      <c r="E132" s="5" t="s">
        <v>6445</v>
      </c>
      <c r="F132" s="16" t="str">
        <f t="shared" ref="F132:F190" si="10">CONCATENATE("(",A132,",'",B132,"','",C132,"','",D132,"','",E132,"'),")</f>
        <v>(212,'STATE:APPROVE','state approval','STATE','APPROVE'),</v>
      </c>
    </row>
    <row r="133" spans="1:6" ht="20.149999999999999" customHeight="1" x14ac:dyDescent="0.35">
      <c r="A133" s="3">
        <v>213</v>
      </c>
      <c r="B133" s="4" t="str">
        <f t="shared" si="9"/>
        <v>DISTRICT:APPROVE</v>
      </c>
      <c r="C133" s="4" t="str">
        <f t="shared" si="8"/>
        <v>district approval</v>
      </c>
      <c r="D133" s="4" t="s">
        <v>5801</v>
      </c>
      <c r="E133" s="5" t="s">
        <v>6445</v>
      </c>
      <c r="F133" s="16" t="str">
        <f t="shared" si="10"/>
        <v>(213,'DISTRICT:APPROVE','district approval','DISTRICT','APPROVE'),</v>
      </c>
    </row>
    <row r="134" spans="1:6" ht="20.149999999999999" customHeight="1" x14ac:dyDescent="0.35">
      <c r="A134" s="3">
        <v>214</v>
      </c>
      <c r="B134" s="4" t="str">
        <f t="shared" si="9"/>
        <v>LOCALITY:APPROVE</v>
      </c>
      <c r="C134" s="4" t="str">
        <f t="shared" si="8"/>
        <v>locality approval</v>
      </c>
      <c r="D134" s="4" t="s">
        <v>5768</v>
      </c>
      <c r="E134" s="5" t="s">
        <v>6445</v>
      </c>
      <c r="F134" s="16" t="str">
        <f t="shared" si="10"/>
        <v>(214,'LOCALITY:APPROVE','locality approval','LOCALITY','APPROVE'),</v>
      </c>
    </row>
    <row r="135" spans="1:6" ht="20.149999999999999" customHeight="1" x14ac:dyDescent="0.35">
      <c r="A135" s="3">
        <v>215</v>
      </c>
      <c r="B135" s="4" t="str">
        <f t="shared" si="9"/>
        <v>LOCATION:APPROVE</v>
      </c>
      <c r="C135" s="4" t="str">
        <f t="shared" si="8"/>
        <v>location approval</v>
      </c>
      <c r="D135" s="4" t="s">
        <v>5782</v>
      </c>
      <c r="E135" s="5" t="s">
        <v>6445</v>
      </c>
      <c r="F135" s="16" t="str">
        <f t="shared" si="10"/>
        <v>(215,'LOCATION:APPROVE','location approval','LOCATION','APPROVE'),</v>
      </c>
    </row>
    <row r="136" spans="1:6" ht="20.149999999999999" customHeight="1" x14ac:dyDescent="0.35">
      <c r="A136" s="3">
        <v>216</v>
      </c>
      <c r="B136" s="4" t="str">
        <f t="shared" si="9"/>
        <v>COORDINATE:APPROVE</v>
      </c>
      <c r="C136" s="4" t="str">
        <f t="shared" si="8"/>
        <v>coordinate approval</v>
      </c>
      <c r="D136" s="4" t="s">
        <v>6390</v>
      </c>
      <c r="E136" s="5" t="s">
        <v>6445</v>
      </c>
      <c r="F136" s="16" t="str">
        <f t="shared" si="10"/>
        <v>(216,'COORDINATE:APPROVE','coordinate approval','COORDINATE','APPROVE'),</v>
      </c>
    </row>
    <row r="137" spans="1:6" ht="20.149999999999999" customHeight="1" x14ac:dyDescent="0.35">
      <c r="A137" s="3">
        <v>217</v>
      </c>
      <c r="B137" s="4" t="str">
        <f t="shared" si="9"/>
        <v>STRUCTURE:APPROVE</v>
      </c>
      <c r="C137" s="4" t="str">
        <f t="shared" si="8"/>
        <v>structure approval</v>
      </c>
      <c r="D137" s="4" t="s">
        <v>5770</v>
      </c>
      <c r="E137" s="5" t="s">
        <v>6445</v>
      </c>
      <c r="F137" s="16" t="str">
        <f t="shared" si="10"/>
        <v>(217,'STRUCTURE:APPROVE','structure approval','STRUCTURE','APPROVE'),</v>
      </c>
    </row>
    <row r="138" spans="1:6" ht="20.149999999999999" customHeight="1" x14ac:dyDescent="0.35">
      <c r="A138" s="3">
        <v>218</v>
      </c>
      <c r="B138" s="4" t="str">
        <f t="shared" si="9"/>
        <v>JOB:APPROVE</v>
      </c>
      <c r="C138" s="4" t="str">
        <f t="shared" si="8"/>
        <v>job approval</v>
      </c>
      <c r="D138" s="4" t="s">
        <v>5771</v>
      </c>
      <c r="E138" s="5" t="s">
        <v>6445</v>
      </c>
      <c r="F138" s="16" t="str">
        <f t="shared" si="10"/>
        <v>(218,'JOB:APPROVE','job approval','JOB','APPROVE'),</v>
      </c>
    </row>
    <row r="139" spans="1:6" ht="20.149999999999999" customHeight="1" x14ac:dyDescent="0.35">
      <c r="A139" s="3">
        <v>219</v>
      </c>
      <c r="B139" s="4" t="str">
        <f t="shared" si="9"/>
        <v>PERSON:APPROVE</v>
      </c>
      <c r="C139" s="4" t="str">
        <f t="shared" si="8"/>
        <v>person approval</v>
      </c>
      <c r="D139" s="4" t="s">
        <v>5772</v>
      </c>
      <c r="E139" s="5" t="s">
        <v>6445</v>
      </c>
      <c r="F139" s="16" t="str">
        <f t="shared" si="10"/>
        <v>(219,'PERSON:APPROVE','person approval','PERSON','APPROVE'),</v>
      </c>
    </row>
    <row r="140" spans="1:6" ht="20.149999999999999" customHeight="1" x14ac:dyDescent="0.35">
      <c r="A140" s="3">
        <v>220</v>
      </c>
      <c r="B140" s="4" t="str">
        <f t="shared" si="9"/>
        <v>EMPLOYEE:APPROVE</v>
      </c>
      <c r="C140" s="4" t="str">
        <f t="shared" si="8"/>
        <v>employee approval</v>
      </c>
      <c r="D140" s="4" t="s">
        <v>5773</v>
      </c>
      <c r="E140" s="5" t="s">
        <v>6445</v>
      </c>
      <c r="F140" s="16" t="str">
        <f t="shared" si="10"/>
        <v>(220,'EMPLOYEE:APPROVE','employee approval','EMPLOYEE','APPROVE'),</v>
      </c>
    </row>
    <row r="141" spans="1:6" ht="20.149999999999999" customHeight="1" x14ac:dyDescent="0.35">
      <c r="A141" s="3">
        <v>221</v>
      </c>
      <c r="B141" s="4" t="str">
        <f t="shared" si="9"/>
        <v>COMPANY_TYPE:APPROVE</v>
      </c>
      <c r="C141" s="4" t="str">
        <f t="shared" si="8"/>
        <v>company_type approval</v>
      </c>
      <c r="D141" s="4" t="s">
        <v>5774</v>
      </c>
      <c r="E141" s="5" t="s">
        <v>6445</v>
      </c>
      <c r="F141" s="16" t="str">
        <f t="shared" si="10"/>
        <v>(221,'COMPANY_TYPE:APPROVE','company_type approval','COMPANY_TYPE','APPROVE'),</v>
      </c>
    </row>
    <row r="142" spans="1:6" ht="20.149999999999999" customHeight="1" x14ac:dyDescent="0.35">
      <c r="A142" s="3">
        <v>222</v>
      </c>
      <c r="B142" s="4" t="str">
        <f t="shared" si="9"/>
        <v>PARTNER_TYPE:APPROVE</v>
      </c>
      <c r="C142" s="4" t="str">
        <f t="shared" si="8"/>
        <v>partner_type approval</v>
      </c>
      <c r="D142" s="4" t="s">
        <v>5775</v>
      </c>
      <c r="E142" s="5" t="s">
        <v>6445</v>
      </c>
      <c r="F142" s="16" t="str">
        <f t="shared" si="10"/>
        <v>(222,'PARTNER_TYPE:APPROVE','partner_type approval','PARTNER_TYPE','APPROVE'),</v>
      </c>
    </row>
    <row r="143" spans="1:6" ht="20.149999999999999" customHeight="1" x14ac:dyDescent="0.35">
      <c r="A143" s="3">
        <v>223</v>
      </c>
      <c r="B143" s="4" t="str">
        <f t="shared" si="9"/>
        <v>VENDOR_TYPE:APPROVE</v>
      </c>
      <c r="C143" s="4" t="str">
        <f t="shared" si="8"/>
        <v>vendor_type approval</v>
      </c>
      <c r="D143" s="4" t="s">
        <v>5776</v>
      </c>
      <c r="E143" s="5" t="s">
        <v>6445</v>
      </c>
      <c r="F143" s="16" t="str">
        <f t="shared" si="10"/>
        <v>(223,'VENDOR_TYPE:APPROVE','vendor_type approval','VENDOR_TYPE','APPROVE'),</v>
      </c>
    </row>
    <row r="144" spans="1:6" ht="20.149999999999999" customHeight="1" x14ac:dyDescent="0.35">
      <c r="A144" s="3">
        <v>224</v>
      </c>
      <c r="B144" s="4" t="str">
        <f t="shared" si="9"/>
        <v>FACILITY_TYPE:APPROVE</v>
      </c>
      <c r="C144" s="4" t="str">
        <f t="shared" si="8"/>
        <v>facility_type approval</v>
      </c>
      <c r="D144" s="4" t="s">
        <v>5777</v>
      </c>
      <c r="E144" s="5" t="s">
        <v>6445</v>
      </c>
      <c r="F144" s="16" t="str">
        <f t="shared" si="10"/>
        <v>(224,'FACILITY_TYPE:APPROVE','facility_type approval','FACILITY_TYPE','APPROVE'),</v>
      </c>
    </row>
    <row r="145" spans="1:6" ht="20.149999999999999" customHeight="1" x14ac:dyDescent="0.35">
      <c r="A145" s="3">
        <v>225</v>
      </c>
      <c r="B145" s="4" t="str">
        <f t="shared" si="9"/>
        <v>STATION_TYPE:APPROVE</v>
      </c>
      <c r="C145" s="4" t="str">
        <f t="shared" si="8"/>
        <v>station_type approval</v>
      </c>
      <c r="D145" s="4" t="s">
        <v>5778</v>
      </c>
      <c r="E145" s="5" t="s">
        <v>6445</v>
      </c>
      <c r="F145" s="16" t="str">
        <f t="shared" si="10"/>
        <v>(225,'STATION_TYPE:APPROVE','station_type approval','STATION_TYPE','APPROVE'),</v>
      </c>
    </row>
    <row r="146" spans="1:6" ht="20.149999999999999" customHeight="1" x14ac:dyDescent="0.35">
      <c r="A146" s="3">
        <v>226</v>
      </c>
      <c r="B146" s="4" t="str">
        <f t="shared" si="9"/>
        <v>TERMINAL_TYPE:APPROVE</v>
      </c>
      <c r="C146" s="4" t="str">
        <f t="shared" si="8"/>
        <v>terminal_type approval</v>
      </c>
      <c r="D146" s="4" t="s">
        <v>5779</v>
      </c>
      <c r="E146" s="5" t="s">
        <v>6445</v>
      </c>
      <c r="F146" s="16" t="str">
        <f t="shared" si="10"/>
        <v>(226,'TERMINAL_TYPE:APPROVE','terminal_type approval','TERMINAL_TYPE','APPROVE'),</v>
      </c>
    </row>
    <row r="147" spans="1:6" ht="20.149999999999999" customHeight="1" x14ac:dyDescent="0.35">
      <c r="A147" s="3">
        <v>227</v>
      </c>
      <c r="B147" s="4" t="str">
        <f t="shared" si="9"/>
        <v>PROCESSING_PLANT_TYPE:APPROVE</v>
      </c>
      <c r="C147" s="4" t="str">
        <f t="shared" si="8"/>
        <v>processing_plant_type approval</v>
      </c>
      <c r="D147" s="4" t="s">
        <v>5802</v>
      </c>
      <c r="E147" s="5" t="s">
        <v>6445</v>
      </c>
      <c r="F147" s="16" t="str">
        <f t="shared" si="10"/>
        <v>(227,'PROCESSING_PLANT_TYPE:APPROVE','processing_plant_type approval','PROCESSING_PLANT_TYPE','APPROVE'),</v>
      </c>
    </row>
    <row r="148" spans="1:6" ht="20.149999999999999" customHeight="1" x14ac:dyDescent="0.35">
      <c r="A148" s="3">
        <v>228</v>
      </c>
      <c r="B148" s="4" t="str">
        <f t="shared" si="9"/>
        <v>PRODUCTION_FIELD_TYPE:APPROVE</v>
      </c>
      <c r="C148" s="4" t="str">
        <f t="shared" si="8"/>
        <v>production_field_type approval</v>
      </c>
      <c r="D148" s="4" t="s">
        <v>5803</v>
      </c>
      <c r="E148" s="5" t="s">
        <v>6445</v>
      </c>
      <c r="F148" s="16" t="str">
        <f t="shared" si="10"/>
        <v>(228,'PRODUCTION_FIELD_TYPE:APPROVE','production_field_type approval','PRODUCTION_FIELD_TYPE','APPROVE'),</v>
      </c>
    </row>
    <row r="149" spans="1:6" ht="20.149999999999999" customHeight="1" x14ac:dyDescent="0.35">
      <c r="A149" s="3">
        <v>229</v>
      </c>
      <c r="B149" s="4" t="str">
        <f t="shared" si="9"/>
        <v>EQUIPMENT_TYPE:APPROVE</v>
      </c>
      <c r="C149" s="4" t="str">
        <f t="shared" si="8"/>
        <v>equipment_type approval</v>
      </c>
      <c r="D149" s="4" t="s">
        <v>5780</v>
      </c>
      <c r="E149" s="5" t="s">
        <v>6445</v>
      </c>
      <c r="F149" s="16" t="str">
        <f t="shared" si="10"/>
        <v>(229,'EQUIPMENT_TYPE:APPROVE','equipment_type approval','EQUIPMENT_TYPE','APPROVE'),</v>
      </c>
    </row>
    <row r="150" spans="1:6" ht="20.149999999999999" customHeight="1" x14ac:dyDescent="0.35">
      <c r="A150" s="3">
        <v>230</v>
      </c>
      <c r="B150" s="4" t="str">
        <f t="shared" si="9"/>
        <v>PRODUCT:APPROVE</v>
      </c>
      <c r="C150" s="4" t="str">
        <f t="shared" si="8"/>
        <v>product approval</v>
      </c>
      <c r="D150" s="4" t="s">
        <v>5783</v>
      </c>
      <c r="E150" s="5" t="s">
        <v>6445</v>
      </c>
      <c r="F150" s="16" t="str">
        <f t="shared" si="10"/>
        <v>(230,'PRODUCT:APPROVE','product approval','PRODUCT','APPROVE'),</v>
      </c>
    </row>
    <row r="151" spans="1:6" ht="20.149999999999999" customHeight="1" x14ac:dyDescent="0.35">
      <c r="A151" s="3">
        <v>231</v>
      </c>
      <c r="B151" s="4" t="str">
        <f t="shared" si="9"/>
        <v>OPERATIONAL_STATUS:APPROVE</v>
      </c>
      <c r="C151" s="4" t="str">
        <f t="shared" si="8"/>
        <v>operational_status approval</v>
      </c>
      <c r="D151" s="4" t="s">
        <v>5784</v>
      </c>
      <c r="E151" s="5" t="s">
        <v>6445</v>
      </c>
      <c r="F151" s="16" t="str">
        <f t="shared" si="10"/>
        <v>(231,'OPERATIONAL_STATUS:APPROVE','operational_status approval','OPERATIONAL_STATUS','APPROVE'),</v>
      </c>
    </row>
    <row r="152" spans="1:6" ht="20.149999999999999" customHeight="1" x14ac:dyDescent="0.35">
      <c r="A152" s="3">
        <v>232</v>
      </c>
      <c r="B152" s="4" t="str">
        <f t="shared" si="9"/>
        <v>ALLOY:APPROVE</v>
      </c>
      <c r="C152" s="4" t="str">
        <f t="shared" si="8"/>
        <v>alloy approval</v>
      </c>
      <c r="D152" s="4" t="s">
        <v>5785</v>
      </c>
      <c r="E152" s="5" t="s">
        <v>6445</v>
      </c>
      <c r="F152" s="16" t="str">
        <f t="shared" si="10"/>
        <v>(232,'ALLOY:APPROVE','alloy approval','ALLOY','APPROVE'),</v>
      </c>
    </row>
    <row r="153" spans="1:6" ht="20.149999999999999" customHeight="1" x14ac:dyDescent="0.35">
      <c r="A153" s="3">
        <v>233</v>
      </c>
      <c r="B153" s="4" t="str">
        <f t="shared" si="9"/>
        <v>PARTNER:APPROVE</v>
      </c>
      <c r="C153" s="4" t="str">
        <f t="shared" ref="C153:C179" si="11">CONCATENATE(LOWER(D153)," approval")</f>
        <v>partner approval</v>
      </c>
      <c r="D153" s="4" t="s">
        <v>5786</v>
      </c>
      <c r="E153" s="5" t="s">
        <v>6445</v>
      </c>
      <c r="F153" s="16" t="str">
        <f t="shared" si="10"/>
        <v>(233,'PARTNER:APPROVE','partner approval','PARTNER','APPROVE'),</v>
      </c>
    </row>
    <row r="154" spans="1:6" ht="20.149999999999999" customHeight="1" x14ac:dyDescent="0.35">
      <c r="A154" s="3">
        <v>234</v>
      </c>
      <c r="B154" s="4" t="str">
        <f t="shared" si="9"/>
        <v>VENDOR:APPROVE</v>
      </c>
      <c r="C154" s="4" t="str">
        <f t="shared" si="11"/>
        <v>vendor approval</v>
      </c>
      <c r="D154" s="4" t="s">
        <v>5787</v>
      </c>
      <c r="E154" s="5" t="s">
        <v>6445</v>
      </c>
      <c r="F154" s="16" t="str">
        <f t="shared" si="10"/>
        <v>(234,'VENDOR:APPROVE','vendor approval','VENDOR','APPROVE'),</v>
      </c>
    </row>
    <row r="155" spans="1:6" ht="20.149999999999999" customHeight="1" x14ac:dyDescent="0.35">
      <c r="A155" s="3">
        <v>235</v>
      </c>
      <c r="B155" s="4" t="str">
        <f t="shared" si="9"/>
        <v>INFRASTRUCTURE:APPROVE</v>
      </c>
      <c r="C155" s="4" t="str">
        <f t="shared" si="11"/>
        <v>infrastructure approval</v>
      </c>
      <c r="D155" s="4" t="s">
        <v>5788</v>
      </c>
      <c r="E155" s="5" t="s">
        <v>6445</v>
      </c>
      <c r="F155" s="16" t="str">
        <f t="shared" si="10"/>
        <v>(235,'INFRASTRUCTURE:APPROVE','infrastructure approval','INFRASTRUCTURE','APPROVE'),</v>
      </c>
    </row>
    <row r="156" spans="1:6" ht="20.149999999999999" customHeight="1" x14ac:dyDescent="0.35">
      <c r="A156" s="3">
        <v>236</v>
      </c>
      <c r="B156" s="4" t="str">
        <f t="shared" si="9"/>
        <v>FACILITY:APPROVE</v>
      </c>
      <c r="C156" s="4" t="str">
        <f t="shared" si="11"/>
        <v>facility approval</v>
      </c>
      <c r="D156" s="4" t="s">
        <v>5789</v>
      </c>
      <c r="E156" s="5" t="s">
        <v>6445</v>
      </c>
      <c r="F156" s="16" t="str">
        <f t="shared" si="10"/>
        <v>(236,'FACILITY:APPROVE','facility approval','FACILITY','APPROVE'),</v>
      </c>
    </row>
    <row r="157" spans="1:6" ht="20.149999999999999" customHeight="1" x14ac:dyDescent="0.35">
      <c r="A157" s="3">
        <v>237</v>
      </c>
      <c r="B157" s="4" t="str">
        <f t="shared" si="9"/>
        <v>PIPELINE_SYSTEM:APPROVE</v>
      </c>
      <c r="C157" s="4" t="str">
        <f t="shared" si="11"/>
        <v>pipeline_system approval</v>
      </c>
      <c r="D157" s="4" t="s">
        <v>5790</v>
      </c>
      <c r="E157" s="5" t="s">
        <v>6445</v>
      </c>
      <c r="F157" s="16" t="str">
        <f t="shared" si="10"/>
        <v>(237,'PIPELINE_SYSTEM:APPROVE','pipeline_system approval','PIPELINE_SYSTEM','APPROVE'),</v>
      </c>
    </row>
    <row r="158" spans="1:6" ht="20.149999999999999" customHeight="1" x14ac:dyDescent="0.35">
      <c r="A158" s="3">
        <v>238</v>
      </c>
      <c r="B158" s="4" t="str">
        <f t="shared" si="9"/>
        <v>PIPELINE:APPROVE</v>
      </c>
      <c r="C158" s="4" t="str">
        <f t="shared" si="11"/>
        <v>pipeline approval</v>
      </c>
      <c r="D158" s="4" t="s">
        <v>5791</v>
      </c>
      <c r="E158" s="5" t="s">
        <v>6445</v>
      </c>
      <c r="F158" s="16" t="str">
        <f t="shared" si="10"/>
        <v>(238,'PIPELINE:APPROVE','pipeline approval','PIPELINE','APPROVE'),</v>
      </c>
    </row>
    <row r="159" spans="1:6" ht="20.149999999999999" customHeight="1" x14ac:dyDescent="0.35">
      <c r="A159" s="3">
        <v>239</v>
      </c>
      <c r="B159" s="4" t="str">
        <f t="shared" si="9"/>
        <v>PIPELINE_SEGMENT:APPROVE</v>
      </c>
      <c r="C159" s="4" t="str">
        <f t="shared" si="11"/>
        <v>pipeline_segment approval</v>
      </c>
      <c r="D159" s="4" t="s">
        <v>5792</v>
      </c>
      <c r="E159" s="5" t="s">
        <v>6445</v>
      </c>
      <c r="F159" s="16" t="str">
        <f t="shared" si="10"/>
        <v>(239,'PIPELINE_SEGMENT:APPROVE','pipeline_segment approval','PIPELINE_SEGMENT','APPROVE'),</v>
      </c>
    </row>
    <row r="160" spans="1:6" ht="20.149999999999999" customHeight="1" x14ac:dyDescent="0.35">
      <c r="A160" s="3">
        <v>240</v>
      </c>
      <c r="B160" s="4" t="str">
        <f t="shared" si="9"/>
        <v>STATION:APPROVE</v>
      </c>
      <c r="C160" s="4" t="str">
        <f t="shared" si="11"/>
        <v>station approval</v>
      </c>
      <c r="D160" s="4" t="s">
        <v>5793</v>
      </c>
      <c r="E160" s="5" t="s">
        <v>6445</v>
      </c>
      <c r="F160" s="16" t="str">
        <f t="shared" si="10"/>
        <v>(240,'STATION:APPROVE','station approval','STATION','APPROVE'),</v>
      </c>
    </row>
    <row r="161" spans="1:6" ht="20.149999999999999" customHeight="1" x14ac:dyDescent="0.35">
      <c r="A161" s="3">
        <v>241</v>
      </c>
      <c r="B161" s="4" t="str">
        <f t="shared" si="9"/>
        <v>TERMINAL:APPROVE</v>
      </c>
      <c r="C161" s="4" t="str">
        <f t="shared" si="11"/>
        <v>terminal approval</v>
      </c>
      <c r="D161" s="4" t="s">
        <v>5794</v>
      </c>
      <c r="E161" s="5" t="s">
        <v>6445</v>
      </c>
      <c r="F161" s="16" t="str">
        <f t="shared" si="10"/>
        <v>(241,'TERMINAL:APPROVE','terminal approval','TERMINAL','APPROVE'),</v>
      </c>
    </row>
    <row r="162" spans="1:6" ht="20.149999999999999" customHeight="1" x14ac:dyDescent="0.35">
      <c r="A162" s="3">
        <v>242</v>
      </c>
      <c r="B162" s="4" t="str">
        <f t="shared" si="9"/>
        <v>PROCESSING_PLANT:APPROVE</v>
      </c>
      <c r="C162" s="4" t="str">
        <f t="shared" si="11"/>
        <v>processing_plant approval</v>
      </c>
      <c r="D162" s="4" t="s">
        <v>5804</v>
      </c>
      <c r="E162" s="5" t="s">
        <v>6445</v>
      </c>
      <c r="F162" s="16" t="str">
        <f t="shared" si="10"/>
        <v>(242,'PROCESSING_PLANT:APPROVE','processing_plant approval','PROCESSING_PLANT','APPROVE'),</v>
      </c>
    </row>
    <row r="163" spans="1:6" ht="20.149999999999999" customHeight="1" x14ac:dyDescent="0.35">
      <c r="A163" s="3">
        <v>243</v>
      </c>
      <c r="B163" s="4" t="str">
        <f t="shared" si="9"/>
        <v>PRODUCTION_FIELD:APPROVE</v>
      </c>
      <c r="C163" s="4" t="str">
        <f t="shared" si="11"/>
        <v>production_field approval</v>
      </c>
      <c r="D163" s="4" t="s">
        <v>5805</v>
      </c>
      <c r="E163" s="5" t="s">
        <v>6445</v>
      </c>
      <c r="F163" s="16" t="str">
        <f t="shared" si="10"/>
        <v>(243,'PRODUCTION_FIELD:APPROVE','production_field approval','PRODUCTION_FIELD','APPROVE'),</v>
      </c>
    </row>
    <row r="164" spans="1:6" ht="20.149999999999999" customHeight="1" x14ac:dyDescent="0.35">
      <c r="A164" s="3">
        <v>244</v>
      </c>
      <c r="B164" s="4" t="str">
        <f t="shared" si="9"/>
        <v>EQUIPMENT:APPROVE</v>
      </c>
      <c r="C164" s="4" t="str">
        <f t="shared" si="11"/>
        <v>equipment approval</v>
      </c>
      <c r="D164" s="4" t="s">
        <v>5795</v>
      </c>
      <c r="E164" s="5" t="s">
        <v>6445</v>
      </c>
      <c r="F164" s="16" t="str">
        <f t="shared" si="10"/>
        <v>(244,'EQUIPMENT:APPROVE','equipment approval','EQUIPMENT','APPROVE'),</v>
      </c>
    </row>
    <row r="165" spans="1:6" ht="20.149999999999999" customHeight="1" x14ac:dyDescent="0.35">
      <c r="A165" s="3">
        <v>245</v>
      </c>
      <c r="B165" s="4" t="str">
        <f t="shared" si="9"/>
        <v>EVENT_TYPE:APPROVE</v>
      </c>
      <c r="C165" s="4" t="str">
        <f t="shared" si="11"/>
        <v>event_type approval</v>
      </c>
      <c r="D165" s="4" t="s">
        <v>6392</v>
      </c>
      <c r="E165" s="5" t="s">
        <v>6445</v>
      </c>
      <c r="F165" s="16" t="str">
        <f t="shared" si="10"/>
        <v>(245,'EVENT_TYPE:APPROVE','event_type approval','EVENT_TYPE','APPROVE'),</v>
      </c>
    </row>
    <row r="166" spans="1:6" ht="20.149999999999999" customHeight="1" x14ac:dyDescent="0.35">
      <c r="A166" s="3">
        <v>246</v>
      </c>
      <c r="B166" s="4" t="str">
        <f t="shared" si="9"/>
        <v>OPERATION_TYPE:APPROVE</v>
      </c>
      <c r="C166" s="4" t="str">
        <f t="shared" si="11"/>
        <v>operation_type approval</v>
      </c>
      <c r="D166" s="4" t="s">
        <v>6391</v>
      </c>
      <c r="E166" s="5" t="s">
        <v>6445</v>
      </c>
      <c r="F166" s="16" t="str">
        <f t="shared" si="10"/>
        <v>(246,'OPERATION_TYPE:APPROVE','operation_type approval','OPERATION_TYPE','APPROVE'),</v>
      </c>
    </row>
    <row r="167" spans="1:6" ht="20.149999999999999" customHeight="1" x14ac:dyDescent="0.35">
      <c r="A167" s="3">
        <v>247</v>
      </c>
      <c r="B167" s="4" t="str">
        <f t="shared" si="9"/>
        <v>EVENT_STATUS:APPROVE</v>
      </c>
      <c r="C167" s="4" t="str">
        <f t="shared" si="11"/>
        <v>event_status approval</v>
      </c>
      <c r="D167" s="4" t="s">
        <v>6395</v>
      </c>
      <c r="E167" s="5" t="s">
        <v>6445</v>
      </c>
      <c r="F167" s="16" t="str">
        <f t="shared" si="10"/>
        <v>(247,'EVENT_STATUS:APPROVE','event_status approval','EVENT_STATUS','APPROVE'),</v>
      </c>
    </row>
    <row r="168" spans="1:6" ht="20.149999999999999" customHeight="1" x14ac:dyDescent="0.35">
      <c r="A168" s="3">
        <v>248</v>
      </c>
      <c r="B168" s="4" t="str">
        <f t="shared" si="9"/>
        <v>ALERT_STATUS:APPROVE</v>
      </c>
      <c r="C168" s="4" t="str">
        <f t="shared" si="11"/>
        <v>alert_status approval</v>
      </c>
      <c r="D168" s="4" t="s">
        <v>6393</v>
      </c>
      <c r="E168" s="5" t="s">
        <v>6445</v>
      </c>
      <c r="F168" s="16" t="str">
        <f t="shared" si="10"/>
        <v>(248,'ALERT_STATUS:APPROVE','alert_status approval','ALERT_STATUS','APPROVE'),</v>
      </c>
    </row>
    <row r="169" spans="1:6" ht="20.149999999999999" customHeight="1" x14ac:dyDescent="0.35">
      <c r="A169" s="3">
        <v>249</v>
      </c>
      <c r="B169" s="4" t="str">
        <f t="shared" si="9"/>
        <v>SEVERITY:APPROVE</v>
      </c>
      <c r="C169" s="4" t="str">
        <f t="shared" si="11"/>
        <v>severity approval</v>
      </c>
      <c r="D169" s="4" t="s">
        <v>6397</v>
      </c>
      <c r="E169" s="5" t="s">
        <v>6445</v>
      </c>
      <c r="F169" s="16" t="str">
        <f t="shared" si="10"/>
        <v>(249,'SEVERITY:APPROVE','severity approval','SEVERITY','APPROVE'),</v>
      </c>
    </row>
    <row r="170" spans="1:6" ht="20.149999999999999" customHeight="1" x14ac:dyDescent="0.35">
      <c r="A170" s="3">
        <v>250</v>
      </c>
      <c r="B170" s="4" t="str">
        <f t="shared" si="9"/>
        <v>DATA_SOURCE:APPROVE</v>
      </c>
      <c r="C170" s="4" t="str">
        <f t="shared" si="11"/>
        <v>data_source approval</v>
      </c>
      <c r="D170" s="4" t="s">
        <v>6394</v>
      </c>
      <c r="E170" s="5" t="s">
        <v>6445</v>
      </c>
      <c r="F170" s="16" t="str">
        <f t="shared" si="10"/>
        <v>(250,'DATA_SOURCE:APPROVE','data_source approval','DATA_SOURCE','APPROVE'),</v>
      </c>
    </row>
    <row r="171" spans="1:6" ht="20.149999999999999" customHeight="1" x14ac:dyDescent="0.35">
      <c r="A171" s="3">
        <v>251</v>
      </c>
      <c r="B171" s="4" t="str">
        <f t="shared" si="9"/>
        <v>QUALITY_FLAG:APPROVE</v>
      </c>
      <c r="C171" s="4" t="str">
        <f t="shared" si="11"/>
        <v>quality_flag approval</v>
      </c>
      <c r="D171" s="4" t="s">
        <v>6396</v>
      </c>
      <c r="E171" s="5" t="s">
        <v>6445</v>
      </c>
      <c r="F171" s="16" t="str">
        <f t="shared" si="10"/>
        <v>(251,'QUALITY_FLAG:APPROVE','quality_flag approval','QUALITY_FLAG','APPROVE'),</v>
      </c>
    </row>
    <row r="172" spans="1:6" ht="20.149999999999999" customHeight="1" x14ac:dyDescent="0.35">
      <c r="A172" s="3">
        <v>252</v>
      </c>
      <c r="B172" s="4" t="str">
        <f t="shared" si="9"/>
        <v>VALIDATION_STATUS:APPROVE</v>
      </c>
      <c r="C172" s="4" t="str">
        <f t="shared" si="11"/>
        <v>validation_status approval</v>
      </c>
      <c r="D172" s="4" t="s">
        <v>6398</v>
      </c>
      <c r="E172" s="5" t="s">
        <v>6445</v>
      </c>
      <c r="F172" s="16" t="str">
        <f t="shared" si="10"/>
        <v>(252,'VALIDATION_STATUS:APPROVE','validation_status approval','VALIDATION_STATUS','APPROVE'),</v>
      </c>
    </row>
    <row r="173" spans="1:6" ht="20.149999999999999" customHeight="1" x14ac:dyDescent="0.35">
      <c r="A173" s="3">
        <v>253</v>
      </c>
      <c r="B173" s="4" t="str">
        <f t="shared" si="9"/>
        <v>READING_SLOT:APPROVE</v>
      </c>
      <c r="C173" s="4" t="str">
        <f t="shared" si="11"/>
        <v>reading_slot approval</v>
      </c>
      <c r="D173" s="4" t="s">
        <v>6399</v>
      </c>
      <c r="E173" s="5" t="s">
        <v>6445</v>
      </c>
      <c r="F173" s="16" t="str">
        <f t="shared" si="10"/>
        <v>(253,'READING_SLOT:APPROVE','reading_slot approval','READING_SLOT','APPROVE'),</v>
      </c>
    </row>
    <row r="174" spans="1:6" ht="20.149999999999999" customHeight="1" x14ac:dyDescent="0.35">
      <c r="A174" s="3">
        <v>254</v>
      </c>
      <c r="B174" s="4" t="str">
        <f t="shared" si="9"/>
        <v>FLOW_OPERATION:APPROVE</v>
      </c>
      <c r="C174" s="4" t="str">
        <f t="shared" si="11"/>
        <v>flow_operation approval</v>
      </c>
      <c r="D174" s="4" t="s">
        <v>6400</v>
      </c>
      <c r="E174" s="5" t="s">
        <v>6445</v>
      </c>
      <c r="F174" s="16" t="str">
        <f t="shared" si="10"/>
        <v>(254,'FLOW_OPERATION:APPROVE','flow_operation approval','FLOW_OPERATION','APPROVE'),</v>
      </c>
    </row>
    <row r="175" spans="1:6" ht="20.149999999999999" customHeight="1" x14ac:dyDescent="0.35">
      <c r="A175" s="3">
        <v>255</v>
      </c>
      <c r="B175" s="4" t="str">
        <f t="shared" si="9"/>
        <v>FLOW_FORECAST:APPROVE</v>
      </c>
      <c r="C175" s="4" t="str">
        <f t="shared" si="11"/>
        <v>flow_forecast approval</v>
      </c>
      <c r="D175" s="4" t="s">
        <v>6401</v>
      </c>
      <c r="E175" s="5" t="s">
        <v>6445</v>
      </c>
      <c r="F175" s="16" t="str">
        <f t="shared" si="10"/>
        <v>(255,'FLOW_FORECAST:APPROVE','flow_forecast approval','FLOW_FORECAST','APPROVE'),</v>
      </c>
    </row>
    <row r="176" spans="1:6" ht="20.149999999999999" customHeight="1" x14ac:dyDescent="0.35">
      <c r="A176" s="3">
        <v>256</v>
      </c>
      <c r="B176" s="4" t="str">
        <f t="shared" si="9"/>
        <v>FLOW_READING:APPROVE</v>
      </c>
      <c r="C176" s="4" t="str">
        <f t="shared" si="11"/>
        <v>flow_reading approval</v>
      </c>
      <c r="D176" s="4" t="s">
        <v>6402</v>
      </c>
      <c r="E176" s="5" t="s">
        <v>6445</v>
      </c>
      <c r="F176" s="16" t="str">
        <f t="shared" si="10"/>
        <v>(256,'FLOW_READING:APPROVE','flow_reading approval','FLOW_READING','APPROVE'),</v>
      </c>
    </row>
    <row r="177" spans="1:6" ht="20.149999999999999" customHeight="1" x14ac:dyDescent="0.35">
      <c r="A177" s="3">
        <v>257</v>
      </c>
      <c r="B177" s="4" t="str">
        <f t="shared" si="9"/>
        <v>FLOW_EVENT:APPROVE</v>
      </c>
      <c r="C177" s="4" t="str">
        <f t="shared" si="11"/>
        <v>flow_event approval</v>
      </c>
      <c r="D177" s="4" t="s">
        <v>6405</v>
      </c>
      <c r="E177" s="5" t="s">
        <v>6445</v>
      </c>
      <c r="F177" s="16" t="str">
        <f t="shared" si="10"/>
        <v>(257,'FLOW_EVENT:APPROVE','flow_event approval','FLOW_EVENT','APPROVE'),</v>
      </c>
    </row>
    <row r="178" spans="1:6" ht="20.149999999999999" customHeight="1" x14ac:dyDescent="0.35">
      <c r="A178" s="3">
        <v>258</v>
      </c>
      <c r="B178" s="4" t="str">
        <f t="shared" si="9"/>
        <v>FLOW_ALERT:APPROVE</v>
      </c>
      <c r="C178" s="4" t="str">
        <f t="shared" si="11"/>
        <v>flow_alert approval</v>
      </c>
      <c r="D178" s="4" t="s">
        <v>6404</v>
      </c>
      <c r="E178" s="5" t="s">
        <v>6445</v>
      </c>
      <c r="F178" s="16" t="str">
        <f t="shared" si="10"/>
        <v>(258,'FLOW_ALERT:APPROVE','flow_alert approval','FLOW_ALERT','APPROVE'),</v>
      </c>
    </row>
    <row r="179" spans="1:6" ht="20.149999999999999" customHeight="1" x14ac:dyDescent="0.35">
      <c r="A179" s="3">
        <v>259</v>
      </c>
      <c r="B179" s="4" t="str">
        <f t="shared" si="9"/>
        <v>FLOW_THRESHOLD:APPROVE</v>
      </c>
      <c r="C179" s="4" t="str">
        <f t="shared" si="11"/>
        <v>flow_threshold approval</v>
      </c>
      <c r="D179" s="4" t="s">
        <v>6403</v>
      </c>
      <c r="E179" s="5" t="s">
        <v>6445</v>
      </c>
      <c r="F179" s="16" t="str">
        <f t="shared" si="10"/>
        <v>(259,'FLOW_THRESHOLD:APPROVE','flow_threshold approval','FLOW_THRESHOLD','APPROVE'),</v>
      </c>
    </row>
    <row r="180" spans="1:6" ht="20.149999999999999" customHeight="1" x14ac:dyDescent="0.35">
      <c r="A180" s="3">
        <v>301</v>
      </c>
      <c r="B180" s="4" t="str">
        <f t="shared" si="9"/>
        <v>PARAMETER:DELETE</v>
      </c>
      <c r="C180" s="4" t="str">
        <f t="shared" ref="C180:C211" si="12">CONCATENATE(LOWER(D180)," delete")</f>
        <v>parameter delete</v>
      </c>
      <c r="D180" s="4" t="s">
        <v>6388</v>
      </c>
      <c r="E180" s="5" t="s">
        <v>6446</v>
      </c>
      <c r="F180" s="16" t="str">
        <f t="shared" si="10"/>
        <v>(301,'PARAMETER:DELETE','parameter delete','PARAMETER','DELETE'),</v>
      </c>
    </row>
    <row r="181" spans="1:6" ht="20.149999999999999" customHeight="1" x14ac:dyDescent="0.35">
      <c r="A181" s="3">
        <v>302</v>
      </c>
      <c r="B181" s="4" t="str">
        <f t="shared" si="9"/>
        <v>FILE:DELETE</v>
      </c>
      <c r="C181" s="4" t="str">
        <f t="shared" si="12"/>
        <v>file delete</v>
      </c>
      <c r="D181" s="4" t="s">
        <v>6389</v>
      </c>
      <c r="E181" s="5" t="s">
        <v>6446</v>
      </c>
      <c r="F181" s="16" t="str">
        <f t="shared" si="10"/>
        <v>(302,'FILE:DELETE','file delete','FILE','DELETE'),</v>
      </c>
    </row>
    <row r="182" spans="1:6" ht="20.149999999999999" customHeight="1" x14ac:dyDescent="0.35">
      <c r="A182" s="3">
        <v>303</v>
      </c>
      <c r="B182" s="4" t="str">
        <f t="shared" si="9"/>
        <v>GROUP:DELETE</v>
      </c>
      <c r="C182" s="4" t="str">
        <f t="shared" si="12"/>
        <v>group delete</v>
      </c>
      <c r="D182" s="4" t="s">
        <v>5759</v>
      </c>
      <c r="E182" s="5" t="s">
        <v>6446</v>
      </c>
      <c r="F182" s="16" t="str">
        <f t="shared" si="10"/>
        <v>(303,'GROUP:DELETE','group delete','GROUP','DELETE'),</v>
      </c>
    </row>
    <row r="183" spans="1:6" ht="20.149999999999999" customHeight="1" x14ac:dyDescent="0.35">
      <c r="A183" s="3">
        <v>304</v>
      </c>
      <c r="B183" s="4" t="str">
        <f t="shared" si="9"/>
        <v>USER:DELETE</v>
      </c>
      <c r="C183" s="4" t="str">
        <f t="shared" si="12"/>
        <v>user delete</v>
      </c>
      <c r="D183" s="4" t="s">
        <v>5760</v>
      </c>
      <c r="E183" s="5" t="s">
        <v>6446</v>
      </c>
      <c r="F183" s="16" t="str">
        <f t="shared" si="10"/>
        <v>(304,'USER:DELETE','user delete','USER','DELETE'),</v>
      </c>
    </row>
    <row r="184" spans="1:6" ht="20.149999999999999" customHeight="1" x14ac:dyDescent="0.35">
      <c r="A184" s="3">
        <v>305</v>
      </c>
      <c r="B184" s="4" t="str">
        <f t="shared" si="9"/>
        <v>ROLE:DELETE</v>
      </c>
      <c r="C184" s="4" t="str">
        <f t="shared" si="12"/>
        <v>role delete</v>
      </c>
      <c r="D184" s="4" t="s">
        <v>5761</v>
      </c>
      <c r="E184" s="5" t="s">
        <v>6446</v>
      </c>
      <c r="F184" s="16" t="str">
        <f t="shared" si="10"/>
        <v>(305,'ROLE:DELETE','role delete','ROLE','DELETE'),</v>
      </c>
    </row>
    <row r="185" spans="1:6" ht="20.149999999999999" customHeight="1" x14ac:dyDescent="0.35">
      <c r="A185" s="3">
        <v>306</v>
      </c>
      <c r="B185" s="4" t="str">
        <f t="shared" si="9"/>
        <v>PERMISSION:DELETE</v>
      </c>
      <c r="C185" s="4" t="str">
        <f t="shared" si="12"/>
        <v>permission delete</v>
      </c>
      <c r="D185" s="4" t="s">
        <v>5762</v>
      </c>
      <c r="E185" s="5" t="s">
        <v>6446</v>
      </c>
      <c r="F185" s="16" t="str">
        <f t="shared" si="10"/>
        <v>(306,'PERMISSION:DELETE','permission delete','PERMISSION','DELETE'),</v>
      </c>
    </row>
    <row r="186" spans="1:6" ht="20.149999999999999" customHeight="1" x14ac:dyDescent="0.35">
      <c r="A186" s="3">
        <v>307</v>
      </c>
      <c r="B186" s="4" t="str">
        <f t="shared" si="9"/>
        <v>AUTHORITY:DELETE</v>
      </c>
      <c r="C186" s="4" t="str">
        <f t="shared" si="12"/>
        <v>authority delete</v>
      </c>
      <c r="D186" s="4" t="s">
        <v>5763</v>
      </c>
      <c r="E186" s="5" t="s">
        <v>6446</v>
      </c>
      <c r="F186" s="16" t="str">
        <f t="shared" si="10"/>
        <v>(307,'AUTHORITY:DELETE','authority delete','AUTHORITY','DELETE'),</v>
      </c>
    </row>
    <row r="187" spans="1:6" ht="20.149999999999999" customHeight="1" x14ac:dyDescent="0.35">
      <c r="A187" s="3">
        <v>308</v>
      </c>
      <c r="B187" s="4" t="str">
        <f t="shared" si="9"/>
        <v>AUDIT:DELETE</v>
      </c>
      <c r="C187" s="4" t="str">
        <f t="shared" si="12"/>
        <v>audit delete</v>
      </c>
      <c r="D187" s="4" t="s">
        <v>5764</v>
      </c>
      <c r="E187" s="5" t="s">
        <v>6446</v>
      </c>
      <c r="F187" s="16" t="str">
        <f t="shared" si="10"/>
        <v>(308,'AUDIT:DELETE','audit delete','AUDIT','DELETE'),</v>
      </c>
    </row>
    <row r="188" spans="1:6" ht="20.149999999999999" customHeight="1" x14ac:dyDescent="0.35">
      <c r="A188" s="3">
        <v>309</v>
      </c>
      <c r="B188" s="4" t="str">
        <f t="shared" si="9"/>
        <v>STRUCTURE_TYPE:DELETE</v>
      </c>
      <c r="C188" s="4" t="str">
        <f t="shared" si="12"/>
        <v>structure_type delete</v>
      </c>
      <c r="D188" s="4" t="s">
        <v>5769</v>
      </c>
      <c r="E188" s="5" t="s">
        <v>6446</v>
      </c>
      <c r="F188" s="16" t="str">
        <f t="shared" si="10"/>
        <v>(309,'STRUCTURE_TYPE:DELETE','structure_type delete','STRUCTURE_TYPE','DELETE'),</v>
      </c>
    </row>
    <row r="189" spans="1:6" ht="20.149999999999999" customHeight="1" x14ac:dyDescent="0.35">
      <c r="A189" s="3">
        <v>310</v>
      </c>
      <c r="B189" s="4" t="str">
        <f t="shared" si="9"/>
        <v>ZONE:DELETE</v>
      </c>
      <c r="C189" s="4" t="str">
        <f t="shared" si="12"/>
        <v>zone delete</v>
      </c>
      <c r="D189" s="4" t="s">
        <v>5781</v>
      </c>
      <c r="E189" s="5" t="s">
        <v>6446</v>
      </c>
      <c r="F189" s="16" t="str">
        <f t="shared" si="10"/>
        <v>(310,'ZONE:DELETE','zone delete','ZONE','DELETE'),</v>
      </c>
    </row>
    <row r="190" spans="1:6" ht="20.149999999999999" customHeight="1" x14ac:dyDescent="0.35">
      <c r="A190" s="3">
        <v>311</v>
      </c>
      <c r="B190" s="4" t="str">
        <f t="shared" si="9"/>
        <v>COUNTRY:DELETE</v>
      </c>
      <c r="C190" s="4" t="str">
        <f t="shared" si="12"/>
        <v>country delete</v>
      </c>
      <c r="D190" s="4" t="s">
        <v>5766</v>
      </c>
      <c r="E190" s="5" t="s">
        <v>6446</v>
      </c>
      <c r="F190" s="16" t="str">
        <f t="shared" si="10"/>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5767</v>
      </c>
      <c r="E191" s="5" t="s">
        <v>6446</v>
      </c>
      <c r="F191" s="16" t="str">
        <f t="shared" ref="F191:F249" si="14">CONCATENATE("(",A191,",'",B191,"','",C191,"','",D191,"','",E191,"'),")</f>
        <v>(312,'STATE:DELETE','state delete','STATE','DELETE'),</v>
      </c>
    </row>
    <row r="192" spans="1:6" ht="20.149999999999999" customHeight="1" x14ac:dyDescent="0.35">
      <c r="A192" s="3">
        <v>313</v>
      </c>
      <c r="B192" s="4" t="str">
        <f t="shared" si="13"/>
        <v>DISTRICT:DELETE</v>
      </c>
      <c r="C192" s="4" t="str">
        <f t="shared" si="12"/>
        <v>district delete</v>
      </c>
      <c r="D192" s="4" t="s">
        <v>5801</v>
      </c>
      <c r="E192" s="5" t="s">
        <v>6446</v>
      </c>
      <c r="F192" s="16" t="str">
        <f t="shared" si="14"/>
        <v>(313,'DISTRICT:DELETE','district delete','DISTRICT','DELETE'),</v>
      </c>
    </row>
    <row r="193" spans="1:6" ht="20.149999999999999" customHeight="1" x14ac:dyDescent="0.35">
      <c r="A193" s="3">
        <v>314</v>
      </c>
      <c r="B193" s="4" t="str">
        <f t="shared" si="13"/>
        <v>LOCALITY:DELETE</v>
      </c>
      <c r="C193" s="4" t="str">
        <f t="shared" si="12"/>
        <v>locality delete</v>
      </c>
      <c r="D193" s="4" t="s">
        <v>5768</v>
      </c>
      <c r="E193" s="5" t="s">
        <v>6446</v>
      </c>
      <c r="F193" s="16" t="str">
        <f t="shared" si="14"/>
        <v>(314,'LOCALITY:DELETE','locality delete','LOCALITY','DELETE'),</v>
      </c>
    </row>
    <row r="194" spans="1:6" ht="20.149999999999999" customHeight="1" x14ac:dyDescent="0.35">
      <c r="A194" s="3">
        <v>315</v>
      </c>
      <c r="B194" s="4" t="str">
        <f t="shared" si="13"/>
        <v>LOCATION:DELETE</v>
      </c>
      <c r="C194" s="4" t="str">
        <f t="shared" si="12"/>
        <v>location delete</v>
      </c>
      <c r="D194" s="4" t="s">
        <v>5782</v>
      </c>
      <c r="E194" s="5" t="s">
        <v>6446</v>
      </c>
      <c r="F194" s="16" t="str">
        <f t="shared" si="14"/>
        <v>(315,'LOCATION:DELETE','location delete','LOCATION','DELETE'),</v>
      </c>
    </row>
    <row r="195" spans="1:6" ht="20.149999999999999" customHeight="1" x14ac:dyDescent="0.35">
      <c r="A195" s="3">
        <v>316</v>
      </c>
      <c r="B195" s="4" t="str">
        <f t="shared" si="13"/>
        <v>COORDINATE:DELETE</v>
      </c>
      <c r="C195" s="4" t="str">
        <f t="shared" si="12"/>
        <v>coordinate delete</v>
      </c>
      <c r="D195" s="4" t="s">
        <v>6390</v>
      </c>
      <c r="E195" s="5" t="s">
        <v>6446</v>
      </c>
      <c r="F195" s="16" t="str">
        <f t="shared" si="14"/>
        <v>(316,'COORDINATE:DELETE','coordinate delete','COORDINATE','DELETE'),</v>
      </c>
    </row>
    <row r="196" spans="1:6" ht="20.149999999999999" customHeight="1" x14ac:dyDescent="0.35">
      <c r="A196" s="3">
        <v>317</v>
      </c>
      <c r="B196" s="4" t="str">
        <f t="shared" si="13"/>
        <v>STRUCTURE:DELETE</v>
      </c>
      <c r="C196" s="4" t="str">
        <f t="shared" si="12"/>
        <v>structure delete</v>
      </c>
      <c r="D196" s="4" t="s">
        <v>5770</v>
      </c>
      <c r="E196" s="5" t="s">
        <v>6446</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5771</v>
      </c>
      <c r="E197" s="5" t="s">
        <v>6446</v>
      </c>
      <c r="F197" s="16" t="str">
        <f t="shared" si="14"/>
        <v>(318,'JOB:DELETE','job delete','JOB','DELETE'),</v>
      </c>
    </row>
    <row r="198" spans="1:6" ht="20.149999999999999" customHeight="1" x14ac:dyDescent="0.35">
      <c r="A198" s="3">
        <v>319</v>
      </c>
      <c r="B198" s="4" t="str">
        <f t="shared" si="13"/>
        <v>PERSON:DELETE</v>
      </c>
      <c r="C198" s="4" t="str">
        <f t="shared" si="12"/>
        <v>person delete</v>
      </c>
      <c r="D198" s="4" t="s">
        <v>5772</v>
      </c>
      <c r="E198" s="5" t="s">
        <v>6446</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5773</v>
      </c>
      <c r="E199" s="5" t="s">
        <v>6446</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5774</v>
      </c>
      <c r="E200" s="5" t="s">
        <v>6446</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5775</v>
      </c>
      <c r="E201" s="5" t="s">
        <v>6446</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5776</v>
      </c>
      <c r="E202" s="5" t="s">
        <v>6446</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5777</v>
      </c>
      <c r="E203" s="5" t="s">
        <v>6446</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5778</v>
      </c>
      <c r="E204" s="5" t="s">
        <v>6446</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5779</v>
      </c>
      <c r="E205" s="5" t="s">
        <v>6446</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5802</v>
      </c>
      <c r="E206" s="5" t="s">
        <v>6446</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5803</v>
      </c>
      <c r="E207" s="5" t="s">
        <v>6446</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5780</v>
      </c>
      <c r="E208" s="5" t="s">
        <v>6446</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5783</v>
      </c>
      <c r="E209" s="5" t="s">
        <v>6446</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5784</v>
      </c>
      <c r="E210" s="5" t="s">
        <v>6446</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5785</v>
      </c>
      <c r="E211" s="5" t="s">
        <v>6446</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5786</v>
      </c>
      <c r="E212" s="5" t="s">
        <v>6446</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5787</v>
      </c>
      <c r="E213" s="5" t="s">
        <v>6446</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5788</v>
      </c>
      <c r="E214" s="5" t="s">
        <v>6446</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5789</v>
      </c>
      <c r="E215" s="5" t="s">
        <v>6446</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5790</v>
      </c>
      <c r="E216" s="5" t="s">
        <v>6446</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5791</v>
      </c>
      <c r="E217" s="5" t="s">
        <v>6446</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5792</v>
      </c>
      <c r="E218" s="5" t="s">
        <v>6446</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5793</v>
      </c>
      <c r="E219" s="5" t="s">
        <v>6446</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5794</v>
      </c>
      <c r="E220" s="5" t="s">
        <v>6446</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5804</v>
      </c>
      <c r="E221" s="5" t="s">
        <v>6446</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5805</v>
      </c>
      <c r="E222" s="5" t="s">
        <v>6446</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5795</v>
      </c>
      <c r="E223" s="5" t="s">
        <v>6446</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6392</v>
      </c>
      <c r="E224" s="5" t="s">
        <v>6446</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6391</v>
      </c>
      <c r="E225" s="5" t="s">
        <v>6446</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6395</v>
      </c>
      <c r="E226" s="5" t="s">
        <v>6446</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6393</v>
      </c>
      <c r="E227" s="5" t="s">
        <v>6446</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6397</v>
      </c>
      <c r="E228" s="5" t="s">
        <v>6446</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6394</v>
      </c>
      <c r="E229" s="5" t="s">
        <v>6446</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6396</v>
      </c>
      <c r="E230" s="5" t="s">
        <v>6446</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6398</v>
      </c>
      <c r="E231" s="5" t="s">
        <v>6446</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6399</v>
      </c>
      <c r="E232" s="5" t="s">
        <v>6446</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6400</v>
      </c>
      <c r="E233" s="5" t="s">
        <v>6446</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6401</v>
      </c>
      <c r="E234" s="5" t="s">
        <v>6446</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6402</v>
      </c>
      <c r="E235" s="5" t="s">
        <v>6446</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6405</v>
      </c>
      <c r="E236" s="5" t="s">
        <v>6446</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6404</v>
      </c>
      <c r="E237" s="5" t="s">
        <v>6446</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6403</v>
      </c>
      <c r="E238" s="5" t="s">
        <v>6446</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6388</v>
      </c>
      <c r="E239" s="5" t="s">
        <v>6447</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6389</v>
      </c>
      <c r="E240" s="5" t="s">
        <v>6447</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5759</v>
      </c>
      <c r="E241" s="5" t="s">
        <v>6447</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5760</v>
      </c>
      <c r="E242" s="5" t="s">
        <v>6447</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5761</v>
      </c>
      <c r="E243" s="5" t="s">
        <v>6447</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5762</v>
      </c>
      <c r="E244" s="5" t="s">
        <v>6447</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5763</v>
      </c>
      <c r="E245" s="5" t="s">
        <v>6447</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5764</v>
      </c>
      <c r="E246" s="5" t="s">
        <v>6447</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5769</v>
      </c>
      <c r="E247" s="5" t="s">
        <v>6447</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5781</v>
      </c>
      <c r="E248" s="5" t="s">
        <v>6447</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5766</v>
      </c>
      <c r="E249" s="5" t="s">
        <v>6447</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5767</v>
      </c>
      <c r="E250" s="5" t="s">
        <v>6447</v>
      </c>
      <c r="F250" s="16" t="str">
        <f t="shared" ref="F250:F308" si="18">CONCATENATE("(",A250,",'",B250,"','",C250,"','",D250,"','",E250,"'),")</f>
        <v>(412,'STATE:UPDATE','state updating','STATE','UPDATE'),</v>
      </c>
    </row>
    <row r="251" spans="1:6" ht="20.149999999999999" customHeight="1" x14ac:dyDescent="0.35">
      <c r="A251" s="3">
        <v>413</v>
      </c>
      <c r="B251" s="4" t="str">
        <f t="shared" si="17"/>
        <v>DISTRICT:UPDATE</v>
      </c>
      <c r="C251" s="4" t="str">
        <f t="shared" si="16"/>
        <v>district updating</v>
      </c>
      <c r="D251" s="4" t="s">
        <v>5801</v>
      </c>
      <c r="E251" s="5" t="s">
        <v>6447</v>
      </c>
      <c r="F251" s="16" t="str">
        <f t="shared" si="18"/>
        <v>(413,'DISTRICT:UPDATE','district updating','DISTRICT','UPDATE'),</v>
      </c>
    </row>
    <row r="252" spans="1:6" ht="20.149999999999999" customHeight="1" x14ac:dyDescent="0.35">
      <c r="A252" s="3">
        <v>414</v>
      </c>
      <c r="B252" s="4" t="str">
        <f t="shared" si="17"/>
        <v>LOCALITY:UPDATE</v>
      </c>
      <c r="C252" s="4" t="str">
        <f t="shared" si="16"/>
        <v>locality updating</v>
      </c>
      <c r="D252" s="4" t="s">
        <v>5768</v>
      </c>
      <c r="E252" s="5" t="s">
        <v>6447</v>
      </c>
      <c r="F252" s="16" t="str">
        <f t="shared" si="18"/>
        <v>(414,'LOCALITY:UPDATE','locality updating','LOCALITY','UPDATE'),</v>
      </c>
    </row>
    <row r="253" spans="1:6" ht="20.149999999999999" customHeight="1" x14ac:dyDescent="0.35">
      <c r="A253" s="3">
        <v>415</v>
      </c>
      <c r="B253" s="4" t="str">
        <f t="shared" si="17"/>
        <v>LOCATION:UPDATE</v>
      </c>
      <c r="C253" s="4" t="str">
        <f t="shared" si="16"/>
        <v>location updating</v>
      </c>
      <c r="D253" s="4" t="s">
        <v>5782</v>
      </c>
      <c r="E253" s="5" t="s">
        <v>6447</v>
      </c>
      <c r="F253" s="16" t="str">
        <f t="shared" si="18"/>
        <v>(415,'LOCATION:UPDATE','location updating','LOCATION','UPDATE'),</v>
      </c>
    </row>
    <row r="254" spans="1:6" ht="20.149999999999999" customHeight="1" x14ac:dyDescent="0.35">
      <c r="A254" s="3">
        <v>416</v>
      </c>
      <c r="B254" s="4" t="str">
        <f t="shared" si="17"/>
        <v>COORDINATE:UPDATE</v>
      </c>
      <c r="C254" s="4" t="str">
        <f t="shared" si="16"/>
        <v>coordinate updating</v>
      </c>
      <c r="D254" s="4" t="s">
        <v>6390</v>
      </c>
      <c r="E254" s="5" t="s">
        <v>6447</v>
      </c>
      <c r="F254" s="16" t="str">
        <f t="shared" si="18"/>
        <v>(416,'COORDINATE:UPDATE','coordinate updating','COORDINATE','UPDATE'),</v>
      </c>
    </row>
    <row r="255" spans="1:6" ht="20.149999999999999" customHeight="1" x14ac:dyDescent="0.35">
      <c r="A255" s="3">
        <v>417</v>
      </c>
      <c r="B255" s="4" t="str">
        <f t="shared" si="17"/>
        <v>STRUCTURE:UPDATE</v>
      </c>
      <c r="C255" s="4" t="str">
        <f t="shared" si="16"/>
        <v>structure updating</v>
      </c>
      <c r="D255" s="4" t="s">
        <v>5770</v>
      </c>
      <c r="E255" s="5" t="s">
        <v>6447</v>
      </c>
      <c r="F255" s="16" t="str">
        <f t="shared" si="18"/>
        <v>(417,'STRUCTURE:UPDATE','structure updating','STRUCTURE','UPDATE'),</v>
      </c>
    </row>
    <row r="256" spans="1:6" ht="20.149999999999999" customHeight="1" x14ac:dyDescent="0.35">
      <c r="A256" s="3">
        <v>418</v>
      </c>
      <c r="B256" s="4" t="str">
        <f t="shared" si="17"/>
        <v>JOB:UPDATE</v>
      </c>
      <c r="C256" s="4" t="str">
        <f t="shared" si="16"/>
        <v>job updating</v>
      </c>
      <c r="D256" s="4" t="s">
        <v>5771</v>
      </c>
      <c r="E256" s="5" t="s">
        <v>6447</v>
      </c>
      <c r="F256" s="16" t="str">
        <f t="shared" si="18"/>
        <v>(418,'JOB:UPDATE','job updating','JOB','UPDATE'),</v>
      </c>
    </row>
    <row r="257" spans="1:6" ht="20.149999999999999" customHeight="1" x14ac:dyDescent="0.35">
      <c r="A257" s="3">
        <v>419</v>
      </c>
      <c r="B257" s="4" t="str">
        <f t="shared" si="17"/>
        <v>PERSON:UPDATE</v>
      </c>
      <c r="C257" s="4" t="str">
        <f t="shared" si="16"/>
        <v>person updating</v>
      </c>
      <c r="D257" s="4" t="s">
        <v>5772</v>
      </c>
      <c r="E257" s="5" t="s">
        <v>6447</v>
      </c>
      <c r="F257" s="16" t="str">
        <f t="shared" si="18"/>
        <v>(419,'PERSON:UPDATE','person updating','PERSON','UPDATE'),</v>
      </c>
    </row>
    <row r="258" spans="1:6" ht="20.149999999999999" customHeight="1" x14ac:dyDescent="0.35">
      <c r="A258" s="3">
        <v>420</v>
      </c>
      <c r="B258" s="4" t="str">
        <f t="shared" si="17"/>
        <v>EMPLOYEE:UPDATE</v>
      </c>
      <c r="C258" s="4" t="str">
        <f t="shared" si="16"/>
        <v>employee updating</v>
      </c>
      <c r="D258" s="4" t="s">
        <v>5773</v>
      </c>
      <c r="E258" s="5" t="s">
        <v>6447</v>
      </c>
      <c r="F258" s="16" t="str">
        <f t="shared" si="18"/>
        <v>(420,'EMPLOYEE:UPDATE','employee updating','EMPLOYEE','UPDATE'),</v>
      </c>
    </row>
    <row r="259" spans="1:6" ht="20.149999999999999" customHeight="1" x14ac:dyDescent="0.35">
      <c r="A259" s="3">
        <v>421</v>
      </c>
      <c r="B259" s="4" t="str">
        <f t="shared" si="17"/>
        <v>COMPANY_TYPE:UPDATE</v>
      </c>
      <c r="C259" s="4" t="str">
        <f t="shared" si="16"/>
        <v>company_type updating</v>
      </c>
      <c r="D259" s="4" t="s">
        <v>5774</v>
      </c>
      <c r="E259" s="5" t="s">
        <v>6447</v>
      </c>
      <c r="F259" s="16" t="str">
        <f t="shared" si="18"/>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5775</v>
      </c>
      <c r="E260" s="5" t="s">
        <v>6447</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5776</v>
      </c>
      <c r="E261" s="5" t="s">
        <v>6447</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5777</v>
      </c>
      <c r="E262" s="5" t="s">
        <v>6447</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5778</v>
      </c>
      <c r="E263" s="5" t="s">
        <v>6447</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5779</v>
      </c>
      <c r="E264" s="5" t="s">
        <v>6447</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5802</v>
      </c>
      <c r="E265" s="5" t="s">
        <v>6447</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5803</v>
      </c>
      <c r="E266" s="5" t="s">
        <v>6447</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5780</v>
      </c>
      <c r="E267" s="5" t="s">
        <v>6447</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5783</v>
      </c>
      <c r="E268" s="5" t="s">
        <v>6447</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5784</v>
      </c>
      <c r="E269" s="5" t="s">
        <v>6447</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5785</v>
      </c>
      <c r="E270" s="5" t="s">
        <v>6447</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5786</v>
      </c>
      <c r="E271" s="5" t="s">
        <v>6447</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5787</v>
      </c>
      <c r="E272" s="5" t="s">
        <v>6447</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5788</v>
      </c>
      <c r="E273" s="5" t="s">
        <v>6447</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5789</v>
      </c>
      <c r="E274" s="5" t="s">
        <v>6447</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5790</v>
      </c>
      <c r="E275" s="5" t="s">
        <v>6447</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5791</v>
      </c>
      <c r="E276" s="5" t="s">
        <v>6447</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5792</v>
      </c>
      <c r="E277" s="5" t="s">
        <v>6447</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5793</v>
      </c>
      <c r="E278" s="5" t="s">
        <v>6447</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5794</v>
      </c>
      <c r="E279" s="5" t="s">
        <v>6447</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5804</v>
      </c>
      <c r="E280" s="5" t="s">
        <v>6447</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5805</v>
      </c>
      <c r="E281" s="5" t="s">
        <v>6447</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5795</v>
      </c>
      <c r="E282" s="5" t="s">
        <v>6447</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6392</v>
      </c>
      <c r="E283" s="5" t="s">
        <v>6447</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6391</v>
      </c>
      <c r="E284" s="5" t="s">
        <v>6447</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6395</v>
      </c>
      <c r="E285" s="5" t="s">
        <v>6447</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6393</v>
      </c>
      <c r="E286" s="5" t="s">
        <v>6447</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6397</v>
      </c>
      <c r="E287" s="5" t="s">
        <v>6447</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6394</v>
      </c>
      <c r="E288" s="5" t="s">
        <v>6447</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6396</v>
      </c>
      <c r="E289" s="5" t="s">
        <v>6447</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6398</v>
      </c>
      <c r="E290" s="5" t="s">
        <v>6447</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6399</v>
      </c>
      <c r="E291" s="5" t="s">
        <v>6447</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6400</v>
      </c>
      <c r="E292" s="5" t="s">
        <v>6447</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6401</v>
      </c>
      <c r="E293" s="5" t="s">
        <v>6447</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6402</v>
      </c>
      <c r="E294" s="5" t="s">
        <v>6447</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6405</v>
      </c>
      <c r="E295" s="5" t="s">
        <v>6447</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6404</v>
      </c>
      <c r="E296" s="5" t="s">
        <v>6447</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6403</v>
      </c>
      <c r="E297" s="5" t="s">
        <v>6447</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6388</v>
      </c>
      <c r="E298" s="5" t="s">
        <v>6448</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6389</v>
      </c>
      <c r="E299" s="5" t="s">
        <v>6448</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5759</v>
      </c>
      <c r="E300" s="5" t="s">
        <v>6448</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5760</v>
      </c>
      <c r="E301" s="5" t="s">
        <v>6448</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5761</v>
      </c>
      <c r="E302" s="5" t="s">
        <v>6448</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5762</v>
      </c>
      <c r="E303" s="5" t="s">
        <v>6448</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5763</v>
      </c>
      <c r="E304" s="5" t="s">
        <v>6448</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5764</v>
      </c>
      <c r="E305" s="5" t="s">
        <v>6448</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5769</v>
      </c>
      <c r="E306" s="5" t="s">
        <v>6448</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5781</v>
      </c>
      <c r="E307" s="5" t="s">
        <v>6448</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5766</v>
      </c>
      <c r="E308" s="5" t="s">
        <v>6448</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5767</v>
      </c>
      <c r="E309" s="5" t="s">
        <v>6448</v>
      </c>
      <c r="F309" s="16" t="str">
        <f t="shared" ref="F309:F367" si="22">CONCATENATE("(",A309,",'",B309,"','",C309,"','",D309,"','",E309,"'),")</f>
        <v>(512,'STATE:CREATE','state creation','STATE','CREATE'),</v>
      </c>
    </row>
    <row r="310" spans="1:6" ht="20.149999999999999" customHeight="1" x14ac:dyDescent="0.35">
      <c r="A310" s="3">
        <v>513</v>
      </c>
      <c r="B310" s="4" t="str">
        <f t="shared" si="21"/>
        <v>DISTRICT:CREATE</v>
      </c>
      <c r="C310" s="4" t="str">
        <f t="shared" si="20"/>
        <v>district creation</v>
      </c>
      <c r="D310" s="4" t="s">
        <v>5801</v>
      </c>
      <c r="E310" s="5" t="s">
        <v>6448</v>
      </c>
      <c r="F310" s="16" t="str">
        <f t="shared" si="22"/>
        <v>(513,'DISTRICT:CREATE','district creation','DISTRICT','CREATE'),</v>
      </c>
    </row>
    <row r="311" spans="1:6" ht="20.149999999999999" customHeight="1" x14ac:dyDescent="0.35">
      <c r="A311" s="3">
        <v>514</v>
      </c>
      <c r="B311" s="4" t="str">
        <f t="shared" si="21"/>
        <v>LOCALITY:CREATE</v>
      </c>
      <c r="C311" s="4" t="str">
        <f t="shared" si="20"/>
        <v>locality creation</v>
      </c>
      <c r="D311" s="4" t="s">
        <v>5768</v>
      </c>
      <c r="E311" s="5" t="s">
        <v>6448</v>
      </c>
      <c r="F311" s="16" t="str">
        <f t="shared" si="22"/>
        <v>(514,'LOCALITY:CREATE','locality creation','LOCALITY','CREATE'),</v>
      </c>
    </row>
    <row r="312" spans="1:6" ht="20.149999999999999" customHeight="1" x14ac:dyDescent="0.35">
      <c r="A312" s="3">
        <v>515</v>
      </c>
      <c r="B312" s="4" t="str">
        <f t="shared" si="21"/>
        <v>LOCATION:CREATE</v>
      </c>
      <c r="C312" s="4" t="str">
        <f t="shared" si="20"/>
        <v>location creation</v>
      </c>
      <c r="D312" s="4" t="s">
        <v>5782</v>
      </c>
      <c r="E312" s="5" t="s">
        <v>6448</v>
      </c>
      <c r="F312" s="16" t="str">
        <f t="shared" si="22"/>
        <v>(515,'LOCATION:CREATE','location creation','LOCATION','CREATE'),</v>
      </c>
    </row>
    <row r="313" spans="1:6" ht="20.149999999999999" customHeight="1" x14ac:dyDescent="0.35">
      <c r="A313" s="3">
        <v>516</v>
      </c>
      <c r="B313" s="4" t="str">
        <f t="shared" si="21"/>
        <v>COORDINATE:CREATE</v>
      </c>
      <c r="C313" s="4" t="str">
        <f t="shared" si="20"/>
        <v>coordinate creation</v>
      </c>
      <c r="D313" s="4" t="s">
        <v>6390</v>
      </c>
      <c r="E313" s="5" t="s">
        <v>6448</v>
      </c>
      <c r="F313" s="16" t="str">
        <f t="shared" si="22"/>
        <v>(516,'COORDINATE:CREATE','coordinate creation','COORDINATE','CREATE'),</v>
      </c>
    </row>
    <row r="314" spans="1:6" ht="20.149999999999999" customHeight="1" x14ac:dyDescent="0.35">
      <c r="A314" s="3">
        <v>517</v>
      </c>
      <c r="B314" s="4" t="str">
        <f t="shared" si="21"/>
        <v>STRUCTURE:CREATE</v>
      </c>
      <c r="C314" s="4" t="str">
        <f t="shared" si="20"/>
        <v>structure creation</v>
      </c>
      <c r="D314" s="4" t="s">
        <v>5770</v>
      </c>
      <c r="E314" s="5" t="s">
        <v>6448</v>
      </c>
      <c r="F314" s="16" t="str">
        <f t="shared" si="22"/>
        <v>(517,'STRUCTURE:CREATE','structure creation','STRUCTURE','CREATE'),</v>
      </c>
    </row>
    <row r="315" spans="1:6" ht="20.149999999999999" customHeight="1" x14ac:dyDescent="0.35">
      <c r="A315" s="3">
        <v>518</v>
      </c>
      <c r="B315" s="4" t="str">
        <f t="shared" si="21"/>
        <v>JOB:CREATE</v>
      </c>
      <c r="C315" s="4" t="str">
        <f t="shared" si="20"/>
        <v>job creation</v>
      </c>
      <c r="D315" s="4" t="s">
        <v>5771</v>
      </c>
      <c r="E315" s="5" t="s">
        <v>6448</v>
      </c>
      <c r="F315" s="16" t="str">
        <f t="shared" si="22"/>
        <v>(518,'JOB:CREATE','job creation','JOB','CREATE'),</v>
      </c>
    </row>
    <row r="316" spans="1:6" ht="20.149999999999999" customHeight="1" x14ac:dyDescent="0.35">
      <c r="A316" s="3">
        <v>519</v>
      </c>
      <c r="B316" s="4" t="str">
        <f t="shared" si="21"/>
        <v>PERSON:CREATE</v>
      </c>
      <c r="C316" s="4" t="str">
        <f t="shared" si="20"/>
        <v>person creation</v>
      </c>
      <c r="D316" s="4" t="s">
        <v>5772</v>
      </c>
      <c r="E316" s="5" t="s">
        <v>6448</v>
      </c>
      <c r="F316" s="16" t="str">
        <f t="shared" si="22"/>
        <v>(519,'PERSON:CREATE','person creation','PERSON','CREATE'),</v>
      </c>
    </row>
    <row r="317" spans="1:6" ht="20.149999999999999" customHeight="1" x14ac:dyDescent="0.35">
      <c r="A317" s="3">
        <v>520</v>
      </c>
      <c r="B317" s="4" t="str">
        <f t="shared" si="21"/>
        <v>EMPLOYEE:CREATE</v>
      </c>
      <c r="C317" s="4" t="str">
        <f t="shared" si="20"/>
        <v>employee creation</v>
      </c>
      <c r="D317" s="4" t="s">
        <v>5773</v>
      </c>
      <c r="E317" s="5" t="s">
        <v>6448</v>
      </c>
      <c r="F317" s="16" t="str">
        <f t="shared" si="22"/>
        <v>(520,'EMPLOYEE:CREATE','employee creation','EMPLOYEE','CREATE'),</v>
      </c>
    </row>
    <row r="318" spans="1:6" ht="20.149999999999999" customHeight="1" x14ac:dyDescent="0.35">
      <c r="A318" s="3">
        <v>521</v>
      </c>
      <c r="B318" s="4" t="str">
        <f t="shared" si="21"/>
        <v>COMPANY_TYPE:CREATE</v>
      </c>
      <c r="C318" s="4" t="str">
        <f t="shared" si="20"/>
        <v>company_type creation</v>
      </c>
      <c r="D318" s="4" t="s">
        <v>5774</v>
      </c>
      <c r="E318" s="5" t="s">
        <v>6448</v>
      </c>
      <c r="F318" s="16" t="str">
        <f t="shared" si="22"/>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5775</v>
      </c>
      <c r="E319" s="5" t="s">
        <v>6448</v>
      </c>
      <c r="F319" s="16" t="str">
        <f t="shared" si="22"/>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5776</v>
      </c>
      <c r="E320" s="5" t="s">
        <v>6448</v>
      </c>
      <c r="F320" s="16" t="str">
        <f t="shared" si="22"/>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5777</v>
      </c>
      <c r="E321" s="5" t="s">
        <v>6448</v>
      </c>
      <c r="F321" s="16" t="str">
        <f t="shared" si="22"/>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5778</v>
      </c>
      <c r="E322" s="5" t="s">
        <v>6448</v>
      </c>
      <c r="F322" s="16" t="str">
        <f t="shared" si="22"/>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5779</v>
      </c>
      <c r="E323" s="5" t="s">
        <v>6448</v>
      </c>
      <c r="F323" s="16" t="str">
        <f t="shared" si="22"/>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5802</v>
      </c>
      <c r="E324" s="5" t="s">
        <v>6448</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5803</v>
      </c>
      <c r="E325" s="5" t="s">
        <v>6448</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5780</v>
      </c>
      <c r="E326" s="5" t="s">
        <v>6448</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5783</v>
      </c>
      <c r="E327" s="5" t="s">
        <v>6448</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5784</v>
      </c>
      <c r="E328" s="5" t="s">
        <v>6448</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5785</v>
      </c>
      <c r="E329" s="5" t="s">
        <v>6448</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5786</v>
      </c>
      <c r="E330" s="5" t="s">
        <v>6448</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5787</v>
      </c>
      <c r="E331" s="5" t="s">
        <v>6448</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5788</v>
      </c>
      <c r="E332" s="5" t="s">
        <v>6448</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5789</v>
      </c>
      <c r="E333" s="5" t="s">
        <v>6448</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5790</v>
      </c>
      <c r="E334" s="5" t="s">
        <v>6448</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5791</v>
      </c>
      <c r="E335" s="5" t="s">
        <v>6448</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5792</v>
      </c>
      <c r="E336" s="5" t="s">
        <v>6448</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5793</v>
      </c>
      <c r="E337" s="5" t="s">
        <v>6448</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5794</v>
      </c>
      <c r="E338" s="5" t="s">
        <v>6448</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5804</v>
      </c>
      <c r="E339" s="5" t="s">
        <v>6448</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5805</v>
      </c>
      <c r="E340" s="5" t="s">
        <v>6448</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5795</v>
      </c>
      <c r="E341" s="5" t="s">
        <v>6448</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6392</v>
      </c>
      <c r="E342" s="5" t="s">
        <v>6448</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6391</v>
      </c>
      <c r="E343" s="5" t="s">
        <v>6448</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6395</v>
      </c>
      <c r="E344" s="5" t="s">
        <v>6448</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6393</v>
      </c>
      <c r="E345" s="5" t="s">
        <v>6448</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6397</v>
      </c>
      <c r="E346" s="5" t="s">
        <v>6448</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6394</v>
      </c>
      <c r="E347" s="5" t="s">
        <v>6448</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6396</v>
      </c>
      <c r="E348" s="5" t="s">
        <v>6448</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6398</v>
      </c>
      <c r="E349" s="5" t="s">
        <v>6448</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6399</v>
      </c>
      <c r="E350" s="5" t="s">
        <v>6448</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6400</v>
      </c>
      <c r="E351" s="5" t="s">
        <v>6448</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6401</v>
      </c>
      <c r="E352" s="5" t="s">
        <v>6448</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6402</v>
      </c>
      <c r="E353" s="5" t="s">
        <v>6448</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6405</v>
      </c>
      <c r="E354" s="5" t="s">
        <v>6448</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6404</v>
      </c>
      <c r="E355" s="5" t="s">
        <v>6448</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6403</v>
      </c>
      <c r="E356" s="5" t="s">
        <v>6448</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6388</v>
      </c>
      <c r="E357" s="5" t="s">
        <v>6406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6389</v>
      </c>
      <c r="E358" s="5" t="s">
        <v>6406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5759</v>
      </c>
      <c r="E359" s="5" t="s">
        <v>6406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5760</v>
      </c>
      <c r="E360" s="5" t="s">
        <v>6406</v>
      </c>
      <c r="F360" s="16" t="str">
        <f t="shared" si="22"/>
        <v>(604,'USER:WRITE','user editing','USER','WRITE'),</v>
      </c>
    </row>
    <row r="361" spans="1:6" ht="20.149999999999999" customHeight="1" x14ac:dyDescent="0.35">
      <c r="A361" s="3">
        <v>605</v>
      </c>
      <c r="B361" s="4" t="str">
        <f t="shared" si="21"/>
        <v>ROLE:WRITE</v>
      </c>
      <c r="C361" s="4" t="str">
        <f t="shared" si="24"/>
        <v>role editing</v>
      </c>
      <c r="D361" s="4" t="s">
        <v>5761</v>
      </c>
      <c r="E361" s="5" t="s">
        <v>6406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5762</v>
      </c>
      <c r="E362" s="5" t="s">
        <v>6406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5763</v>
      </c>
      <c r="E363" s="5" t="s">
        <v>6406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5764</v>
      </c>
      <c r="E364" s="5" t="s">
        <v>6406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5769</v>
      </c>
      <c r="E365" s="5" t="s">
        <v>6406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5781</v>
      </c>
      <c r="E366" s="5" t="s">
        <v>6406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5766</v>
      </c>
      <c r="E367" s="5" t="s">
        <v>6406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5767</v>
      </c>
      <c r="E368" s="5" t="s">
        <v>6406</v>
      </c>
      <c r="F368" s="16" t="str">
        <f t="shared" ref="F368:F426" si="26">CONCATENATE("(",A368,",'",B368,"','",C368,"','",D368,"','",E368,"'),")</f>
        <v>(612,'STATE:WRITE','state editing','STATE','WRITE'),</v>
      </c>
    </row>
    <row r="369" spans="1:6" ht="20.149999999999999" customHeight="1" x14ac:dyDescent="0.35">
      <c r="A369" s="3">
        <v>613</v>
      </c>
      <c r="B369" s="4" t="str">
        <f t="shared" si="25"/>
        <v>DISTRICT:WRITE</v>
      </c>
      <c r="C369" s="4" t="str">
        <f t="shared" si="24"/>
        <v>district editing</v>
      </c>
      <c r="D369" s="4" t="s">
        <v>5801</v>
      </c>
      <c r="E369" s="5" t="s">
        <v>6406</v>
      </c>
      <c r="F369" s="16" t="str">
        <f t="shared" si="26"/>
        <v>(613,'DISTRICT:WRITE','district editing','DISTRICT','WRITE'),</v>
      </c>
    </row>
    <row r="370" spans="1:6" ht="20.149999999999999" customHeight="1" x14ac:dyDescent="0.35">
      <c r="A370" s="3">
        <v>614</v>
      </c>
      <c r="B370" s="4" t="str">
        <f t="shared" si="25"/>
        <v>LOCALITY:WRITE</v>
      </c>
      <c r="C370" s="4" t="str">
        <f t="shared" si="24"/>
        <v>locality editing</v>
      </c>
      <c r="D370" s="4" t="s">
        <v>5768</v>
      </c>
      <c r="E370" s="5" t="s">
        <v>6406</v>
      </c>
      <c r="F370" s="16" t="str">
        <f t="shared" si="26"/>
        <v>(614,'LOCALITY:WRITE','locality editing','LOCALITY','WRITE'),</v>
      </c>
    </row>
    <row r="371" spans="1:6" ht="20.149999999999999" customHeight="1" x14ac:dyDescent="0.35">
      <c r="A371" s="3">
        <v>615</v>
      </c>
      <c r="B371" s="4" t="str">
        <f t="shared" si="25"/>
        <v>LOCATION:WRITE</v>
      </c>
      <c r="C371" s="4" t="str">
        <f t="shared" si="24"/>
        <v>location editing</v>
      </c>
      <c r="D371" s="4" t="s">
        <v>5782</v>
      </c>
      <c r="E371" s="5" t="s">
        <v>6406</v>
      </c>
      <c r="F371" s="16" t="str">
        <f t="shared" si="26"/>
        <v>(615,'LOCATION:WRITE','location editing','LOCATION','WRITE'),</v>
      </c>
    </row>
    <row r="372" spans="1:6" ht="20.149999999999999" customHeight="1" x14ac:dyDescent="0.35">
      <c r="A372" s="3">
        <v>616</v>
      </c>
      <c r="B372" s="4" t="str">
        <f t="shared" si="25"/>
        <v>COORDINATE:WRITE</v>
      </c>
      <c r="C372" s="4" t="str">
        <f t="shared" si="24"/>
        <v>coordinate editing</v>
      </c>
      <c r="D372" s="4" t="s">
        <v>6390</v>
      </c>
      <c r="E372" s="5" t="s">
        <v>6406</v>
      </c>
      <c r="F372" s="16" t="str">
        <f t="shared" si="26"/>
        <v>(616,'COORDINATE:WRITE','coordinate editing','COORDINATE','WRITE'),</v>
      </c>
    </row>
    <row r="373" spans="1:6" ht="20.149999999999999" customHeight="1" x14ac:dyDescent="0.35">
      <c r="A373" s="3">
        <v>617</v>
      </c>
      <c r="B373" s="4" t="str">
        <f t="shared" si="25"/>
        <v>STRUCTURE:WRITE</v>
      </c>
      <c r="C373" s="4" t="str">
        <f t="shared" si="24"/>
        <v>structure editing</v>
      </c>
      <c r="D373" s="4" t="s">
        <v>5770</v>
      </c>
      <c r="E373" s="5" t="s">
        <v>6406</v>
      </c>
      <c r="F373" s="16" t="str">
        <f t="shared" si="26"/>
        <v>(617,'STRUCTURE:WRITE','structure editing','STRUCTURE','WRITE'),</v>
      </c>
    </row>
    <row r="374" spans="1:6" ht="20.149999999999999" customHeight="1" x14ac:dyDescent="0.35">
      <c r="A374" s="3">
        <v>618</v>
      </c>
      <c r="B374" s="4" t="str">
        <f t="shared" si="25"/>
        <v>JOB:WRITE</v>
      </c>
      <c r="C374" s="4" t="str">
        <f t="shared" si="24"/>
        <v>job editing</v>
      </c>
      <c r="D374" s="4" t="s">
        <v>5771</v>
      </c>
      <c r="E374" s="5" t="s">
        <v>6406</v>
      </c>
      <c r="F374" s="16" t="str">
        <f t="shared" si="26"/>
        <v>(618,'JOB:WRITE','job editing','JOB','WRITE'),</v>
      </c>
    </row>
    <row r="375" spans="1:6" ht="20.149999999999999" customHeight="1" x14ac:dyDescent="0.35">
      <c r="A375" s="3">
        <v>619</v>
      </c>
      <c r="B375" s="4" t="str">
        <f t="shared" si="25"/>
        <v>PERSON:WRITE</v>
      </c>
      <c r="C375" s="4" t="str">
        <f t="shared" si="24"/>
        <v>person editing</v>
      </c>
      <c r="D375" s="4" t="s">
        <v>5772</v>
      </c>
      <c r="E375" s="5" t="s">
        <v>6406</v>
      </c>
      <c r="F375" s="16" t="str">
        <f t="shared" si="26"/>
        <v>(619,'PERSON:WRITE','person editing','PERSON','WRITE'),</v>
      </c>
    </row>
    <row r="376" spans="1:6" ht="20.149999999999999" customHeight="1" x14ac:dyDescent="0.35">
      <c r="A376" s="3">
        <v>620</v>
      </c>
      <c r="B376" s="4" t="str">
        <f t="shared" si="25"/>
        <v>EMPLOYEE:WRITE</v>
      </c>
      <c r="C376" s="4" t="str">
        <f t="shared" si="24"/>
        <v>employee editing</v>
      </c>
      <c r="D376" s="4" t="s">
        <v>5773</v>
      </c>
      <c r="E376" s="5" t="s">
        <v>6406</v>
      </c>
      <c r="F376" s="16" t="str">
        <f t="shared" si="26"/>
        <v>(620,'EMPLOYEE:WRITE','employee editing','EMPLOYEE','WRITE'),</v>
      </c>
    </row>
    <row r="377" spans="1:6" ht="20.149999999999999" customHeight="1" x14ac:dyDescent="0.35">
      <c r="A377" s="3">
        <v>621</v>
      </c>
      <c r="B377" s="4" t="str">
        <f t="shared" si="25"/>
        <v>COMPANY_TYPE:WRITE</v>
      </c>
      <c r="C377" s="4" t="str">
        <f t="shared" si="24"/>
        <v>company_type editing</v>
      </c>
      <c r="D377" s="4" t="s">
        <v>5774</v>
      </c>
      <c r="E377" s="5" t="s">
        <v>6406</v>
      </c>
      <c r="F377" s="16" t="str">
        <f t="shared" si="26"/>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5775</v>
      </c>
      <c r="E378" s="5" t="s">
        <v>6406</v>
      </c>
      <c r="F378" s="16" t="str">
        <f t="shared" si="26"/>
        <v>(622,'PARTNER_TYPE:WRITE','partner_type editing','PARTNER_TYPE','WRITE'),</v>
      </c>
    </row>
    <row r="379" spans="1:6" ht="20.149999999999999" customHeight="1" x14ac:dyDescent="0.35">
      <c r="A379" s="3">
        <v>623</v>
      </c>
      <c r="B379" s="4" t="str">
        <f t="shared" si="25"/>
        <v>VENDOR_TYPE:WRITE</v>
      </c>
      <c r="C379" s="4" t="str">
        <f t="shared" si="24"/>
        <v>vendor_type editing</v>
      </c>
      <c r="D379" s="4" t="s">
        <v>5776</v>
      </c>
      <c r="E379" s="5" t="s">
        <v>6406</v>
      </c>
      <c r="F379" s="16" t="str">
        <f t="shared" si="26"/>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5777</v>
      </c>
      <c r="E380" s="5" t="s">
        <v>6406</v>
      </c>
      <c r="F380" s="16" t="str">
        <f t="shared" si="26"/>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5778</v>
      </c>
      <c r="E381" s="5" t="s">
        <v>6406</v>
      </c>
      <c r="F381" s="16" t="str">
        <f t="shared" si="26"/>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5779</v>
      </c>
      <c r="E382" s="5" t="s">
        <v>6406</v>
      </c>
      <c r="F382" s="16" t="str">
        <f t="shared" si="26"/>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5802</v>
      </c>
      <c r="E383" s="5" t="s">
        <v>6406</v>
      </c>
      <c r="F383" s="16" t="str">
        <f t="shared" si="26"/>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5803</v>
      </c>
      <c r="E384" s="5" t="s">
        <v>6406</v>
      </c>
      <c r="F384" s="16" t="str">
        <f t="shared" si="26"/>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5780</v>
      </c>
      <c r="E385" s="5" t="s">
        <v>6406</v>
      </c>
      <c r="F385" s="16" t="str">
        <f t="shared" si="26"/>
        <v>(629,'EQUIPMENT_TYPE:WRITE','equipment_type editing','EQUIPMENT_TYPE','WRITE'),</v>
      </c>
    </row>
    <row r="386" spans="1:6" ht="20.149999999999999" customHeight="1" x14ac:dyDescent="0.35">
      <c r="A386" s="3">
        <v>630</v>
      </c>
      <c r="B386" s="4" t="str">
        <f t="shared" si="25"/>
        <v>PRODUCT:WRITE</v>
      </c>
      <c r="C386" s="4" t="str">
        <f t="shared" si="24"/>
        <v>product editing</v>
      </c>
      <c r="D386" s="4" t="s">
        <v>5783</v>
      </c>
      <c r="E386" s="5" t="s">
        <v>6406</v>
      </c>
      <c r="F386" s="16" t="str">
        <f t="shared" si="26"/>
        <v>(630,'PRODUCT:WRITE','product editing','PRODUCT','WRITE'),</v>
      </c>
    </row>
    <row r="387" spans="1:6" ht="20.149999999999999" customHeight="1" x14ac:dyDescent="0.35">
      <c r="A387" s="3">
        <v>631</v>
      </c>
      <c r="B387" s="4" t="str">
        <f t="shared" si="25"/>
        <v>OPERATIONAL_STATUS:WRITE</v>
      </c>
      <c r="C387" s="4" t="str">
        <f t="shared" si="24"/>
        <v>operational_status editing</v>
      </c>
      <c r="D387" s="4" t="s">
        <v>5784</v>
      </c>
      <c r="E387" s="5" t="s">
        <v>6406</v>
      </c>
      <c r="F387" s="16" t="str">
        <f t="shared" si="26"/>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5785</v>
      </c>
      <c r="E388" s="5" t="s">
        <v>6406</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5786</v>
      </c>
      <c r="E389" s="5" t="s">
        <v>6406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5787</v>
      </c>
      <c r="E390" s="5" t="s">
        <v>6406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5788</v>
      </c>
      <c r="E391" s="5" t="s">
        <v>6406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5789</v>
      </c>
      <c r="E392" s="5" t="s">
        <v>6406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5790</v>
      </c>
      <c r="E393" s="5" t="s">
        <v>6406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5791</v>
      </c>
      <c r="E394" s="5" t="s">
        <v>6406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5792</v>
      </c>
      <c r="E395" s="5" t="s">
        <v>6406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5793</v>
      </c>
      <c r="E396" s="5" t="s">
        <v>6406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5794</v>
      </c>
      <c r="E397" s="5" t="s">
        <v>6406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5804</v>
      </c>
      <c r="E398" s="5" t="s">
        <v>6406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5805</v>
      </c>
      <c r="E399" s="5" t="s">
        <v>6406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5795</v>
      </c>
      <c r="E400" s="5" t="s">
        <v>6406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6392</v>
      </c>
      <c r="E401" s="5" t="s">
        <v>6406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6391</v>
      </c>
      <c r="E402" s="5" t="s">
        <v>6406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6395</v>
      </c>
      <c r="E403" s="5" t="s">
        <v>6406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6393</v>
      </c>
      <c r="E404" s="5" t="s">
        <v>6406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6397</v>
      </c>
      <c r="E405" s="5" t="s">
        <v>6406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6394</v>
      </c>
      <c r="E406" s="5" t="s">
        <v>6406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6396</v>
      </c>
      <c r="E407" s="5" t="s">
        <v>6406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6398</v>
      </c>
      <c r="E408" s="5" t="s">
        <v>6406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6399</v>
      </c>
      <c r="E409" s="5" t="s">
        <v>6406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6400</v>
      </c>
      <c r="E410" s="5" t="s">
        <v>6406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6401</v>
      </c>
      <c r="E411" s="5" t="s">
        <v>6406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6402</v>
      </c>
      <c r="E412" s="5" t="s">
        <v>6406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6405</v>
      </c>
      <c r="E413" s="5" t="s">
        <v>6406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6404</v>
      </c>
      <c r="E414" s="5" t="s">
        <v>6406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6403</v>
      </c>
      <c r="E415" s="5" t="s">
        <v>6406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6388</v>
      </c>
      <c r="E416" s="5" t="s">
        <v>5796</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6389</v>
      </c>
      <c r="E417" s="5" t="s">
        <v>5796</v>
      </c>
      <c r="F417" s="16" t="str">
        <f t="shared" si="26"/>
        <v>(702,'FILE:READ','file viewing','FILE','READ'),</v>
      </c>
    </row>
    <row r="418" spans="1:6" ht="20.149999999999999" customHeight="1" x14ac:dyDescent="0.35">
      <c r="A418" s="3">
        <v>703</v>
      </c>
      <c r="B418" s="4" t="str">
        <f t="shared" si="25"/>
        <v>GROUP:READ</v>
      </c>
      <c r="C418" s="4" t="str">
        <f t="shared" si="28"/>
        <v>group viewing</v>
      </c>
      <c r="D418" s="4" t="s">
        <v>5759</v>
      </c>
      <c r="E418" s="5" t="s">
        <v>5796</v>
      </c>
      <c r="F418" s="16" t="str">
        <f t="shared" si="26"/>
        <v>(703,'GROUP:READ','group viewing','GROUP','READ'),</v>
      </c>
    </row>
    <row r="419" spans="1:6" ht="20.149999999999999" customHeight="1" x14ac:dyDescent="0.35">
      <c r="A419" s="3">
        <v>704</v>
      </c>
      <c r="B419" s="4" t="str">
        <f t="shared" si="25"/>
        <v>USER:READ</v>
      </c>
      <c r="C419" s="4" t="str">
        <f t="shared" si="28"/>
        <v>user viewing</v>
      </c>
      <c r="D419" s="4" t="s">
        <v>5760</v>
      </c>
      <c r="E419" s="5" t="s">
        <v>5796</v>
      </c>
      <c r="F419" s="16" t="str">
        <f t="shared" si="26"/>
        <v>(704,'USER:READ','user viewing','USER','READ'),</v>
      </c>
    </row>
    <row r="420" spans="1:6" ht="20.149999999999999" customHeight="1" x14ac:dyDescent="0.35">
      <c r="A420" s="3">
        <v>705</v>
      </c>
      <c r="B420" s="4" t="str">
        <f t="shared" si="25"/>
        <v>ROLE:READ</v>
      </c>
      <c r="C420" s="4" t="str">
        <f t="shared" si="28"/>
        <v>role viewing</v>
      </c>
      <c r="D420" s="4" t="s">
        <v>5761</v>
      </c>
      <c r="E420" s="5" t="s">
        <v>5796</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5762</v>
      </c>
      <c r="E421" s="5" t="s">
        <v>5796</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5763</v>
      </c>
      <c r="E422" s="5" t="s">
        <v>5796</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5764</v>
      </c>
      <c r="E423" s="5" t="s">
        <v>5796</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5769</v>
      </c>
      <c r="E424" s="5" t="s">
        <v>5796</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5781</v>
      </c>
      <c r="E425" s="5" t="s">
        <v>5796</v>
      </c>
      <c r="F425" s="16" t="str">
        <f t="shared" si="26"/>
        <v>(710,'ZONE:READ','zone viewing','ZONE','READ'),</v>
      </c>
    </row>
    <row r="426" spans="1:6" ht="20.149999999999999" customHeight="1" x14ac:dyDescent="0.35">
      <c r="A426" s="3">
        <v>711</v>
      </c>
      <c r="B426" s="4" t="str">
        <f t="shared" si="25"/>
        <v>COUNTRY:READ</v>
      </c>
      <c r="C426" s="4" t="str">
        <f t="shared" si="29"/>
        <v>country viewing</v>
      </c>
      <c r="D426" s="4" t="s">
        <v>5766</v>
      </c>
      <c r="E426" s="5" t="s">
        <v>5796</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5767</v>
      </c>
      <c r="E427" s="5" t="s">
        <v>5796</v>
      </c>
      <c r="F427" s="16" t="str">
        <f t="shared" ref="F427:F474" si="31">CONCATENATE("(",A427,",'",B427,"','",C427,"','",D427,"','",E427,"'),")</f>
        <v>(712,'STATE:READ','state viewing','STATE','READ'),</v>
      </c>
    </row>
    <row r="428" spans="1:6" ht="20.149999999999999" customHeight="1" x14ac:dyDescent="0.35">
      <c r="A428" s="3">
        <v>713</v>
      </c>
      <c r="B428" s="4" t="str">
        <f t="shared" si="30"/>
        <v>DISTRICT:READ</v>
      </c>
      <c r="C428" s="4" t="str">
        <f t="shared" si="29"/>
        <v>district viewing</v>
      </c>
      <c r="D428" s="4" t="s">
        <v>5801</v>
      </c>
      <c r="E428" s="5" t="s">
        <v>5796</v>
      </c>
      <c r="F428" s="16" t="str">
        <f t="shared" si="31"/>
        <v>(713,'DISTRICT:READ','district viewing','DISTRICT','READ'),</v>
      </c>
    </row>
    <row r="429" spans="1:6" ht="20.149999999999999" customHeight="1" x14ac:dyDescent="0.35">
      <c r="A429" s="3">
        <v>714</v>
      </c>
      <c r="B429" s="4" t="str">
        <f t="shared" si="30"/>
        <v>LOCALITY:READ</v>
      </c>
      <c r="C429" s="4" t="str">
        <f t="shared" si="29"/>
        <v>locality viewing</v>
      </c>
      <c r="D429" s="4" t="s">
        <v>5768</v>
      </c>
      <c r="E429" s="5" t="s">
        <v>5796</v>
      </c>
      <c r="F429" s="16" t="str">
        <f t="shared" si="31"/>
        <v>(714,'LOCALITY:READ','locality viewing','LOCALITY','READ'),</v>
      </c>
    </row>
    <row r="430" spans="1:6" ht="20.149999999999999" customHeight="1" x14ac:dyDescent="0.35">
      <c r="A430" s="3">
        <v>715</v>
      </c>
      <c r="B430" s="4" t="str">
        <f t="shared" si="30"/>
        <v>LOCATION:READ</v>
      </c>
      <c r="C430" s="4" t="str">
        <f t="shared" si="29"/>
        <v>location viewing</v>
      </c>
      <c r="D430" s="4" t="s">
        <v>5782</v>
      </c>
      <c r="E430" s="5" t="s">
        <v>5796</v>
      </c>
      <c r="F430" s="16" t="str">
        <f t="shared" si="31"/>
        <v>(715,'LOCATION:READ','location viewing','LOCATION','READ'),</v>
      </c>
    </row>
    <row r="431" spans="1:6" ht="20.149999999999999" customHeight="1" x14ac:dyDescent="0.35">
      <c r="A431" s="3">
        <v>716</v>
      </c>
      <c r="B431" s="4" t="str">
        <f t="shared" si="30"/>
        <v>COORDINATE:READ</v>
      </c>
      <c r="C431" s="4" t="str">
        <f t="shared" si="29"/>
        <v>coordinate viewing</v>
      </c>
      <c r="D431" s="4" t="s">
        <v>6390</v>
      </c>
      <c r="E431" s="5" t="s">
        <v>5796</v>
      </c>
      <c r="F431" s="16" t="str">
        <f t="shared" si="31"/>
        <v>(716,'COORDINATE:READ','coordinate viewing','COORDINATE','READ'),</v>
      </c>
    </row>
    <row r="432" spans="1:6" ht="20.149999999999999" customHeight="1" x14ac:dyDescent="0.35">
      <c r="A432" s="3">
        <v>717</v>
      </c>
      <c r="B432" s="4" t="str">
        <f t="shared" si="30"/>
        <v>STRUCTURE:READ</v>
      </c>
      <c r="C432" s="4" t="str">
        <f t="shared" si="29"/>
        <v>structure viewing</v>
      </c>
      <c r="D432" s="4" t="s">
        <v>5770</v>
      </c>
      <c r="E432" s="5" t="s">
        <v>5796</v>
      </c>
      <c r="F432" s="16" t="str">
        <f t="shared" si="31"/>
        <v>(717,'STRUCTURE:READ','structure viewing','STRUCTURE','READ'),</v>
      </c>
    </row>
    <row r="433" spans="1:6" ht="20.149999999999999" customHeight="1" x14ac:dyDescent="0.35">
      <c r="A433" s="3">
        <v>718</v>
      </c>
      <c r="B433" s="4" t="str">
        <f t="shared" si="30"/>
        <v>JOB:READ</v>
      </c>
      <c r="C433" s="4" t="str">
        <f t="shared" si="29"/>
        <v>job viewing</v>
      </c>
      <c r="D433" s="4" t="s">
        <v>5771</v>
      </c>
      <c r="E433" s="5" t="s">
        <v>5796</v>
      </c>
      <c r="F433" s="16" t="str">
        <f t="shared" si="31"/>
        <v>(718,'JOB:READ','job viewing','JOB','READ'),</v>
      </c>
    </row>
    <row r="434" spans="1:6" ht="20.149999999999999" customHeight="1" x14ac:dyDescent="0.35">
      <c r="A434" s="3">
        <v>719</v>
      </c>
      <c r="B434" s="4" t="str">
        <f t="shared" si="30"/>
        <v>PERSON:READ</v>
      </c>
      <c r="C434" s="4" t="str">
        <f t="shared" si="29"/>
        <v>person viewing</v>
      </c>
      <c r="D434" s="4" t="s">
        <v>5772</v>
      </c>
      <c r="E434" s="5" t="s">
        <v>5796</v>
      </c>
      <c r="F434" s="16" t="str">
        <f t="shared" si="31"/>
        <v>(719,'PERSON:READ','person viewing','PERSON','READ'),</v>
      </c>
    </row>
    <row r="435" spans="1:6" ht="20.149999999999999" customHeight="1" x14ac:dyDescent="0.35">
      <c r="A435" s="3">
        <v>720</v>
      </c>
      <c r="B435" s="4" t="str">
        <f t="shared" si="30"/>
        <v>EMPLOYEE:READ</v>
      </c>
      <c r="C435" s="4" t="str">
        <f t="shared" si="29"/>
        <v>employee viewing</v>
      </c>
      <c r="D435" s="4" t="s">
        <v>5773</v>
      </c>
      <c r="E435" s="5" t="s">
        <v>5796</v>
      </c>
      <c r="F435" s="16" t="str">
        <f t="shared" si="31"/>
        <v>(720,'EMPLOYEE:READ','employee viewing','EMPLOYEE','READ'),</v>
      </c>
    </row>
    <row r="436" spans="1:6" ht="20.149999999999999" customHeight="1" x14ac:dyDescent="0.35">
      <c r="A436" s="3">
        <v>721</v>
      </c>
      <c r="B436" s="4" t="str">
        <f t="shared" si="30"/>
        <v>COMPANY_TYPE:READ</v>
      </c>
      <c r="C436" s="4" t="str">
        <f t="shared" si="29"/>
        <v>company_type viewing</v>
      </c>
      <c r="D436" s="4" t="s">
        <v>5774</v>
      </c>
      <c r="E436" s="5" t="s">
        <v>5796</v>
      </c>
      <c r="F436" s="16" t="str">
        <f t="shared" si="31"/>
        <v>(721,'COMPANY_TYPE:READ','company_type viewing','COMPANY_TYPE','READ'),</v>
      </c>
    </row>
    <row r="437" spans="1:6" ht="20.149999999999999" customHeight="1" x14ac:dyDescent="0.35">
      <c r="A437" s="3">
        <v>722</v>
      </c>
      <c r="B437" s="4" t="str">
        <f t="shared" si="30"/>
        <v>PARTNER_TYPE:READ</v>
      </c>
      <c r="C437" s="4" t="str">
        <f t="shared" si="29"/>
        <v>partner_type viewing</v>
      </c>
      <c r="D437" s="4" t="s">
        <v>5775</v>
      </c>
      <c r="E437" s="5" t="s">
        <v>5796</v>
      </c>
      <c r="F437" s="16" t="str">
        <f t="shared" si="31"/>
        <v>(722,'PARTNER_TYPE:READ','partner_type viewing','PARTNER_TYPE','READ'),</v>
      </c>
    </row>
    <row r="438" spans="1:6" ht="20.149999999999999" customHeight="1" x14ac:dyDescent="0.35">
      <c r="A438" s="3">
        <v>723</v>
      </c>
      <c r="B438" s="4" t="str">
        <f t="shared" si="30"/>
        <v>VENDOR_TYPE:READ</v>
      </c>
      <c r="C438" s="4" t="str">
        <f t="shared" si="29"/>
        <v>vendor_type viewing</v>
      </c>
      <c r="D438" s="4" t="s">
        <v>5776</v>
      </c>
      <c r="E438" s="5" t="s">
        <v>5796</v>
      </c>
      <c r="F438" s="16" t="str">
        <f t="shared" si="31"/>
        <v>(723,'VENDOR_TYPE:READ','vendor_type viewing','VENDOR_TYPE','READ'),</v>
      </c>
    </row>
    <row r="439" spans="1:6" ht="20.149999999999999" customHeight="1" x14ac:dyDescent="0.35">
      <c r="A439" s="3">
        <v>724</v>
      </c>
      <c r="B439" s="4" t="str">
        <f t="shared" si="30"/>
        <v>FACILITY_TYPE:READ</v>
      </c>
      <c r="C439" s="4" t="str">
        <f t="shared" si="29"/>
        <v>facility_type viewing</v>
      </c>
      <c r="D439" s="4" t="s">
        <v>5777</v>
      </c>
      <c r="E439" s="5" t="s">
        <v>5796</v>
      </c>
      <c r="F439" s="16" t="str">
        <f t="shared" si="31"/>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5778</v>
      </c>
      <c r="E440" s="5" t="s">
        <v>5796</v>
      </c>
      <c r="F440" s="16" t="str">
        <f t="shared" si="31"/>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5779</v>
      </c>
      <c r="E441" s="5" t="s">
        <v>5796</v>
      </c>
      <c r="F441" s="16" t="str">
        <f t="shared" si="31"/>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5802</v>
      </c>
      <c r="E442" s="5" t="s">
        <v>5796</v>
      </c>
      <c r="F442" s="16" t="str">
        <f t="shared" si="31"/>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5803</v>
      </c>
      <c r="E443" s="5" t="s">
        <v>5796</v>
      </c>
      <c r="F443" s="16" t="str">
        <f t="shared" si="31"/>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5780</v>
      </c>
      <c r="E444" s="5" t="s">
        <v>5796</v>
      </c>
      <c r="F444" s="16" t="str">
        <f t="shared" si="31"/>
        <v>(729,'EQUIPMENT_TYPE:READ','equipment_type viewing','EQUIPMENT_TYPE','READ'),</v>
      </c>
    </row>
    <row r="445" spans="1:6" ht="20.149999999999999" customHeight="1" x14ac:dyDescent="0.35">
      <c r="A445" s="3">
        <v>730</v>
      </c>
      <c r="B445" s="4" t="str">
        <f t="shared" si="30"/>
        <v>PRODUCT:READ</v>
      </c>
      <c r="C445" s="4" t="str">
        <f t="shared" si="29"/>
        <v>product viewing</v>
      </c>
      <c r="D445" s="4" t="s">
        <v>5783</v>
      </c>
      <c r="E445" s="5" t="s">
        <v>5796</v>
      </c>
      <c r="F445" s="16" t="str">
        <f t="shared" si="31"/>
        <v>(730,'PRODUCT:READ','product viewing','PRODUCT','READ'),</v>
      </c>
    </row>
    <row r="446" spans="1:6" ht="20.149999999999999" customHeight="1" x14ac:dyDescent="0.35">
      <c r="A446" s="3">
        <v>731</v>
      </c>
      <c r="B446" s="4" t="str">
        <f t="shared" si="30"/>
        <v>OPERATIONAL_STATUS:READ</v>
      </c>
      <c r="C446" s="4" t="str">
        <f t="shared" si="29"/>
        <v>operational_status viewing</v>
      </c>
      <c r="D446" s="4" t="s">
        <v>5784</v>
      </c>
      <c r="E446" s="5" t="s">
        <v>5796</v>
      </c>
      <c r="F446" s="16" t="str">
        <f t="shared" si="31"/>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5785</v>
      </c>
      <c r="E447" s="5" t="s">
        <v>5796</v>
      </c>
      <c r="F447" s="16" t="str">
        <f t="shared" si="31"/>
        <v>(732,'ALLOY:READ','alloy viewing','ALLOY','READ'),</v>
      </c>
    </row>
    <row r="448" spans="1:6" ht="20.149999999999999" customHeight="1" x14ac:dyDescent="0.35">
      <c r="A448" s="3">
        <v>733</v>
      </c>
      <c r="B448" s="4" t="str">
        <f t="shared" si="30"/>
        <v>PARTNER:READ</v>
      </c>
      <c r="C448" s="4" t="str">
        <f t="shared" si="29"/>
        <v>partner viewing</v>
      </c>
      <c r="D448" s="4" t="s">
        <v>5786</v>
      </c>
      <c r="E448" s="5" t="s">
        <v>5796</v>
      </c>
      <c r="F448" s="16" t="str">
        <f t="shared" si="31"/>
        <v>(733,'PARTNER:READ','partner viewing','PARTNER','READ'),</v>
      </c>
    </row>
    <row r="449" spans="1:6" ht="20.149999999999999" customHeight="1" x14ac:dyDescent="0.35">
      <c r="A449" s="3">
        <v>734</v>
      </c>
      <c r="B449" s="4" t="str">
        <f t="shared" si="30"/>
        <v>VENDOR:READ</v>
      </c>
      <c r="C449" s="4" t="str">
        <f t="shared" si="29"/>
        <v>vendor viewing</v>
      </c>
      <c r="D449" s="4" t="s">
        <v>5787</v>
      </c>
      <c r="E449" s="5" t="s">
        <v>5796</v>
      </c>
      <c r="F449" s="16" t="str">
        <f t="shared" si="31"/>
        <v>(734,'VENDOR:READ','vendor viewing','VENDOR','READ'),</v>
      </c>
    </row>
    <row r="450" spans="1:6" ht="20.149999999999999" customHeight="1" x14ac:dyDescent="0.35">
      <c r="A450" s="3">
        <v>735</v>
      </c>
      <c r="B450" s="4" t="str">
        <f t="shared" si="30"/>
        <v>INFRASTRUCTURE:READ</v>
      </c>
      <c r="C450" s="4" t="str">
        <f t="shared" si="29"/>
        <v>infrastructure viewing</v>
      </c>
      <c r="D450" s="4" t="s">
        <v>5788</v>
      </c>
      <c r="E450" s="5" t="s">
        <v>5796</v>
      </c>
      <c r="F450" s="16" t="str">
        <f t="shared" si="31"/>
        <v>(735,'INFRASTRUCTURE:READ','infrastructure viewing','INFRASTRUCTURE','READ'),</v>
      </c>
    </row>
    <row r="451" spans="1:6" ht="20.149999999999999" customHeight="1" x14ac:dyDescent="0.35">
      <c r="A451" s="3">
        <v>736</v>
      </c>
      <c r="B451" s="4" t="str">
        <f t="shared" si="30"/>
        <v>FACILITY:READ</v>
      </c>
      <c r="C451" s="4" t="str">
        <f t="shared" si="29"/>
        <v>facility viewing</v>
      </c>
      <c r="D451" s="4" t="s">
        <v>5789</v>
      </c>
      <c r="E451" s="5" t="s">
        <v>5796</v>
      </c>
      <c r="F451" s="16" t="str">
        <f t="shared" si="31"/>
        <v>(736,'FACILITY:READ','facility viewing','FACILITY','READ'),</v>
      </c>
    </row>
    <row r="452" spans="1:6" ht="20.149999999999999" customHeight="1" x14ac:dyDescent="0.35">
      <c r="A452" s="3">
        <v>737</v>
      </c>
      <c r="B452" s="4" t="str">
        <f t="shared" si="30"/>
        <v>PIPELINE_SYSTEM:READ</v>
      </c>
      <c r="C452" s="4" t="str">
        <f t="shared" si="29"/>
        <v>pipeline_system viewing</v>
      </c>
      <c r="D452" s="4" t="s">
        <v>5790</v>
      </c>
      <c r="E452" s="5" t="s">
        <v>5796</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5791</v>
      </c>
      <c r="E453" s="5" t="s">
        <v>5796</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5792</v>
      </c>
      <c r="E454" s="5" t="s">
        <v>5796</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5793</v>
      </c>
      <c r="E455" s="5" t="s">
        <v>5796</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5794</v>
      </c>
      <c r="E456" s="5" t="s">
        <v>5796</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5804</v>
      </c>
      <c r="E457" s="5" t="s">
        <v>5796</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5805</v>
      </c>
      <c r="E458" s="5" t="s">
        <v>5796</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5795</v>
      </c>
      <c r="E459" s="5" t="s">
        <v>5796</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6392</v>
      </c>
      <c r="E460" s="5" t="s">
        <v>5796</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6391</v>
      </c>
      <c r="E461" s="5" t="s">
        <v>5796</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6395</v>
      </c>
      <c r="E462" s="5" t="s">
        <v>5796</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6393</v>
      </c>
      <c r="E463" s="5" t="s">
        <v>5796</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6397</v>
      </c>
      <c r="E464" s="5" t="s">
        <v>5796</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6394</v>
      </c>
      <c r="E465" s="5" t="s">
        <v>5796</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6396</v>
      </c>
      <c r="E466" s="5" t="s">
        <v>5796</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6398</v>
      </c>
      <c r="E467" s="5" t="s">
        <v>5796</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6399</v>
      </c>
      <c r="E468" s="5" t="s">
        <v>5796</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6400</v>
      </c>
      <c r="E469" s="5" t="s">
        <v>5796</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6401</v>
      </c>
      <c r="E470" s="5" t="s">
        <v>5796</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6402</v>
      </c>
      <c r="E471" s="5" t="s">
        <v>5796</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6405</v>
      </c>
      <c r="E472" s="5" t="s">
        <v>5796</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6404</v>
      </c>
      <c r="E473" s="5" t="s">
        <v>5796</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6403</v>
      </c>
      <c r="E474" s="5" t="s">
        <v>5796</v>
      </c>
      <c r="F474" s="16" t="str">
        <f t="shared" si="31"/>
        <v>(759,'FLOW_THRESHOLD:READ','flow_threshold viewing','FLOW_THRESHOLD','READ'),</v>
      </c>
    </row>
  </sheetData>
  <autoFilter ref="A2:F474"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5797</v>
      </c>
      <c r="E1" s="1" t="s">
        <v>5603</v>
      </c>
    </row>
    <row r="2" spans="1:5" ht="20.149999999999999" customHeight="1" x14ac:dyDescent="0.35">
      <c r="A2" s="1" t="s">
        <v>44</v>
      </c>
      <c r="B2" s="1" t="s">
        <v>5806</v>
      </c>
      <c r="C2" s="1" t="s">
        <v>42</v>
      </c>
      <c r="D2" s="1" t="s">
        <v>43</v>
      </c>
      <c r="E2" s="1" t="s">
        <v>5856</v>
      </c>
    </row>
    <row r="3" spans="1:5" ht="20.149999999999999" customHeight="1" x14ac:dyDescent="0.35">
      <c r="A3" s="3">
        <v>1</v>
      </c>
      <c r="B3" s="4" t="s">
        <v>5808</v>
      </c>
      <c r="C3" s="4" t="s">
        <v>5807</v>
      </c>
      <c r="D3" s="4" t="s">
        <v>5809</v>
      </c>
      <c r="E3" s="16" t="str">
        <f>CONCATENATE("(",A3,",'",B3,"','",C3,"','",D3,"'),")</f>
        <v>(1,'SYSTEM','System Management','Core system operations and configuration'),</v>
      </c>
    </row>
    <row r="4" spans="1:5" ht="20.149999999999999" customHeight="1" x14ac:dyDescent="0.35">
      <c r="A4" s="3">
        <v>2</v>
      </c>
      <c r="B4" s="4" t="s">
        <v>5760</v>
      </c>
      <c r="C4" s="4" t="s">
        <v>5810</v>
      </c>
      <c r="D4" s="4" t="s">
        <v>5811</v>
      </c>
      <c r="E4" s="16" t="str">
        <f t="shared" ref="E4:E21" si="0">CONCATENATE("(",A4,",'",B4,"','",C4,"','",D4,"'),")</f>
        <v>(2,'USER','User Management','User account and profile management'),</v>
      </c>
    </row>
    <row r="5" spans="1:5" ht="20.149999999999999" customHeight="1" x14ac:dyDescent="0.35">
      <c r="A5" s="3">
        <v>3</v>
      </c>
      <c r="B5" s="4" t="s">
        <v>5761</v>
      </c>
      <c r="C5" s="4" t="s">
        <v>5812</v>
      </c>
      <c r="D5" s="4" t="s">
        <v>5813</v>
      </c>
      <c r="E5" s="16" t="str">
        <f t="shared" si="0"/>
        <v>(3,'ROLE','Role Management','Role definitions and assignments'),</v>
      </c>
    </row>
    <row r="6" spans="1:5" ht="20.149999999999999" customHeight="1" x14ac:dyDescent="0.35">
      <c r="A6" s="3">
        <v>4</v>
      </c>
      <c r="B6" s="4" t="s">
        <v>5762</v>
      </c>
      <c r="C6" s="4" t="s">
        <v>5814</v>
      </c>
      <c r="D6" s="4" t="s">
        <v>5815</v>
      </c>
      <c r="E6" s="16" t="str">
        <f t="shared" si="0"/>
        <v>(4,'PERMISSION','Permission Management','Permission and access control'),</v>
      </c>
    </row>
    <row r="7" spans="1:5" ht="20.149999999999999" customHeight="1" x14ac:dyDescent="0.35">
      <c r="A7" s="3">
        <v>5</v>
      </c>
      <c r="B7" s="4" t="s">
        <v>5759</v>
      </c>
      <c r="C7" s="4" t="s">
        <v>5816</v>
      </c>
      <c r="D7" s="4" t="s">
        <v>5817</v>
      </c>
      <c r="E7" s="16" t="str">
        <f t="shared" si="0"/>
        <v>(5,'GROUP','Group Management','User group organization'),</v>
      </c>
    </row>
    <row r="8" spans="1:5" ht="20.149999999999999" customHeight="1" x14ac:dyDescent="0.35">
      <c r="A8" s="3">
        <v>6</v>
      </c>
      <c r="B8" s="4" t="s">
        <v>5763</v>
      </c>
      <c r="C8" s="4" t="s">
        <v>5818</v>
      </c>
      <c r="D8" s="4" t="s">
        <v>5819</v>
      </c>
      <c r="E8" s="16" t="str">
        <f t="shared" si="0"/>
        <v>(6,'AUTHORITY','Authority Management','Authority category management'),</v>
      </c>
    </row>
    <row r="9" spans="1:5" ht="20.149999999999999" customHeight="1" x14ac:dyDescent="0.35">
      <c r="A9" s="3">
        <v>7</v>
      </c>
      <c r="B9" s="4" t="s">
        <v>5764</v>
      </c>
      <c r="C9" s="4" t="s">
        <v>5820</v>
      </c>
      <c r="D9" s="4" t="s">
        <v>5821</v>
      </c>
      <c r="E9" s="16" t="str">
        <f t="shared" si="0"/>
        <v>(7,'AUDIT','Audit Management','System audit logging and tracking'),</v>
      </c>
    </row>
    <row r="10" spans="1:5" ht="20.149999999999999" customHeight="1" x14ac:dyDescent="0.35">
      <c r="A10" s="3">
        <v>8</v>
      </c>
      <c r="B10" s="4" t="s">
        <v>5823</v>
      </c>
      <c r="C10" s="4" t="s">
        <v>5822</v>
      </c>
      <c r="D10" s="4" t="s">
        <v>5824</v>
      </c>
      <c r="E10" s="16" t="str">
        <f t="shared" si="0"/>
        <v>(8,'AUTH','Authentication','Authentication and session management'),</v>
      </c>
    </row>
    <row r="11" spans="1:5" ht="20.149999999999999" customHeight="1" x14ac:dyDescent="0.35">
      <c r="A11" s="3">
        <v>9</v>
      </c>
      <c r="B11" s="4" t="s">
        <v>5826</v>
      </c>
      <c r="C11" s="4" t="s">
        <v>5825</v>
      </c>
      <c r="D11" s="4" t="s">
        <v>5827</v>
      </c>
      <c r="E11" s="16" t="str">
        <f t="shared" si="0"/>
        <v>(9,'CONFIG','Configuration','System configuration settings'),</v>
      </c>
    </row>
    <row r="12" spans="1:5" ht="20.149999999999999" customHeight="1" x14ac:dyDescent="0.35">
      <c r="A12" s="3">
        <v>10</v>
      </c>
      <c r="B12" s="4" t="s">
        <v>5829</v>
      </c>
      <c r="C12" s="4" t="s">
        <v>5828</v>
      </c>
      <c r="D12" s="4" t="s">
        <v>5830</v>
      </c>
      <c r="E12" s="16" t="str">
        <f t="shared" si="0"/>
        <v>(10,'UTILITY','System Utility','System utilities and tools'),</v>
      </c>
    </row>
    <row r="13" spans="1:5" ht="20.149999999999999" customHeight="1" x14ac:dyDescent="0.35">
      <c r="A13" s="3">
        <v>11</v>
      </c>
      <c r="B13" s="4" t="s">
        <v>5832</v>
      </c>
      <c r="C13" s="4" t="s">
        <v>5831</v>
      </c>
      <c r="D13" s="4" t="s">
        <v>5833</v>
      </c>
      <c r="E13" s="16" t="str">
        <f t="shared" si="0"/>
        <v>(11,'ADMINISTRATION','Administration','Administrative operations'),</v>
      </c>
    </row>
    <row r="14" spans="1:5" ht="20.149999999999999" customHeight="1" x14ac:dyDescent="0.35">
      <c r="A14" s="3">
        <v>12</v>
      </c>
      <c r="B14" s="4" t="s">
        <v>5835</v>
      </c>
      <c r="C14" s="4" t="s">
        <v>5834</v>
      </c>
      <c r="D14" s="4" t="s">
        <v>5836</v>
      </c>
      <c r="E14" s="16" t="str">
        <f t="shared" si="0"/>
        <v>(12,'COMMUNICATION','Communication','Messaging and notifications'),</v>
      </c>
    </row>
    <row r="15" spans="1:5" ht="20.149999999999999" customHeight="1" x14ac:dyDescent="0.35">
      <c r="A15" s="3">
        <v>13</v>
      </c>
      <c r="B15" s="4" t="s">
        <v>5765</v>
      </c>
      <c r="C15" s="4" t="s">
        <v>5837</v>
      </c>
      <c r="D15" s="4" t="s">
        <v>5838</v>
      </c>
      <c r="E15" s="16" t="str">
        <f t="shared" si="0"/>
        <v>(13,'DOCUMENT','Document Management','Document handling and archiving'),</v>
      </c>
    </row>
    <row r="16" spans="1:5" ht="20.149999999999999" customHeight="1" x14ac:dyDescent="0.35">
      <c r="A16" s="3">
        <v>14</v>
      </c>
      <c r="B16" s="4" t="s">
        <v>5840</v>
      </c>
      <c r="C16" s="4" t="s">
        <v>5839</v>
      </c>
      <c r="D16" s="4" t="s">
        <v>5841</v>
      </c>
      <c r="E16" s="16" t="str">
        <f t="shared" si="0"/>
        <v>(14,'ENVIRONMENT','Environment Data','Geographic and location data'),</v>
      </c>
    </row>
    <row r="17" spans="1:5" ht="20.149999999999999" customHeight="1" x14ac:dyDescent="0.35">
      <c r="A17" s="3">
        <v>15</v>
      </c>
      <c r="B17" s="4" t="s">
        <v>5843</v>
      </c>
      <c r="C17" s="4" t="s">
        <v>5842</v>
      </c>
      <c r="D17" s="4" t="s">
        <v>5844</v>
      </c>
      <c r="E17" s="16" t="str">
        <f t="shared" si="0"/>
        <v>(15,'NETWORK','Network Management','Network infrastructure management'),</v>
      </c>
    </row>
    <row r="18" spans="1:5" ht="20.149999999999999" customHeight="1" x14ac:dyDescent="0.35">
      <c r="A18" s="3">
        <v>16</v>
      </c>
      <c r="B18" s="4" t="s">
        <v>5788</v>
      </c>
      <c r="C18" s="4" t="s">
        <v>5845</v>
      </c>
      <c r="D18" s="4" t="s">
        <v>5846</v>
      </c>
      <c r="E18" s="16" t="str">
        <f t="shared" si="0"/>
        <v>(16,'INFRASTRUCTURE','IT Infrastructure','IT infrastructure and services'),</v>
      </c>
    </row>
    <row r="19" spans="1:5" ht="20.149999999999999" customHeight="1" x14ac:dyDescent="0.35">
      <c r="A19" s="3">
        <v>17</v>
      </c>
      <c r="B19" s="4" t="s">
        <v>5848</v>
      </c>
      <c r="C19" s="4" t="s">
        <v>5847</v>
      </c>
      <c r="D19" s="4" t="s">
        <v>5849</v>
      </c>
      <c r="E19" s="16" t="str">
        <f t="shared" si="0"/>
        <v>(17,'REPORT','Reporting &amp; Analytics','Reports, dashboards, and analytics'),</v>
      </c>
    </row>
    <row r="20" spans="1:5" ht="20.149999999999999" customHeight="1" x14ac:dyDescent="0.35">
      <c r="A20" s="3">
        <v>18</v>
      </c>
      <c r="B20" s="4" t="s">
        <v>5851</v>
      </c>
      <c r="C20" s="4" t="s">
        <v>5850</v>
      </c>
      <c r="D20" s="4" t="s">
        <v>5852</v>
      </c>
      <c r="E20" s="16" t="str">
        <f t="shared" si="0"/>
        <v>(18,'WORKFLOW','Workflow Engine','Business process workflows'),</v>
      </c>
    </row>
    <row r="21" spans="1:5" ht="20.149999999999999" customHeight="1" x14ac:dyDescent="0.35">
      <c r="A21" s="3">
        <v>19</v>
      </c>
      <c r="B21" s="4" t="s">
        <v>5854</v>
      </c>
      <c r="C21" s="4" t="s">
        <v>5853</v>
      </c>
      <c r="D21" s="4" t="s">
        <v>5855</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5860</v>
      </c>
      <c r="E60" s="4" t="s">
        <v>5860</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5861</v>
      </c>
      <c r="E77" s="4" t="s">
        <v>5861</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5862</v>
      </c>
      <c r="E83" s="4" t="s">
        <v>5862</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5863</v>
      </c>
      <c r="E181" s="4" t="s">
        <v>5863</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5864</v>
      </c>
      <c r="E187" s="4" t="s">
        <v>5864</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5865</v>
      </c>
      <c r="E189" s="4" t="s">
        <v>5865</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5866</v>
      </c>
      <c r="E197" s="4" t="s">
        <v>5866</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5867</v>
      </c>
      <c r="E226" s="4" t="s">
        <v>5867</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5868</v>
      </c>
      <c r="E242" s="4" t="s">
        <v>5868</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5869</v>
      </c>
      <c r="E299" s="4" t="s">
        <v>5869</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5870</v>
      </c>
      <c r="E400" s="4" t="s">
        <v>5870</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5871</v>
      </c>
      <c r="E401" s="4" t="s">
        <v>5871</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5872</v>
      </c>
      <c r="E468" s="4" t="s">
        <v>5872</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5873</v>
      </c>
      <c r="E499" s="4" t="s">
        <v>5873</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5874</v>
      </c>
      <c r="E527" s="4" t="s">
        <v>5874</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5875</v>
      </c>
      <c r="E606" s="4" t="s">
        <v>5875</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5876</v>
      </c>
      <c r="E627" s="4" t="s">
        <v>5876</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5877</v>
      </c>
      <c r="E675" s="4" t="s">
        <v>5877</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5878</v>
      </c>
      <c r="E802" s="4" t="s">
        <v>5878</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5879</v>
      </c>
      <c r="E844" s="4" t="s">
        <v>5879</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5880</v>
      </c>
      <c r="E902" s="4" t="s">
        <v>5880</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5881</v>
      </c>
      <c r="E965" s="4" t="s">
        <v>5881</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5882</v>
      </c>
      <c r="E971" s="4" t="s">
        <v>5882</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5883</v>
      </c>
      <c r="E977" s="4" t="s">
        <v>5883</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5874</v>
      </c>
      <c r="E1007" s="4" t="s">
        <v>5874</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5884</v>
      </c>
      <c r="E1061" s="4" t="s">
        <v>5884</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5885</v>
      </c>
      <c r="E1127" s="4" t="s">
        <v>5885</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5886</v>
      </c>
      <c r="E1264" s="4" t="s">
        <v>5886</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5887</v>
      </c>
      <c r="E1267" s="4" t="s">
        <v>5887</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5888</v>
      </c>
      <c r="E1296" s="4" t="s">
        <v>5888</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5889</v>
      </c>
      <c r="E1454" s="4" t="s">
        <v>5889</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5890</v>
      </c>
      <c r="E1458" s="4" t="s">
        <v>5890</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5891</v>
      </c>
      <c r="E1472" s="4" t="s">
        <v>5891</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5892</v>
      </c>
      <c r="E1525" s="4" t="s">
        <v>5892</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5893</v>
      </c>
      <c r="E1533" s="4" t="s">
        <v>5893</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5894</v>
      </c>
      <c r="E1538" s="4" t="s">
        <v>5894</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5901</v>
      </c>
      <c r="E3" s="13" t="s">
        <v>5902</v>
      </c>
      <c r="F3" s="13">
        <v>2</v>
      </c>
      <c r="G3" s="7">
        <v>1075</v>
      </c>
      <c r="H3" s="16" t="str">
        <f>CONCATENATE("(",A3,",",B3,",'",C3,"',",D3,",",E3,",",F3,",",G3,"),")</f>
        <v>(1,0,'Ain El Bia 1',35*807,-0*343,2,1075),</v>
      </c>
    </row>
    <row r="4" spans="1:8" ht="20.149999999999999" customHeight="1" x14ac:dyDescent="0.35">
      <c r="A4" s="3">
        <v>2</v>
      </c>
      <c r="B4" s="15">
        <v>0</v>
      </c>
      <c r="C4" s="13" t="s">
        <v>5497</v>
      </c>
      <c r="D4" s="13" t="s">
        <v>5903</v>
      </c>
      <c r="E4" s="13" t="s">
        <v>5904</v>
      </c>
      <c r="F4" s="13">
        <v>5</v>
      </c>
      <c r="G4" s="7">
        <v>1075</v>
      </c>
      <c r="H4" s="16" t="str">
        <f t="shared" ref="H4:H67" si="0">CONCATENATE("(",A4,",",B4,",'",C4,"',",D4,",",E4,",",F4,",",G4,"),")</f>
        <v>(2,0,'Ain El Bia 2',35*835,-0*238,5,1075),</v>
      </c>
    </row>
    <row r="5" spans="1:8" ht="20.149999999999999" customHeight="1" x14ac:dyDescent="0.35">
      <c r="A5" s="3">
        <v>3</v>
      </c>
      <c r="B5" s="15">
        <v>0</v>
      </c>
      <c r="C5" s="13" t="s">
        <v>2377</v>
      </c>
      <c r="D5" s="13" t="s">
        <v>5905</v>
      </c>
      <c r="E5" s="13" t="s">
        <v>5906</v>
      </c>
      <c r="F5" s="13">
        <v>-2</v>
      </c>
      <c r="G5" s="7">
        <v>218</v>
      </c>
      <c r="H5" s="16" t="str">
        <f t="shared" si="0"/>
        <v>(3,0,'Ain Naga',34*686,6*094,-2,218),</v>
      </c>
    </row>
    <row r="6" spans="1:8" ht="20.149999999999999" customHeight="1" x14ac:dyDescent="0.35">
      <c r="A6" s="3">
        <v>4</v>
      </c>
      <c r="B6" s="15">
        <v>0</v>
      </c>
      <c r="C6" s="13" t="s">
        <v>5498</v>
      </c>
      <c r="D6" s="13" t="s">
        <v>5907</v>
      </c>
      <c r="E6" s="13" t="s">
        <v>5908</v>
      </c>
      <c r="F6" s="13">
        <v>350</v>
      </c>
      <c r="G6" s="7">
        <v>1113</v>
      </c>
      <c r="H6" s="16" t="str">
        <f t="shared" si="0"/>
        <v>(4,0,'Ain Tsila',27*2,10*5,350,1113),</v>
      </c>
    </row>
    <row r="7" spans="1:8" ht="20.149999999999999" customHeight="1" x14ac:dyDescent="0.35">
      <c r="A7" s="3">
        <v>5</v>
      </c>
      <c r="B7" s="15">
        <v>0</v>
      </c>
      <c r="C7" s="13" t="s">
        <v>5481</v>
      </c>
      <c r="D7" s="13" t="s">
        <v>5909</v>
      </c>
      <c r="E7" s="13" t="s">
        <v>5910</v>
      </c>
      <c r="F7" s="13">
        <v>650</v>
      </c>
      <c r="G7" s="7">
        <v>393</v>
      </c>
      <c r="H7" s="16" t="str">
        <f t="shared" si="0"/>
        <v>(5,0,'Al Aricha',33*82,1*9,650,393),</v>
      </c>
    </row>
    <row r="8" spans="1:8" ht="20.149999999999999" customHeight="1" x14ac:dyDescent="0.35">
      <c r="A8" s="3">
        <v>6</v>
      </c>
      <c r="B8" s="15">
        <v>0</v>
      </c>
      <c r="C8" s="13" t="s">
        <v>5499</v>
      </c>
      <c r="D8" s="13" t="s">
        <v>5911</v>
      </c>
      <c r="E8" s="13" t="s">
        <v>5912</v>
      </c>
      <c r="F8" s="13">
        <v>495</v>
      </c>
      <c r="G8" s="7">
        <v>1444</v>
      </c>
      <c r="H8" s="16" t="str">
        <f t="shared" si="0"/>
        <v>(6,0,'Al Atteuf',32*478,3*748,495,1444),</v>
      </c>
    </row>
    <row r="9" spans="1:8" ht="20.149999999999999" customHeight="1" x14ac:dyDescent="0.35">
      <c r="A9" s="3">
        <v>7</v>
      </c>
      <c r="B9" s="15">
        <v>0</v>
      </c>
      <c r="C9" s="13" t="s">
        <v>1002</v>
      </c>
      <c r="D9" s="13" t="s">
        <v>5913</v>
      </c>
      <c r="E9" s="13" t="s">
        <v>5914</v>
      </c>
      <c r="F9" s="13">
        <v>50</v>
      </c>
      <c r="G9" s="7">
        <v>544</v>
      </c>
      <c r="H9" s="16" t="str">
        <f t="shared" si="0"/>
        <v>(7,0,'Alger',36*45,3*2,50,544),</v>
      </c>
    </row>
    <row r="10" spans="1:8" ht="20.149999999999999" customHeight="1" x14ac:dyDescent="0.35">
      <c r="A10" s="3">
        <v>8</v>
      </c>
      <c r="B10" s="15">
        <v>0</v>
      </c>
      <c r="C10" s="13" t="s">
        <v>5392</v>
      </c>
      <c r="D10" s="13" t="s">
        <v>5915</v>
      </c>
      <c r="E10" s="13" t="s">
        <v>5916</v>
      </c>
      <c r="F10" s="13">
        <v>60</v>
      </c>
      <c r="G10" s="7">
        <v>1116</v>
      </c>
      <c r="H10" s="16" t="str">
        <f t="shared" si="0"/>
        <v>(8,0,'Alrar',35*4,0*45,60,1116),</v>
      </c>
    </row>
    <row r="11" spans="1:8" ht="20.149999999999999" customHeight="1" x14ac:dyDescent="0.35">
      <c r="A11" s="3">
        <v>9</v>
      </c>
      <c r="B11" s="15">
        <v>0</v>
      </c>
      <c r="C11" s="13" t="s">
        <v>1824</v>
      </c>
      <c r="D11" s="13" t="s">
        <v>5903</v>
      </c>
      <c r="E11" s="13" t="s">
        <v>5904</v>
      </c>
      <c r="F11" s="13">
        <v>5</v>
      </c>
      <c r="G11" s="7">
        <v>1075</v>
      </c>
      <c r="H11" s="16" t="str">
        <f t="shared" si="0"/>
        <v>(9,0,'Arzew',35*835,-0*238,5,1075),</v>
      </c>
    </row>
    <row r="12" spans="1:8" ht="20.149999999999999" customHeight="1" x14ac:dyDescent="0.35">
      <c r="A12" s="3">
        <v>10</v>
      </c>
      <c r="B12" s="15">
        <v>0</v>
      </c>
      <c r="C12" s="13" t="s">
        <v>1824</v>
      </c>
      <c r="D12" s="13" t="s">
        <v>5917</v>
      </c>
      <c r="E12" s="13" t="s">
        <v>5918</v>
      </c>
      <c r="F12" s="13">
        <v>2</v>
      </c>
      <c r="G12" s="7">
        <v>1065</v>
      </c>
      <c r="H12" s="16" t="str">
        <f t="shared" si="0"/>
        <v>(10,0,'Arzew',35*862,-0*345,2,1065),</v>
      </c>
    </row>
    <row r="13" spans="1:8" ht="20.149999999999999" customHeight="1" x14ac:dyDescent="0.35">
      <c r="A13" s="3">
        <v>11</v>
      </c>
      <c r="B13" s="15">
        <v>0</v>
      </c>
      <c r="C13" s="13" t="s">
        <v>983</v>
      </c>
      <c r="D13" s="13" t="s">
        <v>5919</v>
      </c>
      <c r="E13" s="13" t="s">
        <v>5920</v>
      </c>
      <c r="F13" s="13">
        <v>52</v>
      </c>
      <c r="G13" s="7">
        <v>166</v>
      </c>
      <c r="H13" s="16" t="str">
        <f t="shared" si="0"/>
        <v>(11,0,'Béjaïa',36*751,5*059,52,166),</v>
      </c>
    </row>
    <row r="14" spans="1:8" ht="20.149999999999999" customHeight="1" x14ac:dyDescent="0.35">
      <c r="A14" s="3">
        <v>12</v>
      </c>
      <c r="B14" s="15">
        <v>0</v>
      </c>
      <c r="C14" s="13" t="s">
        <v>5337</v>
      </c>
      <c r="D14" s="13" t="s">
        <v>5921</v>
      </c>
      <c r="E14" s="13" t="s">
        <v>5922</v>
      </c>
      <c r="F14" s="13">
        <v>450</v>
      </c>
      <c r="G14" s="7">
        <v>198</v>
      </c>
      <c r="H14" s="16" t="str">
        <f t="shared" si="0"/>
        <v>(12,0,'Beni Mensour',36*336,4*356,450,198),</v>
      </c>
    </row>
    <row r="15" spans="1:8" ht="20.149999999999999" customHeight="1" x14ac:dyDescent="0.35">
      <c r="A15" s="3">
        <v>13</v>
      </c>
      <c r="B15" s="15">
        <v>0</v>
      </c>
      <c r="C15" s="13" t="s">
        <v>5337</v>
      </c>
      <c r="D15" s="13" t="s">
        <v>5923</v>
      </c>
      <c r="E15" s="13" t="s">
        <v>5924</v>
      </c>
      <c r="F15" s="13">
        <v>750</v>
      </c>
      <c r="G15" s="7">
        <v>198</v>
      </c>
      <c r="H15" s="16" t="str">
        <f t="shared" si="0"/>
        <v>(13,0,'Beni Mensour',33*45,2*45,750,198),</v>
      </c>
    </row>
    <row r="16" spans="1:8" ht="20.149999999999999" customHeight="1" x14ac:dyDescent="0.35">
      <c r="A16" s="3">
        <v>14</v>
      </c>
      <c r="B16" s="15">
        <v>0</v>
      </c>
      <c r="C16" s="13" t="s">
        <v>2048</v>
      </c>
      <c r="D16" s="13" t="s">
        <v>5925</v>
      </c>
      <c r="E16" s="13" t="s">
        <v>5926</v>
      </c>
      <c r="F16" s="13">
        <v>10</v>
      </c>
      <c r="G16" s="7">
        <v>1431</v>
      </c>
      <c r="H16" s="16" t="str">
        <f t="shared" si="0"/>
        <v>(14,0,'Beni Saf',35*301,-1*382,10,1431),</v>
      </c>
    </row>
    <row r="17" spans="1:8" ht="20.149999999999999" customHeight="1" x14ac:dyDescent="0.35">
      <c r="A17" s="3">
        <v>15</v>
      </c>
      <c r="B17" s="15">
        <v>0</v>
      </c>
      <c r="C17" s="13" t="s">
        <v>5500</v>
      </c>
      <c r="D17" s="13" t="s">
        <v>5927</v>
      </c>
      <c r="E17" s="13" t="s">
        <v>5928</v>
      </c>
      <c r="F17" s="13">
        <v>380</v>
      </c>
      <c r="G17" s="7">
        <v>1057</v>
      </c>
      <c r="H17" s="16" t="str">
        <f t="shared" si="0"/>
        <v>(15,0,'Berkine',26*418,9*08,380,1057),</v>
      </c>
    </row>
    <row r="18" spans="1:8" ht="20.149999999999999" customHeight="1" x14ac:dyDescent="0.35">
      <c r="A18" s="3">
        <v>16</v>
      </c>
      <c r="B18" s="15">
        <v>0</v>
      </c>
      <c r="C18" s="13" t="s">
        <v>1818</v>
      </c>
      <c r="D18" s="13" t="s">
        <v>5929</v>
      </c>
      <c r="E18" s="13" t="s">
        <v>5930</v>
      </c>
      <c r="F18" s="13">
        <v>2</v>
      </c>
      <c r="G18" s="7">
        <v>1065</v>
      </c>
      <c r="H18" s="16" t="str">
        <f t="shared" si="0"/>
        <v>(16,0,'Bethioua',35*805,-0*241,2,1065),</v>
      </c>
    </row>
    <row r="19" spans="1:8" ht="20.149999999999999" customHeight="1" x14ac:dyDescent="0.35">
      <c r="A19" s="3">
        <v>17</v>
      </c>
      <c r="B19" s="15">
        <v>0</v>
      </c>
      <c r="C19" s="13" t="s">
        <v>5367</v>
      </c>
      <c r="D19" s="13" t="s">
        <v>5931</v>
      </c>
      <c r="E19" s="13" t="s">
        <v>5932</v>
      </c>
      <c r="F19" s="13">
        <v>185</v>
      </c>
      <c r="G19" s="7">
        <v>1062</v>
      </c>
      <c r="H19" s="16" t="str">
        <f t="shared" si="0"/>
        <v>(17,0,'Bir Rebaa North',31*85,5*973,185,1062),</v>
      </c>
    </row>
    <row r="20" spans="1:8" ht="20.149999999999999" customHeight="1" x14ac:dyDescent="0.35">
      <c r="A20" s="3">
        <v>18</v>
      </c>
      <c r="B20" s="15">
        <v>0</v>
      </c>
      <c r="C20" s="13" t="s">
        <v>5451</v>
      </c>
      <c r="D20" s="13" t="s">
        <v>5933</v>
      </c>
      <c r="E20" s="13" t="s">
        <v>5934</v>
      </c>
      <c r="F20" s="13">
        <v>100</v>
      </c>
      <c r="G20" s="7">
        <v>1159</v>
      </c>
      <c r="H20" s="16" t="str">
        <f t="shared" si="0"/>
        <v>(18,0,'Bord Menaiel',36*38,3*8,100,1159),</v>
      </c>
    </row>
    <row r="21" spans="1:8" ht="20.149999999999999" customHeight="1" x14ac:dyDescent="0.35">
      <c r="A21" s="3">
        <v>19</v>
      </c>
      <c r="B21" s="15">
        <v>0</v>
      </c>
      <c r="C21" s="13" t="s">
        <v>5501</v>
      </c>
      <c r="D21" s="13" t="s">
        <v>5935</v>
      </c>
      <c r="E21" s="13" t="s">
        <v>5936</v>
      </c>
      <c r="F21" s="13">
        <v>81</v>
      </c>
      <c r="G21" s="7">
        <v>1447</v>
      </c>
      <c r="H21" s="16" t="str">
        <f t="shared" si="0"/>
        <v>(19,0,'Bourmadia',35*732,0*613,81,1447),</v>
      </c>
    </row>
    <row r="22" spans="1:8" ht="20.149999999999999" customHeight="1" x14ac:dyDescent="0.35">
      <c r="A22" s="3">
        <v>20</v>
      </c>
      <c r="B22" s="15">
        <v>0</v>
      </c>
      <c r="C22" s="13" t="s">
        <v>3822</v>
      </c>
      <c r="D22" s="13" t="s">
        <v>5937</v>
      </c>
      <c r="E22" s="13" t="s">
        <v>5938</v>
      </c>
      <c r="F22" s="13">
        <v>389</v>
      </c>
      <c r="G22" s="7">
        <v>1498</v>
      </c>
      <c r="H22" s="16" t="str">
        <f t="shared" si="0"/>
        <v>(20,0,'Chaiba',34*5,5*25,389,1498),</v>
      </c>
    </row>
    <row r="23" spans="1:8" ht="20.149999999999999" customHeight="1" x14ac:dyDescent="0.35">
      <c r="A23" s="3">
        <v>21</v>
      </c>
      <c r="B23" s="15">
        <v>0</v>
      </c>
      <c r="C23" s="13" t="s">
        <v>5341</v>
      </c>
      <c r="D23" s="13" t="s">
        <v>5939</v>
      </c>
      <c r="E23" s="13" t="s">
        <v>5940</v>
      </c>
      <c r="F23" s="13">
        <v>350</v>
      </c>
      <c r="G23" s="7">
        <v>1115</v>
      </c>
      <c r="H23" s="16" t="str">
        <f t="shared" si="0"/>
        <v>(21,0,'Deb Deb',29*968,9*424,350,1115),</v>
      </c>
    </row>
    <row r="24" spans="1:8" ht="20.149999999999999" customHeight="1" x14ac:dyDescent="0.35">
      <c r="A24" s="3">
        <v>22</v>
      </c>
      <c r="B24" s="15">
        <v>0</v>
      </c>
      <c r="C24" s="13" t="s">
        <v>5534</v>
      </c>
      <c r="D24" s="13" t="s">
        <v>5941</v>
      </c>
      <c r="E24" s="13" t="s">
        <v>5942</v>
      </c>
      <c r="F24" s="13">
        <v>280</v>
      </c>
      <c r="G24" s="7">
        <v>1531</v>
      </c>
      <c r="H24" s="16" t="str">
        <f t="shared" si="0"/>
        <v>(22,0,'Djamaa1',33*933,5*93,280,1531),</v>
      </c>
    </row>
    <row r="25" spans="1:8" ht="20.149999999999999" customHeight="1" x14ac:dyDescent="0.35">
      <c r="A25" s="3">
        <v>23</v>
      </c>
      <c r="B25" s="15">
        <v>0</v>
      </c>
      <c r="C25" s="13" t="s">
        <v>5535</v>
      </c>
      <c r="D25" s="13" t="s">
        <v>5943</v>
      </c>
      <c r="E25" s="13" t="s">
        <v>5944</v>
      </c>
      <c r="F25" s="13">
        <v>850</v>
      </c>
      <c r="G25" s="7">
        <v>1535</v>
      </c>
      <c r="H25" s="16" t="str">
        <f t="shared" si="0"/>
        <v>(23,0,'Djamaa2',33*52,2*85,850,1535),</v>
      </c>
    </row>
    <row r="26" spans="1:8" ht="20.149999999999999" customHeight="1" x14ac:dyDescent="0.35">
      <c r="A26" s="3">
        <v>24</v>
      </c>
      <c r="B26" s="15">
        <v>0</v>
      </c>
      <c r="C26" s="13" t="s">
        <v>5502</v>
      </c>
      <c r="D26" s="13" t="s">
        <v>5945</v>
      </c>
      <c r="E26" s="13" t="s">
        <v>5946</v>
      </c>
      <c r="F26" s="13">
        <v>973</v>
      </c>
      <c r="G26" s="7">
        <v>413</v>
      </c>
      <c r="H26" s="16" t="str">
        <f t="shared" si="0"/>
        <v>(24,0,'Djebila',35*372,1*325,973,413),</v>
      </c>
    </row>
    <row r="27" spans="1:8" ht="20.149999999999999" customHeight="1" x14ac:dyDescent="0.35">
      <c r="A27" s="3">
        <v>25</v>
      </c>
      <c r="B27" s="15">
        <v>0</v>
      </c>
      <c r="C27" s="13" t="s">
        <v>1810</v>
      </c>
      <c r="D27" s="13" t="s">
        <v>5947</v>
      </c>
      <c r="E27" s="13" t="s">
        <v>5948</v>
      </c>
      <c r="F27" s="13">
        <v>246</v>
      </c>
      <c r="G27" s="7">
        <v>1064</v>
      </c>
      <c r="H27" s="16" t="str">
        <f t="shared" si="0"/>
        <v>(25,0,'El Borma',31*006,8*134,246,1064),</v>
      </c>
    </row>
    <row r="28" spans="1:8" ht="20.149999999999999" customHeight="1" x14ac:dyDescent="0.35">
      <c r="A28" s="3">
        <v>26</v>
      </c>
      <c r="B28" s="15">
        <v>0</v>
      </c>
      <c r="C28" s="13" t="s">
        <v>5503</v>
      </c>
      <c r="D28" s="13" t="s">
        <v>5927</v>
      </c>
      <c r="E28" s="13" t="s">
        <v>5928</v>
      </c>
      <c r="F28" s="13">
        <v>380</v>
      </c>
      <c r="G28" s="7">
        <v>1057</v>
      </c>
      <c r="H28" s="16" t="str">
        <f t="shared" si="0"/>
        <v>(26,0,'El Merk',26*418,9*08,380,1057),</v>
      </c>
    </row>
    <row r="29" spans="1:8" ht="20.149999999999999" customHeight="1" x14ac:dyDescent="0.35">
      <c r="A29" s="3">
        <v>27</v>
      </c>
      <c r="B29" s="15">
        <v>0</v>
      </c>
      <c r="C29" s="13" t="s">
        <v>5504</v>
      </c>
      <c r="D29" s="13" t="s">
        <v>5949</v>
      </c>
      <c r="E29" s="13" t="s">
        <v>5950</v>
      </c>
      <c r="F29" s="13">
        <v>185</v>
      </c>
      <c r="G29" s="7">
        <v>428</v>
      </c>
      <c r="H29" s="16" t="str">
        <f t="shared" si="0"/>
        <v>(27,0,'Faïdja',35*193,1*706,185,428),</v>
      </c>
    </row>
    <row r="30" spans="1:8" ht="20.149999999999999" customHeight="1" x14ac:dyDescent="0.35">
      <c r="A30" s="3">
        <v>28</v>
      </c>
      <c r="B30" s="15">
        <v>0</v>
      </c>
      <c r="C30" s="13" t="s">
        <v>5505</v>
      </c>
      <c r="D30" s="13" t="s">
        <v>5951</v>
      </c>
      <c r="E30" s="13" t="s">
        <v>5952</v>
      </c>
      <c r="F30" s="13">
        <v>495</v>
      </c>
      <c r="G30" s="7">
        <v>231</v>
      </c>
      <c r="H30" s="16" t="str">
        <f t="shared" si="0"/>
        <v>(28,0,'Ferme Omar Driss',35*034,5*595,495,231),</v>
      </c>
    </row>
    <row r="31" spans="1:8" ht="20.149999999999999" customHeight="1" x14ac:dyDescent="0.35">
      <c r="A31" s="3">
        <v>29</v>
      </c>
      <c r="B31" s="15">
        <v>0</v>
      </c>
      <c r="C31" s="13" t="s">
        <v>5506</v>
      </c>
      <c r="D31" s="13" t="s">
        <v>5953</v>
      </c>
      <c r="E31" s="13" t="s">
        <v>5954</v>
      </c>
      <c r="F31" s="13">
        <v>5</v>
      </c>
      <c r="G31" s="7">
        <v>721</v>
      </c>
      <c r="H31" s="16" t="str">
        <f t="shared" si="0"/>
        <v>(29,0,'Flifla',36*877,6*906,5,721),</v>
      </c>
    </row>
    <row r="32" spans="1:8" ht="20.149999999999999" customHeight="1" x14ac:dyDescent="0.35">
      <c r="A32" s="3">
        <v>30</v>
      </c>
      <c r="B32" s="15">
        <v>0</v>
      </c>
      <c r="C32" s="13" t="s">
        <v>5396</v>
      </c>
      <c r="D32" s="13" t="s">
        <v>5955</v>
      </c>
      <c r="E32" s="13" t="s">
        <v>5956</v>
      </c>
      <c r="F32" s="13">
        <v>267</v>
      </c>
      <c r="G32" s="7">
        <v>1060</v>
      </c>
      <c r="H32" s="16" t="str">
        <f t="shared" si="0"/>
        <v>(30,0,'Gassi Touil',30*271,6*416,267,1060),</v>
      </c>
    </row>
    <row r="33" spans="1:8" ht="20.149999999999999" customHeight="1" x14ac:dyDescent="0.35">
      <c r="A33" s="3">
        <v>31</v>
      </c>
      <c r="B33" s="15">
        <v>0</v>
      </c>
      <c r="C33" s="13" t="s">
        <v>5507</v>
      </c>
      <c r="D33" s="13" t="s">
        <v>5957</v>
      </c>
      <c r="E33" s="13" t="s">
        <v>5958</v>
      </c>
      <c r="F33" s="13">
        <v>156</v>
      </c>
      <c r="G33" s="7">
        <v>1060</v>
      </c>
      <c r="H33" s="16" t="str">
        <f t="shared" si="0"/>
        <v>(31,0,'Haoud El Hamra',31*941,6*071,156,1060),</v>
      </c>
    </row>
    <row r="34" spans="1:8" ht="20.149999999999999" customHeight="1" x14ac:dyDescent="0.35">
      <c r="A34" s="3">
        <v>32</v>
      </c>
      <c r="B34" s="15">
        <v>0</v>
      </c>
      <c r="C34" s="13" t="s">
        <v>5355</v>
      </c>
      <c r="D34" s="13" t="s">
        <v>5959</v>
      </c>
      <c r="E34" s="13" t="s">
        <v>5960</v>
      </c>
      <c r="F34" s="13">
        <v>185</v>
      </c>
      <c r="G34" s="7">
        <v>1060</v>
      </c>
      <c r="H34" s="16" t="str">
        <f t="shared" si="0"/>
        <v>(32,0,'Hassi Berkine',30*559,5*453,185,1060),</v>
      </c>
    </row>
    <row r="35" spans="1:8" ht="20.149999999999999" customHeight="1" x14ac:dyDescent="0.35">
      <c r="A35" s="3">
        <v>33</v>
      </c>
      <c r="B35" s="15">
        <v>0</v>
      </c>
      <c r="C35" s="13" t="s">
        <v>2166</v>
      </c>
      <c r="D35" s="13" t="s">
        <v>5961</v>
      </c>
      <c r="E35" s="13" t="s">
        <v>5962</v>
      </c>
      <c r="F35" s="13">
        <v>716</v>
      </c>
      <c r="G35" s="7">
        <v>58</v>
      </c>
      <c r="H35" s="16" t="str">
        <f t="shared" si="0"/>
        <v>(33,0,'Hassi Delaa',32*935,3*269,716,58),</v>
      </c>
    </row>
    <row r="36" spans="1:8" ht="20.149999999999999" customHeight="1" x14ac:dyDescent="0.35">
      <c r="A36" s="3">
        <v>34</v>
      </c>
      <c r="B36" s="15">
        <v>0</v>
      </c>
      <c r="C36" s="13" t="s">
        <v>1812</v>
      </c>
      <c r="D36" s="13" t="s">
        <v>5963</v>
      </c>
      <c r="E36" s="13" t="s">
        <v>5964</v>
      </c>
      <c r="F36" s="13">
        <v>85</v>
      </c>
      <c r="G36" s="7">
        <v>1060</v>
      </c>
      <c r="H36" s="16" t="str">
        <f t="shared" si="0"/>
        <v>(34,0,'Hassi Messaoud',31*97,6*265,85,1060),</v>
      </c>
    </row>
    <row r="37" spans="1:8" ht="20.149999999999999" customHeight="1" x14ac:dyDescent="0.35">
      <c r="A37" s="3">
        <v>35</v>
      </c>
      <c r="B37" s="15">
        <v>0</v>
      </c>
      <c r="C37" s="13" t="s">
        <v>5860</v>
      </c>
      <c r="D37" s="13" t="s">
        <v>5965</v>
      </c>
      <c r="E37" s="13" t="s">
        <v>5962</v>
      </c>
      <c r="F37" s="13">
        <v>777</v>
      </c>
      <c r="G37" s="7">
        <v>58</v>
      </c>
      <c r="H37" s="16" t="str">
        <f t="shared" si="0"/>
        <v>(35,0,'Hassi R\'mel',32*936,3*269,777,58),</v>
      </c>
    </row>
    <row r="38" spans="1:8" ht="20.149999999999999" customHeight="1" x14ac:dyDescent="0.35">
      <c r="A38" s="3">
        <v>36</v>
      </c>
      <c r="B38" s="15">
        <v>0</v>
      </c>
      <c r="C38" s="13" t="s">
        <v>5477</v>
      </c>
      <c r="D38" s="13">
        <v>31</v>
      </c>
      <c r="E38" s="13" t="s">
        <v>5966</v>
      </c>
      <c r="F38" s="13">
        <v>180</v>
      </c>
      <c r="G38" s="7">
        <v>1064</v>
      </c>
      <c r="H38" s="16" t="str">
        <f t="shared" si="0"/>
        <v>(36,0,'Hassi tedjirane',31,7*85,180,1064),</v>
      </c>
    </row>
    <row r="39" spans="1:8" ht="20.149999999999999" customHeight="1" x14ac:dyDescent="0.35">
      <c r="A39" s="3">
        <v>37</v>
      </c>
      <c r="B39" s="15">
        <v>0</v>
      </c>
      <c r="C39" s="13" t="s">
        <v>1848</v>
      </c>
      <c r="D39" s="13" t="s">
        <v>5967</v>
      </c>
      <c r="E39" s="13" t="s">
        <v>5968</v>
      </c>
      <c r="F39" s="13">
        <v>420</v>
      </c>
      <c r="G39" s="7">
        <v>1116</v>
      </c>
      <c r="H39" s="16" t="str">
        <f t="shared" si="0"/>
        <v>(37,0,'In Amenas',28*041,9*543,420,1116),</v>
      </c>
    </row>
    <row r="40" spans="1:8" ht="20.149999999999999" customHeight="1" x14ac:dyDescent="0.35">
      <c r="A40" s="3">
        <v>38</v>
      </c>
      <c r="B40" s="15">
        <v>0</v>
      </c>
      <c r="C40" s="13" t="s">
        <v>1076</v>
      </c>
      <c r="D40" s="13" t="s">
        <v>5969</v>
      </c>
      <c r="E40" s="13" t="s">
        <v>5970</v>
      </c>
      <c r="F40" s="13">
        <v>400</v>
      </c>
      <c r="G40" s="7">
        <v>1512</v>
      </c>
      <c r="H40" s="16" t="str">
        <f t="shared" si="0"/>
        <v>(38,0,'In Salah',28*62,8*62,400,1512),</v>
      </c>
    </row>
    <row r="41" spans="1:8" ht="20.149999999999999" customHeight="1" x14ac:dyDescent="0.35">
      <c r="A41" s="3">
        <v>39</v>
      </c>
      <c r="B41" s="15">
        <v>0</v>
      </c>
      <c r="C41" s="13" t="s">
        <v>1878</v>
      </c>
      <c r="D41" s="13" t="s">
        <v>5933</v>
      </c>
      <c r="E41" s="13" t="s">
        <v>5934</v>
      </c>
      <c r="F41" s="13">
        <v>100</v>
      </c>
      <c r="G41" s="7">
        <v>1169</v>
      </c>
      <c r="H41" s="16" t="str">
        <f t="shared" si="0"/>
        <v>(39,0,'Isser',36*38,3*8,100,1169),</v>
      </c>
    </row>
    <row r="42" spans="1:8" ht="20.149999999999999" customHeight="1" x14ac:dyDescent="0.35">
      <c r="A42" s="3">
        <v>40</v>
      </c>
      <c r="B42" s="15">
        <v>0</v>
      </c>
      <c r="C42" s="13" t="s">
        <v>5508</v>
      </c>
      <c r="D42" s="13" t="s">
        <v>5971</v>
      </c>
      <c r="E42" s="13" t="s">
        <v>5972</v>
      </c>
      <c r="F42" s="13">
        <v>2</v>
      </c>
      <c r="G42" s="7">
        <v>1075</v>
      </c>
      <c r="H42" s="16" t="str">
        <f t="shared" si="0"/>
        <v>(40,0,'Kenanda',35*737,0*556,2,1075),</v>
      </c>
    </row>
    <row r="43" spans="1:8" ht="20.149999999999999" customHeight="1" x14ac:dyDescent="0.35">
      <c r="A43" s="3">
        <v>41</v>
      </c>
      <c r="B43" s="15">
        <v>0</v>
      </c>
      <c r="C43" s="13" t="s">
        <v>5509</v>
      </c>
      <c r="D43" s="13" t="s">
        <v>5973</v>
      </c>
      <c r="E43" s="13" t="s">
        <v>5974</v>
      </c>
      <c r="F43" s="13">
        <v>600</v>
      </c>
      <c r="G43" s="7">
        <v>1512</v>
      </c>
      <c r="H43" s="16" t="str">
        <f t="shared" si="0"/>
        <v>(41,0,'Krechba',28*642,2*825,600,1512),</v>
      </c>
    </row>
    <row r="44" spans="1:8" ht="20.149999999999999" customHeight="1" x14ac:dyDescent="0.35">
      <c r="A44" s="3">
        <v>42</v>
      </c>
      <c r="B44" s="15">
        <v>0</v>
      </c>
      <c r="C44" s="13" t="s">
        <v>1834</v>
      </c>
      <c r="D44" s="13" t="s">
        <v>5975</v>
      </c>
      <c r="E44" s="13" t="s">
        <v>5976</v>
      </c>
      <c r="F44" s="13">
        <v>966</v>
      </c>
      <c r="G44" s="7">
        <v>1091</v>
      </c>
      <c r="H44" s="16" t="str">
        <f t="shared" si="0"/>
        <v>(42,0,'Labiodh Sidi Cheikh',32*91,0*545,966,1091),</v>
      </c>
    </row>
    <row r="45" spans="1:8" ht="20.149999999999999" customHeight="1" x14ac:dyDescent="0.35">
      <c r="A45" s="3">
        <v>43</v>
      </c>
      <c r="B45" s="15">
        <v>0</v>
      </c>
      <c r="C45" s="13" t="s">
        <v>5510</v>
      </c>
      <c r="D45" s="13" t="s">
        <v>5977</v>
      </c>
      <c r="E45" s="13" t="s">
        <v>5978</v>
      </c>
      <c r="F45" s="13">
        <v>926</v>
      </c>
      <c r="G45" s="7">
        <v>1329</v>
      </c>
      <c r="H45" s="16" t="str">
        <f t="shared" si="0"/>
        <v>(43,0,'Mechtatine',36*123,6*789,926,1329),</v>
      </c>
    </row>
    <row r="46" spans="1:8" ht="20.149999999999999" customHeight="1" x14ac:dyDescent="0.35">
      <c r="A46" s="3">
        <v>44</v>
      </c>
      <c r="B46" s="15">
        <v>0</v>
      </c>
      <c r="C46" s="13" t="s">
        <v>5511</v>
      </c>
      <c r="D46" s="13" t="s">
        <v>5979</v>
      </c>
      <c r="E46" s="13" t="s">
        <v>5980</v>
      </c>
      <c r="F46" s="13">
        <v>983</v>
      </c>
      <c r="G46" s="7">
        <v>421</v>
      </c>
      <c r="H46" s="16" t="str">
        <f t="shared" si="0"/>
        <v>(44,0,'Medarreg1',35*425,1*425,983,421),</v>
      </c>
    </row>
    <row r="47" spans="1:8" ht="20.149999999999999" customHeight="1" x14ac:dyDescent="0.35">
      <c r="A47" s="3">
        <v>45</v>
      </c>
      <c r="B47" s="15">
        <v>0</v>
      </c>
      <c r="C47" s="13" t="s">
        <v>5512</v>
      </c>
      <c r="D47" s="13" t="s">
        <v>5981</v>
      </c>
      <c r="E47" s="13" t="s">
        <v>5982</v>
      </c>
      <c r="F47" s="13">
        <v>1080</v>
      </c>
      <c r="G47" s="7">
        <v>430</v>
      </c>
      <c r="H47" s="16" t="str">
        <f t="shared" si="0"/>
        <v>(45,0,'Medarreg2',35*184,1*496,1080,430),</v>
      </c>
    </row>
    <row r="48" spans="1:8" ht="20.149999999999999" customHeight="1" x14ac:dyDescent="0.35">
      <c r="A48" s="3">
        <v>46</v>
      </c>
      <c r="B48" s="15">
        <v>0</v>
      </c>
      <c r="C48" s="13" t="s">
        <v>5513</v>
      </c>
      <c r="D48" s="13" t="s">
        <v>5983</v>
      </c>
      <c r="E48" s="13" t="s">
        <v>5950</v>
      </c>
      <c r="F48" s="13">
        <v>971</v>
      </c>
      <c r="G48" s="7">
        <v>428</v>
      </c>
      <c r="H48" s="16" t="str">
        <f t="shared" si="0"/>
        <v>(46,0,'Medarreg3',35*103,1*706,971,428),</v>
      </c>
    </row>
    <row r="49" spans="1:8" ht="20.149999999999999" customHeight="1" x14ac:dyDescent="0.35">
      <c r="A49" s="3">
        <v>47</v>
      </c>
      <c r="B49" s="15">
        <v>0</v>
      </c>
      <c r="C49" s="13" t="s">
        <v>5514</v>
      </c>
      <c r="D49" s="13">
        <v>27</v>
      </c>
      <c r="E49" s="13" t="s">
        <v>5984</v>
      </c>
      <c r="F49" s="13">
        <v>380</v>
      </c>
      <c r="G49" s="7">
        <v>1116</v>
      </c>
      <c r="H49" s="16" t="str">
        <f t="shared" si="0"/>
        <v>(47,0,'Mederba',27,8*5,380,1116),</v>
      </c>
    </row>
    <row r="50" spans="1:8" ht="20.149999999999999" customHeight="1" x14ac:dyDescent="0.35">
      <c r="A50" s="3">
        <v>48</v>
      </c>
      <c r="B50" s="15">
        <v>0</v>
      </c>
      <c r="C50" s="13" t="s">
        <v>1767</v>
      </c>
      <c r="D50" s="13" t="s">
        <v>5985</v>
      </c>
      <c r="E50" s="13" t="s">
        <v>5986</v>
      </c>
      <c r="F50" s="13">
        <v>710</v>
      </c>
      <c r="G50" s="7">
        <v>1006</v>
      </c>
      <c r="H50" s="16" t="str">
        <f t="shared" si="0"/>
        <v>(48,0,'Medjedel',35*15,3*683,710,1006),</v>
      </c>
    </row>
    <row r="51" spans="1:8" ht="20.149999999999999" customHeight="1" x14ac:dyDescent="0.35">
      <c r="A51" s="3">
        <v>49</v>
      </c>
      <c r="B51" s="15">
        <v>0</v>
      </c>
      <c r="C51" s="13" t="s">
        <v>5515</v>
      </c>
      <c r="D51" s="13" t="s">
        <v>5917</v>
      </c>
      <c r="E51" s="13" t="s">
        <v>5918</v>
      </c>
      <c r="F51" s="13">
        <v>2</v>
      </c>
      <c r="G51" s="7">
        <v>1065</v>
      </c>
      <c r="H51" s="16" t="str">
        <f t="shared" si="0"/>
        <v>(49,0,'Mers El Hadjadj',35*862,-0*345,2,1065),</v>
      </c>
    </row>
    <row r="52" spans="1:8" ht="20.149999999999999" customHeight="1" x14ac:dyDescent="0.35">
      <c r="A52" s="3">
        <v>50</v>
      </c>
      <c r="B52" s="15">
        <v>0</v>
      </c>
      <c r="C52" s="13" t="s">
        <v>5351</v>
      </c>
      <c r="D52" s="13" t="s">
        <v>5987</v>
      </c>
      <c r="E52" s="13" t="s">
        <v>5988</v>
      </c>
      <c r="F52" s="13">
        <v>172</v>
      </c>
      <c r="G52" s="7">
        <v>1064</v>
      </c>
      <c r="H52" s="16" t="str">
        <f t="shared" si="0"/>
        <v>(50,0,'Mesdar',31*192,6*794,172,1064),</v>
      </c>
    </row>
    <row r="53" spans="1:8" ht="20.149999999999999" customHeight="1" x14ac:dyDescent="0.35">
      <c r="A53" s="3">
        <v>51</v>
      </c>
      <c r="B53" s="15">
        <v>0</v>
      </c>
      <c r="C53" s="13" t="s">
        <v>5516</v>
      </c>
      <c r="D53" s="13" t="s">
        <v>5989</v>
      </c>
      <c r="E53" s="13" t="s">
        <v>5990</v>
      </c>
      <c r="F53" s="13">
        <v>885</v>
      </c>
      <c r="G53" s="7">
        <v>61</v>
      </c>
      <c r="H53" s="16" t="str">
        <f t="shared" si="0"/>
        <v>(51,0,'Milok1',33*481,2*523,885,61),</v>
      </c>
    </row>
    <row r="54" spans="1:8" ht="20.149999999999999" customHeight="1" x14ac:dyDescent="0.35">
      <c r="A54" s="3">
        <v>52</v>
      </c>
      <c r="B54" s="15">
        <v>0</v>
      </c>
      <c r="C54" s="13" t="s">
        <v>5517</v>
      </c>
      <c r="D54" s="13" t="s">
        <v>5991</v>
      </c>
      <c r="E54" s="13" t="s">
        <v>5992</v>
      </c>
      <c r="F54" s="13">
        <v>885</v>
      </c>
      <c r="G54" s="7">
        <v>52</v>
      </c>
      <c r="H54" s="16" t="str">
        <f t="shared" si="0"/>
        <v>(52,0,'Milok2',33*803,2*875,885,52),</v>
      </c>
    </row>
    <row r="55" spans="1:8" ht="20.149999999999999" customHeight="1" x14ac:dyDescent="0.35">
      <c r="A55" s="3">
        <v>53</v>
      </c>
      <c r="B55" s="15">
        <v>0</v>
      </c>
      <c r="C55" s="13" t="s">
        <v>5518</v>
      </c>
      <c r="D55" s="13" t="s">
        <v>5993</v>
      </c>
      <c r="E55" s="13" t="s">
        <v>5994</v>
      </c>
      <c r="F55" s="13">
        <v>10</v>
      </c>
      <c r="G55" s="7">
        <v>1065</v>
      </c>
      <c r="H55" s="16" t="str">
        <f t="shared" si="0"/>
        <v>(53,0,'Mohgoun plateau1',35*83,-0*324,10,1065),</v>
      </c>
    </row>
    <row r="56" spans="1:8" ht="20.149999999999999" customHeight="1" x14ac:dyDescent="0.35">
      <c r="A56" s="3">
        <v>54</v>
      </c>
      <c r="B56" s="15">
        <v>0</v>
      </c>
      <c r="C56" s="13" t="s">
        <v>5519</v>
      </c>
      <c r="D56" s="13" t="s">
        <v>5995</v>
      </c>
      <c r="E56" s="13" t="s">
        <v>5996</v>
      </c>
      <c r="F56" s="13">
        <v>5</v>
      </c>
      <c r="G56" s="7">
        <v>1065</v>
      </c>
      <c r="H56" s="16" t="str">
        <f t="shared" si="0"/>
        <v>(54,0,'Mohgoun plateau2',35*863,-0*331,5,1065),</v>
      </c>
    </row>
    <row r="57" spans="1:8" ht="20.149999999999999" customHeight="1" x14ac:dyDescent="0.35">
      <c r="A57" s="3">
        <v>55</v>
      </c>
      <c r="B57" s="15">
        <v>0</v>
      </c>
      <c r="C57" s="13" t="s">
        <v>2900</v>
      </c>
      <c r="D57" s="13" t="s">
        <v>5997</v>
      </c>
      <c r="E57" s="13" t="s">
        <v>5998</v>
      </c>
      <c r="F57" s="13">
        <v>1100</v>
      </c>
      <c r="G57" s="7">
        <v>579</v>
      </c>
      <c r="H57" s="16" t="str">
        <f t="shared" si="0"/>
        <v>(55,0,'Moudjebara',34*507,3*47,1100,579),</v>
      </c>
    </row>
    <row r="58" spans="1:8" ht="20.149999999999999" customHeight="1" x14ac:dyDescent="0.35">
      <c r="A58" s="3">
        <v>56</v>
      </c>
      <c r="B58" s="15">
        <v>0</v>
      </c>
      <c r="C58" s="13" t="s">
        <v>5895</v>
      </c>
      <c r="D58" s="13" t="s">
        <v>5999</v>
      </c>
      <c r="E58" s="13" t="s">
        <v>6000</v>
      </c>
      <c r="F58" s="13">
        <v>856</v>
      </c>
      <c r="G58" s="7">
        <v>52</v>
      </c>
      <c r="H58" s="16" t="str">
        <f t="shared" si="0"/>
        <v>(56,0,'M\'seka1',33*789,2*583,856,52),</v>
      </c>
    </row>
    <row r="59" spans="1:8" ht="20.149999999999999" customHeight="1" x14ac:dyDescent="0.35">
      <c r="A59" s="3">
        <v>57</v>
      </c>
      <c r="B59" s="15">
        <v>0</v>
      </c>
      <c r="C59" s="13" t="s">
        <v>5896</v>
      </c>
      <c r="D59" s="13" t="s">
        <v>6001</v>
      </c>
      <c r="E59" s="13" t="s">
        <v>6002</v>
      </c>
      <c r="F59" s="13">
        <v>875</v>
      </c>
      <c r="G59" s="7">
        <v>52</v>
      </c>
      <c r="H59" s="16" t="str">
        <f t="shared" si="0"/>
        <v>(57,0,'M\'seka2',33*809,2*59,875,52),</v>
      </c>
    </row>
    <row r="60" spans="1:8" ht="20.149999999999999" customHeight="1" x14ac:dyDescent="0.35">
      <c r="A60" s="3">
        <v>58</v>
      </c>
      <c r="B60" s="15">
        <v>0</v>
      </c>
      <c r="C60" s="13" t="s">
        <v>5897</v>
      </c>
      <c r="D60" s="13" t="s">
        <v>6003</v>
      </c>
      <c r="E60" s="13" t="s">
        <v>6004</v>
      </c>
      <c r="F60" s="13">
        <v>835</v>
      </c>
      <c r="G60" s="7">
        <v>52</v>
      </c>
      <c r="H60" s="16" t="str">
        <f t="shared" si="0"/>
        <v>(58,0,'M\'seka3',33*769,2*576,835,52),</v>
      </c>
    </row>
    <row r="61" spans="1:8" ht="20.149999999999999" customHeight="1" x14ac:dyDescent="0.35">
      <c r="A61" s="3">
        <v>59</v>
      </c>
      <c r="B61" s="15">
        <v>0</v>
      </c>
      <c r="C61" s="13" t="s">
        <v>5898</v>
      </c>
      <c r="D61" s="13" t="s">
        <v>6005</v>
      </c>
      <c r="E61" s="13" t="s">
        <v>6006</v>
      </c>
      <c r="F61" s="13">
        <v>600</v>
      </c>
      <c r="G61" s="7">
        <v>963</v>
      </c>
      <c r="H61" s="16" t="str">
        <f t="shared" si="0"/>
        <v>(59,0,'M\'Sila',35*719,4*523,600,963),</v>
      </c>
    </row>
    <row r="62" spans="1:8" ht="20.149999999999999" customHeight="1" x14ac:dyDescent="0.35">
      <c r="A62" s="3">
        <v>60</v>
      </c>
      <c r="B62" s="15">
        <v>0</v>
      </c>
      <c r="C62" s="13" t="s">
        <v>3792</v>
      </c>
      <c r="D62" s="13" t="s">
        <v>6007</v>
      </c>
      <c r="E62" s="13" t="s">
        <v>6008</v>
      </c>
      <c r="F62" s="13">
        <v>1018</v>
      </c>
      <c r="G62" s="7">
        <v>413</v>
      </c>
      <c r="H62" s="16" t="str">
        <f t="shared" si="0"/>
        <v>(60,0,'Nador',35*288,1*452,1018,413),</v>
      </c>
    </row>
    <row r="63" spans="1:8" ht="20.149999999999999" customHeight="1" x14ac:dyDescent="0.35">
      <c r="A63" s="3">
        <v>61</v>
      </c>
      <c r="B63" s="15">
        <v>0</v>
      </c>
      <c r="C63" s="13" t="s">
        <v>4044</v>
      </c>
      <c r="D63" s="13" t="s">
        <v>6009</v>
      </c>
      <c r="E63" s="13" t="s">
        <v>6010</v>
      </c>
      <c r="F63" s="13">
        <v>182</v>
      </c>
      <c r="G63" s="7">
        <v>1057</v>
      </c>
      <c r="H63" s="16" t="str">
        <f t="shared" si="0"/>
        <v>(61,0,'Nezla',33*083,6*051,182,1057),</v>
      </c>
    </row>
    <row r="64" spans="1:8" ht="20.149999999999999" customHeight="1" x14ac:dyDescent="0.35">
      <c r="A64" s="3">
        <v>62</v>
      </c>
      <c r="B64" s="15">
        <v>0</v>
      </c>
      <c r="C64" s="13" t="s">
        <v>5899</v>
      </c>
      <c r="D64" s="13" t="s">
        <v>6011</v>
      </c>
      <c r="E64" s="13" t="s">
        <v>6012</v>
      </c>
      <c r="F64" s="13">
        <v>580</v>
      </c>
      <c r="G64" s="7">
        <v>124</v>
      </c>
      <c r="H64" s="16" t="str">
        <f t="shared" si="0"/>
        <v>(62,0,'N\'Gaous',35*557,5*593,580,124),</v>
      </c>
    </row>
    <row r="65" spans="1:8" ht="20.149999999999999" customHeight="1" x14ac:dyDescent="0.35">
      <c r="A65" s="3">
        <v>63</v>
      </c>
      <c r="B65" s="15">
        <v>0</v>
      </c>
      <c r="C65" s="13" t="s">
        <v>5347</v>
      </c>
      <c r="D65" s="13" t="s">
        <v>6013</v>
      </c>
      <c r="E65" s="13" t="s">
        <v>6014</v>
      </c>
      <c r="F65" s="13">
        <v>600</v>
      </c>
      <c r="G65" s="7">
        <v>1113</v>
      </c>
      <c r="H65" s="16" t="str">
        <f t="shared" si="0"/>
        <v>(63,0,'Ohanet',28*68,8*873,600,1113),</v>
      </c>
    </row>
    <row r="66" spans="1:8" ht="20.149999999999999" customHeight="1" x14ac:dyDescent="0.35">
      <c r="A66" s="3">
        <v>64</v>
      </c>
      <c r="B66" s="15">
        <v>0</v>
      </c>
      <c r="C66" s="13" t="s">
        <v>5520</v>
      </c>
      <c r="D66" s="13" t="s">
        <v>6015</v>
      </c>
      <c r="E66" s="13" t="s">
        <v>6016</v>
      </c>
      <c r="F66" s="13">
        <v>256</v>
      </c>
      <c r="G66" s="7">
        <v>1057</v>
      </c>
      <c r="H66" s="16" t="str">
        <f t="shared" si="0"/>
        <v>(64,0,'Ouargla1',31*951,5*331,256,1057),</v>
      </c>
    </row>
    <row r="67" spans="1:8" ht="20.149999999999999" customHeight="1" x14ac:dyDescent="0.35">
      <c r="A67" s="3">
        <v>65</v>
      </c>
      <c r="B67" s="15">
        <v>0</v>
      </c>
      <c r="C67" s="13" t="s">
        <v>5521</v>
      </c>
      <c r="D67" s="13" t="s">
        <v>6017</v>
      </c>
      <c r="E67" s="13" t="s">
        <v>6018</v>
      </c>
      <c r="F67" s="13">
        <v>260</v>
      </c>
      <c r="G67" s="7">
        <v>1057</v>
      </c>
      <c r="H67" s="16" t="str">
        <f t="shared" si="0"/>
        <v>(65,0,'Ouargla2',31*933,5*327,260,1057),</v>
      </c>
    </row>
    <row r="68" spans="1:8" ht="20.149999999999999" customHeight="1" x14ac:dyDescent="0.35">
      <c r="A68" s="3">
        <v>66</v>
      </c>
      <c r="B68" s="15">
        <v>0</v>
      </c>
      <c r="C68" s="13" t="s">
        <v>5488</v>
      </c>
      <c r="D68" s="13" t="s">
        <v>6019</v>
      </c>
      <c r="E68" s="13" t="s">
        <v>6020</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6021</v>
      </c>
      <c r="E69" s="13" t="s">
        <v>6022</v>
      </c>
      <c r="F69" s="13">
        <v>397</v>
      </c>
      <c r="G69" s="7">
        <v>1498</v>
      </c>
      <c r="H69" s="16" t="str">
        <f t="shared" si="1"/>
        <v>(67,0,'Ouled Djellal',34*417,5*067,397,1498),</v>
      </c>
    </row>
    <row r="70" spans="1:8" ht="20.149999999999999" customHeight="1" x14ac:dyDescent="0.35">
      <c r="A70" s="3">
        <v>68</v>
      </c>
      <c r="B70" s="15">
        <v>0</v>
      </c>
      <c r="C70" s="13" t="s">
        <v>5522</v>
      </c>
      <c r="D70" s="13" t="s">
        <v>6023</v>
      </c>
      <c r="E70" s="13" t="s">
        <v>6024</v>
      </c>
      <c r="F70" s="13">
        <v>360</v>
      </c>
      <c r="G70" s="7">
        <v>1057</v>
      </c>
      <c r="H70" s="16" t="str">
        <f t="shared" si="1"/>
        <v>(68,0,'Ourhoud',31*7,5*85,360,1057),</v>
      </c>
    </row>
    <row r="71" spans="1:8" ht="20.149999999999999" customHeight="1" x14ac:dyDescent="0.35">
      <c r="A71" s="3">
        <v>69</v>
      </c>
      <c r="B71" s="15">
        <v>0</v>
      </c>
      <c r="C71" s="13" t="s">
        <v>1123</v>
      </c>
      <c r="D71" s="13" t="s">
        <v>6025</v>
      </c>
      <c r="E71" s="13" t="s">
        <v>6026</v>
      </c>
      <c r="F71" s="13">
        <v>200</v>
      </c>
      <c r="G71" s="7">
        <v>4</v>
      </c>
      <c r="H71" s="16" t="str">
        <f t="shared" si="1"/>
        <v>(69,0,'Reggane',26*8,-2*8,200,4),</v>
      </c>
    </row>
    <row r="72" spans="1:8" ht="20.149999999999999" customHeight="1" x14ac:dyDescent="0.35">
      <c r="A72" s="3">
        <v>70</v>
      </c>
      <c r="B72" s="15">
        <v>0</v>
      </c>
      <c r="C72" s="13" t="s">
        <v>5371</v>
      </c>
      <c r="D72" s="13" t="s">
        <v>6027</v>
      </c>
      <c r="E72" s="13" t="s">
        <v>6028</v>
      </c>
      <c r="F72" s="13">
        <v>300</v>
      </c>
      <c r="G72" s="7">
        <v>1064</v>
      </c>
      <c r="H72" s="16" t="str">
        <f t="shared" si="1"/>
        <v>(70,0,'Rhoude El Baguel',32*15,2*15,300,1064),</v>
      </c>
    </row>
    <row r="73" spans="1:8" ht="20.149999999999999" customHeight="1" x14ac:dyDescent="0.35">
      <c r="A73" s="3">
        <v>71</v>
      </c>
      <c r="B73" s="15">
        <v>0</v>
      </c>
      <c r="C73" s="13" t="s">
        <v>5523</v>
      </c>
      <c r="D73" s="13" t="s">
        <v>6029</v>
      </c>
      <c r="E73" s="13" t="s">
        <v>6030</v>
      </c>
      <c r="F73" s="13">
        <v>252</v>
      </c>
      <c r="G73" s="7">
        <v>1114</v>
      </c>
      <c r="H73" s="16" t="str">
        <f t="shared" si="1"/>
        <v>(71,0,'Rhourde Nouss',29*74,6*702,252,1114),</v>
      </c>
    </row>
    <row r="74" spans="1:8" ht="20.149999999999999" customHeight="1" x14ac:dyDescent="0.35">
      <c r="A74" s="3">
        <v>72</v>
      </c>
      <c r="B74" s="15">
        <v>0</v>
      </c>
      <c r="C74" s="13" t="s">
        <v>2103</v>
      </c>
      <c r="D74" s="13" t="s">
        <v>6031</v>
      </c>
      <c r="E74" s="13" t="s">
        <v>6032</v>
      </c>
      <c r="F74" s="13">
        <v>280</v>
      </c>
      <c r="G74" s="7">
        <v>1</v>
      </c>
      <c r="H74" s="16" t="str">
        <f t="shared" si="1"/>
        <v>(72,0,'Sebaa',28*21,-0*156,280,1),</v>
      </c>
    </row>
    <row r="75" spans="1:8" ht="20.149999999999999" customHeight="1" x14ac:dyDescent="0.35">
      <c r="A75" s="3">
        <v>73</v>
      </c>
      <c r="B75" s="15">
        <v>0</v>
      </c>
      <c r="C75" s="13" t="s">
        <v>2251</v>
      </c>
      <c r="D75" s="13" t="s">
        <v>6033</v>
      </c>
      <c r="E75" s="13" t="s">
        <v>6034</v>
      </c>
      <c r="F75" s="13">
        <v>575</v>
      </c>
      <c r="G75" s="7">
        <v>105</v>
      </c>
      <c r="H75" s="16" t="str">
        <f t="shared" si="1"/>
        <v>(73,0,'Sefiane',35*235,6*123,575,105),</v>
      </c>
    </row>
    <row r="76" spans="1:8" ht="20.149999999999999" customHeight="1" x14ac:dyDescent="0.35">
      <c r="A76" s="3">
        <v>74</v>
      </c>
      <c r="B76" s="15">
        <v>0</v>
      </c>
      <c r="C76" s="13" t="s">
        <v>5524</v>
      </c>
      <c r="D76" s="13" t="s">
        <v>5951</v>
      </c>
      <c r="E76" s="13" t="s">
        <v>5952</v>
      </c>
      <c r="F76" s="13">
        <v>185</v>
      </c>
      <c r="G76" s="7">
        <v>231</v>
      </c>
      <c r="H76" s="16" t="str">
        <f t="shared" si="1"/>
        <v>(74,0,'Selga/El Outaya',35*034,5*595,185,231),</v>
      </c>
    </row>
    <row r="77" spans="1:8" ht="20.149999999999999" customHeight="1" x14ac:dyDescent="0.35">
      <c r="A77" s="3">
        <v>75</v>
      </c>
      <c r="B77" s="15">
        <v>0</v>
      </c>
      <c r="C77" s="13" t="s">
        <v>5525</v>
      </c>
      <c r="D77" s="13" t="s">
        <v>6035</v>
      </c>
      <c r="E77" s="13" t="s">
        <v>6036</v>
      </c>
      <c r="F77" s="13">
        <v>80</v>
      </c>
      <c r="G77" s="7">
        <v>544</v>
      </c>
      <c r="H77" s="16" t="str">
        <f t="shared" si="1"/>
        <v>(75,0,'Sidi Arcine',36*754,3*059,80,544),</v>
      </c>
    </row>
    <row r="78" spans="1:8" ht="20.149999999999999" customHeight="1" x14ac:dyDescent="0.35">
      <c r="A78" s="3">
        <v>76</v>
      </c>
      <c r="B78" s="15">
        <v>0</v>
      </c>
      <c r="C78" s="13" t="s">
        <v>1012</v>
      </c>
      <c r="D78" s="13" t="s">
        <v>6037</v>
      </c>
      <c r="E78" s="13" t="s">
        <v>6038</v>
      </c>
      <c r="F78" s="13">
        <v>18</v>
      </c>
      <c r="G78" s="7">
        <v>721</v>
      </c>
      <c r="H78" s="16" t="str">
        <f t="shared" si="1"/>
        <v>(76,0,'Skikda',36*885,6*924,18,721),</v>
      </c>
    </row>
    <row r="79" spans="1:8" ht="20.149999999999999" customHeight="1" x14ac:dyDescent="0.35">
      <c r="A79" s="3">
        <v>77</v>
      </c>
      <c r="B79" s="15">
        <v>0</v>
      </c>
      <c r="C79" s="13" t="s">
        <v>5526</v>
      </c>
      <c r="D79" s="13" t="s">
        <v>6039</v>
      </c>
      <c r="E79" s="13" t="s">
        <v>6040</v>
      </c>
      <c r="F79" s="13">
        <v>890</v>
      </c>
      <c r="G79" s="7">
        <v>52</v>
      </c>
      <c r="H79" s="16" t="str">
        <f t="shared" si="1"/>
        <v>(77,0,'Timzhert 1',33*625,2*739,890,52),</v>
      </c>
    </row>
    <row r="80" spans="1:8" ht="20.149999999999999" customHeight="1" x14ac:dyDescent="0.35">
      <c r="A80" s="3">
        <v>78</v>
      </c>
      <c r="B80" s="15">
        <v>0</v>
      </c>
      <c r="C80" s="13" t="s">
        <v>5527</v>
      </c>
      <c r="D80" s="13" t="s">
        <v>6041</v>
      </c>
      <c r="E80" s="13" t="s">
        <v>6042</v>
      </c>
      <c r="F80" s="13">
        <v>912</v>
      </c>
      <c r="G80" s="7">
        <v>52</v>
      </c>
      <c r="H80" s="16" t="str">
        <f t="shared" si="1"/>
        <v>(78,0,'Timzhert 2',33*641,2*741,912,52),</v>
      </c>
    </row>
    <row r="81" spans="1:8" ht="20.149999999999999" customHeight="1" x14ac:dyDescent="0.35">
      <c r="A81" s="3">
        <v>79</v>
      </c>
      <c r="B81" s="15">
        <v>0</v>
      </c>
      <c r="C81" s="13" t="s">
        <v>5528</v>
      </c>
      <c r="D81" s="13" t="s">
        <v>6043</v>
      </c>
      <c r="E81" s="13" t="s">
        <v>6044</v>
      </c>
      <c r="F81" s="13">
        <v>875</v>
      </c>
      <c r="G81" s="7">
        <v>52</v>
      </c>
      <c r="H81" s="16" t="str">
        <f t="shared" si="1"/>
        <v>(79,0,'Timzhert 3',33*608,2*736,875,52),</v>
      </c>
    </row>
    <row r="82" spans="1:8" ht="20.149999999999999" customHeight="1" x14ac:dyDescent="0.35">
      <c r="A82" s="3">
        <v>80</v>
      </c>
      <c r="B82" s="15">
        <v>0</v>
      </c>
      <c r="C82" s="13" t="s">
        <v>5529</v>
      </c>
      <c r="D82" s="13" t="s">
        <v>6045</v>
      </c>
      <c r="E82" s="13" t="s">
        <v>6046</v>
      </c>
      <c r="F82" s="13">
        <v>470</v>
      </c>
      <c r="G82" s="7">
        <v>1113</v>
      </c>
      <c r="H82" s="16" t="str">
        <f t="shared" si="1"/>
        <v>(80,0,'Tin-Fouyé 1',28*146,6*826,470,1113),</v>
      </c>
    </row>
    <row r="83" spans="1:8" ht="20.149999999999999" customHeight="1" x14ac:dyDescent="0.35">
      <c r="A83" s="3">
        <v>81</v>
      </c>
      <c r="B83" s="15">
        <v>0</v>
      </c>
      <c r="C83" s="13" t="s">
        <v>5530</v>
      </c>
      <c r="D83" s="13" t="s">
        <v>6047</v>
      </c>
      <c r="E83" s="13" t="s">
        <v>6048</v>
      </c>
      <c r="F83" s="13">
        <v>400</v>
      </c>
      <c r="G83" s="7">
        <v>1113</v>
      </c>
      <c r="H83" s="16" t="str">
        <f t="shared" si="1"/>
        <v>(81,0,'Tin-Fouyé 2',27*5,10*2,400,1113),</v>
      </c>
    </row>
    <row r="84" spans="1:8" ht="20.149999999999999" customHeight="1" x14ac:dyDescent="0.35">
      <c r="A84" s="3">
        <v>82</v>
      </c>
      <c r="B84" s="15">
        <v>0</v>
      </c>
      <c r="C84" s="13" t="s">
        <v>1273</v>
      </c>
      <c r="D84" s="13" t="s">
        <v>5900</v>
      </c>
      <c r="E84" s="13" t="s">
        <v>5958</v>
      </c>
      <c r="F84" s="13">
        <v>495</v>
      </c>
      <c r="G84" s="7">
        <v>237</v>
      </c>
      <c r="H84" s="16" t="str">
        <f t="shared" si="1"/>
        <v>(82,0,'Tolga',34*833,6*071,495,237),</v>
      </c>
    </row>
    <row r="85" spans="1:8" ht="20.149999999999999" customHeight="1" x14ac:dyDescent="0.35">
      <c r="A85" s="3">
        <v>83</v>
      </c>
      <c r="B85" s="15">
        <v>0</v>
      </c>
      <c r="C85" s="13" t="s">
        <v>5531</v>
      </c>
      <c r="D85" s="13" t="s">
        <v>6049</v>
      </c>
      <c r="E85" s="13" t="s">
        <v>6050</v>
      </c>
      <c r="F85" s="13">
        <v>1032</v>
      </c>
      <c r="G85" s="7">
        <v>413</v>
      </c>
      <c r="H85" s="16" t="str">
        <f t="shared" si="1"/>
        <v>(83,0,'Zaaroura',35*345,1*319,1032,413),</v>
      </c>
    </row>
    <row r="86" spans="1:8" ht="20.149999999999999" customHeight="1" x14ac:dyDescent="0.35">
      <c r="A86" s="3">
        <v>84</v>
      </c>
      <c r="B86" s="15">
        <v>0</v>
      </c>
      <c r="C86" s="13" t="s">
        <v>5532</v>
      </c>
      <c r="D86" s="13" t="s">
        <v>6051</v>
      </c>
      <c r="E86" s="13" t="s">
        <v>6052</v>
      </c>
      <c r="F86" s="13">
        <v>166</v>
      </c>
      <c r="G86" s="7">
        <v>1057</v>
      </c>
      <c r="H86" s="16" t="str">
        <f t="shared" si="1"/>
        <v>(84,0,'Zina',31*788,6*052,166,1057),</v>
      </c>
    </row>
    <row r="87" spans="1:8" ht="20.149999999999999" customHeight="1" x14ac:dyDescent="0.35">
      <c r="A87" s="3">
        <v>85</v>
      </c>
      <c r="B87" s="15">
        <v>0</v>
      </c>
      <c r="C87" s="13" t="s">
        <v>5533</v>
      </c>
      <c r="D87" s="13" t="s">
        <v>6053</v>
      </c>
      <c r="E87" s="13" t="s">
        <v>6054</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6055</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6056</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6057</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6058</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6059</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6060</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31" workbookViewId="0">
      <selection activeCell="A214" sqref="A214:XFD215"/>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6061</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6062</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6063</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6064</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6064</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6064</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6065</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6079</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6080</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6081</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6082</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6083</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6084</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6085</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6086</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6087</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6066</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6067</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6068</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6069</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6070</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6071</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6072</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6073</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6074</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6075</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6076</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6077</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6078</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workbookViewId="0">
      <selection activeCell="C11" sqref="C11"/>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6098</v>
      </c>
      <c r="B1" s="1" t="s">
        <v>6099</v>
      </c>
      <c r="C1" s="1" t="s">
        <v>5603</v>
      </c>
    </row>
    <row r="2" spans="1:3" ht="20.149999999999999" customHeight="1" x14ac:dyDescent="0.35">
      <c r="A2" s="1" t="s">
        <v>41</v>
      </c>
      <c r="B2" s="1" t="s">
        <v>42</v>
      </c>
      <c r="C2" s="1" t="s">
        <v>6095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6101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6099</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6105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6103</v>
      </c>
      <c r="C1" s="1" t="s">
        <v>5603</v>
      </c>
    </row>
    <row r="2" spans="1:3" ht="20.149999999999999" customHeight="1" x14ac:dyDescent="0.35">
      <c r="A2" s="1" t="s">
        <v>41</v>
      </c>
      <c r="B2" s="1" t="s">
        <v>42</v>
      </c>
      <c r="C2" s="1" t="s">
        <v>6104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6099</v>
      </c>
      <c r="C1" s="1" t="s">
        <v>5603</v>
      </c>
    </row>
    <row r="2" spans="1:3" ht="20.149999999999999" customHeight="1" x14ac:dyDescent="0.35">
      <c r="A2" s="1" t="s">
        <v>41</v>
      </c>
      <c r="B2" s="1" t="s">
        <v>42</v>
      </c>
      <c r="C2" s="1" t="s">
        <v>6102</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5539</v>
      </c>
      <c r="C1" s="1" t="s">
        <v>5603</v>
      </c>
    </row>
    <row r="2" spans="1:3" ht="20.149999999999999" customHeight="1" x14ac:dyDescent="0.35">
      <c r="A2" s="1" t="s">
        <v>41</v>
      </c>
      <c r="B2" s="1" t="s">
        <v>42</v>
      </c>
      <c r="C2" s="1" t="s">
        <v>6106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6107</v>
      </c>
      <c r="B1" s="1" t="s">
        <v>6103</v>
      </c>
      <c r="C1" s="1" t="s">
        <v>5603</v>
      </c>
    </row>
    <row r="2" spans="1:3" ht="20.149999999999999" customHeight="1" x14ac:dyDescent="0.35">
      <c r="A2" s="1" t="s">
        <v>41</v>
      </c>
      <c r="B2" s="1" t="s">
        <v>42</v>
      </c>
      <c r="C2" s="1" t="s">
        <v>6108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B14" sqref="B1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abSelected="1" topLeftCell="X25" workbookViewId="0">
      <selection activeCell="AB12" sqref="AB12"/>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customWidth="1"/>
    <col min="9" max="9" width="12.7265625" style="2" customWidth="1"/>
    <col min="10" max="10" width="36" style="2" customWidth="1"/>
    <col min="11"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6222</v>
      </c>
      <c r="F1" s="1" t="s">
        <v>6224</v>
      </c>
      <c r="G1" s="1" t="s">
        <v>6225</v>
      </c>
      <c r="H1" s="1" t="s">
        <v>5576</v>
      </c>
      <c r="I1" s="1" t="s">
        <v>5577</v>
      </c>
      <c r="J1" s="1" t="s">
        <v>5578</v>
      </c>
      <c r="K1" s="1" t="s">
        <v>5579</v>
      </c>
      <c r="L1" s="1" t="s">
        <v>5580</v>
      </c>
      <c r="M1" s="1" t="s">
        <v>5581</v>
      </c>
      <c r="N1" s="1" t="s">
        <v>5582</v>
      </c>
      <c r="O1" s="1" t="s">
        <v>5583</v>
      </c>
      <c r="P1" s="1" t="s">
        <v>5584</v>
      </c>
      <c r="Q1" s="1" t="s">
        <v>5585</v>
      </c>
      <c r="R1" s="1" t="s">
        <v>5586</v>
      </c>
      <c r="S1" s="1" t="s">
        <v>6236</v>
      </c>
      <c r="T1" s="1" t="s">
        <v>5587</v>
      </c>
      <c r="U1" s="1" t="s">
        <v>6235</v>
      </c>
      <c r="V1" s="1" t="s">
        <v>5588</v>
      </c>
      <c r="W1" s="1" t="s">
        <v>6234</v>
      </c>
      <c r="X1" s="1" t="s">
        <v>5536</v>
      </c>
      <c r="Y1" s="1" t="s">
        <v>6223</v>
      </c>
      <c r="Z1" s="1" t="s">
        <v>5589</v>
      </c>
      <c r="AA1" s="1" t="s">
        <v>6226</v>
      </c>
      <c r="AB1" s="1" t="s">
        <v>5590</v>
      </c>
      <c r="AC1" s="1" t="s">
        <v>6227</v>
      </c>
      <c r="AD1" s="1" t="s">
        <v>5495</v>
      </c>
      <c r="AE1" s="1" t="s">
        <v>6248</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6335</v>
      </c>
      <c r="AF2" s="2" t="s">
        <v>6336</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6220</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t="s">
        <v>5648</v>
      </c>
      <c r="AE6" s="5"/>
      <c r="AF6" s="37" t="str">
        <f t="shared" si="0"/>
        <v>(159*'24 / 22'*672*'2,7 / 9,52 / 9,0 / 8,73 / 7,92 / 7,13 / 6,35'*'0,015'*83*0*0*0*14*11.4*2*14*NULL*3*7*22)*</v>
      </c>
    </row>
    <row r="7" spans="1:33" ht="20.149999999999999" customHeight="1" x14ac:dyDescent="0.35">
      <c r="A7" s="3">
        <v>160</v>
      </c>
      <c r="B7" s="27" t="s">
        <v>5122</v>
      </c>
      <c r="C7" s="22">
        <v>44738</v>
      </c>
      <c r="D7" s="15">
        <v>1</v>
      </c>
      <c r="E7" s="5" t="s">
        <v>4141</v>
      </c>
      <c r="F7" s="5">
        <v>15</v>
      </c>
      <c r="G7" s="5">
        <v>12</v>
      </c>
      <c r="H7" s="7" t="s">
        <v>6220</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
        <v>128</v>
      </c>
      <c r="AD9" s="5" t="s">
        <v>5656</v>
      </c>
      <c r="AE9" s="5"/>
      <c r="AF9" s="37" t="str">
        <f t="shared" si="0"/>
        <v>(162*'20'*144.74*'8,74 / 10,31'*'0,0457'*72*72*0*0*4*4*4*11*NULL*3*13*128)*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 t="s">
        <v>5673</v>
      </c>
      <c r="AB12" s="35" t="s">
        <v>4044</v>
      </c>
      <c r="AC12" s="5" t="s">
        <v>4044</v>
      </c>
      <c r="AD12" s="5"/>
      <c r="AE12" s="5"/>
      <c r="AF12" s="37" t="str">
        <f t="shared" si="0"/>
        <v>(165*'30'*44.5*'10.31'*'0,0457'*49*0*0*0*0*0*4*11*NULL*5*TFT*Nezla)*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6115</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6228</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6228</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6237</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c r="AE17" s="5"/>
      <c r="AF17" s="37" t="str">
        <f t="shared" si="0"/>
        <v>(170*'16'*271*'6,35'*'0,046'*40*0*0*0*0*0*4*NULL*NULL*6*25*15)*</v>
      </c>
    </row>
    <row r="18" spans="1:32" ht="20.149999999999999" customHeight="1" x14ac:dyDescent="0.3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c r="AE18" s="5"/>
      <c r="AF18" s="37" t="str">
        <f t="shared" si="0"/>
        <v>(171*'20'*230*''*'0,0457'*0*0*0*0*0*0*4*NULL*NULL*6*32*15)*</v>
      </c>
    </row>
    <row r="19" spans="1:32" ht="20.149999999999999" customHeight="1" x14ac:dyDescent="0.35">
      <c r="A19" s="3">
        <v>172</v>
      </c>
      <c r="B19" s="27" t="s">
        <v>5134</v>
      </c>
      <c r="C19" s="22">
        <v>36505</v>
      </c>
      <c r="D19" s="15">
        <v>1</v>
      </c>
      <c r="E19" s="5" t="s">
        <v>5676</v>
      </c>
      <c r="F19" s="5">
        <v>12</v>
      </c>
      <c r="G19" s="5">
        <v>12</v>
      </c>
      <c r="H19" s="7">
        <v>20</v>
      </c>
      <c r="I19" s="31">
        <v>33</v>
      </c>
      <c r="J19" s="5" t="s">
        <v>6238</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6221</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6229</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6112</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6113</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6114</v>
      </c>
      <c r="I22" s="31">
        <v>565</v>
      </c>
      <c r="J22" s="5" t="s">
        <v>6115</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6117</v>
      </c>
      <c r="AA22" s="5">
        <v>29</v>
      </c>
      <c r="AB22" s="35" t="s">
        <v>4854</v>
      </c>
      <c r="AC22" s="5">
        <v>7</v>
      </c>
      <c r="AD22" s="5" t="s">
        <v>6116</v>
      </c>
      <c r="AE22" s="5"/>
      <c r="AF22" s="37" t="str">
        <f t="shared" si="0"/>
        <v>(175*'24/30'*565*'7,14 / 8,74'*'0,0457'*49*11*0*0*7,9*7,9*3*14*17*10*29*7)*</v>
      </c>
    </row>
    <row r="23" spans="1:32" ht="20.149999999999999" customHeight="1" x14ac:dyDescent="0.35">
      <c r="A23" s="3">
        <v>176</v>
      </c>
      <c r="B23" s="27" t="s">
        <v>6179</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c r="AE23" s="5"/>
      <c r="AF23" s="37" t="str">
        <f t="shared" si="0"/>
        <v>(176*'16'**''*'0,0457'*0*0*0*0*0*0*3*NULL*NULL*11*8*21)*</v>
      </c>
    </row>
    <row r="24" spans="1:32" ht="20.149999999999999" customHeight="1" x14ac:dyDescent="0.35">
      <c r="A24" s="3">
        <v>177</v>
      </c>
      <c r="B24" s="27" t="s">
        <v>5139</v>
      </c>
      <c r="C24" s="22">
        <v>30720</v>
      </c>
      <c r="D24" s="15">
        <v>1</v>
      </c>
      <c r="E24" s="5" t="s">
        <v>4125</v>
      </c>
      <c r="F24" s="5">
        <v>11</v>
      </c>
      <c r="G24" s="5">
        <v>12</v>
      </c>
      <c r="H24" s="7">
        <v>24</v>
      </c>
      <c r="I24" s="31">
        <v>503.46</v>
      </c>
      <c r="J24" s="5" t="s">
        <v>6169</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6172</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6170</v>
      </c>
      <c r="K25" s="5">
        <v>0.05</v>
      </c>
      <c r="L25" s="5">
        <v>114.1</v>
      </c>
      <c r="M25" s="5">
        <v>114.1</v>
      </c>
      <c r="N25" s="5">
        <v>0</v>
      </c>
      <c r="O25" s="5">
        <v>0</v>
      </c>
      <c r="P25" s="5">
        <v>6</v>
      </c>
      <c r="Q25" s="5">
        <v>6</v>
      </c>
      <c r="R25" s="5" t="s">
        <v>6171</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6219</v>
      </c>
      <c r="I26" s="31">
        <v>989</v>
      </c>
      <c r="J26" s="5" t="s">
        <v>6169</v>
      </c>
      <c r="K26" s="5">
        <v>0.05</v>
      </c>
      <c r="L26" s="5" t="s">
        <v>6174</v>
      </c>
      <c r="M26" s="5" t="s">
        <v>6174</v>
      </c>
      <c r="N26" s="5">
        <v>0</v>
      </c>
      <c r="O26" s="5">
        <v>0</v>
      </c>
      <c r="P26" s="5">
        <v>6.5</v>
      </c>
      <c r="Q26" s="5">
        <v>5.7</v>
      </c>
      <c r="R26" s="5" t="s">
        <v>5637</v>
      </c>
      <c r="S26" s="5">
        <v>4</v>
      </c>
      <c r="T26" s="5" t="s">
        <v>5638</v>
      </c>
      <c r="U26" s="5">
        <v>11</v>
      </c>
      <c r="V26" s="5" t="s">
        <v>972</v>
      </c>
      <c r="W26" s="5" t="s">
        <v>972</v>
      </c>
      <c r="X26" s="5" t="s">
        <v>6761</v>
      </c>
      <c r="Y26" s="5">
        <v>12</v>
      </c>
      <c r="Z26" s="35" t="s">
        <v>5392</v>
      </c>
      <c r="AA26" s="5">
        <v>20</v>
      </c>
      <c r="AB26" s="35" t="s">
        <v>4856</v>
      </c>
      <c r="AC26" s="5">
        <v>8</v>
      </c>
      <c r="AD26" s="5" t="s">
        <v>6173</v>
      </c>
      <c r="AE26" s="5"/>
      <c r="AF26" s="37" t="str">
        <f t="shared" si="0"/>
        <v>(179*'10 / 12 / 14 / 16 / 20 / 24'*989*'9,52 / 11,91 '*'0,05'*91,7 - 81,7*91,7 - 81,7*0*0*6,5*5,7*4*11*NULL*12*20*8)*</v>
      </c>
    </row>
    <row r="27" spans="1:32" ht="20.149999999999999" customHeight="1" x14ac:dyDescent="0.35">
      <c r="A27" s="3">
        <v>179</v>
      </c>
      <c r="B27" s="27" t="s">
        <v>6180</v>
      </c>
      <c r="C27" s="22"/>
      <c r="D27" s="15">
        <v>1</v>
      </c>
      <c r="E27" s="5" t="s">
        <v>4125</v>
      </c>
      <c r="F27" s="5">
        <v>11</v>
      </c>
      <c r="G27" s="5">
        <v>12</v>
      </c>
      <c r="H27" s="29">
        <v>12</v>
      </c>
      <c r="I27" s="31"/>
      <c r="J27" s="5" t="s">
        <v>6189</v>
      </c>
      <c r="K27" s="5">
        <v>0.05</v>
      </c>
      <c r="L27" s="5">
        <v>0</v>
      </c>
      <c r="M27" s="5">
        <v>0</v>
      </c>
      <c r="N27" s="5">
        <v>0</v>
      </c>
      <c r="O27" s="5">
        <v>0</v>
      </c>
      <c r="P27" s="5">
        <v>0</v>
      </c>
      <c r="Q27" s="5">
        <v>0</v>
      </c>
      <c r="R27" s="5" t="s">
        <v>5637</v>
      </c>
      <c r="S27" s="5">
        <v>4</v>
      </c>
      <c r="T27" s="5" t="s">
        <v>972</v>
      </c>
      <c r="U27" s="5" t="s">
        <v>972</v>
      </c>
      <c r="V27" s="5" t="s">
        <v>972</v>
      </c>
      <c r="W27" s="5" t="s">
        <v>972</v>
      </c>
      <c r="X27" s="5" t="s">
        <v>6761</v>
      </c>
      <c r="Y27" s="5">
        <v>12</v>
      </c>
      <c r="Z27" s="35" t="s">
        <v>4856</v>
      </c>
      <c r="AA27" s="5">
        <v>8</v>
      </c>
      <c r="AB27" s="35" t="s">
        <v>1824</v>
      </c>
      <c r="AC27" s="5">
        <v>21</v>
      </c>
      <c r="AD27" s="5"/>
      <c r="AE27" s="5"/>
      <c r="AF27" s="37" t="str">
        <f t="shared" si="0"/>
        <v>(179*'12'**'11,91 / 12,7 / 14,25 / 19,05'*'0,05'*0*0*0*0*0*0*4*NULL*NULL*12*8*21)*</v>
      </c>
    </row>
    <row r="28" spans="1:32" ht="20.149999999999999" customHeight="1" x14ac:dyDescent="0.35">
      <c r="A28" s="3">
        <v>180</v>
      </c>
      <c r="B28" s="27" t="s">
        <v>5142</v>
      </c>
      <c r="C28" s="22">
        <v>38264</v>
      </c>
      <c r="D28" s="15">
        <v>1</v>
      </c>
      <c r="E28" s="5" t="s">
        <v>5676</v>
      </c>
      <c r="F28" s="5">
        <v>12</v>
      </c>
      <c r="G28" s="5">
        <v>12</v>
      </c>
      <c r="H28" s="7">
        <v>16</v>
      </c>
      <c r="I28" s="31">
        <v>404</v>
      </c>
      <c r="J28" s="5" t="s">
        <v>6175</v>
      </c>
      <c r="K28" s="5">
        <v>4.5999999999999999E-2</v>
      </c>
      <c r="L28" s="5">
        <v>89.2</v>
      </c>
      <c r="M28" s="5">
        <v>89.2</v>
      </c>
      <c r="N28" s="5">
        <v>0</v>
      </c>
      <c r="O28" s="5">
        <v>0</v>
      </c>
      <c r="P28" s="5">
        <v>3.26</v>
      </c>
      <c r="Q28" s="5">
        <v>3.26</v>
      </c>
      <c r="R28" s="5" t="s">
        <v>5637</v>
      </c>
      <c r="S28" s="5">
        <v>4</v>
      </c>
      <c r="T28" s="5" t="s">
        <v>5638</v>
      </c>
      <c r="U28" s="5">
        <v>11</v>
      </c>
      <c r="V28" s="5" t="s">
        <v>972</v>
      </c>
      <c r="W28" s="5" t="s">
        <v>972</v>
      </c>
      <c r="X28" s="5" t="s">
        <v>6761</v>
      </c>
      <c r="Y28" s="5">
        <v>12</v>
      </c>
      <c r="Z28" s="35" t="s">
        <v>5347</v>
      </c>
      <c r="AA28" s="5">
        <v>16</v>
      </c>
      <c r="AB28" s="35" t="s">
        <v>5396</v>
      </c>
      <c r="AC28" s="5">
        <v>26</v>
      </c>
      <c r="AD28" s="5" t="s">
        <v>6176</v>
      </c>
      <c r="AE28" s="5"/>
      <c r="AF28" s="37" t="str">
        <f t="shared" si="0"/>
        <v>(180*'16'*404*'7,92 / 11,13'*'0,046'*89,2*89,2*0*0*3,26*3,26*4*11*NULL*12*16*26)*</v>
      </c>
    </row>
    <row r="29" spans="1:32" ht="20.149999999999999" customHeight="1" x14ac:dyDescent="0.35">
      <c r="A29" s="3">
        <v>181</v>
      </c>
      <c r="B29" s="27" t="s">
        <v>5143</v>
      </c>
      <c r="C29" s="22">
        <v>41640</v>
      </c>
      <c r="D29" s="15">
        <v>1</v>
      </c>
      <c r="E29" s="5" t="s">
        <v>5676</v>
      </c>
      <c r="F29" s="5">
        <v>12</v>
      </c>
      <c r="G29" s="5">
        <v>12</v>
      </c>
      <c r="H29" s="7">
        <v>24</v>
      </c>
      <c r="I29" s="31">
        <v>336</v>
      </c>
      <c r="J29" s="5" t="s">
        <v>6177</v>
      </c>
      <c r="K29" s="5">
        <v>4.5999999999999999E-2</v>
      </c>
      <c r="L29" s="5">
        <v>77</v>
      </c>
      <c r="M29" s="5">
        <v>77</v>
      </c>
      <c r="N29" s="5">
        <v>0</v>
      </c>
      <c r="O29" s="5">
        <v>0</v>
      </c>
      <c r="P29" s="5">
        <v>4.5</v>
      </c>
      <c r="Q29" s="5">
        <v>4.5</v>
      </c>
      <c r="R29" s="5" t="s">
        <v>5637</v>
      </c>
      <c r="S29" s="5">
        <v>4</v>
      </c>
      <c r="T29" s="5" t="s">
        <v>5652</v>
      </c>
      <c r="U29" s="5">
        <v>21</v>
      </c>
      <c r="V29" s="5" t="s">
        <v>972</v>
      </c>
      <c r="W29" s="5" t="s">
        <v>972</v>
      </c>
      <c r="X29" s="5" t="s">
        <v>6761</v>
      </c>
      <c r="Y29" s="5">
        <v>12</v>
      </c>
      <c r="Z29" s="35" t="s">
        <v>1812</v>
      </c>
      <c r="AA29" s="5">
        <v>14</v>
      </c>
      <c r="AB29" s="35" t="s">
        <v>4856</v>
      </c>
      <c r="AC29" s="5">
        <v>8</v>
      </c>
      <c r="AD29" s="5" t="s">
        <v>6178</v>
      </c>
      <c r="AE29" s="5"/>
      <c r="AF29" s="37" t="str">
        <f t="shared" si="0"/>
        <v>(181*'24'*336*'14,3 / 9,52 / 11,13 / 15,88 / 10,31'*'0,046'*77*77*0*0*4,5*4,5*4*21*NULL*12*14*8)*</v>
      </c>
    </row>
    <row r="30" spans="1:32" ht="20.149999999999999" customHeight="1" x14ac:dyDescent="0.35">
      <c r="A30" s="3">
        <v>182</v>
      </c>
      <c r="B30" s="27" t="s">
        <v>5144</v>
      </c>
      <c r="C30" s="22">
        <v>22282</v>
      </c>
      <c r="D30" s="15">
        <v>1</v>
      </c>
      <c r="E30" s="5" t="s">
        <v>4125</v>
      </c>
      <c r="F30" s="5">
        <v>11</v>
      </c>
      <c r="G30" s="5">
        <v>16</v>
      </c>
      <c r="H30" s="7" t="s">
        <v>6184</v>
      </c>
      <c r="I30" s="31">
        <v>509</v>
      </c>
      <c r="J30" s="5" t="s">
        <v>6183</v>
      </c>
      <c r="K30" s="5">
        <v>1.4999999999999999E-2</v>
      </c>
      <c r="L30" s="5">
        <v>65</v>
      </c>
      <c r="M30" s="5">
        <v>0</v>
      </c>
      <c r="N30" s="5">
        <v>0</v>
      </c>
      <c r="O30" s="5">
        <v>0</v>
      </c>
      <c r="P30" s="5">
        <v>3.56</v>
      </c>
      <c r="Q30" s="5">
        <v>0</v>
      </c>
      <c r="R30" s="5" t="s">
        <v>5641</v>
      </c>
      <c r="S30" s="5">
        <v>3</v>
      </c>
      <c r="T30" s="5" t="s">
        <v>6182</v>
      </c>
      <c r="U30" s="5">
        <v>14</v>
      </c>
      <c r="V30" s="5" t="s">
        <v>6181</v>
      </c>
      <c r="W30" s="5">
        <v>17</v>
      </c>
      <c r="X30" s="5" t="s">
        <v>5144</v>
      </c>
      <c r="Y30" s="5">
        <v>13</v>
      </c>
      <c r="Z30" s="35" t="s">
        <v>4856</v>
      </c>
      <c r="AA30" s="5">
        <v>8</v>
      </c>
      <c r="AB30" s="35" t="s">
        <v>1824</v>
      </c>
      <c r="AC30" s="5">
        <v>21</v>
      </c>
      <c r="AD30" s="5" t="s">
        <v>6185</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6181</v>
      </c>
      <c r="W31" s="5">
        <v>17</v>
      </c>
      <c r="X31" s="5" t="s">
        <v>5559</v>
      </c>
      <c r="Y31" s="5">
        <v>14</v>
      </c>
      <c r="Z31" s="35" t="s">
        <v>1824</v>
      </c>
      <c r="AA31" s="5">
        <v>21</v>
      </c>
      <c r="AB31" s="35" t="s">
        <v>6186</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6188</v>
      </c>
      <c r="K32" s="5">
        <v>1.4999999999999999E-2</v>
      </c>
      <c r="L32" s="5">
        <v>69.8</v>
      </c>
      <c r="M32" s="5">
        <v>69.8</v>
      </c>
      <c r="N32" s="5">
        <v>0</v>
      </c>
      <c r="O32" s="5">
        <v>0</v>
      </c>
      <c r="P32" s="5">
        <v>13.679</v>
      </c>
      <c r="Q32" s="5">
        <v>13.679</v>
      </c>
      <c r="R32" s="5" t="s">
        <v>5641</v>
      </c>
      <c r="S32" s="5">
        <v>3</v>
      </c>
      <c r="T32" s="5" t="s">
        <v>6182</v>
      </c>
      <c r="U32" s="5">
        <v>14</v>
      </c>
      <c r="V32" s="5" t="s">
        <v>6181</v>
      </c>
      <c r="W32" s="5">
        <v>17</v>
      </c>
      <c r="X32" s="5" t="s">
        <v>5559</v>
      </c>
      <c r="Y32" s="5">
        <v>14</v>
      </c>
      <c r="Z32" s="35" t="s">
        <v>4856</v>
      </c>
      <c r="AA32" s="5">
        <v>8</v>
      </c>
      <c r="AB32" s="35" t="s">
        <v>1824</v>
      </c>
      <c r="AC32" s="5">
        <v>21</v>
      </c>
      <c r="AD32" s="5" t="s">
        <v>6187</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6188</v>
      </c>
      <c r="K33" s="5">
        <v>1.4999999999999999E-2</v>
      </c>
      <c r="L33" s="5">
        <v>67</v>
      </c>
      <c r="M33" s="5">
        <v>67</v>
      </c>
      <c r="N33" s="5">
        <v>0</v>
      </c>
      <c r="O33" s="5">
        <v>0</v>
      </c>
      <c r="P33" s="5">
        <v>12.507</v>
      </c>
      <c r="Q33" s="5">
        <v>12.507</v>
      </c>
      <c r="R33" s="5" t="s">
        <v>5641</v>
      </c>
      <c r="S33" s="5">
        <v>3</v>
      </c>
      <c r="T33" s="5" t="s">
        <v>6182</v>
      </c>
      <c r="U33" s="5">
        <v>14</v>
      </c>
      <c r="V33" s="5" t="s">
        <v>6181</v>
      </c>
      <c r="W33" s="5">
        <v>17</v>
      </c>
      <c r="X33" s="5" t="s">
        <v>5559</v>
      </c>
      <c r="Y33" s="5">
        <v>14</v>
      </c>
      <c r="Z33" s="35" t="s">
        <v>4856</v>
      </c>
      <c r="AA33" s="5">
        <v>8</v>
      </c>
      <c r="AB33" s="35" t="s">
        <v>1824</v>
      </c>
      <c r="AC33" s="5">
        <v>21</v>
      </c>
      <c r="AD33" s="5" t="s">
        <v>6230</v>
      </c>
      <c r="AE33" s="5"/>
      <c r="AF33" s="37" t="str">
        <f t="shared" si="0"/>
        <v>(185*'40'*511*'11,13 - 12,7 - 19,05'*'0,015'*67*67*0*0*12,507*12,507*3*14*17*14*8*21)*</v>
      </c>
    </row>
    <row r="34" spans="1:32" ht="20.149999999999999" customHeight="1" x14ac:dyDescent="0.35">
      <c r="A34" s="3">
        <v>186</v>
      </c>
      <c r="B34" s="27" t="s">
        <v>5148</v>
      </c>
      <c r="C34" s="22"/>
      <c r="D34" s="15">
        <v>1</v>
      </c>
      <c r="E34" s="5" t="s">
        <v>4125</v>
      </c>
      <c r="F34" s="5">
        <v>11</v>
      </c>
      <c r="G34" s="5">
        <v>16</v>
      </c>
      <c r="H34" s="7">
        <v>40</v>
      </c>
      <c r="I34" s="31">
        <v>221</v>
      </c>
      <c r="J34" s="5" t="s">
        <v>6189</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
      <c r="AB34" s="35"/>
      <c r="AC34" s="5"/>
      <c r="AD34" s="5"/>
      <c r="AE34" s="5"/>
      <c r="AF34" s="37" t="str">
        <f t="shared" si="0"/>
        <v>(186*'40'*221*'11,91 / 12,7 / 14,25 / 19,05'*'0,015'*67*0*0*0*0*0*4*NULL*NULL*14**)*</v>
      </c>
    </row>
    <row r="35" spans="1:32" ht="20.149999999999999" customHeight="1" x14ac:dyDescent="0.35">
      <c r="A35" s="3">
        <v>187</v>
      </c>
      <c r="B35" s="27" t="s">
        <v>5149</v>
      </c>
      <c r="C35" s="22">
        <v>32509</v>
      </c>
      <c r="D35" s="15">
        <v>1</v>
      </c>
      <c r="E35" s="5" t="s">
        <v>4125</v>
      </c>
      <c r="F35" s="5">
        <v>11</v>
      </c>
      <c r="G35" s="5">
        <v>16</v>
      </c>
      <c r="H35" s="7">
        <v>42</v>
      </c>
      <c r="I35" s="31">
        <v>517</v>
      </c>
      <c r="J35" s="5" t="s">
        <v>6190</v>
      </c>
      <c r="K35" s="5">
        <v>1.4999999999999999E-2</v>
      </c>
      <c r="L35" s="5">
        <v>65</v>
      </c>
      <c r="M35" s="5">
        <v>65</v>
      </c>
      <c r="N35" s="5">
        <v>0</v>
      </c>
      <c r="O35" s="5">
        <v>0</v>
      </c>
      <c r="P35" s="5">
        <v>14.462</v>
      </c>
      <c r="Q35" s="5">
        <v>14.462</v>
      </c>
      <c r="R35" s="5" t="s">
        <v>6191</v>
      </c>
      <c r="S35" s="5">
        <v>4</v>
      </c>
      <c r="T35" s="5" t="s">
        <v>6192</v>
      </c>
      <c r="U35" s="5">
        <v>14</v>
      </c>
      <c r="V35" s="5" t="s">
        <v>6181</v>
      </c>
      <c r="W35" s="5">
        <v>17</v>
      </c>
      <c r="X35" s="5" t="s">
        <v>5559</v>
      </c>
      <c r="Y35" s="5">
        <v>14</v>
      </c>
      <c r="Z35" s="35" t="s">
        <v>4856</v>
      </c>
      <c r="AA35" s="5">
        <v>8</v>
      </c>
      <c r="AB35" s="35" t="s">
        <v>1824</v>
      </c>
      <c r="AC35" s="5">
        <v>21</v>
      </c>
      <c r="AD35" s="5" t="s">
        <v>6193</v>
      </c>
      <c r="AE35" s="5"/>
      <c r="AF35" s="37" t="str">
        <f t="shared" si="0"/>
        <v>(187*'42'*517*'11,13 / 12,7 / 14,3 / 0,6 '*'0,015'*65*65*0*0*14,462*14,462*4*14*17*14*8*21)*</v>
      </c>
    </row>
    <row r="36" spans="1:32" ht="20.149999999999999" customHeight="1" x14ac:dyDescent="0.35">
      <c r="A36" s="3">
        <v>188</v>
      </c>
      <c r="B36" s="27" t="s">
        <v>5150</v>
      </c>
      <c r="C36" s="22"/>
      <c r="D36" s="15">
        <v>1</v>
      </c>
      <c r="E36" s="5" t="s">
        <v>4125</v>
      </c>
      <c r="F36" s="5">
        <v>11</v>
      </c>
      <c r="G36" s="5">
        <v>16</v>
      </c>
      <c r="H36" s="7"/>
      <c r="I36" s="31"/>
      <c r="J36" s="7" t="s">
        <v>6194</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
      <c r="AB36" s="35"/>
      <c r="AC36" s="5"/>
      <c r="AD36" s="5"/>
      <c r="AE36" s="5"/>
      <c r="AF36" s="37" t="str">
        <f t="shared" si="0"/>
        <v>(188*''**'11,91 - 22,22'*'0,015'*0*0*0*0*0*0*4*NULL*NULL*14**)*</v>
      </c>
    </row>
    <row r="37" spans="1:32" ht="20.149999999999999" customHeight="1" x14ac:dyDescent="0.35">
      <c r="A37" s="3">
        <v>189</v>
      </c>
      <c r="B37" s="27" t="s">
        <v>5151</v>
      </c>
      <c r="C37" s="22"/>
      <c r="D37" s="15">
        <v>1</v>
      </c>
      <c r="E37" s="5" t="s">
        <v>4125</v>
      </c>
      <c r="F37" s="5">
        <v>11</v>
      </c>
      <c r="G37" s="5">
        <v>16</v>
      </c>
      <c r="H37" s="7"/>
      <c r="I37" s="31"/>
      <c r="J37" s="7" t="s">
        <v>6194</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
      <c r="AB37" s="35"/>
      <c r="AC37" s="5"/>
      <c r="AD37" s="5"/>
      <c r="AE37" s="5"/>
      <c r="AF37" s="37" t="str">
        <f t="shared" si="0"/>
        <v>(189*''**'11,91 - 22,22'*'0,015'*0*0*0*0*0*0*4*NULL*NULL*14**)*</v>
      </c>
    </row>
    <row r="38" spans="1:32" ht="20.149999999999999" customHeight="1" x14ac:dyDescent="0.35">
      <c r="A38" s="3">
        <v>190</v>
      </c>
      <c r="B38" s="27" t="s">
        <v>5152</v>
      </c>
      <c r="C38" s="22">
        <v>39841</v>
      </c>
      <c r="D38" s="15">
        <v>1</v>
      </c>
      <c r="E38" s="5" t="s">
        <v>4125</v>
      </c>
      <c r="F38" s="5">
        <v>11</v>
      </c>
      <c r="G38" s="5">
        <v>16</v>
      </c>
      <c r="H38" s="7">
        <v>48</v>
      </c>
      <c r="I38" s="31">
        <v>513.17200000000003</v>
      </c>
      <c r="J38" s="7" t="s">
        <v>6194</v>
      </c>
      <c r="K38" s="5">
        <v>1.4999999999999999E-2</v>
      </c>
      <c r="L38" s="5">
        <v>70</v>
      </c>
      <c r="M38" s="5">
        <v>70</v>
      </c>
      <c r="N38" s="5">
        <v>0</v>
      </c>
      <c r="O38" s="5">
        <v>0</v>
      </c>
      <c r="P38" s="5">
        <v>0</v>
      </c>
      <c r="Q38" s="5">
        <v>0</v>
      </c>
      <c r="R38" s="5" t="s">
        <v>6196</v>
      </c>
      <c r="S38" s="5">
        <v>6</v>
      </c>
      <c r="T38" s="5" t="s">
        <v>5638</v>
      </c>
      <c r="U38" s="5">
        <v>11</v>
      </c>
      <c r="V38" s="5" t="s">
        <v>972</v>
      </c>
      <c r="W38" s="5" t="s">
        <v>972</v>
      </c>
      <c r="X38" s="5" t="s">
        <v>5265</v>
      </c>
      <c r="Y38" s="5">
        <v>15</v>
      </c>
      <c r="Z38" s="35" t="s">
        <v>4856</v>
      </c>
      <c r="AA38" s="5">
        <v>8</v>
      </c>
      <c r="AB38" s="35" t="s">
        <v>1824</v>
      </c>
      <c r="AC38" s="5">
        <v>21</v>
      </c>
      <c r="AD38" s="5" t="s">
        <v>6195</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6194</v>
      </c>
      <c r="K39" s="5">
        <v>1.4999999999999999E-2</v>
      </c>
      <c r="L39" s="5">
        <v>70</v>
      </c>
      <c r="M39" s="5">
        <v>45</v>
      </c>
      <c r="N39" s="5">
        <v>0</v>
      </c>
      <c r="O39" s="5">
        <v>0</v>
      </c>
      <c r="P39" s="5">
        <v>0</v>
      </c>
      <c r="Q39" s="5">
        <v>0</v>
      </c>
      <c r="R39" s="5" t="s">
        <v>6196</v>
      </c>
      <c r="S39" s="5">
        <v>6</v>
      </c>
      <c r="T39" s="5" t="s">
        <v>5638</v>
      </c>
      <c r="U39" s="5">
        <v>11</v>
      </c>
      <c r="V39" s="5" t="s">
        <v>972</v>
      </c>
      <c r="W39" s="5" t="s">
        <v>972</v>
      </c>
      <c r="X39" s="5" t="s">
        <v>5265</v>
      </c>
      <c r="Y39" s="5">
        <v>15</v>
      </c>
      <c r="Z39" s="35" t="s">
        <v>6198</v>
      </c>
      <c r="AA39" s="5" t="s">
        <v>6198</v>
      </c>
      <c r="AB39" s="35" t="s">
        <v>2048</v>
      </c>
      <c r="AC39" s="5">
        <v>3</v>
      </c>
      <c r="AD39" s="5" t="s">
        <v>6197</v>
      </c>
      <c r="AE39" s="5"/>
      <c r="AF39" s="37" t="str">
        <f t="shared" si="0"/>
        <v>(191*'48'*120,37*'11,91 - 22,22'*'0,015'*70*45*0*0*0*0*6*11*NULL*15*Mactaa Douz*3)*</v>
      </c>
    </row>
    <row r="40" spans="1:32" ht="20.149999999999999" customHeight="1" x14ac:dyDescent="0.35">
      <c r="A40" s="3">
        <v>192</v>
      </c>
      <c r="B40" s="27" t="s">
        <v>5154</v>
      </c>
      <c r="C40" s="22"/>
      <c r="D40" s="15">
        <v>1</v>
      </c>
      <c r="E40" s="5" t="s">
        <v>4125</v>
      </c>
      <c r="F40" s="5">
        <v>11</v>
      </c>
      <c r="G40" s="5">
        <v>16</v>
      </c>
      <c r="H40" s="7"/>
      <c r="I40" s="31"/>
      <c r="J40" s="7" t="s">
        <v>6194</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37" t="str">
        <f t="shared" si="0"/>
        <v>(192*''**'11,91 - 22,22'*'0,015'*0*0*0*0*0*0*4*NULL*NULL*15**3)*</v>
      </c>
    </row>
    <row r="41" spans="1:32" ht="20.149999999999999" customHeight="1" x14ac:dyDescent="0.35">
      <c r="A41" s="3">
        <v>193</v>
      </c>
      <c r="B41" s="27" t="s">
        <v>5155</v>
      </c>
      <c r="C41" s="22">
        <v>25934</v>
      </c>
      <c r="D41" s="15">
        <v>1</v>
      </c>
      <c r="E41" s="5" t="s">
        <v>4133</v>
      </c>
      <c r="F41" s="5">
        <v>13</v>
      </c>
      <c r="G41" s="5">
        <v>16</v>
      </c>
      <c r="H41" s="7">
        <v>40</v>
      </c>
      <c r="I41" s="31">
        <v>574.87</v>
      </c>
      <c r="J41" s="5" t="s">
        <v>6209</v>
      </c>
      <c r="K41" s="5">
        <v>3.5000000000000003E-2</v>
      </c>
      <c r="L41" s="5">
        <v>70</v>
      </c>
      <c r="M41" s="5">
        <v>70</v>
      </c>
      <c r="N41" s="5">
        <v>0</v>
      </c>
      <c r="O41" s="5">
        <v>0</v>
      </c>
      <c r="P41" s="5">
        <v>20.47</v>
      </c>
      <c r="Q41" s="5">
        <v>20.47</v>
      </c>
      <c r="R41" s="5" t="s">
        <v>6208</v>
      </c>
      <c r="S41" s="5">
        <v>4</v>
      </c>
      <c r="T41" s="5" t="s">
        <v>6205</v>
      </c>
      <c r="U41" s="5">
        <v>14</v>
      </c>
      <c r="V41" s="5" t="s">
        <v>6181</v>
      </c>
      <c r="W41" s="5">
        <v>17</v>
      </c>
      <c r="X41" s="5" t="s">
        <v>5563</v>
      </c>
      <c r="Y41" s="5">
        <v>17</v>
      </c>
      <c r="Z41" s="35" t="s">
        <v>4856</v>
      </c>
      <c r="AA41" s="5">
        <v>8</v>
      </c>
      <c r="AB41" s="35" t="s">
        <v>1012</v>
      </c>
      <c r="AC41" s="5">
        <v>34</v>
      </c>
      <c r="AD41" s="5" t="s">
        <v>6231</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t="s">
        <v>6209</v>
      </c>
      <c r="K42" s="5">
        <v>1.4999999999999999E-2</v>
      </c>
      <c r="L42" s="5">
        <v>70</v>
      </c>
      <c r="M42" s="5">
        <v>70</v>
      </c>
      <c r="N42" s="5">
        <v>0</v>
      </c>
      <c r="O42" s="5">
        <v>0</v>
      </c>
      <c r="P42" s="5">
        <v>20.47</v>
      </c>
      <c r="Q42" s="5">
        <v>20.47</v>
      </c>
      <c r="R42" s="5" t="s">
        <v>6206</v>
      </c>
      <c r="S42" s="5">
        <v>4</v>
      </c>
      <c r="T42" s="5" t="s">
        <v>6205</v>
      </c>
      <c r="U42" s="5">
        <v>14</v>
      </c>
      <c r="V42" s="5" t="s">
        <v>6181</v>
      </c>
      <c r="W42" s="5">
        <v>17</v>
      </c>
      <c r="X42" s="5" t="s">
        <v>5563</v>
      </c>
      <c r="Y42" s="5">
        <v>17</v>
      </c>
      <c r="Z42" s="35" t="s">
        <v>4856</v>
      </c>
      <c r="AA42" s="5">
        <v>8</v>
      </c>
      <c r="AB42" s="35" t="s">
        <v>1012</v>
      </c>
      <c r="AC42" s="5">
        <v>34</v>
      </c>
      <c r="AD42" s="5" t="s">
        <v>6207</v>
      </c>
      <c r="AE42" s="5"/>
      <c r="AF42" s="37" t="str">
        <f t="shared" si="0"/>
        <v>(194*'42'*575,545*'12,7 / 15,88 / 19,43 / 19,05 '*'0,015'*70*70*0*0*20,47*20,47*4*14*17*17*8*34)*</v>
      </c>
    </row>
    <row r="43" spans="1:32" ht="20.149999999999999" customHeight="1" x14ac:dyDescent="0.35">
      <c r="A43" s="3">
        <v>195</v>
      </c>
      <c r="B43" s="27" t="s">
        <v>5157</v>
      </c>
      <c r="C43" s="22"/>
      <c r="D43" s="15">
        <v>1</v>
      </c>
      <c r="E43" s="5" t="s">
        <v>4133</v>
      </c>
      <c r="F43" s="5">
        <v>13</v>
      </c>
      <c r="G43" s="5">
        <v>16</v>
      </c>
      <c r="H43" s="7"/>
      <c r="I43" s="31"/>
      <c r="J43" s="5" t="s">
        <v>6210</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6762</v>
      </c>
      <c r="AC43" s="5"/>
      <c r="AD43" s="5"/>
      <c r="AE43" s="5"/>
      <c r="AF43" s="37" t="str">
        <f t="shared" si="0"/>
        <v>(195*''**'14,3 / 22,22'*'0,015'*0*0*0*0*9,66*9,66*4*NULL*NULL*18*8*)*</v>
      </c>
    </row>
    <row r="44" spans="1:32" ht="20.149999999999999" customHeight="1" x14ac:dyDescent="0.35">
      <c r="A44" s="3">
        <v>196</v>
      </c>
      <c r="B44" s="27" t="s">
        <v>5158</v>
      </c>
      <c r="C44" s="22"/>
      <c r="D44" s="15">
        <v>1</v>
      </c>
      <c r="E44" s="5" t="s">
        <v>4133</v>
      </c>
      <c r="F44" s="5">
        <v>13</v>
      </c>
      <c r="G44" s="5">
        <v>16</v>
      </c>
      <c r="H44" s="7">
        <v>48</v>
      </c>
      <c r="I44" s="31">
        <v>87</v>
      </c>
      <c r="J44" s="5" t="s">
        <v>6210</v>
      </c>
      <c r="K44" s="5">
        <v>1.4999999999999999E-2</v>
      </c>
      <c r="L44" s="5">
        <v>71.5</v>
      </c>
      <c r="M44" s="5">
        <v>0</v>
      </c>
      <c r="N44" s="5">
        <v>0</v>
      </c>
      <c r="O44" s="5">
        <v>0</v>
      </c>
      <c r="P44" s="5">
        <v>0</v>
      </c>
      <c r="Q44" s="5">
        <v>0</v>
      </c>
      <c r="R44" s="5" t="s">
        <v>6200</v>
      </c>
      <c r="S44" s="5">
        <v>6</v>
      </c>
      <c r="T44" s="5" t="s">
        <v>972</v>
      </c>
      <c r="U44" s="5" t="s">
        <v>972</v>
      </c>
      <c r="V44" s="5" t="s">
        <v>972</v>
      </c>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6239</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6242</v>
      </c>
      <c r="AC45" s="5">
        <v>24</v>
      </c>
      <c r="AD45" s="5" t="s">
        <v>6240</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6241</v>
      </c>
      <c r="K46" s="5">
        <v>1.4999999999999999E-2</v>
      </c>
      <c r="L46" s="5">
        <v>70</v>
      </c>
      <c r="M46" s="5">
        <v>70</v>
      </c>
      <c r="N46" s="5">
        <v>0</v>
      </c>
      <c r="O46" s="5">
        <v>0</v>
      </c>
      <c r="P46" s="5">
        <v>0</v>
      </c>
      <c r="Q46" s="5">
        <v>0</v>
      </c>
      <c r="R46" s="5" t="s">
        <v>6200</v>
      </c>
      <c r="S46" s="5">
        <v>6</v>
      </c>
      <c r="T46" s="5" t="s">
        <v>5652</v>
      </c>
      <c r="U46" s="5" t="s">
        <v>972</v>
      </c>
      <c r="V46" s="5" t="s">
        <v>972</v>
      </c>
      <c r="W46" s="5" t="s">
        <v>972</v>
      </c>
      <c r="X46" s="5" t="s">
        <v>5159</v>
      </c>
      <c r="Y46" s="5">
        <v>20</v>
      </c>
      <c r="Z46" s="35" t="s">
        <v>6243</v>
      </c>
      <c r="AA46" s="5">
        <v>9</v>
      </c>
      <c r="AB46" s="35" t="s">
        <v>6242</v>
      </c>
      <c r="AC46" s="5">
        <v>24</v>
      </c>
      <c r="AD46" s="5"/>
      <c r="AE46" s="5"/>
      <c r="AF46" s="37" t="str">
        <f t="shared" si="0"/>
        <v>(198*'42'*207*'20,62 / 14,27'*'0,015'*70*70*0*0*0*0*6*NULL*NULL*20*9*24)*</v>
      </c>
    </row>
    <row r="47" spans="1:32" ht="20.149999999999999" customHeight="1" x14ac:dyDescent="0.35">
      <c r="A47" s="3">
        <v>199</v>
      </c>
      <c r="B47" s="27" t="s">
        <v>5161</v>
      </c>
      <c r="C47" s="22"/>
      <c r="D47" s="15">
        <v>1</v>
      </c>
      <c r="E47" s="5" t="s">
        <v>4129</v>
      </c>
      <c r="F47" s="5"/>
      <c r="G47" s="5">
        <v>16</v>
      </c>
      <c r="H47" s="7"/>
      <c r="I47" s="31"/>
      <c r="J47" s="5" t="s">
        <v>6241</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
      <c r="AB47" s="35"/>
      <c r="AC47" s="5"/>
      <c r="AD47" s="5"/>
      <c r="AE47" s="5"/>
      <c r="AF47" s="37" t="str">
        <f t="shared" si="0"/>
        <v>(199*''**'20,62 / 14,27'*'0,015'*0*0*0*0*0*0*4*NULL*NULL*21**)*</v>
      </c>
    </row>
    <row r="48" spans="1:32" ht="20.149999999999999" customHeight="1" x14ac:dyDescent="0.35">
      <c r="A48" s="3">
        <v>200</v>
      </c>
      <c r="B48" s="27" t="s">
        <v>5162</v>
      </c>
      <c r="C48" s="22">
        <v>31413</v>
      </c>
      <c r="D48" s="15">
        <v>1</v>
      </c>
      <c r="E48" s="5" t="s">
        <v>4137</v>
      </c>
      <c r="F48" s="5">
        <v>14</v>
      </c>
      <c r="G48" s="5">
        <v>16</v>
      </c>
      <c r="H48" s="7" t="s">
        <v>6214</v>
      </c>
      <c r="I48" s="31">
        <v>966</v>
      </c>
      <c r="J48" s="5" t="s">
        <v>6216</v>
      </c>
      <c r="K48" s="5">
        <v>1.4999999999999999E-2</v>
      </c>
      <c r="L48" s="5">
        <v>71</v>
      </c>
      <c r="M48" s="5">
        <v>71</v>
      </c>
      <c r="N48" s="5">
        <v>0</v>
      </c>
      <c r="O48" s="5">
        <v>0</v>
      </c>
      <c r="P48" s="5">
        <v>15.76</v>
      </c>
      <c r="Q48" s="5">
        <v>15.76</v>
      </c>
      <c r="R48" s="5" t="s">
        <v>6215</v>
      </c>
      <c r="S48" s="5">
        <v>6</v>
      </c>
      <c r="T48" s="5" t="s">
        <v>5668</v>
      </c>
      <c r="U48" s="5">
        <v>14</v>
      </c>
      <c r="V48" s="5" t="s">
        <v>6181</v>
      </c>
      <c r="W48" s="5">
        <v>17</v>
      </c>
      <c r="X48" s="5" t="s">
        <v>5569</v>
      </c>
      <c r="Y48" s="5">
        <v>21</v>
      </c>
      <c r="Z48" s="35" t="s">
        <v>5392</v>
      </c>
      <c r="AA48" s="5">
        <v>20</v>
      </c>
      <c r="AB48" s="35" t="s">
        <v>4856</v>
      </c>
      <c r="AC48" s="5">
        <v>8</v>
      </c>
      <c r="AD48" s="5" t="s">
        <v>6232</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6214</v>
      </c>
      <c r="I49" s="31">
        <v>966</v>
      </c>
      <c r="J49" s="5" t="s">
        <v>6217</v>
      </c>
      <c r="K49" s="5">
        <v>1.4999999999999999E-2</v>
      </c>
      <c r="L49" s="5">
        <v>71</v>
      </c>
      <c r="M49" s="5">
        <v>71</v>
      </c>
      <c r="N49" s="5">
        <v>0</v>
      </c>
      <c r="O49" s="5">
        <v>0</v>
      </c>
      <c r="P49" s="5">
        <v>15.77</v>
      </c>
      <c r="Q49" s="5">
        <v>15.77</v>
      </c>
      <c r="R49" s="5" t="s">
        <v>6200</v>
      </c>
      <c r="S49" s="5">
        <v>6</v>
      </c>
      <c r="T49" s="5" t="s">
        <v>5638</v>
      </c>
      <c r="U49" s="5">
        <v>11</v>
      </c>
      <c r="V49" s="5" t="s">
        <v>6181</v>
      </c>
      <c r="W49" s="5">
        <v>17</v>
      </c>
      <c r="X49" s="5" t="s">
        <v>5569</v>
      </c>
      <c r="Y49" s="5">
        <v>21</v>
      </c>
      <c r="Z49" s="35" t="s">
        <v>5392</v>
      </c>
      <c r="AA49" s="5">
        <v>20</v>
      </c>
      <c r="AB49" s="35" t="s">
        <v>4856</v>
      </c>
      <c r="AC49" s="5">
        <v>8</v>
      </c>
      <c r="AD49" s="5" t="s">
        <v>6233</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t="s">
        <v>6217</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
      <c r="AB50" s="35"/>
      <c r="AC50" s="5"/>
      <c r="AD50" s="5"/>
      <c r="AE50" s="5"/>
      <c r="AF50" s="37" t="str">
        <f t="shared" si="0"/>
        <v>(202*'48'*520*'11,91 / 12,7 / 14,27 / 19,05 / 22,22'*'0,015'*0*0*0*0*0*0*4*NULL*NULL*21**)*</v>
      </c>
    </row>
    <row r="51" spans="1:32" ht="20.149999999999999" customHeight="1" x14ac:dyDescent="0.35">
      <c r="A51" s="3">
        <v>203</v>
      </c>
      <c r="B51" s="27" t="s">
        <v>5165</v>
      </c>
      <c r="C51" s="22">
        <v>41640</v>
      </c>
      <c r="D51" s="15">
        <v>1</v>
      </c>
      <c r="E51" s="5" t="s">
        <v>4137</v>
      </c>
      <c r="F51" s="5">
        <v>14</v>
      </c>
      <c r="G51" s="5">
        <v>16</v>
      </c>
      <c r="H51" s="7">
        <v>48</v>
      </c>
      <c r="I51" s="31">
        <v>535</v>
      </c>
      <c r="J51" s="5" t="s">
        <v>6199</v>
      </c>
      <c r="K51" s="5">
        <v>1.4999999999999999E-2</v>
      </c>
      <c r="L51" s="5">
        <v>71</v>
      </c>
      <c r="M51" s="5">
        <v>71</v>
      </c>
      <c r="N51" s="5">
        <v>0</v>
      </c>
      <c r="O51" s="5">
        <v>0</v>
      </c>
      <c r="P51" s="5">
        <v>11.05</v>
      </c>
      <c r="Q51" s="5">
        <v>11.05</v>
      </c>
      <c r="R51" s="5" t="s">
        <v>6200</v>
      </c>
      <c r="S51" s="5">
        <v>6</v>
      </c>
      <c r="T51" s="5" t="s">
        <v>972</v>
      </c>
      <c r="U51" s="5" t="s">
        <v>972</v>
      </c>
      <c r="V51" s="5" t="s">
        <v>972</v>
      </c>
      <c r="W51" s="5" t="s">
        <v>972</v>
      </c>
      <c r="X51" s="5" t="s">
        <v>5569</v>
      </c>
      <c r="Y51" s="5">
        <v>21</v>
      </c>
      <c r="Z51" s="35" t="s">
        <v>6218</v>
      </c>
      <c r="AA51" s="5">
        <v>18</v>
      </c>
      <c r="AB51" s="35" t="s">
        <v>4856</v>
      </c>
      <c r="AC51" s="5">
        <v>8</v>
      </c>
      <c r="AD51" s="5" t="s">
        <v>6197</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6244</v>
      </c>
      <c r="K52" s="5">
        <v>1.4999999999999999E-2</v>
      </c>
      <c r="L52" s="5">
        <v>70</v>
      </c>
      <c r="M52" s="5">
        <v>70</v>
      </c>
      <c r="N52" s="5">
        <v>45</v>
      </c>
      <c r="O52" s="5">
        <v>45</v>
      </c>
      <c r="P52" s="5">
        <v>0</v>
      </c>
      <c r="Q52" s="5">
        <v>0</v>
      </c>
      <c r="R52" s="5" t="s">
        <v>6200</v>
      </c>
      <c r="S52" s="5">
        <v>6</v>
      </c>
      <c r="T52" s="5" t="s">
        <v>972</v>
      </c>
      <c r="U52" s="5" t="s">
        <v>972</v>
      </c>
      <c r="V52" s="5" t="s">
        <v>972</v>
      </c>
      <c r="W52" s="5" t="s">
        <v>972</v>
      </c>
      <c r="X52" s="5" t="s">
        <v>5572</v>
      </c>
      <c r="Y52" s="5">
        <v>22</v>
      </c>
      <c r="Z52" s="35" t="s">
        <v>1123</v>
      </c>
      <c r="AA52" s="5">
        <v>32</v>
      </c>
      <c r="AB52" s="35" t="s">
        <v>4856</v>
      </c>
      <c r="AC52" s="5">
        <v>8</v>
      </c>
      <c r="AD52" s="5" t="s">
        <v>6245</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6199</v>
      </c>
      <c r="K53" s="5">
        <v>1.4999999999999999E-2</v>
      </c>
      <c r="L53" s="5">
        <v>71</v>
      </c>
      <c r="M53" s="5">
        <v>71</v>
      </c>
      <c r="N53" s="5">
        <v>0</v>
      </c>
      <c r="O53" s="5">
        <v>0</v>
      </c>
      <c r="P53" s="5">
        <v>8.52</v>
      </c>
      <c r="Q53" s="5">
        <v>8.52</v>
      </c>
      <c r="R53" s="5" t="s">
        <v>6200</v>
      </c>
      <c r="S53" s="5">
        <v>6</v>
      </c>
      <c r="T53" s="5" t="s">
        <v>972</v>
      </c>
      <c r="U53" s="5" t="s">
        <v>972</v>
      </c>
      <c r="V53" s="5" t="s">
        <v>972</v>
      </c>
      <c r="W53" s="5" t="s">
        <v>972</v>
      </c>
      <c r="X53" s="5" t="s">
        <v>5569</v>
      </c>
      <c r="Y53" s="5">
        <v>21</v>
      </c>
      <c r="Z53" s="35" t="s">
        <v>6218</v>
      </c>
      <c r="AA53" s="5">
        <v>18</v>
      </c>
      <c r="AB53" s="35" t="s">
        <v>4856</v>
      </c>
      <c r="AC53" s="5">
        <v>8</v>
      </c>
      <c r="AD53" s="5" t="s">
        <v>6197</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6246</v>
      </c>
      <c r="K54" s="5">
        <v>1.4999999999999999E-2</v>
      </c>
      <c r="L54" s="5">
        <v>70</v>
      </c>
      <c r="M54" s="5">
        <v>70</v>
      </c>
      <c r="N54" s="5">
        <v>45</v>
      </c>
      <c r="O54" s="5">
        <v>45</v>
      </c>
      <c r="P54" s="5">
        <v>0</v>
      </c>
      <c r="Q54" s="5">
        <v>0</v>
      </c>
      <c r="R54" s="5" t="s">
        <v>6200</v>
      </c>
      <c r="S54" s="5">
        <v>6</v>
      </c>
      <c r="T54" s="5" t="s">
        <v>972</v>
      </c>
      <c r="U54" s="5" t="s">
        <v>972</v>
      </c>
      <c r="V54" s="5" t="s">
        <v>972</v>
      </c>
      <c r="W54" s="5" t="s">
        <v>972</v>
      </c>
      <c r="X54" s="5" t="s">
        <v>5572</v>
      </c>
      <c r="Y54" s="5">
        <v>22</v>
      </c>
      <c r="Z54" s="35" t="s">
        <v>6247</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6199</v>
      </c>
      <c r="K55" s="5">
        <v>1.4999999999999999E-2</v>
      </c>
      <c r="L55" s="5">
        <v>71</v>
      </c>
      <c r="M55" s="5">
        <v>50.81</v>
      </c>
      <c r="N55" s="5">
        <v>0</v>
      </c>
      <c r="O55" s="5">
        <v>0</v>
      </c>
      <c r="P55" s="5">
        <v>11.47</v>
      </c>
      <c r="Q55" s="5">
        <v>11.47</v>
      </c>
      <c r="R55" s="5" t="s">
        <v>6200</v>
      </c>
      <c r="S55" s="5">
        <v>6</v>
      </c>
      <c r="T55" s="5" t="s">
        <v>6201</v>
      </c>
      <c r="U55" s="5">
        <v>9</v>
      </c>
      <c r="V55" s="5" t="s">
        <v>6181</v>
      </c>
      <c r="W55" s="5">
        <v>17</v>
      </c>
      <c r="X55" s="5" t="s">
        <v>6202</v>
      </c>
      <c r="Y55" s="5">
        <v>16</v>
      </c>
      <c r="Z55" s="35" t="s">
        <v>4856</v>
      </c>
      <c r="AA55" s="5">
        <v>8</v>
      </c>
      <c r="AB55" s="35" t="s">
        <v>6203</v>
      </c>
      <c r="AC55" s="5">
        <v>12</v>
      </c>
      <c r="AD55" s="5" t="s">
        <v>6172</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6204</v>
      </c>
      <c r="K56" s="5">
        <v>1.4999999999999999E-2</v>
      </c>
      <c r="L56" s="5">
        <v>70</v>
      </c>
      <c r="M56" s="5">
        <v>0</v>
      </c>
      <c r="N56" s="5">
        <v>0</v>
      </c>
      <c r="O56" s="5">
        <v>0</v>
      </c>
      <c r="P56" s="5">
        <v>9</v>
      </c>
      <c r="Q56" s="5">
        <v>9</v>
      </c>
      <c r="R56" s="5" t="s">
        <v>5637</v>
      </c>
      <c r="S56" s="5">
        <v>4</v>
      </c>
      <c r="T56" s="5" t="s">
        <v>972</v>
      </c>
      <c r="U56" s="5" t="s">
        <v>972</v>
      </c>
      <c r="V56" s="5" t="s">
        <v>972</v>
      </c>
      <c r="W56" s="5" t="s">
        <v>972</v>
      </c>
      <c r="X56" s="5" t="s">
        <v>6202</v>
      </c>
      <c r="Y56" s="5">
        <v>16</v>
      </c>
      <c r="Z56" s="35" t="s">
        <v>6203</v>
      </c>
      <c r="AA56" s="5">
        <v>12</v>
      </c>
      <c r="AB56" s="35" t="s">
        <v>2048</v>
      </c>
      <c r="AC56" s="5">
        <v>3</v>
      </c>
      <c r="AD56" s="5" t="s">
        <v>6178</v>
      </c>
      <c r="AE56" s="5"/>
      <c r="AF56" s="37" t="str">
        <f t="shared" si="0"/>
        <v>(208*'48'*198*'13,61/  14,27 / 20,79 / 22,23'*'0,015'*70*0*0*0*9*9*4*NULL*NULL*16*12*3)*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6199</v>
      </c>
      <c r="K57" s="5">
        <v>1.4999999999999999E-2</v>
      </c>
      <c r="L57" s="5">
        <v>70</v>
      </c>
      <c r="M57" s="5">
        <v>70</v>
      </c>
      <c r="N57" s="5">
        <v>0</v>
      </c>
      <c r="O57" s="5">
        <v>0</v>
      </c>
      <c r="P57" s="5">
        <v>11.99</v>
      </c>
      <c r="Q57" s="5">
        <v>11.99</v>
      </c>
      <c r="R57" s="5" t="s">
        <v>6171</v>
      </c>
      <c r="S57" s="5">
        <v>4</v>
      </c>
      <c r="T57" s="5" t="s">
        <v>5661</v>
      </c>
      <c r="U57" s="5">
        <v>14</v>
      </c>
      <c r="V57" s="5" t="s">
        <v>6181</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6199</v>
      </c>
      <c r="K58" s="5">
        <v>1.4999999999999999E-2</v>
      </c>
      <c r="L58" s="5">
        <v>70</v>
      </c>
      <c r="M58" s="5">
        <v>70</v>
      </c>
      <c r="N58" s="5">
        <v>0</v>
      </c>
      <c r="O58" s="5">
        <v>0</v>
      </c>
      <c r="P58" s="5">
        <v>11.99</v>
      </c>
      <c r="Q58" s="5">
        <v>11.99</v>
      </c>
      <c r="R58" s="5" t="s">
        <v>6171</v>
      </c>
      <c r="S58" s="5">
        <v>4</v>
      </c>
      <c r="T58" s="5" t="s">
        <v>5661</v>
      </c>
      <c r="U58" s="5">
        <v>14</v>
      </c>
      <c r="V58" s="5" t="s">
        <v>6181</v>
      </c>
      <c r="W58" s="5">
        <v>17</v>
      </c>
      <c r="X58" s="5" t="s">
        <v>5566</v>
      </c>
      <c r="Y58" s="5">
        <v>19</v>
      </c>
      <c r="Z58" s="35" t="s">
        <v>4856</v>
      </c>
      <c r="AA58" s="5">
        <v>8</v>
      </c>
      <c r="AB58" s="35" t="s">
        <v>5488</v>
      </c>
      <c r="AC58" s="5">
        <v>2</v>
      </c>
      <c r="AD58" s="5" t="s">
        <v>6212</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6199</v>
      </c>
      <c r="K59" s="5">
        <v>1.4999999999999999E-2</v>
      </c>
      <c r="L59" s="5">
        <v>70</v>
      </c>
      <c r="M59" s="5">
        <v>70</v>
      </c>
      <c r="N59" s="5">
        <v>0</v>
      </c>
      <c r="O59" s="5">
        <v>0</v>
      </c>
      <c r="P59" s="5">
        <v>8.74</v>
      </c>
      <c r="Q59" s="5">
        <v>8.74</v>
      </c>
      <c r="R59" s="5" t="s">
        <v>6171</v>
      </c>
      <c r="S59" s="5">
        <v>4</v>
      </c>
      <c r="T59" s="5" t="s">
        <v>6211</v>
      </c>
      <c r="U59" s="5">
        <v>11</v>
      </c>
      <c r="V59" s="5" t="s">
        <v>6181</v>
      </c>
      <c r="W59" s="5">
        <v>17</v>
      </c>
      <c r="X59" s="5" t="s">
        <v>5566</v>
      </c>
      <c r="Y59" s="5">
        <v>19</v>
      </c>
      <c r="Z59" s="35" t="s">
        <v>4856</v>
      </c>
      <c r="AA59" s="5">
        <v>8</v>
      </c>
      <c r="AB59" s="35" t="s">
        <v>5488</v>
      </c>
      <c r="AC59" s="5">
        <v>2</v>
      </c>
      <c r="AD59" s="5" t="s">
        <v>6213</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4798</v>
      </c>
      <c r="C1" s="1" t="s">
        <v>5603</v>
      </c>
    </row>
    <row r="2" spans="1:3" ht="20.149999999999999" customHeight="1" x14ac:dyDescent="0.35">
      <c r="A2" s="1" t="s">
        <v>41</v>
      </c>
      <c r="B2" s="1" t="s">
        <v>42</v>
      </c>
      <c r="C2" s="1" t="s">
        <v>6109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CF960-7741-4862-9051-C6DB3DFE43C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6720</v>
      </c>
    </row>
    <row r="3" spans="1:6" ht="20.149999999999999" customHeight="1" x14ac:dyDescent="0.35">
      <c r="A3" s="3">
        <v>1</v>
      </c>
      <c r="B3" s="3" t="s">
        <v>6684</v>
      </c>
      <c r="C3" s="4" t="s">
        <v>6685</v>
      </c>
      <c r="D3" s="4" t="s">
        <v>6686</v>
      </c>
      <c r="E3" s="4" t="s">
        <v>6686</v>
      </c>
      <c r="F3" s="4" t="str">
        <f>CONCATENATE("(",A3,",'",B3,"','",C3,"','",D3,"','",E3,"'),")</f>
        <v>(1,'PRODUCTION','إنتاج','Production','Production'),</v>
      </c>
    </row>
    <row r="4" spans="1:6" ht="20.149999999999999" customHeight="1" x14ac:dyDescent="0.35">
      <c r="A4" s="3">
        <v>2</v>
      </c>
      <c r="B4" s="3" t="s">
        <v>6687</v>
      </c>
      <c r="C4" s="4" t="s">
        <v>6688</v>
      </c>
      <c r="D4" s="4" t="s">
        <v>6689</v>
      </c>
      <c r="E4" s="4" t="s">
        <v>6689</v>
      </c>
      <c r="F4" s="4" t="str">
        <f t="shared" ref="F4:F12" si="0">CONCATENATE("(",A4,",'",B4,"','",C4,"','",D4,"','",E4,"'),")</f>
        <v>(2,'TRANSPORT','نقل','Transport','Transport'),</v>
      </c>
    </row>
    <row r="5" spans="1:6" ht="20.149999999999999" customHeight="1" x14ac:dyDescent="0.35">
      <c r="A5" s="3">
        <v>3</v>
      </c>
      <c r="B5" s="3" t="s">
        <v>6690</v>
      </c>
      <c r="C5" s="4" t="s">
        <v>6691</v>
      </c>
      <c r="D5" s="4" t="s">
        <v>6124</v>
      </c>
      <c r="E5" s="4" t="s">
        <v>6692</v>
      </c>
      <c r="F5" s="4" t="str">
        <f t="shared" si="0"/>
        <v>(3,'EXPORT','تصدير','Export','Exportation'),</v>
      </c>
    </row>
    <row r="6" spans="1:6" ht="20.149999999999999" customHeight="1" x14ac:dyDescent="0.35">
      <c r="A6" s="3">
        <v>4</v>
      </c>
      <c r="B6" s="3" t="s">
        <v>6693</v>
      </c>
      <c r="C6" s="4" t="s">
        <v>6694</v>
      </c>
      <c r="D6" s="4" t="s">
        <v>6695</v>
      </c>
      <c r="E6" s="4" t="s">
        <v>6696</v>
      </c>
      <c r="F6" s="4" t="str">
        <f t="shared" si="0"/>
        <v>(4,'IMPORT','استيراد','Import','Importation'),</v>
      </c>
    </row>
    <row r="7" spans="1:6" ht="20.149999999999999" customHeight="1" x14ac:dyDescent="0.35">
      <c r="A7" s="3">
        <v>5</v>
      </c>
      <c r="B7" s="3" t="s">
        <v>6697</v>
      </c>
      <c r="C7" s="4" t="s">
        <v>6698</v>
      </c>
      <c r="D7" s="4" t="s">
        <v>6699</v>
      </c>
      <c r="E7" s="4" t="s">
        <v>6700</v>
      </c>
      <c r="F7" s="4" t="str">
        <f t="shared" si="0"/>
        <v>(5,'STORAGE_IN','تخزين - دخول','Storage In','Stockage - Entrée'),</v>
      </c>
    </row>
    <row r="8" spans="1:6" ht="20.149999999999999" customHeight="1" x14ac:dyDescent="0.35">
      <c r="A8" s="3">
        <v>6</v>
      </c>
      <c r="B8" s="3" t="s">
        <v>6701</v>
      </c>
      <c r="C8" s="4" t="s">
        <v>6702</v>
      </c>
      <c r="D8" s="4" t="s">
        <v>6703</v>
      </c>
      <c r="E8" s="4" t="s">
        <v>6704</v>
      </c>
      <c r="F8" s="4" t="str">
        <f t="shared" si="0"/>
        <v>(6,'STORAGE_OUT','تخزين - خروج','Storage Out','Stockage - Sortie'),</v>
      </c>
    </row>
    <row r="9" spans="1:6" ht="20.149999999999999" customHeight="1" x14ac:dyDescent="0.35">
      <c r="A9" s="3">
        <v>7</v>
      </c>
      <c r="B9" s="3" t="s">
        <v>6705</v>
      </c>
      <c r="C9" s="4" t="s">
        <v>6706</v>
      </c>
      <c r="D9" s="4" t="s">
        <v>6707</v>
      </c>
      <c r="E9" s="4" t="s">
        <v>6708</v>
      </c>
      <c r="F9" s="4" t="str">
        <f t="shared" si="0"/>
        <v>(7,'CONSUMPTION','استهلاك','Consumption','Consommation'),</v>
      </c>
    </row>
    <row r="10" spans="1:6" ht="20.149999999999999" customHeight="1" x14ac:dyDescent="0.35">
      <c r="A10" s="3">
        <v>8</v>
      </c>
      <c r="B10" s="3" t="s">
        <v>6709</v>
      </c>
      <c r="C10" s="4" t="s">
        <v>6710</v>
      </c>
      <c r="D10" s="4" t="s">
        <v>6711</v>
      </c>
      <c r="E10" s="4" t="s">
        <v>6711</v>
      </c>
      <c r="F10" s="4" t="str">
        <f t="shared" si="0"/>
        <v>(8,'INJECTION','حقن','Injection','Injection'),</v>
      </c>
    </row>
    <row r="11" spans="1:6" ht="20.149999999999999" customHeight="1" x14ac:dyDescent="0.35">
      <c r="A11" s="3">
        <v>9</v>
      </c>
      <c r="B11" s="3" t="s">
        <v>6712</v>
      </c>
      <c r="C11" s="4" t="s">
        <v>6713</v>
      </c>
      <c r="D11" s="4" t="s">
        <v>6714</v>
      </c>
      <c r="E11" s="4" t="s">
        <v>6715</v>
      </c>
      <c r="F11" s="4" t="str">
        <f t="shared" si="0"/>
        <v>(9,'FLARING','حرق','Flaring','Torchage'),</v>
      </c>
    </row>
    <row r="12" spans="1:6" ht="20.149999999999999" customHeight="1" x14ac:dyDescent="0.35">
      <c r="A12" s="3">
        <v>10</v>
      </c>
      <c r="B12" s="3" t="s">
        <v>6716</v>
      </c>
      <c r="C12" s="4" t="s">
        <v>6717</v>
      </c>
      <c r="D12" s="4" t="s">
        <v>6718</v>
      </c>
      <c r="E12" s="4" t="s">
        <v>6719</v>
      </c>
      <c r="F12" s="4" t="str">
        <f t="shared" si="0"/>
        <v>(10,'TRANSFER','نقل داخلي','Transfer','Transfert'),</v>
      </c>
    </row>
  </sheetData>
  <autoFilter ref="A2:F12" xr:uid="{BF79333A-24CF-4E6B-B07A-5958B3D7AE75}"/>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38B8-496B-4569-90D3-B353E27DD2F5}">
  <sheetPr>
    <tabColor theme="5"/>
  </sheetPr>
  <dimension ref="A1:F12"/>
  <sheetViews>
    <sheetView workbookViewId="0">
      <selection activeCell="E12" sqref="E12"/>
    </sheetView>
  </sheetViews>
  <sheetFormatPr baseColWidth="10" defaultColWidth="10.81640625" defaultRowHeight="15.5" x14ac:dyDescent="0.35"/>
  <cols>
    <col min="1" max="1" width="5.54296875" style="2" customWidth="1"/>
    <col min="2" max="2" width="10.6328125" style="2" customWidth="1"/>
    <col min="3" max="5" width="25.6328125" style="2" customWidth="1"/>
    <col min="6" max="6" width="65.453125" style="2" bestFit="1" customWidth="1"/>
    <col min="7" max="16384" width="10.81640625" style="2"/>
  </cols>
  <sheetData>
    <row r="1" spans="1:6" ht="20.149999999999999" customHeight="1" x14ac:dyDescent="0.35">
      <c r="A1" s="1" t="s">
        <v>37</v>
      </c>
      <c r="B1" s="1" t="s">
        <v>54</v>
      </c>
      <c r="C1" s="1" t="s">
        <v>6498</v>
      </c>
      <c r="D1" s="1" t="s">
        <v>6497</v>
      </c>
      <c r="E1" s="1" t="s">
        <v>6499</v>
      </c>
      <c r="F1" s="1" t="s">
        <v>5603</v>
      </c>
    </row>
    <row r="2" spans="1:6" ht="20.149999999999999" customHeight="1" x14ac:dyDescent="0.35">
      <c r="A2" s="41" t="s">
        <v>44</v>
      </c>
      <c r="B2" s="41" t="s">
        <v>41</v>
      </c>
      <c r="C2" s="41" t="s">
        <v>42</v>
      </c>
      <c r="D2" s="41" t="s">
        <v>43</v>
      </c>
      <c r="E2" s="41" t="s">
        <v>53</v>
      </c>
      <c r="F2" s="1" t="s">
        <v>6760</v>
      </c>
    </row>
    <row r="3" spans="1:6" ht="20.149999999999999" customHeight="1" x14ac:dyDescent="0.35">
      <c r="A3" s="3">
        <v>1</v>
      </c>
      <c r="B3" s="3" t="s">
        <v>6721</v>
      </c>
      <c r="C3" s="4" t="s">
        <v>6722</v>
      </c>
      <c r="D3" s="4" t="s">
        <v>6724</v>
      </c>
      <c r="E3" s="4" t="s">
        <v>6723</v>
      </c>
      <c r="F3" s="4" t="str">
        <f>CONCATENATE("(",A3,",'",B3,"','",C3,"','",D3,"','",E3,"'),")</f>
        <v>(1,'EMERGENCY_SHUTDOWN','إيقاف طارئ','Arrêt d'Urgence','Emergency Shutdown'),</v>
      </c>
    </row>
    <row r="4" spans="1:6" ht="20.149999999999999" customHeight="1" x14ac:dyDescent="0.35">
      <c r="A4" s="3">
        <v>2</v>
      </c>
      <c r="B4" s="3" t="s">
        <v>6725</v>
      </c>
      <c r="C4" s="4" t="s">
        <v>6726</v>
      </c>
      <c r="D4" s="4" t="s">
        <v>6728</v>
      </c>
      <c r="E4" s="4" t="s">
        <v>6727</v>
      </c>
      <c r="F4" s="4" t="str">
        <f t="shared" ref="F4:F12" si="0">CONCATENATE("(",A4,",'",B4,"','",C4,"','",D4,"','",E4,"'),")</f>
        <v>(2,'PLANNED_MAINT','صيانة مخططة','Maintenance Planifiée','Planned Maintenance'),</v>
      </c>
    </row>
    <row r="5" spans="1:6" ht="20.149999999999999" customHeight="1" x14ac:dyDescent="0.35">
      <c r="A5" s="3">
        <v>3</v>
      </c>
      <c r="B5" s="3" t="s">
        <v>6729</v>
      </c>
      <c r="C5" s="4" t="s">
        <v>6730</v>
      </c>
      <c r="D5" s="4" t="s">
        <v>6732</v>
      </c>
      <c r="E5" s="4" t="s">
        <v>6731</v>
      </c>
      <c r="F5" s="4" t="str">
        <f t="shared" si="0"/>
        <v>(3,'CORRECTIVE_MAINT','صيانة تصحيحية','Maintenance Corrective','Corrective Maintenance'),</v>
      </c>
    </row>
    <row r="6" spans="1:6" ht="20.149999999999999" customHeight="1" x14ac:dyDescent="0.35">
      <c r="A6" s="3">
        <v>4</v>
      </c>
      <c r="B6" s="3" t="s">
        <v>6733</v>
      </c>
      <c r="C6" s="4" t="s">
        <v>6734</v>
      </c>
      <c r="D6" s="4" t="s">
        <v>6736</v>
      </c>
      <c r="E6" s="4" t="s">
        <v>6735</v>
      </c>
      <c r="F6" s="4" t="str">
        <f t="shared" si="0"/>
        <v>(4,'EQUIPMENT_FAILURE','عطل في المعدات','Panne d'Équipement','Equipment Failure'),</v>
      </c>
    </row>
    <row r="7" spans="1:6" ht="20.149999999999999" customHeight="1" x14ac:dyDescent="0.35">
      <c r="A7" s="3">
        <v>5</v>
      </c>
      <c r="B7" s="3" t="s">
        <v>6737</v>
      </c>
      <c r="C7" s="4" t="s">
        <v>6738</v>
      </c>
      <c r="D7" s="4" t="s">
        <v>6740</v>
      </c>
      <c r="E7" s="4" t="s">
        <v>6739</v>
      </c>
      <c r="F7" s="4" t="str">
        <f t="shared" si="0"/>
        <v>(5,'SAFETY_INCIDENT','حادث أمان','Incident de Sécurité','Safety Incident'),</v>
      </c>
    </row>
    <row r="8" spans="1:6" ht="20.149999999999999" customHeight="1" x14ac:dyDescent="0.35">
      <c r="A8" s="3">
        <v>6</v>
      </c>
      <c r="B8" s="3" t="s">
        <v>6741</v>
      </c>
      <c r="C8" s="4" t="s">
        <v>6742</v>
      </c>
      <c r="D8" s="4" t="s">
        <v>6743</v>
      </c>
      <c r="E8" s="4" t="s">
        <v>6743</v>
      </c>
      <c r="F8" s="4" t="str">
        <f t="shared" si="0"/>
        <v>(6,'INSPECTION','تفتيش','Inspection','Inspection'),</v>
      </c>
    </row>
    <row r="9" spans="1:6" ht="20.149999999999999" customHeight="1" x14ac:dyDescent="0.35">
      <c r="A9" s="3">
        <v>7</v>
      </c>
      <c r="B9" s="3" t="s">
        <v>6744</v>
      </c>
      <c r="C9" s="4" t="s">
        <v>6745</v>
      </c>
      <c r="D9" s="4" t="s">
        <v>6747</v>
      </c>
      <c r="E9" s="4" t="s">
        <v>6746</v>
      </c>
      <c r="F9" s="4" t="str">
        <f t="shared" si="0"/>
        <v>(7,'STARTUP','بدء التشغيل','Démarrage','Startup'),</v>
      </c>
    </row>
    <row r="10" spans="1:6" ht="20.149999999999999" customHeight="1" x14ac:dyDescent="0.35">
      <c r="A10" s="3">
        <v>8</v>
      </c>
      <c r="B10" s="3" t="s">
        <v>6748</v>
      </c>
      <c r="C10" s="4" t="s">
        <v>6749</v>
      </c>
      <c r="D10" s="4" t="s">
        <v>6751</v>
      </c>
      <c r="E10" s="4" t="s">
        <v>6750</v>
      </c>
      <c r="F10" s="4" t="str">
        <f t="shared" si="0"/>
        <v>(8,'NORMAL_SHUTDOWN','إيقاف عادي','Arrêt Normal','Normal Shutdown'),</v>
      </c>
    </row>
    <row r="11" spans="1:6" ht="20.149999999999999" customHeight="1" x14ac:dyDescent="0.35">
      <c r="A11" s="3">
        <v>9</v>
      </c>
      <c r="B11" s="3" t="s">
        <v>6752</v>
      </c>
      <c r="C11" s="4" t="s">
        <v>6753</v>
      </c>
      <c r="D11" s="4" t="s">
        <v>6755</v>
      </c>
      <c r="E11" s="4" t="s">
        <v>6754</v>
      </c>
      <c r="F11" s="4" t="str">
        <f t="shared" si="0"/>
        <v>(9,'PROCESS_UPSET','اضطراب العملية','Perturbation du Processus','Process Upset'),</v>
      </c>
    </row>
    <row r="12" spans="1:6" ht="20.149999999999999" customHeight="1" x14ac:dyDescent="0.35">
      <c r="A12" s="3">
        <v>10</v>
      </c>
      <c r="B12" s="3" t="s">
        <v>6756</v>
      </c>
      <c r="C12" s="4" t="s">
        <v>6757</v>
      </c>
      <c r="D12" s="4" t="s">
        <v>6759</v>
      </c>
      <c r="E12" s="4" t="s">
        <v>6758</v>
      </c>
      <c r="F12" s="4" t="str">
        <f t="shared" si="0"/>
        <v>(10,'LEAK_DETECTION','كشف التسرب','Détection de Fuite','Leak Detection'),</v>
      </c>
    </row>
  </sheetData>
  <autoFilter ref="A2:F12" xr:uid="{BF79333A-24CF-4E6B-B07A-5958B3D7AE75}"/>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333A-24CF-4E6B-B07A-5958B3D7AE75}">
  <sheetPr>
    <tabColor rgb="FF7030A0"/>
  </sheetPr>
  <dimension ref="A1:E8"/>
  <sheetViews>
    <sheetView workbookViewId="0">
      <selection activeCell="C5" sqref="C5"/>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6496</v>
      </c>
    </row>
    <row r="3" spans="1:5" ht="20.149999999999999" customHeight="1" x14ac:dyDescent="0.35">
      <c r="A3" s="3">
        <v>1</v>
      </c>
      <c r="B3" s="4" t="s">
        <v>6478</v>
      </c>
      <c r="C3" s="4" t="s">
        <v>6479</v>
      </c>
      <c r="D3" s="4" t="s">
        <v>6480</v>
      </c>
      <c r="E3" s="4" t="str">
        <f>CONCATENATE("(",A3,",'",B3,"','",C3,"','",D3,"'),")</f>
        <v>(1,'مجدول','Scheduled','Planifié'),</v>
      </c>
    </row>
    <row r="4" spans="1:5" ht="20.149999999999999" customHeight="1" x14ac:dyDescent="0.35">
      <c r="A4" s="3">
        <v>2</v>
      </c>
      <c r="B4" s="4" t="s">
        <v>6481</v>
      </c>
      <c r="C4" s="4" t="s">
        <v>6482</v>
      </c>
      <c r="D4" s="4" t="s">
        <v>6483</v>
      </c>
      <c r="E4" s="4" t="str">
        <f t="shared" ref="E4:E8" si="0">CONCATENATE("(",A4,",'",B4,"','",C4,"','",D4,"'),")</f>
        <v>(2,'جاري','Ongoing','En Cours'),</v>
      </c>
    </row>
    <row r="5" spans="1:5" ht="20.149999999999999" customHeight="1" x14ac:dyDescent="0.35">
      <c r="A5" s="3">
        <v>3</v>
      </c>
      <c r="B5" s="4" t="s">
        <v>6484</v>
      </c>
      <c r="C5" s="4" t="s">
        <v>6485</v>
      </c>
      <c r="D5" s="4" t="s">
        <v>6486</v>
      </c>
      <c r="E5" s="4" t="str">
        <f t="shared" si="0"/>
        <v>(3,'مكتمل','Completed','Terminé'),</v>
      </c>
    </row>
    <row r="6" spans="1:5" ht="20.149999999999999" customHeight="1" x14ac:dyDescent="0.35">
      <c r="A6" s="3">
        <v>4</v>
      </c>
      <c r="B6" s="4" t="s">
        <v>6487</v>
      </c>
      <c r="C6" s="4" t="s">
        <v>6488</v>
      </c>
      <c r="D6" s="4" t="s">
        <v>6489</v>
      </c>
      <c r="E6" s="4" t="str">
        <f t="shared" si="0"/>
        <v>(4,'ملغى','Cancelled','Annulé'),</v>
      </c>
    </row>
    <row r="7" spans="1:5" ht="20.149999999999999" customHeight="1" x14ac:dyDescent="0.35">
      <c r="A7" s="3">
        <v>5</v>
      </c>
      <c r="B7" s="4" t="s">
        <v>6490</v>
      </c>
      <c r="C7" s="4" t="s">
        <v>6491</v>
      </c>
      <c r="D7" s="4" t="s">
        <v>6492</v>
      </c>
      <c r="E7" s="4" t="str">
        <f t="shared" si="0"/>
        <v>(5,'مؤجل','Postponed','Reporté'),</v>
      </c>
    </row>
    <row r="8" spans="1:5" ht="20.149999999999999" customHeight="1" x14ac:dyDescent="0.35">
      <c r="A8" s="3">
        <v>6</v>
      </c>
      <c r="B8" s="4" t="s">
        <v>6493</v>
      </c>
      <c r="C8" s="4" t="s">
        <v>6494</v>
      </c>
      <c r="D8" s="4" t="s">
        <v>6495</v>
      </c>
      <c r="E8" s="4" t="str">
        <f t="shared" si="0"/>
        <v>(6,'قيد التحقيق','Under Investigation','En Investigation'),</v>
      </c>
    </row>
  </sheetData>
  <autoFilter ref="A2:E8" xr:uid="{BF79333A-24CF-4E6B-B07A-5958B3D7AE75}"/>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02FA6-F589-4BEE-A2FC-51E459AE2CF7}">
  <sheetPr>
    <tabColor rgb="FF7030A0"/>
  </sheetPr>
  <dimension ref="A1:E9"/>
  <sheetViews>
    <sheetView workbookViewId="0">
      <selection activeCell="E12" sqref="E12"/>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6500</v>
      </c>
    </row>
    <row r="3" spans="1:5" ht="20.149999999999999" customHeight="1" x14ac:dyDescent="0.35">
      <c r="A3" s="3">
        <v>1</v>
      </c>
      <c r="B3" s="4" t="s">
        <v>6501</v>
      </c>
      <c r="C3" s="4" t="s">
        <v>6502</v>
      </c>
      <c r="D3" s="4" t="s">
        <v>6503</v>
      </c>
      <c r="E3" s="4" t="str">
        <f>CONCATENATE("(",A3,",'",B3,"','",C3,"','",D3,"'),")</f>
        <v>(1,'مفتوح','Open','Ouvert'),</v>
      </c>
    </row>
    <row r="4" spans="1:5" ht="20.149999999999999" customHeight="1" x14ac:dyDescent="0.35">
      <c r="A4" s="3">
        <v>2</v>
      </c>
      <c r="B4" s="4" t="s">
        <v>6504</v>
      </c>
      <c r="C4" s="4" t="s">
        <v>6505</v>
      </c>
      <c r="D4" s="4" t="s">
        <v>6506</v>
      </c>
      <c r="E4" s="4" t="str">
        <f t="shared" ref="E4:E9" si="0">CONCATENATE("(",A4,",'",B4,"','",C4,"','",D4,"'),")</f>
        <v>(2,'تم الإقرار','Acknowledged','Reconnu'),</v>
      </c>
    </row>
    <row r="5" spans="1:5" ht="20.149999999999999" customHeight="1" x14ac:dyDescent="0.35">
      <c r="A5" s="3">
        <v>3</v>
      </c>
      <c r="B5" s="4" t="s">
        <v>6507</v>
      </c>
      <c r="C5" s="4" t="s">
        <v>6508</v>
      </c>
      <c r="D5" s="4" t="s">
        <v>6483</v>
      </c>
      <c r="E5" s="4" t="str">
        <f t="shared" si="0"/>
        <v>(3,'قيد التنفيذ','In Progress','En Cours'),</v>
      </c>
    </row>
    <row r="6" spans="1:5" ht="20.149999999999999" customHeight="1" x14ac:dyDescent="0.35">
      <c r="A6" s="3">
        <v>4</v>
      </c>
      <c r="B6" s="4" t="s">
        <v>6509</v>
      </c>
      <c r="C6" s="4" t="s">
        <v>6510</v>
      </c>
      <c r="D6" s="4" t="s">
        <v>6511</v>
      </c>
      <c r="E6" s="4" t="str">
        <f t="shared" si="0"/>
        <v>(4,'تم الحل','Resolved','Résolu'),</v>
      </c>
    </row>
    <row r="7" spans="1:5" ht="20.149999999999999" customHeight="1" x14ac:dyDescent="0.35">
      <c r="A7" s="3">
        <v>5</v>
      </c>
      <c r="B7" s="4" t="s">
        <v>6512</v>
      </c>
      <c r="C7" s="4" t="s">
        <v>6513</v>
      </c>
      <c r="D7" s="4" t="s">
        <v>6514</v>
      </c>
      <c r="E7" s="4" t="str">
        <f t="shared" si="0"/>
        <v>(5,'مغلق','Closed','Fermé'),</v>
      </c>
    </row>
    <row r="8" spans="1:5" ht="20.149999999999999" customHeight="1" x14ac:dyDescent="0.35">
      <c r="A8" s="3">
        <v>6</v>
      </c>
      <c r="B8" s="4" t="s">
        <v>6515</v>
      </c>
      <c r="C8" s="4" t="s">
        <v>6516</v>
      </c>
      <c r="D8" s="4" t="s">
        <v>6517</v>
      </c>
      <c r="E8" s="4" t="str">
        <f t="shared" si="0"/>
        <v>(6,'تم التصعيد','Escalated','Escaladé'),</v>
      </c>
    </row>
    <row r="9" spans="1:5" ht="20.149999999999999" customHeight="1" x14ac:dyDescent="0.35">
      <c r="A9" s="3">
        <v>7</v>
      </c>
      <c r="B9" s="4" t="s">
        <v>6518</v>
      </c>
      <c r="C9" s="4" t="s">
        <v>6519</v>
      </c>
      <c r="D9" s="4" t="s">
        <v>6520</v>
      </c>
      <c r="E9" s="4" t="str">
        <f t="shared" si="0"/>
        <v>(7,'إنذار كاذب','False Alarm','Fausse Alerte'),</v>
      </c>
    </row>
  </sheetData>
  <autoFilter ref="A2:E9" xr:uid="{BF79333A-24CF-4E6B-B07A-5958B3D7AE7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978F9-EF41-4939-930F-4EFFE1BB2DEF}">
  <sheetPr>
    <tabColor rgb="FF7030A0"/>
  </sheetPr>
  <dimension ref="A1:E8"/>
  <sheetViews>
    <sheetView workbookViewId="0">
      <selection activeCell="E3" sqref="E3"/>
    </sheetView>
  </sheetViews>
  <sheetFormatPr baseColWidth="10" defaultColWidth="10.81640625" defaultRowHeight="15.5" x14ac:dyDescent="0.35"/>
  <cols>
    <col min="1" max="1" width="5.54296875" style="2" customWidth="1"/>
    <col min="2" max="4" width="25.6328125" style="2" customWidth="1"/>
    <col min="5" max="5" width="65.453125" style="2" bestFit="1" customWidth="1"/>
    <col min="6" max="16384" width="10.81640625" style="2"/>
  </cols>
  <sheetData>
    <row r="1" spans="1:5" ht="20.149999999999999" customHeight="1" x14ac:dyDescent="0.35">
      <c r="A1" s="1" t="s">
        <v>37</v>
      </c>
      <c r="B1" s="1" t="s">
        <v>6498</v>
      </c>
      <c r="C1" s="1" t="s">
        <v>6497</v>
      </c>
      <c r="D1" s="1" t="s">
        <v>6499</v>
      </c>
      <c r="E1" s="1" t="s">
        <v>5603</v>
      </c>
    </row>
    <row r="2" spans="1:5" ht="20.149999999999999" customHeight="1" x14ac:dyDescent="0.35">
      <c r="A2" s="41" t="s">
        <v>44</v>
      </c>
      <c r="B2" s="41" t="s">
        <v>41</v>
      </c>
      <c r="C2" s="41" t="s">
        <v>42</v>
      </c>
      <c r="D2" s="41" t="s">
        <v>43</v>
      </c>
      <c r="E2" s="1" t="s">
        <v>6539</v>
      </c>
    </row>
    <row r="3" spans="1:5" ht="20.149999999999999" customHeight="1" x14ac:dyDescent="0.35">
      <c r="A3" s="3">
        <v>1</v>
      </c>
      <c r="B3" s="4" t="s">
        <v>6521</v>
      </c>
      <c r="C3" s="4" t="s">
        <v>6522</v>
      </c>
      <c r="D3" s="4" t="s">
        <v>6523</v>
      </c>
      <c r="E3" s="4" t="str">
        <f>CONCATENATE("(",A3,",'",B3,"','",C3,"','",D3,"'),")</f>
        <v>(1,'معلومات','Info','Information'),</v>
      </c>
    </row>
    <row r="4" spans="1:5" ht="20.149999999999999" customHeight="1" x14ac:dyDescent="0.35">
      <c r="A4" s="3">
        <v>2</v>
      </c>
      <c r="B4" s="4" t="s">
        <v>6524</v>
      </c>
      <c r="C4" s="4" t="s">
        <v>6525</v>
      </c>
      <c r="D4" s="4" t="s">
        <v>6526</v>
      </c>
      <c r="E4" s="4" t="str">
        <f t="shared" ref="E4:E8" si="0">CONCATENATE("(",A4,",'",B4,"','",C4,"','",D4,"'),")</f>
        <v>(2,'منخفض','Low','Faible'),</v>
      </c>
    </row>
    <row r="5" spans="1:5" ht="20.149999999999999" customHeight="1" x14ac:dyDescent="0.35">
      <c r="A5" s="3">
        <v>3</v>
      </c>
      <c r="B5" s="4" t="s">
        <v>6527</v>
      </c>
      <c r="C5" s="4" t="s">
        <v>6528</v>
      </c>
      <c r="D5" s="4" t="s">
        <v>6529</v>
      </c>
      <c r="E5" s="4" t="str">
        <f t="shared" si="0"/>
        <v>(3,'متوسط','Medium','Moyen'),</v>
      </c>
    </row>
    <row r="6" spans="1:5" ht="20.149999999999999" customHeight="1" x14ac:dyDescent="0.35">
      <c r="A6" s="3">
        <v>4</v>
      </c>
      <c r="B6" s="4" t="s">
        <v>6530</v>
      </c>
      <c r="C6" s="4" t="s">
        <v>6531</v>
      </c>
      <c r="D6" s="4" t="s">
        <v>6532</v>
      </c>
      <c r="E6" s="4" t="str">
        <f t="shared" si="0"/>
        <v>(4,'عالي','High','Élevé'),</v>
      </c>
    </row>
    <row r="7" spans="1:5" ht="20.149999999999999" customHeight="1" x14ac:dyDescent="0.35">
      <c r="A7" s="3">
        <v>5</v>
      </c>
      <c r="B7" s="4" t="s">
        <v>6533</v>
      </c>
      <c r="C7" s="4" t="s">
        <v>6534</v>
      </c>
      <c r="D7" s="4" t="s">
        <v>6535</v>
      </c>
      <c r="E7" s="4" t="str">
        <f t="shared" si="0"/>
        <v>(5,'حرج','Critical','Critique'),</v>
      </c>
    </row>
    <row r="8" spans="1:5" ht="20.149999999999999" customHeight="1" x14ac:dyDescent="0.35">
      <c r="A8" s="3">
        <v>6</v>
      </c>
      <c r="B8" s="4" t="s">
        <v>6536</v>
      </c>
      <c r="C8" s="4" t="s">
        <v>6537</v>
      </c>
      <c r="D8" s="4" t="s">
        <v>6538</v>
      </c>
      <c r="E8" s="4" t="str">
        <f t="shared" si="0"/>
        <v>(6,'طارئ','Emergency','Urgence'),</v>
      </c>
    </row>
  </sheetData>
  <autoFilter ref="A2:E8" xr:uid="{BF79333A-24CF-4E6B-B07A-5958B3D7AE75}"/>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D9E1F-F16E-4F4D-8805-C9D8071F29B3}">
  <sheetPr>
    <tabColor rgb="FF7030A0"/>
  </sheetPr>
  <dimension ref="A1:I8"/>
  <sheetViews>
    <sheetView topLeftCell="E1" workbookViewId="0">
      <selection activeCell="I13" sqref="I1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6585</v>
      </c>
    </row>
    <row r="3" spans="1:9" ht="20.149999999999999" customHeight="1" x14ac:dyDescent="0.35">
      <c r="A3" s="3">
        <v>1</v>
      </c>
      <c r="B3" s="3" t="s">
        <v>6540</v>
      </c>
      <c r="C3" s="4" t="s">
        <v>6544</v>
      </c>
      <c r="D3" s="4" t="s">
        <v>6545</v>
      </c>
      <c r="E3" s="4" t="s">
        <v>6546</v>
      </c>
      <c r="F3" s="4" t="s">
        <v>6541</v>
      </c>
      <c r="G3" s="4" t="s">
        <v>6542</v>
      </c>
      <c r="H3" s="4" t="s">
        <v>6543</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6547</v>
      </c>
      <c r="C4" s="4" t="s">
        <v>6551</v>
      </c>
      <c r="D4" s="4" t="s">
        <v>6552</v>
      </c>
      <c r="E4" s="4" t="s">
        <v>6553</v>
      </c>
      <c r="F4" s="4" t="s">
        <v>6548</v>
      </c>
      <c r="G4" s="4" t="s">
        <v>6549</v>
      </c>
      <c r="H4" s="4" t="s">
        <v>6550</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6554</v>
      </c>
      <c r="C5" s="4" t="s">
        <v>6558</v>
      </c>
      <c r="D5" s="4" t="s">
        <v>6559</v>
      </c>
      <c r="E5" s="4" t="s">
        <v>6560</v>
      </c>
      <c r="F5" s="4" t="s">
        <v>6555</v>
      </c>
      <c r="G5" s="4" t="s">
        <v>6556</v>
      </c>
      <c r="H5" s="4" t="s">
        <v>6557</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6561</v>
      </c>
      <c r="C6" s="4" t="s">
        <v>6565</v>
      </c>
      <c r="D6" s="4" t="s">
        <v>6566</v>
      </c>
      <c r="E6" s="4" t="s">
        <v>6567</v>
      </c>
      <c r="F6" s="4" t="s">
        <v>6562</v>
      </c>
      <c r="G6" s="4" t="s">
        <v>6563</v>
      </c>
      <c r="H6" s="4" t="s">
        <v>6564</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6568</v>
      </c>
      <c r="C7" s="4" t="s">
        <v>6572</v>
      </c>
      <c r="D7" s="4" t="s">
        <v>6573</v>
      </c>
      <c r="E7" s="4" t="s">
        <v>6574</v>
      </c>
      <c r="F7" s="4" t="s">
        <v>6569</v>
      </c>
      <c r="G7" s="4" t="s">
        <v>6570</v>
      </c>
      <c r="H7" s="4" t="s">
        <v>6571</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6575</v>
      </c>
      <c r="C8" s="4" t="s">
        <v>6579</v>
      </c>
      <c r="D8" s="4" t="s">
        <v>6580</v>
      </c>
      <c r="E8" s="4" t="s">
        <v>6581</v>
      </c>
      <c r="F8" s="4" t="s">
        <v>6576</v>
      </c>
      <c r="G8" s="4" t="s">
        <v>6577</v>
      </c>
      <c r="H8" s="4" t="s">
        <v>6578</v>
      </c>
      <c r="I8" s="4" t="str">
        <f t="shared" si="0"/>
        <v>(6,'ESTIMATED','تقديري','Estimated','Estimé','قيم تقديرية بناء على بيانات تاريخية','Estimated values based on historical data','Valeurs estimées basées sur des données historiques'),</v>
      </c>
    </row>
  </sheetData>
  <autoFilter ref="A2:I8" xr:uid="{BF79333A-24CF-4E6B-B07A-5958B3D7AE75}"/>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00E7B-B152-44E6-82EF-939A7B980E93}">
  <sheetPr>
    <tabColor rgb="FF7030A0"/>
  </sheetPr>
  <dimension ref="A1:J9"/>
  <sheetViews>
    <sheetView topLeftCell="G1" workbookViewId="0">
      <selection activeCell="J3" sqref="J3"/>
    </sheetView>
  </sheetViews>
  <sheetFormatPr baseColWidth="10" defaultColWidth="10.81640625" defaultRowHeight="15.5" x14ac:dyDescent="0.35"/>
  <cols>
    <col min="1" max="1" width="5.54296875" style="2" customWidth="1"/>
    <col min="2" max="2" width="15.6328125" style="2" customWidth="1"/>
    <col min="3" max="9" width="20.6328125" style="2" customWidth="1"/>
    <col min="10" max="10" width="75.6328125" style="2" customWidth="1"/>
    <col min="11" max="16384" width="10.81640625" style="2"/>
  </cols>
  <sheetData>
    <row r="1" spans="1:10" ht="20.149999999999999" customHeight="1" x14ac:dyDescent="0.35">
      <c r="A1" s="1" t="s">
        <v>37</v>
      </c>
      <c r="B1" s="1" t="s">
        <v>54</v>
      </c>
      <c r="C1" s="1" t="s">
        <v>6498</v>
      </c>
      <c r="D1" s="1" t="s">
        <v>6497</v>
      </c>
      <c r="E1" s="1" t="s">
        <v>6499</v>
      </c>
      <c r="F1" s="1" t="s">
        <v>6582</v>
      </c>
      <c r="G1" s="1" t="s">
        <v>6583</v>
      </c>
      <c r="H1" s="1" t="s">
        <v>6584</v>
      </c>
      <c r="I1" s="1" t="s">
        <v>6639</v>
      </c>
      <c r="J1" s="1" t="s">
        <v>5603</v>
      </c>
    </row>
    <row r="2" spans="1:10" ht="20.149999999999999" customHeight="1" x14ac:dyDescent="0.35">
      <c r="A2" s="41" t="s">
        <v>44</v>
      </c>
      <c r="B2" s="41" t="s">
        <v>41</v>
      </c>
      <c r="C2" s="41" t="s">
        <v>42</v>
      </c>
      <c r="D2" s="41" t="s">
        <v>43</v>
      </c>
      <c r="E2" s="41" t="s">
        <v>53</v>
      </c>
      <c r="F2" s="41" t="s">
        <v>2094</v>
      </c>
      <c r="G2" s="41" t="s">
        <v>4077</v>
      </c>
      <c r="H2" s="41" t="s">
        <v>4349</v>
      </c>
      <c r="I2" s="41" t="s">
        <v>4350</v>
      </c>
      <c r="J2" s="1" t="s">
        <v>6683</v>
      </c>
    </row>
    <row r="3" spans="1:10" ht="20.149999999999999" customHeight="1" x14ac:dyDescent="0.35">
      <c r="A3" s="3">
        <v>1</v>
      </c>
      <c r="B3" s="3" t="s">
        <v>6586</v>
      </c>
      <c r="C3" s="4" t="s">
        <v>6590</v>
      </c>
      <c r="D3" s="4" t="s">
        <v>6591</v>
      </c>
      <c r="E3" s="4" t="s">
        <v>6592</v>
      </c>
      <c r="F3" s="4" t="s">
        <v>6587</v>
      </c>
      <c r="G3" s="4" t="s">
        <v>6588</v>
      </c>
      <c r="H3" s="4" t="s">
        <v>6589</v>
      </c>
      <c r="I3" s="4" t="s">
        <v>6593</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6594</v>
      </c>
      <c r="C4" s="4" t="s">
        <v>6598</v>
      </c>
      <c r="D4" s="4" t="s">
        <v>6599</v>
      </c>
      <c r="E4" s="4" t="s">
        <v>6600</v>
      </c>
      <c r="F4" s="4" t="s">
        <v>6595</v>
      </c>
      <c r="G4" s="4" t="s">
        <v>6596</v>
      </c>
      <c r="H4" s="4" t="s">
        <v>6597</v>
      </c>
      <c r="I4" s="4" t="s">
        <v>6601</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6602</v>
      </c>
      <c r="C5" s="4" t="s">
        <v>6606</v>
      </c>
      <c r="D5" s="4" t="s">
        <v>6607</v>
      </c>
      <c r="E5" s="4" t="s">
        <v>6608</v>
      </c>
      <c r="F5" s="4" t="s">
        <v>6603</v>
      </c>
      <c r="G5" s="4" t="s">
        <v>6604</v>
      </c>
      <c r="H5" s="4" t="s">
        <v>6605</v>
      </c>
      <c r="I5" s="4" t="s">
        <v>6609</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6610</v>
      </c>
      <c r="C6" s="4" t="s">
        <v>6614</v>
      </c>
      <c r="D6" s="4" t="s">
        <v>6615</v>
      </c>
      <c r="E6" s="4" t="s">
        <v>6616</v>
      </c>
      <c r="F6" s="4" t="s">
        <v>6611</v>
      </c>
      <c r="G6" s="4" t="s">
        <v>6612</v>
      </c>
      <c r="H6" s="4" t="s">
        <v>6613</v>
      </c>
      <c r="I6" s="4" t="s">
        <v>6601</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6617</v>
      </c>
      <c r="C7" s="4" t="s">
        <v>6621</v>
      </c>
      <c r="D7" s="4" t="s">
        <v>6622</v>
      </c>
      <c r="E7" s="4" t="s">
        <v>6623</v>
      </c>
      <c r="F7" s="4" t="s">
        <v>6618</v>
      </c>
      <c r="G7" s="4" t="s">
        <v>6619</v>
      </c>
      <c r="H7" s="4" t="s">
        <v>6620</v>
      </c>
      <c r="I7" s="4" t="s">
        <v>6609</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6624</v>
      </c>
      <c r="C8" s="4" t="s">
        <v>6628</v>
      </c>
      <c r="D8" s="4" t="s">
        <v>6629</v>
      </c>
      <c r="E8" s="4" t="s">
        <v>6630</v>
      </c>
      <c r="F8" s="4" t="s">
        <v>6625</v>
      </c>
      <c r="G8" s="4" t="s">
        <v>6626</v>
      </c>
      <c r="H8" s="4" t="s">
        <v>6627</v>
      </c>
      <c r="I8" s="4" t="s">
        <v>6631</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6632</v>
      </c>
      <c r="C9" s="4" t="s">
        <v>6636</v>
      </c>
      <c r="D9" s="4" t="s">
        <v>6637</v>
      </c>
      <c r="E9" s="4" t="s">
        <v>6638</v>
      </c>
      <c r="F9" s="4" t="s">
        <v>6633</v>
      </c>
      <c r="G9" s="4" t="s">
        <v>6634</v>
      </c>
      <c r="H9" s="4" t="s">
        <v>6635</v>
      </c>
      <c r="I9" s="4" t="s">
        <v>6609</v>
      </c>
      <c r="J9" s="4" t="str">
        <f t="shared" si="0"/>
        <v>(7,'DRIFT','انحراف مكتشف','Drift Detected','Dérive Détectée','انحراف في قيم القياس بمرور الوقت','Measurement values drifting over time','Valeurs de mesure dérivant dans le temps','MEDIUM'),</v>
      </c>
    </row>
  </sheetData>
  <autoFilter ref="A2:J9" xr:uid="{BF79333A-24CF-4E6B-B07A-5958B3D7AE75}"/>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C200-828B-4316-8A57-9404144DBBBA}">
  <sheetPr>
    <tabColor rgb="FF7030A0"/>
  </sheetPr>
  <dimension ref="A1:I8"/>
  <sheetViews>
    <sheetView topLeftCell="E1" workbookViewId="0">
      <selection activeCell="I3" sqref="I3"/>
    </sheetView>
  </sheetViews>
  <sheetFormatPr baseColWidth="10" defaultColWidth="10.81640625" defaultRowHeight="15.5" x14ac:dyDescent="0.35"/>
  <cols>
    <col min="1" max="1" width="5.54296875" style="2" customWidth="1"/>
    <col min="2" max="2" width="15.6328125" style="2" customWidth="1"/>
    <col min="3" max="8" width="20.6328125" style="2" customWidth="1"/>
    <col min="9" max="9" width="75.6328125" style="2" customWidth="1"/>
    <col min="10" max="16384" width="10.81640625" style="2"/>
  </cols>
  <sheetData>
    <row r="1" spans="1:9" ht="20.149999999999999" customHeight="1" x14ac:dyDescent="0.35">
      <c r="A1" s="1" t="s">
        <v>37</v>
      </c>
      <c r="B1" s="1" t="s">
        <v>54</v>
      </c>
      <c r="C1" s="1" t="s">
        <v>6498</v>
      </c>
      <c r="D1" s="1" t="s">
        <v>6497</v>
      </c>
      <c r="E1" s="1" t="s">
        <v>6499</v>
      </c>
      <c r="F1" s="1" t="s">
        <v>6582</v>
      </c>
      <c r="G1" s="1" t="s">
        <v>6583</v>
      </c>
      <c r="H1" s="1" t="s">
        <v>6584</v>
      </c>
      <c r="I1" s="1" t="s">
        <v>5603</v>
      </c>
    </row>
    <row r="2" spans="1:9" ht="20.149999999999999" customHeight="1" x14ac:dyDescent="0.35">
      <c r="A2" s="41" t="s">
        <v>44</v>
      </c>
      <c r="B2" s="41" t="s">
        <v>41</v>
      </c>
      <c r="C2" s="41" t="s">
        <v>42</v>
      </c>
      <c r="D2" s="41" t="s">
        <v>43</v>
      </c>
      <c r="E2" s="41" t="s">
        <v>53</v>
      </c>
      <c r="F2" s="41" t="s">
        <v>2094</v>
      </c>
      <c r="G2" s="41" t="s">
        <v>4077</v>
      </c>
      <c r="H2" s="41" t="s">
        <v>4349</v>
      </c>
      <c r="I2" s="1" t="s">
        <v>6682</v>
      </c>
    </row>
    <row r="3" spans="1:9" ht="20.149999999999999" customHeight="1" x14ac:dyDescent="0.35">
      <c r="A3" s="3">
        <v>1</v>
      </c>
      <c r="B3" s="3" t="s">
        <v>6640</v>
      </c>
      <c r="C3" s="4" t="s">
        <v>6644</v>
      </c>
      <c r="D3" s="4" t="s">
        <v>6645</v>
      </c>
      <c r="E3" s="4" t="s">
        <v>6646</v>
      </c>
      <c r="F3" s="4" t="s">
        <v>6641</v>
      </c>
      <c r="G3" s="4" t="s">
        <v>6642</v>
      </c>
      <c r="H3" s="4" t="s">
        <v>6643</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6647</v>
      </c>
      <c r="C4" s="4" t="s">
        <v>6651</v>
      </c>
      <c r="D4" s="4" t="s">
        <v>6652</v>
      </c>
      <c r="E4" s="4" t="s">
        <v>6653</v>
      </c>
      <c r="F4" s="4" t="s">
        <v>6648</v>
      </c>
      <c r="G4" s="4" t="s">
        <v>6649</v>
      </c>
      <c r="H4" s="4" t="s">
        <v>6650</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6654</v>
      </c>
      <c r="C5" s="4" t="s">
        <v>6658</v>
      </c>
      <c r="D5" s="4" t="s">
        <v>6659</v>
      </c>
      <c r="E5" s="4" t="s">
        <v>6660</v>
      </c>
      <c r="F5" s="4" t="s">
        <v>6655</v>
      </c>
      <c r="G5" s="4" t="s">
        <v>6656</v>
      </c>
      <c r="H5" s="4" t="s">
        <v>6657</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6661</v>
      </c>
      <c r="C6" s="4" t="s">
        <v>6665</v>
      </c>
      <c r="D6" s="4" t="s">
        <v>6666</v>
      </c>
      <c r="E6" s="4" t="s">
        <v>6667</v>
      </c>
      <c r="F6" s="4" t="s">
        <v>6662</v>
      </c>
      <c r="G6" s="4" t="s">
        <v>6663</v>
      </c>
      <c r="H6" s="4" t="s">
        <v>6664</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6668</v>
      </c>
      <c r="C7" s="4" t="s">
        <v>6672</v>
      </c>
      <c r="D7" s="4" t="s">
        <v>6673</v>
      </c>
      <c r="E7" s="4" t="s">
        <v>6674</v>
      </c>
      <c r="F7" s="4" t="s">
        <v>6669</v>
      </c>
      <c r="G7" s="4" t="s">
        <v>6670</v>
      </c>
      <c r="H7" s="4" t="s">
        <v>6671</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6675</v>
      </c>
      <c r="C8" s="4" t="s">
        <v>6679</v>
      </c>
      <c r="D8" s="4" t="s">
        <v>6680</v>
      </c>
      <c r="E8" s="4" t="s">
        <v>6681</v>
      </c>
      <c r="F8" s="4" t="s">
        <v>6676</v>
      </c>
      <c r="G8" s="4" t="s">
        <v>6677</v>
      </c>
      <c r="H8" s="4" t="s">
        <v>6678</v>
      </c>
      <c r="I8" s="4" t="str">
        <f t="shared" si="0"/>
        <v>(6,'CORRECTED','تم التصحيح','Corrected','Corrigé','البيانات تم تصحيحها وإعادة التحقق منها','Data has been corrected and revalidated','Les données ont été corrigées et revalidées'),</v>
      </c>
    </row>
  </sheetData>
  <autoFilter ref="A2:I8" xr:uid="{BF79333A-24CF-4E6B-B07A-5958B3D7AE75}"/>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7030A0"/>
  </sheetPr>
  <dimension ref="A1:H14"/>
  <sheetViews>
    <sheetView workbookViewId="0">
      <selection activeCell="F3" sqref="F3"/>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6337</v>
      </c>
      <c r="D1" s="1" t="s">
        <v>6338</v>
      </c>
      <c r="E1" s="1" t="s">
        <v>6498</v>
      </c>
      <c r="F1" s="1" t="s">
        <v>6497</v>
      </c>
      <c r="G1" s="1" t="s">
        <v>6499</v>
      </c>
      <c r="H1" s="1" t="s">
        <v>5603</v>
      </c>
    </row>
    <row r="2" spans="1:8" ht="20.149999999999999" customHeight="1" x14ac:dyDescent="0.35">
      <c r="A2" s="41" t="s">
        <v>44</v>
      </c>
      <c r="B2" s="41" t="s">
        <v>41</v>
      </c>
      <c r="C2" s="41" t="s">
        <v>42</v>
      </c>
      <c r="D2" s="41" t="s">
        <v>43</v>
      </c>
      <c r="E2" s="41" t="s">
        <v>53</v>
      </c>
      <c r="F2" s="41" t="s">
        <v>2094</v>
      </c>
      <c r="G2" s="41" t="s">
        <v>4077</v>
      </c>
      <c r="H2" s="1" t="s">
        <v>6387</v>
      </c>
    </row>
    <row r="3" spans="1:8" ht="20.149999999999999" customHeight="1" x14ac:dyDescent="0.35">
      <c r="A3" s="3">
        <v>1</v>
      </c>
      <c r="B3" s="18" t="s">
        <v>6377</v>
      </c>
      <c r="C3" s="42">
        <v>0.33333333333333331</v>
      </c>
      <c r="D3" s="42">
        <v>0.41666666666666669</v>
      </c>
      <c r="E3" s="4" t="s">
        <v>6340</v>
      </c>
      <c r="F3" s="4" t="s">
        <v>6339</v>
      </c>
      <c r="G3" s="4" t="s">
        <v>6341</v>
      </c>
      <c r="H3" s="4" t="str">
        <f>CONCATENATE("(",A3,",'",B3,"','",TEXT(C3,"HH:MM:SS"),"','",TEXT(D3,"HH:MM:SS"),"','",E3,"','",F3,"','",G3,"'),")</f>
        <v>(1,'SLOT_01','08:00:00','10:00:00','الصباح المبكر','Morning Early','Matinée tôt'),</v>
      </c>
    </row>
    <row r="4" spans="1:8" ht="20.149999999999999" customHeight="1" x14ac:dyDescent="0.35">
      <c r="A4" s="3">
        <v>2</v>
      </c>
      <c r="B4" s="17" t="s">
        <v>6378</v>
      </c>
      <c r="C4" s="42">
        <v>0.41666666666666669</v>
      </c>
      <c r="D4" s="42">
        <v>0.5</v>
      </c>
      <c r="E4" s="4" t="s">
        <v>6343</v>
      </c>
      <c r="F4" s="4" t="s">
        <v>6342</v>
      </c>
      <c r="G4" s="4" t="s">
        <v>6344</v>
      </c>
      <c r="H4" s="4" t="str">
        <f t="shared" ref="H4:H14" si="0">CONCATENATE("(",A4,",'",B4,"','",TEXT(C4,"HH:MM:SS"),"','",TEXT(D4,"HH:MM:SS"),"','",E4,"','",F4,"','",G4,"'),")</f>
        <v>(2,'SLOT_02','10:00:00','12:00:00','الصباح المتأخر','Late Morning','Fin de matinée'),</v>
      </c>
    </row>
    <row r="5" spans="1:8" ht="20.149999999999999" customHeight="1" x14ac:dyDescent="0.35">
      <c r="A5" s="3">
        <v>3</v>
      </c>
      <c r="B5" s="18" t="s">
        <v>6379</v>
      </c>
      <c r="C5" s="42">
        <v>0.5</v>
      </c>
      <c r="D5" s="42">
        <v>0.58333333333333337</v>
      </c>
      <c r="E5" s="4" t="s">
        <v>6346</v>
      </c>
      <c r="F5" s="4" t="s">
        <v>6345</v>
      </c>
      <c r="G5" s="4" t="s">
        <v>6347</v>
      </c>
      <c r="H5" s="4" t="str">
        <f t="shared" si="0"/>
        <v>(3,'SLOT_03','12:00:00','14:00:00','الظهيرة','Midday','Midi'),</v>
      </c>
    </row>
    <row r="6" spans="1:8" ht="20.149999999999999" customHeight="1" x14ac:dyDescent="0.35">
      <c r="A6" s="3">
        <v>4</v>
      </c>
      <c r="B6" s="17" t="s">
        <v>6380</v>
      </c>
      <c r="C6" s="42">
        <v>0.58333333333333337</v>
      </c>
      <c r="D6" s="42">
        <v>0.66666666666666663</v>
      </c>
      <c r="E6" s="4" t="s">
        <v>6386</v>
      </c>
      <c r="F6" s="4" t="s">
        <v>6348</v>
      </c>
      <c r="G6" s="4" t="s">
        <v>6349</v>
      </c>
      <c r="H6" s="4" t="str">
        <f t="shared" si="0"/>
        <v>(4,'SLOT_04','14:00:00','16:00:00','بعد الظهر','Early Afternoon','Début d'après-midi'),</v>
      </c>
    </row>
    <row r="7" spans="1:8" ht="20.149999999999999" customHeight="1" x14ac:dyDescent="0.35">
      <c r="A7" s="3">
        <v>5</v>
      </c>
      <c r="B7" s="18" t="s">
        <v>6381</v>
      </c>
      <c r="C7" s="42">
        <v>0.66666666666666663</v>
      </c>
      <c r="D7" s="42">
        <v>0.75</v>
      </c>
      <c r="E7" s="4" t="s">
        <v>6351</v>
      </c>
      <c r="F7" s="4" t="s">
        <v>6350</v>
      </c>
      <c r="G7" s="4" t="s">
        <v>6352</v>
      </c>
      <c r="H7" s="4" t="str">
        <f t="shared" si="0"/>
        <v>(5,'SLOT_05','16:00:00','18:00:00','بعد الظهر المتأخر','Late Afternoon','Fin d'après-midi'),</v>
      </c>
    </row>
    <row r="8" spans="1:8" ht="20.149999999999999" customHeight="1" x14ac:dyDescent="0.35">
      <c r="A8" s="3">
        <v>6</v>
      </c>
      <c r="B8" s="17" t="s">
        <v>6382</v>
      </c>
      <c r="C8" s="42">
        <v>0.75</v>
      </c>
      <c r="D8" s="42">
        <v>0.83333333333333337</v>
      </c>
      <c r="E8" s="4" t="s">
        <v>6354</v>
      </c>
      <c r="F8" s="4" t="s">
        <v>6353</v>
      </c>
      <c r="G8" s="4" t="s">
        <v>6355</v>
      </c>
      <c r="H8" s="4" t="str">
        <f t="shared" si="0"/>
        <v>(6,'SLOT_06','18:00:00','20:00:00','المساء','Evening','Soirée'),</v>
      </c>
    </row>
    <row r="9" spans="1:8" ht="20.149999999999999" customHeight="1" x14ac:dyDescent="0.35">
      <c r="A9" s="3">
        <v>7</v>
      </c>
      <c r="B9" s="18" t="s">
        <v>6383</v>
      </c>
      <c r="C9" s="42">
        <v>0.83333333333333337</v>
      </c>
      <c r="D9" s="42">
        <v>0.91666666666666663</v>
      </c>
      <c r="E9" s="4" t="s">
        <v>6357</v>
      </c>
      <c r="F9" s="4" t="s">
        <v>6356</v>
      </c>
      <c r="G9" s="4" t="s">
        <v>6358</v>
      </c>
      <c r="H9" s="4" t="str">
        <f t="shared" si="0"/>
        <v>(7,'SLOT_07','20:00:00','22:00:00','المساء المتأخر','Late Evening','Fin de soirée'),</v>
      </c>
    </row>
    <row r="10" spans="1:8" ht="20.149999999999999" customHeight="1" x14ac:dyDescent="0.35">
      <c r="A10" s="3">
        <v>8</v>
      </c>
      <c r="B10" s="17" t="s">
        <v>6384</v>
      </c>
      <c r="C10" s="42">
        <v>0.91666666666666663</v>
      </c>
      <c r="D10" s="42">
        <v>0</v>
      </c>
      <c r="E10" s="4" t="s">
        <v>6360</v>
      </c>
      <c r="F10" s="4" t="s">
        <v>6359</v>
      </c>
      <c r="G10" s="4" t="s">
        <v>6361</v>
      </c>
      <c r="H10" s="4" t="str">
        <f t="shared" si="0"/>
        <v>(8,'SLOT_08','22:00:00','00:00:00','الليل','Night','Nuit'),</v>
      </c>
    </row>
    <row r="11" spans="1:8" ht="20.149999999999999" customHeight="1" x14ac:dyDescent="0.35">
      <c r="A11" s="3">
        <v>9</v>
      </c>
      <c r="B11" s="18" t="s">
        <v>6385</v>
      </c>
      <c r="C11" s="42">
        <v>0</v>
      </c>
      <c r="D11" s="42">
        <v>8.3333333333333329E-2</v>
      </c>
      <c r="E11" s="4" t="s">
        <v>6363</v>
      </c>
      <c r="F11" s="4" t="s">
        <v>6362</v>
      </c>
      <c r="G11" s="4" t="s">
        <v>6364</v>
      </c>
      <c r="H11" s="4" t="str">
        <f t="shared" si="0"/>
        <v>(9,'SLOT_09','00:00:00','02:00:00','منتصف الليل','Midnight','Minuit'),</v>
      </c>
    </row>
    <row r="12" spans="1:8" ht="20.149999999999999" customHeight="1" x14ac:dyDescent="0.35">
      <c r="A12" s="3">
        <v>10</v>
      </c>
      <c r="B12" s="17" t="s">
        <v>6365</v>
      </c>
      <c r="C12" s="42">
        <v>8.3333333333333329E-2</v>
      </c>
      <c r="D12" s="42">
        <v>0.16666666666666666</v>
      </c>
      <c r="E12" s="4" t="s">
        <v>6367</v>
      </c>
      <c r="F12" s="4" t="s">
        <v>6366</v>
      </c>
      <c r="G12" s="4" t="s">
        <v>6368</v>
      </c>
      <c r="H12" s="4" t="str">
        <f t="shared" si="0"/>
        <v>(10,'SLOT_10','02:00:00','04:00:00','الليل المتأخر','Late Night','Fin de nuit'),</v>
      </c>
    </row>
    <row r="13" spans="1:8" ht="20.149999999999999" customHeight="1" x14ac:dyDescent="0.35">
      <c r="A13" s="3">
        <v>11</v>
      </c>
      <c r="B13" s="18" t="s">
        <v>6369</v>
      </c>
      <c r="C13" s="42">
        <v>0.16666666666666666</v>
      </c>
      <c r="D13" s="42">
        <v>0.25</v>
      </c>
      <c r="E13" s="4" t="s">
        <v>6371</v>
      </c>
      <c r="F13" s="4" t="s">
        <v>6370</v>
      </c>
      <c r="G13" s="4" t="s">
        <v>6372</v>
      </c>
      <c r="H13" s="4" t="str">
        <f t="shared" si="0"/>
        <v>(11,'SLOT_11','04:00:00','06:00:00','الفجر المبكر','Early Dawn','Aube'),</v>
      </c>
    </row>
    <row r="14" spans="1:8" ht="20.149999999999999" customHeight="1" x14ac:dyDescent="0.35">
      <c r="A14" s="3">
        <v>12</v>
      </c>
      <c r="B14" s="17" t="s">
        <v>6373</v>
      </c>
      <c r="C14" s="42">
        <v>0.25</v>
      </c>
      <c r="D14" s="42">
        <v>0.33333333333333331</v>
      </c>
      <c r="E14" s="4" t="s">
        <v>6375</v>
      </c>
      <c r="F14" s="4" t="s">
        <v>6374</v>
      </c>
      <c r="G14" s="4" t="s">
        <v>6376</v>
      </c>
      <c r="H14" s="4" t="str">
        <f t="shared" si="0"/>
        <v>(12,'SLOT_12','06:00:00','08:00:00','الفجر','Dawn','Petit matin'),</v>
      </c>
    </row>
  </sheetData>
  <autoFilter ref="A2:G14" xr:uid="{00000000-0009-0000-0000-000021000000}"/>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6118</v>
      </c>
      <c r="B1" s="32" t="s">
        <v>6119</v>
      </c>
      <c r="C1" s="32" t="s">
        <v>6120</v>
      </c>
      <c r="D1" s="32" t="s">
        <v>6121</v>
      </c>
      <c r="E1" s="32" t="s">
        <v>6122</v>
      </c>
      <c r="F1" s="32" t="s">
        <v>6123</v>
      </c>
      <c r="G1" s="32" t="s">
        <v>6124</v>
      </c>
      <c r="H1" s="32" t="s">
        <v>6125</v>
      </c>
    </row>
    <row r="2" spans="1:8" ht="15" thickBot="1" x14ac:dyDescent="0.4">
      <c r="A2" s="33" t="s">
        <v>6126</v>
      </c>
      <c r="B2" s="34" t="s">
        <v>6100</v>
      </c>
      <c r="C2" s="34" t="s">
        <v>6127</v>
      </c>
      <c r="D2" s="34" t="s">
        <v>6128</v>
      </c>
      <c r="E2" s="34" t="s">
        <v>6129</v>
      </c>
      <c r="F2" s="34" t="s">
        <v>6130</v>
      </c>
      <c r="G2" s="34" t="s">
        <v>6131</v>
      </c>
      <c r="H2" s="34" t="s">
        <v>6132</v>
      </c>
    </row>
    <row r="3" spans="1:8" ht="15" thickBot="1" x14ac:dyDescent="0.4">
      <c r="A3" s="33" t="s">
        <v>6126</v>
      </c>
      <c r="B3" s="34" t="s">
        <v>6099</v>
      </c>
      <c r="C3" s="34" t="s">
        <v>6133</v>
      </c>
      <c r="D3" s="34" t="s">
        <v>6134</v>
      </c>
      <c r="E3" s="34" t="s">
        <v>6129</v>
      </c>
      <c r="F3" s="34" t="s">
        <v>6130</v>
      </c>
      <c r="G3" s="34" t="s">
        <v>6131</v>
      </c>
      <c r="H3" s="34" t="s">
        <v>6132</v>
      </c>
    </row>
    <row r="4" spans="1:8" ht="28.5" thickBot="1" x14ac:dyDescent="0.4">
      <c r="A4" s="33" t="s">
        <v>6126</v>
      </c>
      <c r="B4" s="34" t="s">
        <v>6135</v>
      </c>
      <c r="C4" s="34" t="s">
        <v>6136</v>
      </c>
      <c r="D4" s="34" t="s">
        <v>6137</v>
      </c>
      <c r="E4" s="34" t="s">
        <v>6129</v>
      </c>
      <c r="F4" s="34" t="s">
        <v>6130</v>
      </c>
      <c r="G4" s="34" t="s">
        <v>6131</v>
      </c>
      <c r="H4" s="34" t="s">
        <v>6132</v>
      </c>
    </row>
    <row r="5" spans="1:8" ht="15" thickBot="1" x14ac:dyDescent="0.4">
      <c r="A5" s="33" t="s">
        <v>6126</v>
      </c>
      <c r="B5" s="34" t="s">
        <v>6098</v>
      </c>
      <c r="C5" s="34" t="s">
        <v>6138</v>
      </c>
      <c r="D5" s="34" t="s">
        <v>6128</v>
      </c>
      <c r="E5" s="34" t="s">
        <v>6129</v>
      </c>
      <c r="F5" s="34" t="s">
        <v>6130</v>
      </c>
      <c r="G5" s="34" t="s">
        <v>6131</v>
      </c>
      <c r="H5" s="34" t="s">
        <v>6132</v>
      </c>
    </row>
    <row r="6" spans="1:8" ht="28.5" thickBot="1" x14ac:dyDescent="0.4">
      <c r="A6" s="33" t="s">
        <v>6126</v>
      </c>
      <c r="B6" s="34" t="s">
        <v>6139</v>
      </c>
      <c r="C6" s="34" t="s">
        <v>6140</v>
      </c>
      <c r="D6" s="34" t="s">
        <v>6141</v>
      </c>
      <c r="E6" s="34" t="s">
        <v>6129</v>
      </c>
      <c r="F6" s="34" t="s">
        <v>6142</v>
      </c>
      <c r="G6" s="34" t="s">
        <v>6131</v>
      </c>
      <c r="H6" s="34" t="s">
        <v>6132</v>
      </c>
    </row>
    <row r="7" spans="1:8" ht="28.5" thickBot="1" x14ac:dyDescent="0.4">
      <c r="A7" s="33" t="s">
        <v>6126</v>
      </c>
      <c r="B7" s="34" t="s">
        <v>6143</v>
      </c>
      <c r="C7" s="34" t="s">
        <v>6144</v>
      </c>
      <c r="D7" s="34" t="s">
        <v>6141</v>
      </c>
      <c r="E7" s="34" t="s">
        <v>6129</v>
      </c>
      <c r="F7" s="34" t="s">
        <v>6142</v>
      </c>
      <c r="G7" s="34" t="s">
        <v>6131</v>
      </c>
      <c r="H7" s="34" t="s">
        <v>6132</v>
      </c>
    </row>
    <row r="8" spans="1:8" ht="15" thickBot="1" x14ac:dyDescent="0.4">
      <c r="A8" s="33" t="s">
        <v>6145</v>
      </c>
      <c r="B8" s="34" t="s">
        <v>6103</v>
      </c>
      <c r="C8" s="34" t="s">
        <v>6146</v>
      </c>
      <c r="D8" s="34" t="s">
        <v>6147</v>
      </c>
      <c r="E8" s="34" t="s">
        <v>6129</v>
      </c>
      <c r="F8" s="34" t="s">
        <v>6130</v>
      </c>
      <c r="G8" s="34" t="s">
        <v>6131</v>
      </c>
      <c r="H8" s="34" t="s">
        <v>6148</v>
      </c>
    </row>
    <row r="9" spans="1:8" ht="15" thickBot="1" x14ac:dyDescent="0.4">
      <c r="A9" s="33" t="s">
        <v>6145</v>
      </c>
      <c r="B9" s="34" t="s">
        <v>5539</v>
      </c>
      <c r="C9" s="34" t="s">
        <v>6149</v>
      </c>
      <c r="D9" s="34" t="s">
        <v>6150</v>
      </c>
      <c r="E9" s="34" t="s">
        <v>6129</v>
      </c>
      <c r="F9" s="34" t="s">
        <v>6130</v>
      </c>
      <c r="G9" s="34" t="s">
        <v>6131</v>
      </c>
      <c r="H9" s="34" t="s">
        <v>6148</v>
      </c>
    </row>
    <row r="10" spans="1:8" ht="15" thickBot="1" x14ac:dyDescent="0.4">
      <c r="A10" s="33" t="s">
        <v>6145</v>
      </c>
      <c r="B10" s="34" t="s">
        <v>5495</v>
      </c>
      <c r="C10" s="34" t="s">
        <v>6151</v>
      </c>
      <c r="D10" s="34" t="s">
        <v>6152</v>
      </c>
      <c r="E10" s="34" t="s">
        <v>6129</v>
      </c>
      <c r="F10" s="34" t="s">
        <v>6130</v>
      </c>
      <c r="G10" s="34" t="s">
        <v>6131</v>
      </c>
      <c r="H10" s="34" t="s">
        <v>6148</v>
      </c>
    </row>
    <row r="11" spans="1:8" ht="15" thickBot="1" x14ac:dyDescent="0.4">
      <c r="A11" s="33" t="s">
        <v>6153</v>
      </c>
      <c r="B11" s="34" t="s">
        <v>6096</v>
      </c>
      <c r="C11" s="34" t="s">
        <v>6154</v>
      </c>
      <c r="D11" s="34" t="s">
        <v>6155</v>
      </c>
      <c r="E11" s="34" t="s">
        <v>6129</v>
      </c>
      <c r="F11" s="34" t="s">
        <v>6130</v>
      </c>
      <c r="G11" s="34" t="s">
        <v>6156</v>
      </c>
      <c r="H11" s="33" t="s">
        <v>6157</v>
      </c>
    </row>
    <row r="12" spans="1:8" ht="15" thickBot="1" x14ac:dyDescent="0.4">
      <c r="A12" s="33" t="s">
        <v>6153</v>
      </c>
      <c r="B12" s="34" t="s">
        <v>6089</v>
      </c>
      <c r="C12" s="34" t="s">
        <v>6158</v>
      </c>
      <c r="D12" s="34" t="s">
        <v>6159</v>
      </c>
      <c r="E12" s="34" t="s">
        <v>6129</v>
      </c>
      <c r="F12" s="34" t="s">
        <v>6130</v>
      </c>
      <c r="G12" s="34" t="s">
        <v>6131</v>
      </c>
      <c r="H12" s="34" t="s">
        <v>6132</v>
      </c>
    </row>
    <row r="13" spans="1:8" ht="15" thickBot="1" x14ac:dyDescent="0.4">
      <c r="A13" s="33" t="s">
        <v>6153</v>
      </c>
      <c r="B13" s="34" t="s">
        <v>6088</v>
      </c>
      <c r="C13" s="34" t="s">
        <v>6160</v>
      </c>
      <c r="D13" s="34" t="s">
        <v>6159</v>
      </c>
      <c r="E13" s="34" t="s">
        <v>6129</v>
      </c>
      <c r="F13" s="34" t="s">
        <v>6130</v>
      </c>
      <c r="G13" s="34" t="s">
        <v>6131</v>
      </c>
      <c r="H13" s="34" t="s">
        <v>6132</v>
      </c>
    </row>
    <row r="14" spans="1:8" ht="15" thickBot="1" x14ac:dyDescent="0.4">
      <c r="A14" s="33" t="s">
        <v>6161</v>
      </c>
      <c r="B14" s="34" t="s">
        <v>4711</v>
      </c>
      <c r="C14" s="34" t="s">
        <v>6162</v>
      </c>
      <c r="D14" s="34" t="s">
        <v>6163</v>
      </c>
      <c r="E14" s="34" t="s">
        <v>6129</v>
      </c>
      <c r="F14" s="34" t="s">
        <v>6130</v>
      </c>
      <c r="G14" s="34" t="s">
        <v>6156</v>
      </c>
      <c r="H14" s="33" t="s">
        <v>6157</v>
      </c>
    </row>
    <row r="15" spans="1:8" ht="15" thickBot="1" x14ac:dyDescent="0.4">
      <c r="A15" s="33" t="s">
        <v>6161</v>
      </c>
      <c r="B15" s="34" t="s">
        <v>5740</v>
      </c>
      <c r="C15" s="34" t="s">
        <v>6164</v>
      </c>
      <c r="D15" s="34" t="s">
        <v>6165</v>
      </c>
      <c r="E15" s="34" t="s">
        <v>6129</v>
      </c>
      <c r="F15" s="34" t="s">
        <v>6130</v>
      </c>
      <c r="G15" s="34" t="s">
        <v>6131</v>
      </c>
      <c r="H15" s="34" t="s">
        <v>6166</v>
      </c>
    </row>
    <row r="16" spans="1:8" ht="15" thickBot="1" x14ac:dyDescent="0.4">
      <c r="A16" s="33" t="s">
        <v>6161</v>
      </c>
      <c r="B16" s="34" t="s">
        <v>6167</v>
      </c>
      <c r="C16" s="34" t="s">
        <v>6168</v>
      </c>
      <c r="D16" s="34" t="s">
        <v>6147</v>
      </c>
      <c r="E16" s="34" t="s">
        <v>6129</v>
      </c>
      <c r="F16" s="34" t="s">
        <v>6130</v>
      </c>
      <c r="G16" s="34" t="s">
        <v>6131</v>
      </c>
      <c r="H16" s="34" t="s">
        <v>6148</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953A-1730-40FB-929E-1A705CB839BD}">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43.5"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29"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43.5"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6268</v>
      </c>
      <c r="E2" s="39" t="s">
        <v>4573</v>
      </c>
      <c r="F2" s="39" t="s">
        <v>4574</v>
      </c>
      <c r="G2" s="39" t="s">
        <v>6269</v>
      </c>
    </row>
    <row r="3" spans="1:7" ht="58" x14ac:dyDescent="0.35">
      <c r="A3" s="5" t="s">
        <v>6254</v>
      </c>
      <c r="D3" s="40" t="s">
        <v>6280</v>
      </c>
      <c r="E3" s="40" t="s">
        <v>6197</v>
      </c>
      <c r="F3" s="40" t="s">
        <v>68</v>
      </c>
      <c r="G3" s="40" t="s">
        <v>6281</v>
      </c>
    </row>
    <row r="4" spans="1:7" ht="87" x14ac:dyDescent="0.35">
      <c r="A4" s="5" t="s">
        <v>6172</v>
      </c>
      <c r="D4" s="40" t="s">
        <v>6300</v>
      </c>
      <c r="E4" s="40" t="s">
        <v>6207</v>
      </c>
      <c r="F4" s="40" t="s">
        <v>68</v>
      </c>
      <c r="G4" s="40" t="s">
        <v>6301</v>
      </c>
    </row>
    <row r="5" spans="1:7" ht="43.5" x14ac:dyDescent="0.35">
      <c r="A5" s="30" t="s">
        <v>6252</v>
      </c>
      <c r="D5" s="40" t="s">
        <v>6264</v>
      </c>
      <c r="E5" s="40" t="s">
        <v>6264</v>
      </c>
      <c r="F5" s="40" t="s">
        <v>68</v>
      </c>
      <c r="G5" s="40" t="s">
        <v>6302</v>
      </c>
    </row>
    <row r="6" spans="1:7" ht="43.5" x14ac:dyDescent="0.35">
      <c r="A6" s="30" t="s">
        <v>6253</v>
      </c>
      <c r="D6" s="40" t="s">
        <v>6303</v>
      </c>
      <c r="E6" s="40" t="s">
        <v>6304</v>
      </c>
      <c r="F6" s="40" t="s">
        <v>68</v>
      </c>
      <c r="G6" s="40" t="s">
        <v>6305</v>
      </c>
    </row>
    <row r="7" spans="1:7" ht="58" x14ac:dyDescent="0.35">
      <c r="A7" s="30" t="s">
        <v>6251</v>
      </c>
      <c r="D7" s="40" t="s">
        <v>6315</v>
      </c>
      <c r="E7" s="40" t="s">
        <v>6261</v>
      </c>
      <c r="F7" s="40" t="s">
        <v>68</v>
      </c>
      <c r="G7" s="40" t="s">
        <v>6316</v>
      </c>
    </row>
    <row r="8" spans="1:7" ht="43.5" x14ac:dyDescent="0.35">
      <c r="A8" s="30" t="s">
        <v>6250</v>
      </c>
      <c r="D8" s="40" t="s">
        <v>6262</v>
      </c>
      <c r="E8" s="40" t="s">
        <v>6262</v>
      </c>
      <c r="F8" s="40" t="s">
        <v>68</v>
      </c>
      <c r="G8" s="40" t="s">
        <v>6317</v>
      </c>
    </row>
    <row r="9" spans="1:7" ht="43.5" x14ac:dyDescent="0.35">
      <c r="A9" s="5" t="s">
        <v>5643</v>
      </c>
      <c r="D9" s="40" t="s">
        <v>6176</v>
      </c>
      <c r="E9" s="40" t="s">
        <v>6176</v>
      </c>
      <c r="F9" s="40" t="s">
        <v>68</v>
      </c>
      <c r="G9" s="40" t="s">
        <v>6318</v>
      </c>
    </row>
    <row r="10" spans="1:7" ht="58" x14ac:dyDescent="0.35">
      <c r="A10" s="5" t="s">
        <v>5648</v>
      </c>
      <c r="D10" s="40" t="s">
        <v>6319</v>
      </c>
      <c r="E10" s="40" t="s">
        <v>6263</v>
      </c>
      <c r="F10" s="40" t="s">
        <v>68</v>
      </c>
      <c r="G10" s="40" t="s">
        <v>6314</v>
      </c>
    </row>
    <row r="11" spans="1:7" ht="43.5" x14ac:dyDescent="0.35">
      <c r="A11" s="5" t="s">
        <v>6249</v>
      </c>
      <c r="D11" s="40" t="s">
        <v>6240</v>
      </c>
      <c r="E11" s="40" t="s">
        <v>6240</v>
      </c>
      <c r="F11" s="40" t="s">
        <v>68</v>
      </c>
      <c r="G11" s="40" t="s">
        <v>6331</v>
      </c>
    </row>
    <row r="12" spans="1:7" ht="43.5" x14ac:dyDescent="0.35">
      <c r="A12" s="5" t="s">
        <v>4582</v>
      </c>
      <c r="D12" s="40" t="s">
        <v>6257</v>
      </c>
      <c r="E12" s="40" t="s">
        <v>6257</v>
      </c>
      <c r="F12" s="40" t="s">
        <v>68</v>
      </c>
      <c r="G12" s="40" t="s">
        <v>6332</v>
      </c>
    </row>
    <row r="13" spans="1:7" ht="43.5" x14ac:dyDescent="0.35">
      <c r="A13" s="5" t="s">
        <v>5659</v>
      </c>
      <c r="D13" s="40" t="s">
        <v>5643</v>
      </c>
      <c r="E13" s="40" t="s">
        <v>6287</v>
      </c>
      <c r="F13" s="40" t="s">
        <v>6288</v>
      </c>
      <c r="G13" s="40" t="s">
        <v>6289</v>
      </c>
    </row>
    <row r="14" spans="1:7" ht="43.5" x14ac:dyDescent="0.35">
      <c r="A14" s="5" t="s">
        <v>6255</v>
      </c>
      <c r="D14" s="40" t="s">
        <v>6270</v>
      </c>
      <c r="E14" s="40" t="s">
        <v>6254</v>
      </c>
      <c r="F14" s="40" t="s">
        <v>6271</v>
      </c>
      <c r="G14" s="40" t="s">
        <v>6272</v>
      </c>
    </row>
    <row r="15" spans="1:7" ht="29" x14ac:dyDescent="0.35">
      <c r="A15" s="5" t="s">
        <v>5682</v>
      </c>
      <c r="D15" s="40" t="s">
        <v>6313</v>
      </c>
      <c r="E15" s="40" t="s">
        <v>6313</v>
      </c>
      <c r="F15" s="40" t="s">
        <v>299</v>
      </c>
      <c r="G15" s="40" t="s">
        <v>6314</v>
      </c>
    </row>
    <row r="16" spans="1:7" ht="29" x14ac:dyDescent="0.35">
      <c r="A16" s="30" t="s">
        <v>6207</v>
      </c>
      <c r="D16" s="40" t="s">
        <v>6284</v>
      </c>
      <c r="E16" s="40" t="s">
        <v>6285</v>
      </c>
      <c r="F16" s="40" t="s">
        <v>341</v>
      </c>
      <c r="G16" s="40" t="s">
        <v>6286</v>
      </c>
    </row>
    <row r="17" spans="1:7" ht="58" x14ac:dyDescent="0.35">
      <c r="A17" s="30" t="s">
        <v>6264</v>
      </c>
      <c r="D17" s="40" t="s">
        <v>6290</v>
      </c>
      <c r="E17" s="40" t="s">
        <v>5648</v>
      </c>
      <c r="F17" s="40" t="s">
        <v>341</v>
      </c>
      <c r="G17" s="40" t="s">
        <v>6291</v>
      </c>
    </row>
    <row r="18" spans="1:7" ht="43.5" x14ac:dyDescent="0.35">
      <c r="A18" s="5" t="s">
        <v>6267</v>
      </c>
      <c r="D18" s="40" t="s">
        <v>6297</v>
      </c>
      <c r="E18" s="40" t="s">
        <v>6298</v>
      </c>
      <c r="F18" s="40" t="s">
        <v>367</v>
      </c>
      <c r="G18" s="40" t="s">
        <v>6299</v>
      </c>
    </row>
    <row r="19" spans="1:7" ht="29" x14ac:dyDescent="0.35">
      <c r="A19" s="5" t="s">
        <v>393</v>
      </c>
      <c r="D19" s="40" t="s">
        <v>6326</v>
      </c>
      <c r="E19" s="40" t="s">
        <v>6259</v>
      </c>
      <c r="F19" s="40" t="s">
        <v>367</v>
      </c>
      <c r="G19" s="40" t="s">
        <v>6327</v>
      </c>
    </row>
    <row r="20" spans="1:7" ht="58" x14ac:dyDescent="0.35">
      <c r="A20" s="5" t="s">
        <v>4702</v>
      </c>
      <c r="D20" s="40" t="s">
        <v>6294</v>
      </c>
      <c r="E20" s="40" t="s">
        <v>4582</v>
      </c>
      <c r="F20" s="40" t="s">
        <v>6295</v>
      </c>
      <c r="G20" s="40" t="s">
        <v>6296</v>
      </c>
    </row>
    <row r="21" spans="1:7" ht="72.5" x14ac:dyDescent="0.35">
      <c r="A21" s="30" t="s">
        <v>6266</v>
      </c>
      <c r="D21" s="40" t="s">
        <v>6306</v>
      </c>
      <c r="E21" s="40" t="s">
        <v>393</v>
      </c>
      <c r="F21" s="40" t="s">
        <v>6295</v>
      </c>
      <c r="G21" s="40" t="s">
        <v>6307</v>
      </c>
    </row>
    <row r="22" spans="1:7" ht="43.5" x14ac:dyDescent="0.35">
      <c r="A22" s="30" t="s">
        <v>6265</v>
      </c>
      <c r="D22" s="40" t="s">
        <v>6282</v>
      </c>
      <c r="E22" s="40" t="s">
        <v>6251</v>
      </c>
      <c r="F22" s="40" t="s">
        <v>466</v>
      </c>
      <c r="G22" s="40" t="s">
        <v>6283</v>
      </c>
    </row>
    <row r="23" spans="1:7" ht="58" x14ac:dyDescent="0.35">
      <c r="A23" s="5" t="s">
        <v>6113</v>
      </c>
      <c r="D23" s="40" t="s">
        <v>6308</v>
      </c>
      <c r="E23" s="40" t="s">
        <v>6266</v>
      </c>
      <c r="F23" s="40" t="s">
        <v>466</v>
      </c>
      <c r="G23" s="40" t="s">
        <v>6309</v>
      </c>
    </row>
    <row r="24" spans="1:7" ht="29" x14ac:dyDescent="0.35">
      <c r="A24" s="5" t="s">
        <v>6261</v>
      </c>
      <c r="D24" s="40" t="s">
        <v>6310</v>
      </c>
      <c r="E24" s="40" t="s">
        <v>6311</v>
      </c>
      <c r="F24" s="40" t="s">
        <v>466</v>
      </c>
      <c r="G24" s="40" t="s">
        <v>6312</v>
      </c>
    </row>
    <row r="25" spans="1:7" ht="43.5" x14ac:dyDescent="0.35">
      <c r="A25" s="5" t="s">
        <v>6262</v>
      </c>
      <c r="D25" s="40" t="s">
        <v>6324</v>
      </c>
      <c r="E25" s="40" t="s">
        <v>6212</v>
      </c>
      <c r="F25" s="40" t="s">
        <v>466</v>
      </c>
      <c r="G25" s="40" t="s">
        <v>6325</v>
      </c>
    </row>
    <row r="26" spans="1:7" ht="43.5" x14ac:dyDescent="0.35">
      <c r="A26" s="5" t="s">
        <v>6176</v>
      </c>
      <c r="D26" s="40" t="s">
        <v>6333</v>
      </c>
      <c r="E26" s="40" t="s">
        <v>6256</v>
      </c>
      <c r="F26" s="40" t="s">
        <v>474</v>
      </c>
      <c r="G26" s="40" t="s">
        <v>6334</v>
      </c>
    </row>
    <row r="27" spans="1:7" ht="101.5" x14ac:dyDescent="0.35">
      <c r="A27" s="5" t="s">
        <v>6263</v>
      </c>
      <c r="D27" s="40" t="s">
        <v>6322</v>
      </c>
      <c r="E27" s="40" t="s">
        <v>6260</v>
      </c>
      <c r="F27" s="40" t="s">
        <v>630</v>
      </c>
      <c r="G27" s="40" t="s">
        <v>6323</v>
      </c>
    </row>
    <row r="28" spans="1:7" ht="29" x14ac:dyDescent="0.35">
      <c r="A28" s="5" t="s">
        <v>361</v>
      </c>
      <c r="D28" s="40" t="s">
        <v>6277</v>
      </c>
      <c r="E28" s="40" t="s">
        <v>6278</v>
      </c>
      <c r="F28" s="40" t="s">
        <v>725</v>
      </c>
      <c r="G28" s="40" t="s">
        <v>6279</v>
      </c>
    </row>
    <row r="29" spans="1:7" ht="43.5" x14ac:dyDescent="0.35">
      <c r="A29" s="5" t="s">
        <v>6260</v>
      </c>
      <c r="D29" s="40" t="s">
        <v>6273</v>
      </c>
      <c r="E29" s="40" t="s">
        <v>6274</v>
      </c>
      <c r="F29" s="40" t="s">
        <v>6275</v>
      </c>
      <c r="G29" s="40" t="s">
        <v>6276</v>
      </c>
    </row>
    <row r="30" spans="1:7" ht="43.5" x14ac:dyDescent="0.35">
      <c r="A30" s="5" t="s">
        <v>6212</v>
      </c>
      <c r="D30" s="40" t="s">
        <v>6292</v>
      </c>
      <c r="E30" s="40" t="s">
        <v>6249</v>
      </c>
      <c r="F30" s="40" t="s">
        <v>6275</v>
      </c>
      <c r="G30" s="40" t="s">
        <v>6293</v>
      </c>
    </row>
    <row r="31" spans="1:7" ht="43.5" x14ac:dyDescent="0.35">
      <c r="A31" s="5" t="s">
        <v>6259</v>
      </c>
      <c r="D31" s="40" t="s">
        <v>6320</v>
      </c>
      <c r="E31" s="40" t="s">
        <v>361</v>
      </c>
      <c r="F31" s="40" t="s">
        <v>6275</v>
      </c>
      <c r="G31" s="40" t="s">
        <v>6321</v>
      </c>
    </row>
    <row r="32" spans="1:7" ht="43.5" x14ac:dyDescent="0.35">
      <c r="A32" s="5" t="s">
        <v>6258</v>
      </c>
      <c r="D32" s="40" t="s">
        <v>6328</v>
      </c>
      <c r="E32" s="40" t="s">
        <v>6329</v>
      </c>
      <c r="F32" s="40" t="s">
        <v>6275</v>
      </c>
      <c r="G32" s="40" t="s">
        <v>6330</v>
      </c>
    </row>
    <row r="33" spans="1:1" x14ac:dyDescent="0.35">
      <c r="A33" s="5" t="s">
        <v>6240</v>
      </c>
    </row>
    <row r="34" spans="1:1" x14ac:dyDescent="0.35">
      <c r="A34" s="5" t="s">
        <v>6257</v>
      </c>
    </row>
    <row r="35" spans="1:1" x14ac:dyDescent="0.35">
      <c r="A35" s="5" t="s">
        <v>6256</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2026-01-31T20:39:15Z</dcterms:modified>
</cp:coreProperties>
</file>