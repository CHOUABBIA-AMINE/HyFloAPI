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data\"/>
    </mc:Choice>
  </mc:AlternateContent>
  <xr:revisionPtr revIDLastSave="0" documentId="13_ncr:1_{1DA24D49-CAF9-433D-84A5-2078D126587B}" xr6:coauthVersionLast="47" xr6:coauthVersionMax="47" xr10:uidLastSave="{00000000-0000-0000-0000-000000000000}"/>
  <bookViews>
    <workbookView xWindow="-110" yWindow="-110" windowWidth="19420" windowHeight="10420" firstSheet="45" activeTab="48"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state="hidden"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02-03-09" sheetId="88" r:id="rId49"/>
    <sheet name="03_01_01" sheetId="84" r:id="rId50"/>
    <sheet name="03_01_02" sheetId="86" r:id="rId51"/>
    <sheet name="03_02_01" sheetId="71" r:id="rId52"/>
    <sheet name="03_02_02" sheetId="73" r:id="rId53"/>
    <sheet name="03_02_03" sheetId="75" r:id="rId54"/>
    <sheet name="03_02_04" sheetId="77" r:id="rId55"/>
    <sheet name="03_02_05" sheetId="79" r:id="rId56"/>
    <sheet name="03_02_06" sheetId="82" r:id="rId57"/>
    <sheet name="03-02-07" sheetId="69" r:id="rId58"/>
    <sheet name="Feuil7" sheetId="38" r:id="rId59"/>
    <sheet name="Feuil1" sheetId="39" r:id="rId60"/>
    <sheet name="Feuil2" sheetId="66" r:id="rId61"/>
    <sheet name="Feuil3 (2)" sheetId="87" r:id="rId62"/>
    <sheet name="Feuil3" sheetId="67" r:id="rId63"/>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'000202-000203'!$A$2:$B$13</definedName>
    <definedName name="_xlnm._FilterDatabase" localSheetId="5" hidden="1">'00-02-03'!$A$2:$B$26</definedName>
    <definedName name="_xlnm._FilterDatabase" localSheetId="6" hidden="1">'000203-000204'!$A$2:$B$62</definedName>
    <definedName name="_xlnm._FilterDatabase" localSheetId="7" hidden="1">'00-02-04'!$A$2:$F$474</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'02-03-01'!$A$2:$H$179</definedName>
    <definedName name="_xlnm._FilterDatabase" localSheetId="32" hidden="1">'02-03-02'!$A$2:$D$157</definedName>
    <definedName name="_xlnm._FilterDatabase" localSheetId="33" hidden="1">'02-03-03'!$A$2:$D$89</definedName>
    <definedName name="_xlnm._FilterDatabase" localSheetId="34" hidden="1">'020303-020308'!$A$2:$C$92</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'02-03-08'!$A$1:$AC$59</definedName>
    <definedName name="_xlnm._FilterDatabase" localSheetId="47" hidden="1">'020308-010206'!$A$2:$C$89</definedName>
    <definedName name="_xlnm._FilterDatabase" localSheetId="48" hidden="1">'02-03-09'!$A$1:$Z$74</definedName>
    <definedName name="_xlnm._FilterDatabase" localSheetId="49" hidden="1">'03_01_01'!$A$2:$F$12</definedName>
    <definedName name="_xlnm._FilterDatabase" localSheetId="50" hidden="1">'03_01_02'!$A$2:$F$12</definedName>
    <definedName name="_xlnm._FilterDatabase" localSheetId="51" hidden="1">'03_02_01'!$A$2:$E$8</definedName>
    <definedName name="_xlnm._FilterDatabase" localSheetId="52" hidden="1">'03_02_02'!$A$2:$E$9</definedName>
    <definedName name="_xlnm._FilterDatabase" localSheetId="53" hidden="1">'03_02_03'!$A$2:$E$8</definedName>
    <definedName name="_xlnm._FilterDatabase" localSheetId="54" hidden="1">'03_02_04'!$A$2:$I$8</definedName>
    <definedName name="_xlnm._FilterDatabase" localSheetId="55" hidden="1">'03_02_05'!$A$2:$J$9</definedName>
    <definedName name="_xlnm._FilterDatabase" localSheetId="56" hidden="1">'03_02_06'!$A$2:$I$8</definedName>
    <definedName name="_xlnm._FilterDatabase" localSheetId="57" hidden="1">'03-02-07'!$A$2:$G$14</definedName>
    <definedName name="_xlnm._FilterDatabase" localSheetId="62" hidden="1">Feuil3!$D$2:$G$32</definedName>
    <definedName name="_xlnm._FilterDatabase" localSheetId="61" hidden="1">'Feuil3 (2)'!$D$2:$G$32</definedName>
    <definedName name="_xlnm._FilterDatabase" localSheetId="58" hidden="1">Feuil7!$A$1:$H$34</definedName>
    <definedName name="Algerian_Hydrocarbon_Pipelines_Integrated" localSheetId="59">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17" i="88" l="1"/>
  <c r="AD18" i="88"/>
  <c r="AD19" i="88"/>
  <c r="AD20" i="88"/>
  <c r="AD4" i="88"/>
  <c r="AD5" i="88"/>
  <c r="AD6" i="88"/>
  <c r="AD7" i="88"/>
  <c r="AD8" i="88"/>
  <c r="AD9" i="88"/>
  <c r="AD3" i="88"/>
  <c r="I232" i="37"/>
  <c r="I231" i="37"/>
  <c r="I230" i="37"/>
  <c r="I229" i="37"/>
  <c r="I228" i="37"/>
  <c r="I227" i="37"/>
  <c r="I226" i="37"/>
  <c r="I225" i="37"/>
  <c r="I224" i="37"/>
  <c r="I223" i="37"/>
  <c r="I222" i="37"/>
  <c r="I221" i="37"/>
  <c r="I220" i="37"/>
  <c r="I219" i="37"/>
  <c r="I218" i="37"/>
  <c r="I217" i="37"/>
  <c r="I216" i="37"/>
  <c r="I215" i="37"/>
  <c r="I214" i="37"/>
  <c r="I213" i="37"/>
  <c r="I212" i="37"/>
  <c r="I211" i="37"/>
  <c r="I210" i="37"/>
  <c r="I209" i="37"/>
  <c r="I208" i="37"/>
  <c r="I207" i="37"/>
  <c r="I206" i="37"/>
  <c r="I205" i="37"/>
  <c r="I204" i="37"/>
  <c r="I203" i="37"/>
  <c r="I202" i="37"/>
  <c r="I201" i="37"/>
  <c r="I200" i="37"/>
  <c r="I199" i="37"/>
  <c r="I198" i="37"/>
  <c r="I197" i="37"/>
  <c r="I196" i="37"/>
  <c r="I195" i="37"/>
  <c r="I194" i="37"/>
  <c r="I193" i="37"/>
  <c r="I192" i="37"/>
  <c r="I191" i="37"/>
  <c r="I190" i="37"/>
  <c r="I189" i="37"/>
  <c r="I188" i="37"/>
  <c r="I187" i="37"/>
  <c r="I186" i="37"/>
  <c r="I185" i="37"/>
  <c r="I184" i="37"/>
  <c r="I183" i="37"/>
  <c r="I182" i="37"/>
  <c r="I181" i="37"/>
  <c r="I180" i="37"/>
  <c r="I179" i="37"/>
  <c r="I178" i="37"/>
  <c r="I177" i="37"/>
  <c r="I176" i="37"/>
  <c r="I175" i="37"/>
  <c r="I174" i="37"/>
  <c r="I173" i="37"/>
  <c r="I172" i="37"/>
  <c r="I171" i="37"/>
  <c r="I170" i="37"/>
  <c r="I169" i="37"/>
  <c r="I168" i="37"/>
  <c r="I167" i="37"/>
  <c r="I166" i="37"/>
  <c r="I165" i="37"/>
  <c r="I164" i="37"/>
  <c r="I163" i="37"/>
  <c r="I162" i="37"/>
  <c r="I161" i="37"/>
  <c r="I160" i="37"/>
  <c r="I159" i="37"/>
  <c r="I158" i="37"/>
  <c r="I157" i="37"/>
  <c r="I156" i="37"/>
  <c r="I155" i="37"/>
  <c r="I154" i="37"/>
  <c r="I153" i="37"/>
  <c r="I152" i="37"/>
  <c r="I151" i="37"/>
  <c r="I150" i="37"/>
  <c r="I149" i="37"/>
  <c r="I148" i="37"/>
  <c r="I147" i="37"/>
  <c r="I146" i="37"/>
  <c r="I145" i="37"/>
  <c r="I144" i="37"/>
  <c r="I143" i="37"/>
  <c r="I142" i="37"/>
  <c r="I141" i="37"/>
  <c r="I140" i="37"/>
  <c r="I139" i="37"/>
  <c r="I138" i="37"/>
  <c r="I137" i="37"/>
  <c r="I136" i="37"/>
  <c r="I135" i="37"/>
  <c r="I134" i="37"/>
  <c r="I133" i="37"/>
  <c r="I132" i="37"/>
  <c r="I131" i="37"/>
  <c r="I130" i="37"/>
  <c r="I129" i="37"/>
  <c r="I128" i="37"/>
  <c r="I127" i="37"/>
  <c r="I126" i="37"/>
  <c r="I125" i="37"/>
  <c r="I124" i="37"/>
  <c r="I123" i="37"/>
  <c r="I122" i="37"/>
  <c r="I121" i="37"/>
  <c r="I120" i="37"/>
  <c r="I119" i="37"/>
  <c r="I118" i="37"/>
  <c r="I117" i="37"/>
  <c r="I116" i="37"/>
  <c r="I115" i="37"/>
  <c r="I114" i="37"/>
  <c r="I113" i="37"/>
  <c r="I112" i="37"/>
  <c r="I111" i="37"/>
  <c r="I110" i="37"/>
  <c r="I109" i="37"/>
  <c r="I108" i="37"/>
  <c r="I107" i="37"/>
  <c r="I106" i="37"/>
  <c r="I105" i="37"/>
  <c r="I104" i="37"/>
  <c r="I103" i="37"/>
  <c r="I102" i="37"/>
  <c r="I101" i="37"/>
  <c r="I100" i="37"/>
  <c r="I99" i="37"/>
  <c r="I98" i="37"/>
  <c r="I97" i="37"/>
  <c r="I96" i="37"/>
  <c r="I95" i="37"/>
  <c r="I94" i="37"/>
  <c r="I93" i="37"/>
  <c r="I92" i="37"/>
  <c r="I91" i="37"/>
  <c r="I90" i="37"/>
  <c r="I89" i="37"/>
  <c r="I88" i="37"/>
  <c r="I87" i="37"/>
  <c r="I86" i="37"/>
  <c r="I85" i="37"/>
  <c r="I84" i="37"/>
  <c r="I83" i="37"/>
  <c r="I82" i="37"/>
  <c r="I81" i="37"/>
  <c r="I80" i="37"/>
  <c r="I79" i="37"/>
  <c r="I78" i="37"/>
  <c r="I77" i="37"/>
  <c r="I76" i="37"/>
  <c r="I75" i="37"/>
  <c r="I74" i="37"/>
  <c r="I73" i="37"/>
  <c r="I72" i="37"/>
  <c r="I71" i="37"/>
  <c r="I70" i="37"/>
  <c r="I69" i="37"/>
  <c r="I68" i="37"/>
  <c r="I67" i="37"/>
  <c r="I66" i="37"/>
  <c r="I65" i="37"/>
  <c r="I64" i="37"/>
  <c r="I63" i="37"/>
  <c r="I62" i="37"/>
  <c r="I61" i="37"/>
  <c r="I60" i="37"/>
  <c r="I59" i="37"/>
  <c r="I58" i="37"/>
  <c r="I57" i="37"/>
  <c r="I56" i="37"/>
  <c r="I55" i="37"/>
  <c r="I54" i="37"/>
  <c r="I53" i="37"/>
  <c r="I52" i="37"/>
  <c r="I51" i="37"/>
  <c r="I50" i="37"/>
  <c r="I49" i="37"/>
  <c r="I48" i="37"/>
  <c r="I47" i="37"/>
  <c r="I46" i="37"/>
  <c r="I45" i="37"/>
  <c r="I44" i="37"/>
  <c r="I43" i="37"/>
  <c r="I42" i="37"/>
  <c r="I41" i="37"/>
  <c r="I40" i="37"/>
  <c r="I39" i="37"/>
  <c r="I38" i="37"/>
  <c r="I37" i="37"/>
  <c r="I36" i="37"/>
  <c r="I35" i="37"/>
  <c r="I34" i="37"/>
  <c r="I33" i="37"/>
  <c r="I32" i="37"/>
  <c r="I31" i="37"/>
  <c r="I30" i="37"/>
  <c r="I29" i="37"/>
  <c r="I28" i="37"/>
  <c r="I27" i="37"/>
  <c r="I26" i="37"/>
  <c r="I25" i="37"/>
  <c r="I24" i="37"/>
  <c r="I23" i="37"/>
  <c r="I22" i="37"/>
  <c r="I21" i="37"/>
  <c r="I20" i="37"/>
  <c r="I19" i="37"/>
  <c r="I18" i="37"/>
  <c r="I17" i="37"/>
  <c r="I16" i="37"/>
  <c r="I14" i="37"/>
  <c r="I13" i="37"/>
  <c r="I12" i="37"/>
  <c r="I11" i="37"/>
  <c r="I10" i="37"/>
  <c r="I9" i="37"/>
  <c r="I8" i="37"/>
  <c r="I7" i="37"/>
  <c r="I6" i="37"/>
  <c r="I5" i="37"/>
  <c r="I4" i="37"/>
  <c r="AD11" i="88"/>
  <c r="AD12" i="88"/>
  <c r="AD13" i="88"/>
  <c r="AD14" i="88"/>
  <c r="AD15" i="88"/>
  <c r="AD16" i="88"/>
  <c r="AD10" i="88"/>
  <c r="AD21" i="88"/>
  <c r="AD22" i="88"/>
  <c r="AD23" i="88"/>
  <c r="AD24" i="88"/>
  <c r="AD25" i="88"/>
  <c r="AD26" i="88"/>
  <c r="AD27" i="88"/>
  <c r="AD28" i="88"/>
  <c r="AD29" i="88"/>
  <c r="AD30" i="88"/>
  <c r="AD31" i="88"/>
  <c r="AD32" i="88"/>
  <c r="AD33" i="88"/>
  <c r="AD34" i="88"/>
  <c r="AD35" i="88"/>
  <c r="AD36" i="88"/>
  <c r="AD37" i="88"/>
  <c r="AD38" i="88"/>
  <c r="AD39" i="88"/>
  <c r="AD40" i="88"/>
  <c r="AD41" i="88"/>
  <c r="AD42" i="88"/>
  <c r="AD43" i="88"/>
  <c r="AD44" i="88"/>
  <c r="AD45" i="88"/>
  <c r="AD46" i="88"/>
  <c r="AD47" i="88"/>
  <c r="AD48" i="88"/>
  <c r="AD49" i="88"/>
  <c r="AD50" i="88"/>
  <c r="AD51" i="88"/>
  <c r="AD52" i="88"/>
  <c r="AD53" i="88"/>
  <c r="AD54" i="88"/>
  <c r="AD55" i="88"/>
  <c r="AD56" i="88"/>
  <c r="AD57" i="88"/>
  <c r="AD58" i="88"/>
  <c r="AD59" i="88"/>
  <c r="AD60" i="88"/>
  <c r="AD61" i="88"/>
  <c r="AD62" i="88"/>
  <c r="AD63" i="88"/>
  <c r="AD64" i="88"/>
  <c r="AD65" i="88"/>
  <c r="AD66" i="88"/>
  <c r="AD67" i="88"/>
  <c r="AD68" i="88"/>
  <c r="AD69" i="88"/>
  <c r="AD70" i="88"/>
  <c r="AD71" i="88"/>
  <c r="AD72" i="88"/>
  <c r="AD73" i="88"/>
  <c r="AD74" i="88"/>
  <c r="C36" i="57"/>
  <c r="C38" i="57"/>
  <c r="C52" i="57"/>
  <c r="C4" i="57"/>
  <c r="C5" i="57"/>
  <c r="C6" i="57"/>
  <c r="C7" i="57"/>
  <c r="C8" i="57"/>
  <c r="C9" i="57"/>
  <c r="C10" i="57"/>
  <c r="C11" i="57"/>
  <c r="C12" i="57"/>
  <c r="C13" i="57"/>
  <c r="C14" i="57"/>
  <c r="C15" i="57"/>
  <c r="C16" i="57"/>
  <c r="C17" i="57"/>
  <c r="C18" i="57"/>
  <c r="C19" i="57"/>
  <c r="C20" i="57"/>
  <c r="C21" i="57"/>
  <c r="C22" i="57"/>
  <c r="C23" i="57"/>
  <c r="C24" i="57"/>
  <c r="C25" i="57"/>
  <c r="C26" i="57"/>
  <c r="C27" i="57"/>
  <c r="C28" i="57"/>
  <c r="C29" i="57"/>
  <c r="C30" i="57"/>
  <c r="C31" i="57"/>
  <c r="C32" i="57"/>
  <c r="C33" i="57"/>
  <c r="C34" i="57"/>
  <c r="C35" i="57"/>
  <c r="C37" i="57"/>
  <c r="C39" i="57"/>
  <c r="C40" i="57"/>
  <c r="C41" i="57"/>
  <c r="C42" i="57"/>
  <c r="C43" i="57"/>
  <c r="C44" i="57"/>
  <c r="C45" i="57"/>
  <c r="C46" i="57"/>
  <c r="C47" i="57"/>
  <c r="C48" i="57"/>
  <c r="C49" i="57"/>
  <c r="C50" i="57"/>
  <c r="C51" i="57"/>
  <c r="C53" i="57"/>
  <c r="C54" i="57"/>
  <c r="C55" i="57"/>
  <c r="C56" i="57"/>
  <c r="C57" i="57"/>
  <c r="C58" i="57"/>
  <c r="C59" i="57"/>
  <c r="C60" i="57"/>
  <c r="C61" i="57"/>
  <c r="C62" i="57"/>
  <c r="C63" i="57"/>
  <c r="C64" i="57"/>
  <c r="C65" i="57"/>
  <c r="C66" i="57"/>
  <c r="C67" i="57"/>
  <c r="C68" i="57"/>
  <c r="C69" i="57"/>
  <c r="C70" i="57"/>
  <c r="C71" i="57"/>
  <c r="C72" i="57"/>
  <c r="C73" i="57"/>
  <c r="C74" i="57"/>
  <c r="C75" i="57"/>
  <c r="C76" i="57"/>
  <c r="C77" i="57"/>
  <c r="C78" i="57"/>
  <c r="C79" i="57"/>
  <c r="C80" i="57"/>
  <c r="C81" i="57"/>
  <c r="C82" i="57"/>
  <c r="C83" i="57"/>
  <c r="C84" i="57"/>
  <c r="C85" i="57"/>
  <c r="C86" i="57"/>
  <c r="C87" i="57"/>
  <c r="C88" i="57"/>
  <c r="C89" i="57"/>
  <c r="C90" i="57"/>
  <c r="C91" i="57"/>
  <c r="C92" i="57"/>
  <c r="AG59" i="46"/>
  <c r="AG58" i="46"/>
  <c r="AG57" i="46"/>
  <c r="AG56" i="46"/>
  <c r="AG55" i="46"/>
  <c r="AG53" i="46"/>
  <c r="AG52" i="46"/>
  <c r="AG51" i="46"/>
  <c r="AG49" i="46"/>
  <c r="AG48" i="46"/>
  <c r="AG46" i="46"/>
  <c r="AG45" i="46"/>
  <c r="AG42" i="46"/>
  <c r="AG41" i="46"/>
  <c r="AG38" i="46"/>
  <c r="AG35" i="46"/>
  <c r="AG33" i="46"/>
  <c r="AG32" i="46"/>
  <c r="AG31" i="46"/>
  <c r="AG30" i="46"/>
  <c r="AG29" i="46"/>
  <c r="AG28" i="46"/>
  <c r="AG27" i="46"/>
  <c r="AG26" i="46"/>
  <c r="AG25" i="46"/>
  <c r="AG24" i="46"/>
  <c r="AG23" i="46"/>
  <c r="AG22" i="46"/>
  <c r="AG21" i="46"/>
  <c r="AG20" i="46"/>
  <c r="AG19" i="46"/>
  <c r="AG18" i="46"/>
  <c r="AG17" i="46"/>
  <c r="AG16" i="46"/>
  <c r="AG15" i="46"/>
  <c r="AG14" i="46"/>
  <c r="AG13" i="46"/>
  <c r="AG11" i="46"/>
  <c r="AG10" i="46"/>
  <c r="AG9" i="46"/>
  <c r="AG8" i="46"/>
  <c r="AG7" i="46"/>
  <c r="AG6" i="46"/>
  <c r="AG5" i="46"/>
  <c r="AG4" i="46"/>
  <c r="AG3" i="46"/>
  <c r="D4" i="50"/>
  <c r="D5" i="50"/>
  <c r="D6" i="50"/>
  <c r="D7" i="50"/>
  <c r="D8" i="50"/>
  <c r="D9" i="50"/>
  <c r="D10" i="50"/>
  <c r="D11" i="50"/>
  <c r="D12" i="50"/>
  <c r="D13" i="50"/>
  <c r="D14" i="50"/>
  <c r="D53" i="50" l="1"/>
  <c r="D54" i="50"/>
  <c r="D55" i="50"/>
  <c r="D56" i="50"/>
  <c r="D57" i="50"/>
  <c r="D58" i="50"/>
  <c r="D59" i="50"/>
  <c r="D60" i="50"/>
  <c r="D61" i="50"/>
  <c r="D62" i="50"/>
  <c r="D63" i="50"/>
  <c r="D64" i="50"/>
  <c r="D65" i="50"/>
  <c r="C63" i="56" l="1"/>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97" i="56"/>
  <c r="C98" i="56"/>
  <c r="C99" i="56"/>
  <c r="C100" i="56"/>
  <c r="C101" i="56"/>
  <c r="C102" i="56"/>
  <c r="C103" i="56"/>
  <c r="C104" i="56"/>
  <c r="C105" i="56"/>
  <c r="C106" i="56"/>
  <c r="C107" i="56"/>
  <c r="C108" i="56"/>
  <c r="C109" i="56"/>
  <c r="C110" i="56"/>
  <c r="C111" i="56"/>
  <c r="C112" i="56"/>
  <c r="C113" i="56"/>
  <c r="C114" i="56"/>
  <c r="C115" i="56"/>
  <c r="C116" i="56"/>
  <c r="C117" i="56"/>
  <c r="C118" i="56"/>
  <c r="C119" i="56"/>
  <c r="C120" i="56"/>
  <c r="C121" i="56"/>
  <c r="C122" i="56"/>
  <c r="C123" i="56"/>
  <c r="C124" i="56"/>
  <c r="C125" i="56"/>
  <c r="C126" i="56"/>
  <c r="C127" i="56"/>
  <c r="C128" i="56"/>
  <c r="C129" i="56"/>
  <c r="C130" i="56"/>
  <c r="C131" i="56"/>
  <c r="C132" i="56"/>
  <c r="C133" i="56"/>
  <c r="C134" i="56"/>
  <c r="C135" i="56"/>
  <c r="C136" i="56"/>
  <c r="C137" i="56"/>
  <c r="C138" i="56"/>
  <c r="C139" i="56"/>
  <c r="C140" i="56"/>
  <c r="C141" i="56"/>
  <c r="C142" i="56"/>
  <c r="C143" i="56"/>
  <c r="C144" i="56"/>
  <c r="C145" i="56"/>
  <c r="C146" i="56"/>
  <c r="C147" i="56"/>
  <c r="C148" i="56"/>
  <c r="C149" i="56"/>
  <c r="C150" i="56"/>
  <c r="C151" i="56"/>
  <c r="C152" i="56"/>
  <c r="C153" i="56"/>
  <c r="C154" i="56"/>
  <c r="C155" i="56"/>
  <c r="C156" i="56"/>
  <c r="C157" i="56"/>
  <c r="C158" i="56"/>
  <c r="C159" i="56"/>
  <c r="C160" i="56"/>
  <c r="C161" i="56"/>
  <c r="C162" i="56"/>
  <c r="C163" i="56"/>
  <c r="C164" i="56"/>
  <c r="C165" i="56"/>
  <c r="C166" i="56"/>
  <c r="C167" i="56"/>
  <c r="C168" i="56"/>
  <c r="C169" i="56"/>
  <c r="C170" i="56"/>
  <c r="C171" i="56"/>
  <c r="C172" i="56"/>
  <c r="C173" i="56"/>
  <c r="C174" i="56"/>
  <c r="C175" i="56"/>
  <c r="C176" i="56"/>
  <c r="C177" i="56"/>
  <c r="C178" i="56"/>
  <c r="C179" i="56"/>
  <c r="C180" i="56"/>
  <c r="C181" i="56"/>
  <c r="C182" i="56"/>
  <c r="C183" i="56"/>
  <c r="C184" i="56"/>
  <c r="C185" i="56"/>
  <c r="C186" i="56"/>
  <c r="C187" i="56"/>
  <c r="C188" i="56"/>
  <c r="C189" i="56"/>
  <c r="C190" i="56"/>
  <c r="C191" i="56"/>
  <c r="C192" i="56"/>
  <c r="C193" i="56"/>
  <c r="C194" i="56"/>
  <c r="C195" i="56"/>
  <c r="C196" i="56"/>
  <c r="C197" i="56"/>
  <c r="C198" i="56"/>
  <c r="C199" i="56"/>
  <c r="C200" i="56"/>
  <c r="C201" i="56"/>
  <c r="C202" i="56"/>
  <c r="C203" i="56"/>
  <c r="C204" i="56"/>
  <c r="C205" i="56"/>
  <c r="C206" i="56"/>
  <c r="C207" i="56"/>
  <c r="C208" i="56"/>
  <c r="C209" i="56"/>
  <c r="C210" i="56"/>
  <c r="C211" i="56"/>
  <c r="C212" i="56"/>
  <c r="C213" i="56"/>
  <c r="C214" i="56"/>
  <c r="C215" i="56"/>
  <c r="C216" i="56"/>
  <c r="C217" i="56"/>
  <c r="C218" i="56"/>
  <c r="C219" i="56"/>
  <c r="C220" i="56"/>
  <c r="C221" i="56"/>
  <c r="C222" i="56"/>
  <c r="C223" i="56"/>
  <c r="C224" i="56"/>
  <c r="C225" i="56"/>
  <c r="C226" i="56"/>
  <c r="C227" i="56"/>
  <c r="C228" i="56"/>
  <c r="C229" i="56"/>
  <c r="C230" i="56"/>
  <c r="C231" i="56"/>
  <c r="C232" i="56"/>
  <c r="C233" i="56"/>
  <c r="C234" i="56"/>
  <c r="C235" i="56"/>
  <c r="C236" i="56"/>
  <c r="C237" i="56"/>
  <c r="C238" i="56"/>
  <c r="C239" i="56"/>
  <c r="C240" i="56"/>
  <c r="C241" i="56"/>
  <c r="C242" i="56"/>
  <c r="C243" i="56"/>
  <c r="C244" i="56"/>
  <c r="C245" i="56"/>
  <c r="C246" i="56"/>
  <c r="C247" i="56"/>
  <c r="C248" i="56"/>
  <c r="C249" i="56"/>
  <c r="C250" i="56"/>
  <c r="C251" i="56"/>
  <c r="C252" i="56"/>
  <c r="C253" i="56"/>
  <c r="C254" i="56"/>
  <c r="C255" i="56"/>
  <c r="C256" i="56"/>
  <c r="C257" i="56"/>
  <c r="C258" i="56"/>
  <c r="C259" i="56"/>
  <c r="C260" i="56"/>
  <c r="C261" i="56"/>
  <c r="C262" i="56"/>
  <c r="C263" i="56"/>
  <c r="C264" i="56"/>
  <c r="C265" i="56"/>
  <c r="C266" i="56"/>
  <c r="C267" i="56"/>
  <c r="C268" i="56"/>
  <c r="C269" i="56"/>
  <c r="C270" i="56"/>
  <c r="C271" i="56"/>
  <c r="C272" i="56"/>
  <c r="C273" i="56"/>
  <c r="C274" i="56"/>
  <c r="C275" i="56"/>
  <c r="C276" i="56"/>
  <c r="C277" i="56"/>
  <c r="C278" i="56"/>
  <c r="C279" i="56"/>
  <c r="C280" i="56"/>
  <c r="C281" i="56"/>
  <c r="C282" i="56"/>
  <c r="C283" i="56"/>
  <c r="C284" i="56"/>
  <c r="C285" i="56"/>
  <c r="C286" i="56"/>
  <c r="C287" i="56"/>
  <c r="C288" i="56"/>
  <c r="C289" i="56"/>
  <c r="C290" i="56"/>
  <c r="C291" i="56"/>
  <c r="C292" i="56"/>
  <c r="C293" i="56"/>
  <c r="C294" i="56"/>
  <c r="C295" i="56"/>
  <c r="C296" i="56"/>
  <c r="C297" i="56"/>
  <c r="C298" i="56"/>
  <c r="C299" i="56"/>
  <c r="C300" i="56"/>
  <c r="C301" i="56"/>
  <c r="C302" i="56"/>
  <c r="C303" i="56"/>
  <c r="C304" i="56"/>
  <c r="C305" i="56"/>
  <c r="C306" i="56"/>
  <c r="C307" i="56"/>
  <c r="C308" i="56"/>
  <c r="C309" i="56"/>
  <c r="C310" i="56"/>
  <c r="C311" i="56"/>
  <c r="C312" i="56"/>
  <c r="C313" i="56"/>
  <c r="C314" i="56"/>
  <c r="C315" i="56"/>
  <c r="C316" i="56"/>
  <c r="C317" i="56"/>
  <c r="C318" i="56"/>
  <c r="C319" i="56"/>
  <c r="C320" i="56"/>
  <c r="C321" i="56"/>
  <c r="C322" i="56"/>
  <c r="C323" i="56"/>
  <c r="C324" i="56"/>
  <c r="C325" i="56"/>
  <c r="C326" i="56"/>
  <c r="C327" i="56"/>
  <c r="C328" i="56"/>
  <c r="C329" i="56"/>
  <c r="C330" i="56"/>
  <c r="C331" i="56"/>
  <c r="C332" i="56"/>
  <c r="C333" i="56"/>
  <c r="C334" i="56"/>
  <c r="C335" i="56"/>
  <c r="C336" i="56"/>
  <c r="C337" i="56"/>
  <c r="C338" i="56"/>
  <c r="C339" i="56"/>
  <c r="C340" i="56"/>
  <c r="C341" i="56"/>
  <c r="C342" i="56"/>
  <c r="C343" i="56"/>
  <c r="C344" i="56"/>
  <c r="C345" i="56"/>
  <c r="C346" i="56"/>
  <c r="C347" i="56"/>
  <c r="C348" i="56"/>
  <c r="C349" i="56"/>
  <c r="C350" i="56"/>
  <c r="C351" i="56"/>
  <c r="C352" i="56"/>
  <c r="C353" i="56"/>
  <c r="C354" i="56"/>
  <c r="C355" i="56"/>
  <c r="C356" i="56"/>
  <c r="C357" i="56"/>
  <c r="C358" i="56"/>
  <c r="C359" i="56"/>
  <c r="C360" i="56"/>
  <c r="C361" i="56"/>
  <c r="C362" i="56"/>
  <c r="C363" i="56"/>
  <c r="C364" i="56"/>
  <c r="C365" i="56"/>
  <c r="C366" i="56"/>
  <c r="C367" i="56"/>
  <c r="C368" i="56"/>
  <c r="C369" i="56"/>
  <c r="C370" i="56"/>
  <c r="C371" i="56"/>
  <c r="C372" i="56"/>
  <c r="C373" i="56"/>
  <c r="C374" i="56"/>
  <c r="C375" i="56"/>
  <c r="C376" i="56"/>
  <c r="C377" i="56"/>
  <c r="C378" i="56"/>
  <c r="C379" i="56"/>
  <c r="C380" i="56"/>
  <c r="C381" i="56"/>
  <c r="C382" i="56"/>
  <c r="C383" i="56"/>
  <c r="C384" i="56"/>
  <c r="C385" i="56"/>
  <c r="C386" i="56"/>
  <c r="C387" i="56"/>
  <c r="C388" i="56"/>
  <c r="C389" i="56"/>
  <c r="C390" i="56"/>
  <c r="C391" i="56"/>
  <c r="C392" i="56"/>
  <c r="C393" i="56"/>
  <c r="C394" i="56"/>
  <c r="C395" i="56"/>
  <c r="C396" i="56"/>
  <c r="C397" i="56"/>
  <c r="C398" i="56"/>
  <c r="C399" i="56"/>
  <c r="C400" i="56"/>
  <c r="C401" i="56"/>
  <c r="C402" i="56"/>
  <c r="C403" i="56"/>
  <c r="C404" i="56"/>
  <c r="C405" i="56"/>
  <c r="C406" i="56"/>
  <c r="C407" i="56"/>
  <c r="C408" i="56"/>
  <c r="C409" i="56"/>
  <c r="C410" i="56"/>
  <c r="C411" i="56"/>
  <c r="C412" i="56"/>
  <c r="C413" i="56"/>
  <c r="C414" i="56"/>
  <c r="C415" i="56"/>
  <c r="C416" i="56"/>
  <c r="C417" i="56"/>
  <c r="C418" i="56"/>
  <c r="C419" i="56"/>
  <c r="C420" i="56"/>
  <c r="C421" i="56"/>
  <c r="C422" i="56"/>
  <c r="C423" i="56"/>
  <c r="C424" i="56"/>
  <c r="C425" i="56"/>
  <c r="C426" i="56"/>
  <c r="C427" i="56"/>
  <c r="C428" i="56"/>
  <c r="C429" i="56"/>
  <c r="C430" i="56"/>
  <c r="C431" i="56"/>
  <c r="C432" i="56"/>
  <c r="C433" i="56"/>
  <c r="C434" i="56"/>
  <c r="C435" i="56"/>
  <c r="C436" i="56"/>
  <c r="C437" i="56"/>
  <c r="C438" i="56"/>
  <c r="C439" i="56"/>
  <c r="C440" i="56"/>
  <c r="C441" i="56"/>
  <c r="C442" i="56"/>
  <c r="C443" i="56"/>
  <c r="C444" i="56"/>
  <c r="C445" i="56"/>
  <c r="C446" i="56"/>
  <c r="C447" i="56"/>
  <c r="C448" i="56"/>
  <c r="C449" i="56"/>
  <c r="C450" i="56"/>
  <c r="C451" i="56"/>
  <c r="C452" i="56"/>
  <c r="C453" i="56"/>
  <c r="C454" i="56"/>
  <c r="C455" i="56"/>
  <c r="C456" i="56"/>
  <c r="C457" i="56"/>
  <c r="C458" i="56"/>
  <c r="C459" i="56"/>
  <c r="C460" i="56"/>
  <c r="C461" i="56"/>
  <c r="C462" i="56"/>
  <c r="C463" i="56"/>
  <c r="C464" i="56"/>
  <c r="C465" i="56"/>
  <c r="C466" i="56"/>
  <c r="C467" i="56"/>
  <c r="C468" i="56"/>
  <c r="C469" i="56"/>
  <c r="C470" i="56"/>
  <c r="C471" i="56"/>
  <c r="C472" i="56"/>
  <c r="C473" i="56"/>
  <c r="C474" i="56"/>
  <c r="F12" i="86" l="1"/>
  <c r="F11" i="86"/>
  <c r="F10" i="86"/>
  <c r="F9" i="86"/>
  <c r="F8" i="86"/>
  <c r="F7" i="86"/>
  <c r="F6" i="86"/>
  <c r="F5" i="86"/>
  <c r="F4" i="86"/>
  <c r="F3" i="86"/>
  <c r="F4" i="84"/>
  <c r="F5" i="84"/>
  <c r="F6" i="84"/>
  <c r="F7" i="84"/>
  <c r="F8" i="84"/>
  <c r="F9" i="84"/>
  <c r="F10" i="84"/>
  <c r="F11" i="84"/>
  <c r="F12" i="84"/>
  <c r="F3" i="84"/>
  <c r="I8" i="82"/>
  <c r="I7" i="82"/>
  <c r="I6" i="82"/>
  <c r="I5" i="82"/>
  <c r="I4" i="82"/>
  <c r="I3" i="82"/>
  <c r="J4" i="79"/>
  <c r="J5" i="79"/>
  <c r="J6" i="79"/>
  <c r="J7" i="79"/>
  <c r="J8" i="79"/>
  <c r="J9" i="79"/>
  <c r="J3" i="79"/>
  <c r="I4" i="77"/>
  <c r="I5" i="77"/>
  <c r="I6" i="77"/>
  <c r="I7" i="77"/>
  <c r="I8" i="77"/>
  <c r="I3" i="77"/>
  <c r="E8" i="75"/>
  <c r="E7" i="75"/>
  <c r="E6" i="75"/>
  <c r="E5" i="75"/>
  <c r="E4" i="75"/>
  <c r="E3" i="75"/>
  <c r="E8" i="73"/>
  <c r="E9" i="73"/>
  <c r="E7" i="73"/>
  <c r="E6" i="73"/>
  <c r="E5" i="73"/>
  <c r="E4" i="73"/>
  <c r="E3" i="73"/>
  <c r="E4" i="71"/>
  <c r="E5" i="71"/>
  <c r="E6" i="71"/>
  <c r="E7" i="71"/>
  <c r="E8" i="71"/>
  <c r="E3" i="71"/>
  <c r="D66" i="50"/>
  <c r="C415" i="51"/>
  <c r="C414" i="51"/>
  <c r="C413" i="51"/>
  <c r="C412" i="51"/>
  <c r="C411" i="51"/>
  <c r="C410" i="51"/>
  <c r="C409" i="51"/>
  <c r="C408" i="51"/>
  <c r="C407" i="51"/>
  <c r="C406" i="51"/>
  <c r="C405" i="51"/>
  <c r="C404" i="51"/>
  <c r="C403" i="51"/>
  <c r="C402" i="51"/>
  <c r="C401" i="51"/>
  <c r="C400" i="51"/>
  <c r="C399" i="51"/>
  <c r="C398" i="51"/>
  <c r="C397" i="51"/>
  <c r="C396" i="51"/>
  <c r="C395" i="51"/>
  <c r="C394" i="51"/>
  <c r="C393" i="51"/>
  <c r="C392" i="51"/>
  <c r="C391" i="51"/>
  <c r="C390" i="51"/>
  <c r="C389" i="51"/>
  <c r="C388" i="51"/>
  <c r="C387" i="51"/>
  <c r="C386" i="51"/>
  <c r="C385" i="51"/>
  <c r="C384" i="51"/>
  <c r="C383" i="51"/>
  <c r="C382" i="51"/>
  <c r="C381" i="51"/>
  <c r="C380" i="51"/>
  <c r="C379" i="51"/>
  <c r="C378" i="51"/>
  <c r="C377" i="51"/>
  <c r="C376" i="51"/>
  <c r="C375" i="51"/>
  <c r="C374" i="51"/>
  <c r="C373" i="51"/>
  <c r="C372" i="51"/>
  <c r="C371" i="51"/>
  <c r="C370" i="51"/>
  <c r="C369" i="51"/>
  <c r="C368" i="51"/>
  <c r="C367" i="51"/>
  <c r="C366" i="51"/>
  <c r="C365" i="51"/>
  <c r="C364" i="51"/>
  <c r="C363" i="51"/>
  <c r="C362" i="51"/>
  <c r="C361" i="51"/>
  <c r="C360" i="51"/>
  <c r="C359" i="51"/>
  <c r="C358" i="51"/>
  <c r="C357" i="51"/>
  <c r="C297" i="51"/>
  <c r="C296" i="51"/>
  <c r="C295" i="51"/>
  <c r="C294" i="51"/>
  <c r="C293" i="51"/>
  <c r="C292" i="51"/>
  <c r="C291" i="51"/>
  <c r="C290" i="51"/>
  <c r="C289" i="51"/>
  <c r="C288" i="51"/>
  <c r="C287" i="51"/>
  <c r="C286" i="51"/>
  <c r="C285" i="51"/>
  <c r="C284" i="51"/>
  <c r="C283" i="51"/>
  <c r="C282" i="51"/>
  <c r="C281" i="51"/>
  <c r="C280" i="51"/>
  <c r="C279" i="51"/>
  <c r="C278" i="51"/>
  <c r="C277" i="51"/>
  <c r="C276" i="51"/>
  <c r="C275" i="51"/>
  <c r="C274" i="51"/>
  <c r="C273" i="51"/>
  <c r="C272" i="51"/>
  <c r="C271" i="51"/>
  <c r="C270" i="51"/>
  <c r="C269" i="51"/>
  <c r="C268" i="51"/>
  <c r="C267" i="51"/>
  <c r="C266" i="51"/>
  <c r="C265" i="51"/>
  <c r="C264" i="51"/>
  <c r="C263" i="51"/>
  <c r="C262" i="51"/>
  <c r="C261" i="51"/>
  <c r="C260" i="51"/>
  <c r="C259" i="51"/>
  <c r="C258" i="51"/>
  <c r="C257" i="51"/>
  <c r="C256" i="51"/>
  <c r="C255" i="51"/>
  <c r="C254" i="51"/>
  <c r="C253" i="51"/>
  <c r="C252" i="51"/>
  <c r="C251" i="51"/>
  <c r="C250" i="51"/>
  <c r="C249" i="51"/>
  <c r="C248" i="51"/>
  <c r="C247" i="51"/>
  <c r="C246" i="51"/>
  <c r="C245" i="51"/>
  <c r="C244" i="51"/>
  <c r="C243" i="51"/>
  <c r="C242" i="51"/>
  <c r="C241" i="51"/>
  <c r="C240" i="51"/>
  <c r="C239" i="51"/>
  <c r="C61" i="51"/>
  <c r="C60" i="51"/>
  <c r="C59" i="51"/>
  <c r="C58" i="51"/>
  <c r="C57" i="51"/>
  <c r="C56" i="51"/>
  <c r="C55" i="51"/>
  <c r="C54" i="51"/>
  <c r="C53" i="51"/>
  <c r="C52" i="51"/>
  <c r="C51" i="51"/>
  <c r="C50" i="51"/>
  <c r="C49" i="51"/>
  <c r="C48" i="51"/>
  <c r="C47" i="51"/>
  <c r="C46" i="51"/>
  <c r="C45" i="51"/>
  <c r="C44" i="51"/>
  <c r="C43" i="51"/>
  <c r="C42" i="51"/>
  <c r="C41" i="51"/>
  <c r="C40" i="51"/>
  <c r="C39" i="51"/>
  <c r="C38" i="51"/>
  <c r="C37" i="51"/>
  <c r="C36" i="51"/>
  <c r="C35" i="51"/>
  <c r="C34" i="51"/>
  <c r="C33" i="51"/>
  <c r="C32" i="51"/>
  <c r="C31" i="51"/>
  <c r="C30" i="51"/>
  <c r="C29" i="51"/>
  <c r="C28" i="51"/>
  <c r="C27" i="51"/>
  <c r="C26" i="51"/>
  <c r="C25" i="51"/>
  <c r="C24" i="51"/>
  <c r="C23" i="51"/>
  <c r="C22" i="51"/>
  <c r="C21" i="51"/>
  <c r="C20" i="51"/>
  <c r="C19" i="51"/>
  <c r="C18" i="51"/>
  <c r="C17" i="51"/>
  <c r="C16" i="51"/>
  <c r="C15" i="51"/>
  <c r="C14" i="51"/>
  <c r="C13" i="51"/>
  <c r="C12" i="51"/>
  <c r="C11" i="51"/>
  <c r="C10" i="51"/>
  <c r="C9" i="51"/>
  <c r="C8" i="51"/>
  <c r="C7" i="51"/>
  <c r="C6" i="51"/>
  <c r="C5" i="51"/>
  <c r="C4" i="51"/>
  <c r="C3" i="51"/>
  <c r="C120" i="51"/>
  <c r="C119" i="51"/>
  <c r="C118" i="51"/>
  <c r="C117" i="51"/>
  <c r="C116" i="51"/>
  <c r="C115" i="51"/>
  <c r="C114" i="51"/>
  <c r="C113" i="51"/>
  <c r="C112" i="51"/>
  <c r="C111" i="51"/>
  <c r="C110" i="51"/>
  <c r="C109" i="51"/>
  <c r="C108" i="51"/>
  <c r="C107" i="51"/>
  <c r="C106" i="51"/>
  <c r="C105" i="51"/>
  <c r="C104" i="51"/>
  <c r="C103" i="51"/>
  <c r="C102" i="51"/>
  <c r="C101" i="51"/>
  <c r="C100" i="51"/>
  <c r="C99" i="51"/>
  <c r="C98" i="51"/>
  <c r="C97" i="51"/>
  <c r="C96" i="51"/>
  <c r="C95" i="51"/>
  <c r="C94" i="51"/>
  <c r="C93" i="51"/>
  <c r="C92" i="51"/>
  <c r="C91" i="51"/>
  <c r="C90" i="51"/>
  <c r="C89" i="51"/>
  <c r="C88" i="51"/>
  <c r="C87" i="51"/>
  <c r="C86" i="51"/>
  <c r="C85" i="51"/>
  <c r="C84" i="51"/>
  <c r="C83" i="51"/>
  <c r="C82" i="51"/>
  <c r="C81" i="51"/>
  <c r="C80" i="51"/>
  <c r="C79" i="51"/>
  <c r="C78" i="51"/>
  <c r="C77" i="51"/>
  <c r="C76" i="51"/>
  <c r="C75" i="51"/>
  <c r="C74" i="51"/>
  <c r="C73" i="51"/>
  <c r="C72" i="51"/>
  <c r="C71" i="51"/>
  <c r="C70" i="51"/>
  <c r="C69" i="51"/>
  <c r="C68" i="51"/>
  <c r="C67" i="51"/>
  <c r="C66" i="51"/>
  <c r="C65" i="51"/>
  <c r="C64" i="51"/>
  <c r="C63" i="51"/>
  <c r="C62" i="51"/>
  <c r="C238" i="51"/>
  <c r="C237" i="51"/>
  <c r="C236" i="51"/>
  <c r="C235" i="51"/>
  <c r="C234" i="51"/>
  <c r="C233" i="51"/>
  <c r="C232" i="51"/>
  <c r="C231" i="51"/>
  <c r="C230" i="51"/>
  <c r="C229" i="51"/>
  <c r="C228" i="51"/>
  <c r="C227" i="51"/>
  <c r="C226" i="51"/>
  <c r="C225" i="51"/>
  <c r="C224" i="51"/>
  <c r="C223" i="51"/>
  <c r="C222" i="51"/>
  <c r="C221" i="51"/>
  <c r="C220" i="51"/>
  <c r="C219" i="51"/>
  <c r="C218" i="51"/>
  <c r="C217" i="51"/>
  <c r="C216" i="51"/>
  <c r="C215" i="51"/>
  <c r="C214" i="51"/>
  <c r="C213" i="51"/>
  <c r="C212" i="51"/>
  <c r="C211" i="51"/>
  <c r="C210" i="51"/>
  <c r="C209" i="51"/>
  <c r="C208" i="51"/>
  <c r="C207" i="51"/>
  <c r="C206" i="51"/>
  <c r="C205" i="51"/>
  <c r="C204" i="51"/>
  <c r="C203" i="51"/>
  <c r="C202" i="51"/>
  <c r="C201" i="51"/>
  <c r="C200" i="51"/>
  <c r="C199" i="51"/>
  <c r="C198" i="51"/>
  <c r="C197" i="51"/>
  <c r="C196" i="51"/>
  <c r="C195" i="51"/>
  <c r="C194" i="51"/>
  <c r="C193" i="51"/>
  <c r="C192" i="51"/>
  <c r="C191" i="51"/>
  <c r="C190" i="51"/>
  <c r="C189" i="51"/>
  <c r="C188" i="51"/>
  <c r="C187" i="51"/>
  <c r="C186" i="51"/>
  <c r="C185" i="51"/>
  <c r="C184" i="51"/>
  <c r="C183" i="51"/>
  <c r="C182" i="51"/>
  <c r="C181" i="51"/>
  <c r="C180" i="51"/>
  <c r="C356" i="51"/>
  <c r="C355" i="51"/>
  <c r="C354" i="51"/>
  <c r="C353" i="51"/>
  <c r="C352" i="51"/>
  <c r="C351" i="51"/>
  <c r="C350" i="51"/>
  <c r="C349" i="51"/>
  <c r="C348" i="51"/>
  <c r="C347" i="51"/>
  <c r="C346" i="51"/>
  <c r="C345" i="51"/>
  <c r="C344" i="51"/>
  <c r="C343" i="51"/>
  <c r="C342" i="51"/>
  <c r="C341" i="51"/>
  <c r="C340" i="51"/>
  <c r="C339" i="51"/>
  <c r="C338" i="51"/>
  <c r="C337" i="51"/>
  <c r="C336" i="51"/>
  <c r="C335" i="51"/>
  <c r="C334" i="51"/>
  <c r="C333" i="51"/>
  <c r="C332" i="51"/>
  <c r="C331" i="51"/>
  <c r="C330" i="51"/>
  <c r="C329" i="51"/>
  <c r="C328" i="51"/>
  <c r="C327" i="51"/>
  <c r="C326" i="51"/>
  <c r="C325" i="51"/>
  <c r="C324" i="51"/>
  <c r="C323" i="51"/>
  <c r="C322" i="51"/>
  <c r="C321" i="51"/>
  <c r="C320" i="51"/>
  <c r="C319" i="51"/>
  <c r="C318" i="51"/>
  <c r="C317" i="51"/>
  <c r="C316" i="51"/>
  <c r="C315" i="51"/>
  <c r="C314" i="51"/>
  <c r="C313" i="51"/>
  <c r="C312" i="51"/>
  <c r="C311" i="51"/>
  <c r="C310" i="51"/>
  <c r="C309" i="51"/>
  <c r="C308" i="51"/>
  <c r="C307" i="51"/>
  <c r="C306" i="51"/>
  <c r="C305" i="51"/>
  <c r="C304" i="51"/>
  <c r="C303" i="51"/>
  <c r="C302" i="51"/>
  <c r="C301" i="51"/>
  <c r="C300" i="51"/>
  <c r="C299" i="51"/>
  <c r="C298" i="51"/>
  <c r="C179" i="51"/>
  <c r="C178" i="51"/>
  <c r="C177" i="51"/>
  <c r="C176" i="51"/>
  <c r="C175" i="51"/>
  <c r="C174" i="51"/>
  <c r="C173" i="51"/>
  <c r="C172" i="51"/>
  <c r="C171" i="51"/>
  <c r="C170" i="51"/>
  <c r="C169" i="51"/>
  <c r="C168" i="51"/>
  <c r="C167" i="51"/>
  <c r="C166" i="51"/>
  <c r="C165" i="51"/>
  <c r="C164" i="51"/>
  <c r="C163" i="51"/>
  <c r="C162" i="51"/>
  <c r="C161" i="51"/>
  <c r="C160" i="51"/>
  <c r="C159" i="51"/>
  <c r="C158" i="51"/>
  <c r="C157" i="51"/>
  <c r="C156" i="51"/>
  <c r="C155" i="51"/>
  <c r="C154" i="51"/>
  <c r="C153" i="51"/>
  <c r="C152" i="51"/>
  <c r="C151" i="51"/>
  <c r="C150" i="51"/>
  <c r="C149" i="51"/>
  <c r="C148" i="51"/>
  <c r="C147" i="51"/>
  <c r="C146" i="51"/>
  <c r="C145" i="51"/>
  <c r="C144" i="51"/>
  <c r="C143" i="51"/>
  <c r="C142" i="51"/>
  <c r="C141" i="51"/>
  <c r="C140" i="51"/>
  <c r="C139" i="51"/>
  <c r="C138" i="51"/>
  <c r="C137" i="51"/>
  <c r="C136" i="51"/>
  <c r="C135" i="51"/>
  <c r="C134" i="51"/>
  <c r="C133" i="51"/>
  <c r="C132" i="51"/>
  <c r="C131" i="51"/>
  <c r="C130" i="51"/>
  <c r="C129" i="51"/>
  <c r="C128" i="51"/>
  <c r="C127" i="51"/>
  <c r="C126" i="51"/>
  <c r="C125" i="51"/>
  <c r="C124" i="51"/>
  <c r="C123" i="51"/>
  <c r="C122" i="51"/>
  <c r="C121" i="51"/>
  <c r="C474" i="51"/>
  <c r="B474" i="51"/>
  <c r="C473" i="51"/>
  <c r="B473" i="51"/>
  <c r="C472" i="51"/>
  <c r="B472" i="51"/>
  <c r="C471" i="51"/>
  <c r="B471" i="51"/>
  <c r="C470" i="51"/>
  <c r="B470" i="51"/>
  <c r="C469" i="51"/>
  <c r="B469" i="51"/>
  <c r="C468" i="51"/>
  <c r="B468" i="51"/>
  <c r="C467" i="51"/>
  <c r="B467" i="51"/>
  <c r="C466" i="51"/>
  <c r="B466" i="51"/>
  <c r="C465" i="51"/>
  <c r="B465" i="51"/>
  <c r="C464" i="51"/>
  <c r="B464" i="51"/>
  <c r="C463" i="51"/>
  <c r="B463" i="51"/>
  <c r="C462" i="51"/>
  <c r="B462" i="51"/>
  <c r="C461" i="51"/>
  <c r="B461" i="51"/>
  <c r="C460" i="51"/>
  <c r="B460" i="51"/>
  <c r="C459" i="51"/>
  <c r="B459" i="51"/>
  <c r="C458" i="51"/>
  <c r="B458" i="51"/>
  <c r="C457" i="51"/>
  <c r="B457" i="51"/>
  <c r="C456" i="51"/>
  <c r="B456" i="51"/>
  <c r="C455" i="51"/>
  <c r="B455" i="51"/>
  <c r="C454" i="51"/>
  <c r="B454" i="51"/>
  <c r="C453" i="51"/>
  <c r="B453" i="51"/>
  <c r="C452" i="51"/>
  <c r="B452" i="51"/>
  <c r="C451" i="51"/>
  <c r="B451" i="51"/>
  <c r="C450" i="51"/>
  <c r="B450" i="51"/>
  <c r="C449" i="51"/>
  <c r="B449" i="51"/>
  <c r="C448" i="51"/>
  <c r="B448" i="51"/>
  <c r="C447" i="51"/>
  <c r="B447" i="51"/>
  <c r="C446" i="51"/>
  <c r="B446" i="51"/>
  <c r="C445" i="51"/>
  <c r="B445" i="51"/>
  <c r="C444" i="51"/>
  <c r="B444" i="51"/>
  <c r="C443" i="51"/>
  <c r="B443" i="51"/>
  <c r="C442" i="51"/>
  <c r="B442" i="51"/>
  <c r="C441" i="51"/>
  <c r="B441" i="51"/>
  <c r="C440" i="51"/>
  <c r="B440" i="51"/>
  <c r="C439" i="51"/>
  <c r="B439" i="51"/>
  <c r="C438" i="51"/>
  <c r="B438" i="51"/>
  <c r="C437" i="51"/>
  <c r="B437" i="51"/>
  <c r="C436" i="51"/>
  <c r="B436" i="51"/>
  <c r="C435" i="51"/>
  <c r="B435" i="51"/>
  <c r="C434" i="51"/>
  <c r="B434" i="51"/>
  <c r="C433" i="51"/>
  <c r="B433" i="51"/>
  <c r="C432" i="51"/>
  <c r="B432" i="51"/>
  <c r="C431" i="51"/>
  <c r="B431" i="51"/>
  <c r="C430" i="51"/>
  <c r="B430" i="51"/>
  <c r="C429" i="51"/>
  <c r="B429" i="51"/>
  <c r="C428" i="51"/>
  <c r="B428" i="51"/>
  <c r="C427" i="51"/>
  <c r="B427" i="51"/>
  <c r="C426" i="51"/>
  <c r="B426" i="51"/>
  <c r="C425" i="51"/>
  <c r="B425" i="51"/>
  <c r="C424" i="51"/>
  <c r="B424" i="51"/>
  <c r="C423" i="51"/>
  <c r="B423" i="51"/>
  <c r="C422" i="51"/>
  <c r="B422" i="51"/>
  <c r="C421" i="51"/>
  <c r="B421" i="51"/>
  <c r="C420" i="51"/>
  <c r="B420" i="51"/>
  <c r="C419" i="51"/>
  <c r="B419" i="51"/>
  <c r="C418" i="51"/>
  <c r="B418" i="51"/>
  <c r="C417" i="51"/>
  <c r="B417" i="51"/>
  <c r="C416" i="51"/>
  <c r="B416" i="51"/>
  <c r="B415" i="51"/>
  <c r="B414" i="51"/>
  <c r="B413" i="51"/>
  <c r="B412" i="51"/>
  <c r="B411" i="51"/>
  <c r="B410" i="51"/>
  <c r="B409" i="51"/>
  <c r="B408" i="51"/>
  <c r="B407" i="51"/>
  <c r="B406" i="51"/>
  <c r="B405" i="51"/>
  <c r="B404" i="51"/>
  <c r="B403" i="51"/>
  <c r="B402" i="51"/>
  <c r="B401" i="51"/>
  <c r="B400" i="51"/>
  <c r="B399" i="51"/>
  <c r="B398" i="51"/>
  <c r="B397" i="51"/>
  <c r="B396" i="51"/>
  <c r="B395" i="51"/>
  <c r="B394" i="51"/>
  <c r="B393" i="51"/>
  <c r="B392" i="51"/>
  <c r="B391" i="51"/>
  <c r="B390" i="51"/>
  <c r="B389" i="51"/>
  <c r="B388" i="51"/>
  <c r="B387" i="51"/>
  <c r="B386" i="51"/>
  <c r="B385" i="51"/>
  <c r="B384" i="51"/>
  <c r="B383" i="51"/>
  <c r="B382" i="51"/>
  <c r="B381" i="51"/>
  <c r="B380" i="51"/>
  <c r="B379" i="51"/>
  <c r="B378" i="51"/>
  <c r="B377" i="51"/>
  <c r="B376" i="51"/>
  <c r="B375" i="51"/>
  <c r="B374" i="51"/>
  <c r="B373" i="51"/>
  <c r="B372" i="51"/>
  <c r="B371" i="51"/>
  <c r="B370" i="51"/>
  <c r="B369" i="51"/>
  <c r="B368" i="51"/>
  <c r="B367" i="51"/>
  <c r="B366" i="51"/>
  <c r="B365" i="51"/>
  <c r="B364" i="51"/>
  <c r="B363" i="51"/>
  <c r="B362" i="51"/>
  <c r="B361" i="51"/>
  <c r="B360" i="51"/>
  <c r="B359" i="51"/>
  <c r="B358" i="51"/>
  <c r="B357" i="51"/>
  <c r="B356" i="51"/>
  <c r="B355" i="51"/>
  <c r="B354" i="51"/>
  <c r="B353" i="51"/>
  <c r="B352" i="51"/>
  <c r="B351" i="51"/>
  <c r="B350" i="51"/>
  <c r="B349" i="51"/>
  <c r="B348" i="51"/>
  <c r="B347" i="51"/>
  <c r="B346" i="51"/>
  <c r="B345" i="51"/>
  <c r="B344" i="51"/>
  <c r="B343" i="51"/>
  <c r="B342" i="51"/>
  <c r="B341" i="51"/>
  <c r="B340" i="51"/>
  <c r="B339" i="51"/>
  <c r="B338" i="51"/>
  <c r="B337" i="51"/>
  <c r="B336" i="51"/>
  <c r="B335" i="51"/>
  <c r="B334" i="51"/>
  <c r="B333" i="51"/>
  <c r="B332" i="51"/>
  <c r="B331" i="51"/>
  <c r="B330" i="51"/>
  <c r="B329" i="51"/>
  <c r="B328" i="51"/>
  <c r="B327" i="51"/>
  <c r="B326" i="51"/>
  <c r="B325" i="51"/>
  <c r="B324" i="51"/>
  <c r="B323" i="51"/>
  <c r="B322" i="51"/>
  <c r="B321" i="51"/>
  <c r="B320" i="51"/>
  <c r="B319" i="51"/>
  <c r="B318" i="51"/>
  <c r="B317" i="51"/>
  <c r="B316" i="51"/>
  <c r="B315" i="51"/>
  <c r="B314" i="51"/>
  <c r="B313" i="51"/>
  <c r="B312" i="51"/>
  <c r="B311" i="51"/>
  <c r="B310" i="51"/>
  <c r="B309" i="51"/>
  <c r="B308" i="51"/>
  <c r="B307" i="51"/>
  <c r="B306" i="51"/>
  <c r="B305" i="51"/>
  <c r="B304" i="51"/>
  <c r="B303" i="51"/>
  <c r="B302" i="51"/>
  <c r="B301" i="51"/>
  <c r="B300" i="51"/>
  <c r="B299" i="51"/>
  <c r="B298" i="51"/>
  <c r="B297" i="51"/>
  <c r="B296" i="51"/>
  <c r="B295" i="51"/>
  <c r="B294" i="51"/>
  <c r="B293" i="51"/>
  <c r="B292" i="51"/>
  <c r="B291" i="51"/>
  <c r="B290" i="51"/>
  <c r="B289" i="51"/>
  <c r="B288" i="51"/>
  <c r="B287" i="51"/>
  <c r="B286" i="51"/>
  <c r="B285" i="51"/>
  <c r="B284" i="51"/>
  <c r="B283" i="51"/>
  <c r="B282" i="51"/>
  <c r="B281" i="51"/>
  <c r="B280" i="51"/>
  <c r="B279" i="51"/>
  <c r="B278" i="51"/>
  <c r="B277" i="51"/>
  <c r="B276" i="51"/>
  <c r="B275" i="51"/>
  <c r="B274" i="51"/>
  <c r="B273" i="51"/>
  <c r="B272" i="51"/>
  <c r="B271" i="51"/>
  <c r="B270" i="51"/>
  <c r="B269" i="51"/>
  <c r="B268" i="51"/>
  <c r="B267" i="51"/>
  <c r="B266" i="51"/>
  <c r="B265" i="51"/>
  <c r="B264" i="51"/>
  <c r="B263" i="51"/>
  <c r="B262" i="51"/>
  <c r="B261" i="51"/>
  <c r="B260" i="51"/>
  <c r="B259" i="51"/>
  <c r="B258" i="51"/>
  <c r="B257" i="51"/>
  <c r="B256" i="51"/>
  <c r="B255" i="51"/>
  <c r="B254" i="51"/>
  <c r="B253" i="51"/>
  <c r="B252" i="51"/>
  <c r="B251" i="51"/>
  <c r="B250" i="51"/>
  <c r="B249" i="51"/>
  <c r="B248" i="51"/>
  <c r="B247" i="51"/>
  <c r="B246" i="51"/>
  <c r="B245" i="51"/>
  <c r="B244" i="51"/>
  <c r="B243" i="51"/>
  <c r="B242" i="51"/>
  <c r="B241" i="51"/>
  <c r="B240" i="51"/>
  <c r="B239" i="51"/>
  <c r="B238" i="51"/>
  <c r="B237" i="51"/>
  <c r="B236" i="51"/>
  <c r="B235" i="51"/>
  <c r="B234" i="51"/>
  <c r="B233" i="51"/>
  <c r="B232" i="51"/>
  <c r="B231" i="51"/>
  <c r="B230" i="51"/>
  <c r="B229" i="51"/>
  <c r="B228" i="51"/>
  <c r="B227" i="51"/>
  <c r="B226" i="51"/>
  <c r="B225" i="51"/>
  <c r="B224" i="51"/>
  <c r="B223" i="51"/>
  <c r="B222" i="51"/>
  <c r="B221" i="51"/>
  <c r="B220" i="51"/>
  <c r="B219" i="51"/>
  <c r="B218" i="51"/>
  <c r="B217" i="51"/>
  <c r="B216" i="51"/>
  <c r="B215" i="51"/>
  <c r="B214" i="51"/>
  <c r="B213" i="51"/>
  <c r="B212" i="51"/>
  <c r="B211" i="51"/>
  <c r="B210" i="51"/>
  <c r="B209" i="51"/>
  <c r="B208" i="51"/>
  <c r="B207" i="51"/>
  <c r="B206" i="51"/>
  <c r="B205" i="51"/>
  <c r="B204" i="51"/>
  <c r="B203" i="51"/>
  <c r="B202" i="51"/>
  <c r="B201" i="51"/>
  <c r="B200" i="51"/>
  <c r="B199" i="51"/>
  <c r="B198" i="51"/>
  <c r="B197" i="51"/>
  <c r="B196" i="51"/>
  <c r="B195" i="51"/>
  <c r="B194" i="51"/>
  <c r="B193" i="51"/>
  <c r="B192" i="51"/>
  <c r="B191" i="51"/>
  <c r="B190" i="51"/>
  <c r="B189" i="51"/>
  <c r="B188" i="51"/>
  <c r="B187" i="51"/>
  <c r="B186" i="51"/>
  <c r="B185" i="51"/>
  <c r="B184" i="51"/>
  <c r="B183" i="51"/>
  <c r="B182" i="51"/>
  <c r="B181" i="51"/>
  <c r="B180" i="51"/>
  <c r="D52" i="50"/>
  <c r="D51" i="50"/>
  <c r="D50" i="50"/>
  <c r="D49" i="50"/>
  <c r="D48" i="50"/>
  <c r="D47" i="50"/>
  <c r="D46" i="50"/>
  <c r="D45" i="50"/>
  <c r="D44" i="50"/>
  <c r="D43" i="50"/>
  <c r="D42" i="50"/>
  <c r="D41" i="50"/>
  <c r="D40" i="50"/>
  <c r="D39" i="50"/>
  <c r="D38" i="50"/>
  <c r="D37" i="50"/>
  <c r="D36" i="50"/>
  <c r="D35" i="50"/>
  <c r="D34" i="50"/>
  <c r="D33" i="50"/>
  <c r="D32" i="50"/>
  <c r="D31" i="50"/>
  <c r="D30" i="50"/>
  <c r="D29" i="50"/>
  <c r="D28" i="50"/>
  <c r="D27" i="50"/>
  <c r="D15" i="50"/>
  <c r="D16" i="50"/>
  <c r="D17" i="50"/>
  <c r="D18" i="50"/>
  <c r="D19" i="50"/>
  <c r="D20" i="50"/>
  <c r="D21" i="50"/>
  <c r="D22" i="50"/>
  <c r="D23" i="50"/>
  <c r="D24" i="50"/>
  <c r="D25" i="50"/>
  <c r="D26" i="50"/>
  <c r="D3" i="50"/>
  <c r="B4" i="51"/>
  <c r="B5" i="51"/>
  <c r="B6" i="51"/>
  <c r="B7" i="51"/>
  <c r="B8" i="51"/>
  <c r="B9" i="51"/>
  <c r="B10" i="51"/>
  <c r="B11" i="51"/>
  <c r="B12" i="51"/>
  <c r="B13" i="51"/>
  <c r="B14" i="51"/>
  <c r="B15" i="51"/>
  <c r="B16" i="51"/>
  <c r="B17" i="51"/>
  <c r="B18" i="51"/>
  <c r="B19" i="51"/>
  <c r="B20" i="51"/>
  <c r="B21" i="51"/>
  <c r="B22" i="51"/>
  <c r="B23" i="51"/>
  <c r="B24" i="51"/>
  <c r="B25" i="51"/>
  <c r="B26" i="51"/>
  <c r="B27" i="51"/>
  <c r="B28" i="51"/>
  <c r="B29" i="51"/>
  <c r="B30" i="51"/>
  <c r="B31" i="51"/>
  <c r="B32" i="51"/>
  <c r="B33" i="51"/>
  <c r="B34" i="51"/>
  <c r="B35" i="51"/>
  <c r="B36" i="51"/>
  <c r="B37" i="51"/>
  <c r="B38" i="51"/>
  <c r="B39" i="51"/>
  <c r="B40" i="51"/>
  <c r="B41" i="51"/>
  <c r="B42" i="51"/>
  <c r="B43" i="51"/>
  <c r="B44" i="51"/>
  <c r="B45" i="51"/>
  <c r="B46" i="51"/>
  <c r="B47" i="51"/>
  <c r="B48" i="51"/>
  <c r="B49" i="51"/>
  <c r="B50" i="51"/>
  <c r="B51" i="51"/>
  <c r="B52" i="51"/>
  <c r="B53" i="51"/>
  <c r="B54" i="51"/>
  <c r="B55" i="51"/>
  <c r="B56" i="51"/>
  <c r="B57" i="51"/>
  <c r="B58" i="51"/>
  <c r="B59" i="51"/>
  <c r="B60" i="51"/>
  <c r="B61" i="51"/>
  <c r="B62" i="51"/>
  <c r="B63" i="51"/>
  <c r="B64" i="51"/>
  <c r="B65" i="51"/>
  <c r="B66" i="51"/>
  <c r="B67" i="51"/>
  <c r="B68" i="51"/>
  <c r="B69" i="51"/>
  <c r="B70" i="51"/>
  <c r="B71" i="51"/>
  <c r="B72" i="51"/>
  <c r="B73" i="51"/>
  <c r="B74" i="51"/>
  <c r="B75" i="51"/>
  <c r="B76" i="51"/>
  <c r="B77" i="51"/>
  <c r="B78" i="51"/>
  <c r="B79" i="51"/>
  <c r="B80" i="51"/>
  <c r="B81" i="51"/>
  <c r="B82" i="51"/>
  <c r="B83" i="51"/>
  <c r="B84" i="51"/>
  <c r="B85" i="51"/>
  <c r="B86" i="51"/>
  <c r="B87" i="51"/>
  <c r="B88" i="51"/>
  <c r="B89" i="51"/>
  <c r="B90" i="51"/>
  <c r="B91" i="51"/>
  <c r="B92" i="51"/>
  <c r="B93" i="51"/>
  <c r="B94" i="51"/>
  <c r="B95" i="51"/>
  <c r="B96" i="51"/>
  <c r="B97" i="51"/>
  <c r="B98" i="51"/>
  <c r="B99" i="51"/>
  <c r="B100" i="51"/>
  <c r="B101" i="51"/>
  <c r="B102" i="51"/>
  <c r="B103" i="51"/>
  <c r="B104" i="51"/>
  <c r="B105" i="51"/>
  <c r="B106" i="51"/>
  <c r="B107" i="51"/>
  <c r="B108" i="51"/>
  <c r="B109" i="51"/>
  <c r="B110" i="51"/>
  <c r="B111" i="51"/>
  <c r="B112" i="51"/>
  <c r="B113" i="51"/>
  <c r="B114" i="51"/>
  <c r="B115" i="51"/>
  <c r="B116" i="51"/>
  <c r="B117" i="51"/>
  <c r="B118" i="51"/>
  <c r="B119" i="51"/>
  <c r="B120" i="51"/>
  <c r="B121" i="51"/>
  <c r="B122" i="51"/>
  <c r="B123" i="51"/>
  <c r="B124" i="51"/>
  <c r="B125" i="51"/>
  <c r="B126" i="51"/>
  <c r="B127" i="51"/>
  <c r="B128" i="51"/>
  <c r="B129" i="51"/>
  <c r="B130" i="51"/>
  <c r="B131" i="51"/>
  <c r="B132" i="51"/>
  <c r="B133" i="51"/>
  <c r="B134" i="51"/>
  <c r="B135" i="51"/>
  <c r="B136" i="51"/>
  <c r="B137" i="51"/>
  <c r="B138" i="51"/>
  <c r="B139" i="51"/>
  <c r="B140" i="51"/>
  <c r="B141" i="51"/>
  <c r="B142" i="51"/>
  <c r="B143" i="51"/>
  <c r="B144" i="51"/>
  <c r="B145" i="51"/>
  <c r="B146" i="51"/>
  <c r="B147" i="51"/>
  <c r="B148" i="51"/>
  <c r="B149" i="51"/>
  <c r="B150" i="51"/>
  <c r="B151" i="51"/>
  <c r="B152" i="51"/>
  <c r="B153" i="51"/>
  <c r="B154" i="51"/>
  <c r="B155" i="51"/>
  <c r="B156" i="51"/>
  <c r="B157" i="51"/>
  <c r="B158" i="51"/>
  <c r="B159" i="51"/>
  <c r="B160" i="51"/>
  <c r="B161" i="51"/>
  <c r="B162" i="51"/>
  <c r="B163" i="51"/>
  <c r="B164" i="51"/>
  <c r="B165" i="51"/>
  <c r="B166" i="51"/>
  <c r="B167" i="51"/>
  <c r="B168" i="51"/>
  <c r="B169" i="51"/>
  <c r="B170" i="51"/>
  <c r="B171" i="51"/>
  <c r="B172" i="51"/>
  <c r="B173" i="51"/>
  <c r="B174" i="51"/>
  <c r="B175" i="51"/>
  <c r="B176" i="51"/>
  <c r="B177" i="51"/>
  <c r="B178" i="51"/>
  <c r="B179" i="51"/>
  <c r="B3" i="51"/>
  <c r="H4" i="69"/>
  <c r="H5" i="69"/>
  <c r="H6" i="69"/>
  <c r="H7" i="69"/>
  <c r="H8" i="69"/>
  <c r="H9" i="69"/>
  <c r="H10" i="69"/>
  <c r="H11" i="69"/>
  <c r="H12" i="69"/>
  <c r="H13" i="69"/>
  <c r="H14" i="69"/>
  <c r="H3" i="69"/>
  <c r="I3" i="37"/>
  <c r="F416" i="51" l="1"/>
  <c r="F71" i="51"/>
  <c r="F119" i="51"/>
  <c r="F83" i="51"/>
  <c r="F107" i="51"/>
  <c r="F95" i="51"/>
  <c r="F451" i="51"/>
  <c r="F463" i="51"/>
  <c r="F452" i="51"/>
  <c r="F417" i="51"/>
  <c r="F423" i="51"/>
  <c r="F435" i="51"/>
  <c r="F447" i="51"/>
  <c r="F50" i="51"/>
  <c r="F38" i="51"/>
  <c r="F26" i="51"/>
  <c r="F14" i="51"/>
  <c r="F466" i="51"/>
  <c r="F472" i="51"/>
  <c r="F316" i="51"/>
  <c r="F328" i="51"/>
  <c r="F340" i="51"/>
  <c r="F431" i="51"/>
  <c r="F118" i="51"/>
  <c r="F106" i="51"/>
  <c r="F94" i="51"/>
  <c r="F82" i="51"/>
  <c r="F70" i="51"/>
  <c r="F468" i="51"/>
  <c r="F428" i="51"/>
  <c r="F433" i="51"/>
  <c r="F439" i="51"/>
  <c r="F469" i="51"/>
  <c r="F471" i="51"/>
  <c r="F382" i="51"/>
  <c r="F394" i="51"/>
  <c r="F400" i="51"/>
  <c r="F436" i="51"/>
  <c r="F359" i="51"/>
  <c r="F365" i="51"/>
  <c r="F371" i="51"/>
  <c r="F377" i="51"/>
  <c r="F389" i="51"/>
  <c r="F395" i="51"/>
  <c r="F401" i="51"/>
  <c r="F443" i="51"/>
  <c r="F366" i="51"/>
  <c r="F378" i="51"/>
  <c r="F384" i="51"/>
  <c r="F461" i="51"/>
  <c r="F473" i="51"/>
  <c r="F329" i="51"/>
  <c r="F342" i="51"/>
  <c r="F317" i="51"/>
  <c r="F330" i="51"/>
  <c r="F298" i="51"/>
  <c r="F322" i="51"/>
  <c r="F334" i="51"/>
  <c r="F346" i="51"/>
  <c r="F299" i="51"/>
  <c r="F323" i="51"/>
  <c r="F112" i="51"/>
  <c r="F88" i="51"/>
  <c r="F183" i="51"/>
  <c r="F189" i="51"/>
  <c r="F195" i="51"/>
  <c r="F225" i="51"/>
  <c r="F231" i="51"/>
  <c r="F237" i="51"/>
  <c r="F243" i="51"/>
  <c r="F249" i="51"/>
  <c r="F255" i="51"/>
  <c r="F261" i="51"/>
  <c r="F267" i="51"/>
  <c r="F273" i="51"/>
  <c r="F279" i="51"/>
  <c r="F285" i="51"/>
  <c r="F291" i="51"/>
  <c r="F297" i="51"/>
  <c r="F357" i="51"/>
  <c r="F363" i="51"/>
  <c r="F369" i="51"/>
  <c r="F375" i="51"/>
  <c r="F381" i="51"/>
  <c r="F387" i="51"/>
  <c r="F393" i="51"/>
  <c r="F434" i="51"/>
  <c r="F440" i="51"/>
  <c r="F464" i="51"/>
  <c r="F418" i="51"/>
  <c r="F424" i="51"/>
  <c r="F459" i="51"/>
  <c r="F413" i="51"/>
  <c r="F419" i="51"/>
  <c r="F448" i="51"/>
  <c r="F460" i="51"/>
  <c r="F420" i="51"/>
  <c r="F449" i="51"/>
  <c r="F455" i="51"/>
  <c r="F168" i="51"/>
  <c r="F156" i="51"/>
  <c r="F144" i="51"/>
  <c r="F132" i="51"/>
  <c r="F432" i="51"/>
  <c r="F444" i="51"/>
  <c r="F467" i="51"/>
  <c r="F179" i="51"/>
  <c r="F167" i="51"/>
  <c r="F155" i="51"/>
  <c r="F143" i="51"/>
  <c r="F131" i="51"/>
  <c r="F403" i="51"/>
  <c r="F409" i="51"/>
  <c r="F427" i="51"/>
  <c r="F450" i="51"/>
  <c r="F456" i="51"/>
  <c r="F111" i="51"/>
  <c r="F405" i="51"/>
  <c r="F411" i="51"/>
  <c r="F422" i="51"/>
  <c r="F438" i="51"/>
  <c r="F454" i="51"/>
  <c r="F470" i="51"/>
  <c r="F465" i="51"/>
  <c r="F407" i="51"/>
  <c r="F429" i="51"/>
  <c r="F445" i="51"/>
  <c r="F430" i="51"/>
  <c r="F446" i="51"/>
  <c r="F462" i="51"/>
  <c r="F301" i="51"/>
  <c r="F307" i="51"/>
  <c r="F313" i="51"/>
  <c r="F349" i="51"/>
  <c r="F355" i="51"/>
  <c r="F361" i="51"/>
  <c r="F373" i="51"/>
  <c r="F379" i="51"/>
  <c r="F385" i="51"/>
  <c r="F391" i="51"/>
  <c r="F397" i="51"/>
  <c r="F414" i="51"/>
  <c r="F425" i="51"/>
  <c r="F441" i="51"/>
  <c r="F457" i="51"/>
  <c r="F314" i="51"/>
  <c r="F326" i="51"/>
  <c r="F332" i="51"/>
  <c r="F338" i="51"/>
  <c r="F344" i="51"/>
  <c r="F362" i="51"/>
  <c r="F368" i="51"/>
  <c r="F398" i="51"/>
  <c r="F426" i="51"/>
  <c r="F442" i="51"/>
  <c r="F458" i="51"/>
  <c r="F474" i="51"/>
  <c r="F410" i="51"/>
  <c r="F421" i="51"/>
  <c r="F437" i="51"/>
  <c r="F453" i="51"/>
  <c r="F244" i="51"/>
  <c r="F256" i="51"/>
  <c r="F268" i="51"/>
  <c r="F280" i="51"/>
  <c r="F292" i="51"/>
  <c r="F150" i="51"/>
  <c r="F126" i="51"/>
  <c r="F72" i="51"/>
  <c r="F125" i="51"/>
  <c r="F124" i="51"/>
  <c r="F135" i="51"/>
  <c r="F315" i="51"/>
  <c r="F350" i="51"/>
  <c r="F356" i="51"/>
  <c r="F372" i="51"/>
  <c r="F388" i="51"/>
  <c r="F404" i="51"/>
  <c r="F108" i="51"/>
  <c r="F136" i="51"/>
  <c r="F310" i="51"/>
  <c r="F333" i="51"/>
  <c r="F339" i="51"/>
  <c r="F345" i="51"/>
  <c r="F367" i="51"/>
  <c r="F383" i="51"/>
  <c r="F399" i="51"/>
  <c r="F415" i="51"/>
  <c r="F64" i="51"/>
  <c r="F63" i="51"/>
  <c r="F300" i="51"/>
  <c r="F306" i="51"/>
  <c r="F312" i="51"/>
  <c r="F358" i="51"/>
  <c r="F374" i="51"/>
  <c r="F390" i="51"/>
  <c r="F406" i="51"/>
  <c r="F199" i="51"/>
  <c r="F205" i="51"/>
  <c r="F241" i="51"/>
  <c r="F247" i="51"/>
  <c r="F253" i="51"/>
  <c r="F318" i="51"/>
  <c r="F324" i="51"/>
  <c r="F347" i="51"/>
  <c r="F364" i="51"/>
  <c r="F380" i="51"/>
  <c r="F396" i="51"/>
  <c r="F412" i="51"/>
  <c r="F120" i="51"/>
  <c r="F182" i="51"/>
  <c r="F188" i="51"/>
  <c r="F200" i="51"/>
  <c r="F206" i="51"/>
  <c r="F212" i="51"/>
  <c r="F218" i="51"/>
  <c r="F224" i="51"/>
  <c r="F230" i="51"/>
  <c r="F236" i="51"/>
  <c r="F242" i="51"/>
  <c r="F254" i="51"/>
  <c r="F266" i="51"/>
  <c r="F278" i="51"/>
  <c r="F290" i="51"/>
  <c r="F348" i="51"/>
  <c r="F354" i="51"/>
  <c r="F370" i="51"/>
  <c r="F386" i="51"/>
  <c r="F402" i="51"/>
  <c r="F96" i="51"/>
  <c r="F302" i="51"/>
  <c r="F308" i="51"/>
  <c r="F331" i="51"/>
  <c r="F360" i="51"/>
  <c r="F376" i="51"/>
  <c r="F392" i="51"/>
  <c r="F408" i="51"/>
  <c r="F84" i="51"/>
  <c r="F161" i="51"/>
  <c r="F159" i="51"/>
  <c r="F51" i="51"/>
  <c r="F39" i="51"/>
  <c r="F27" i="51"/>
  <c r="F15" i="51"/>
  <c r="F184" i="51"/>
  <c r="F190" i="51"/>
  <c r="F196" i="51"/>
  <c r="F202" i="51"/>
  <c r="F208" i="51"/>
  <c r="F214" i="51"/>
  <c r="F220" i="51"/>
  <c r="F303" i="51"/>
  <c r="F319" i="51"/>
  <c r="F335" i="51"/>
  <c r="F351" i="51"/>
  <c r="F309" i="51"/>
  <c r="F325" i="51"/>
  <c r="F341" i="51"/>
  <c r="F162" i="51"/>
  <c r="F137" i="51"/>
  <c r="F160" i="51"/>
  <c r="F169" i="51"/>
  <c r="F157" i="51"/>
  <c r="F145" i="51"/>
  <c r="F133" i="51"/>
  <c r="F121" i="51"/>
  <c r="F109" i="51"/>
  <c r="F97" i="51"/>
  <c r="F85" i="51"/>
  <c r="F73" i="51"/>
  <c r="F239" i="51"/>
  <c r="F245" i="51"/>
  <c r="F251" i="51"/>
  <c r="F257" i="51"/>
  <c r="F263" i="51"/>
  <c r="F269" i="51"/>
  <c r="F275" i="51"/>
  <c r="F281" i="51"/>
  <c r="F287" i="51"/>
  <c r="F293" i="51"/>
  <c r="F304" i="51"/>
  <c r="F320" i="51"/>
  <c r="F336" i="51"/>
  <c r="F352" i="51"/>
  <c r="F180" i="51"/>
  <c r="F186" i="51"/>
  <c r="F192" i="51"/>
  <c r="F216" i="51"/>
  <c r="F222" i="51"/>
  <c r="F228" i="51"/>
  <c r="F234" i="51"/>
  <c r="F246" i="51"/>
  <c r="F258" i="51"/>
  <c r="F270" i="51"/>
  <c r="F282" i="51"/>
  <c r="F294" i="51"/>
  <c r="F305" i="51"/>
  <c r="F321" i="51"/>
  <c r="F337" i="51"/>
  <c r="F353" i="51"/>
  <c r="F259" i="51"/>
  <c r="F265" i="51"/>
  <c r="F271" i="51"/>
  <c r="F277" i="51"/>
  <c r="F283" i="51"/>
  <c r="F289" i="51"/>
  <c r="F295" i="51"/>
  <c r="F311" i="51"/>
  <c r="F327" i="51"/>
  <c r="F343" i="51"/>
  <c r="F138" i="51"/>
  <c r="F18" i="51"/>
  <c r="F248" i="51"/>
  <c r="F272" i="51"/>
  <c r="F149" i="51"/>
  <c r="F172" i="51"/>
  <c r="F148" i="51"/>
  <c r="F100" i="51"/>
  <c r="F209" i="51"/>
  <c r="F226" i="51"/>
  <c r="F264" i="51"/>
  <c r="F174" i="51"/>
  <c r="F54" i="51"/>
  <c r="F30" i="51"/>
  <c r="F6" i="51"/>
  <c r="F296" i="51"/>
  <c r="F171" i="51"/>
  <c r="F147" i="51"/>
  <c r="F123" i="51"/>
  <c r="F99" i="51"/>
  <c r="F198" i="51"/>
  <c r="F204" i="51"/>
  <c r="F215" i="51"/>
  <c r="F221" i="51"/>
  <c r="F232" i="51"/>
  <c r="F238" i="51"/>
  <c r="F250" i="51"/>
  <c r="F262" i="51"/>
  <c r="F274" i="51"/>
  <c r="F286" i="51"/>
  <c r="F252" i="51"/>
  <c r="F42" i="51"/>
  <c r="F260" i="51"/>
  <c r="F284" i="51"/>
  <c r="F173" i="51"/>
  <c r="F170" i="51"/>
  <c r="F158" i="51"/>
  <c r="F146" i="51"/>
  <c r="F134" i="51"/>
  <c r="F122" i="51"/>
  <c r="F110" i="51"/>
  <c r="F98" i="51"/>
  <c r="F86" i="51"/>
  <c r="F74" i="51"/>
  <c r="F62" i="51"/>
  <c r="F193" i="51"/>
  <c r="F210" i="51"/>
  <c r="F227" i="51"/>
  <c r="F194" i="51"/>
  <c r="F211" i="51"/>
  <c r="F276" i="51"/>
  <c r="F288" i="51"/>
  <c r="F240" i="51"/>
  <c r="F49" i="51"/>
  <c r="F12" i="51"/>
  <c r="F142" i="51"/>
  <c r="F129" i="51"/>
  <c r="F69" i="51"/>
  <c r="F152" i="51"/>
  <c r="F175" i="51"/>
  <c r="F163" i="51"/>
  <c r="F151" i="51"/>
  <c r="F139" i="51"/>
  <c r="F127" i="51"/>
  <c r="F185" i="51"/>
  <c r="F201" i="51"/>
  <c r="F217" i="51"/>
  <c r="F233" i="51"/>
  <c r="F154" i="51"/>
  <c r="F153" i="51"/>
  <c r="F93" i="51"/>
  <c r="F176" i="51"/>
  <c r="F191" i="51"/>
  <c r="F207" i="51"/>
  <c r="F223" i="51"/>
  <c r="F61" i="51"/>
  <c r="F13" i="51"/>
  <c r="F166" i="51"/>
  <c r="F165" i="51"/>
  <c r="F105" i="51"/>
  <c r="F140" i="51"/>
  <c r="F25" i="51"/>
  <c r="F48" i="51"/>
  <c r="F178" i="51"/>
  <c r="F141" i="51"/>
  <c r="F81" i="51"/>
  <c r="F128" i="51"/>
  <c r="F76" i="51"/>
  <c r="F181" i="51"/>
  <c r="F197" i="51"/>
  <c r="F213" i="51"/>
  <c r="F229" i="51"/>
  <c r="F37" i="51"/>
  <c r="F130" i="51"/>
  <c r="F177" i="51"/>
  <c r="F117" i="51"/>
  <c r="F164" i="51"/>
  <c r="F87" i="51"/>
  <c r="F75" i="51"/>
  <c r="F187" i="51"/>
  <c r="F203" i="51"/>
  <c r="F219" i="51"/>
  <c r="F235" i="51"/>
  <c r="F24" i="51"/>
  <c r="F23" i="51"/>
  <c r="F46" i="51"/>
  <c r="F45" i="51"/>
  <c r="F9" i="51"/>
  <c r="F90" i="51"/>
  <c r="F101" i="51"/>
  <c r="F65" i="51"/>
  <c r="F29" i="51"/>
  <c r="F52" i="51"/>
  <c r="F40" i="51"/>
  <c r="F28" i="51"/>
  <c r="F16" i="51"/>
  <c r="F4" i="51"/>
  <c r="F60" i="51"/>
  <c r="F47" i="51"/>
  <c r="F22" i="51"/>
  <c r="F33" i="51"/>
  <c r="F114" i="51"/>
  <c r="F66" i="51"/>
  <c r="F89" i="51"/>
  <c r="F53" i="51"/>
  <c r="F17" i="51"/>
  <c r="F35" i="51"/>
  <c r="F11" i="51"/>
  <c r="F34" i="51"/>
  <c r="F57" i="51"/>
  <c r="F102" i="51"/>
  <c r="F78" i="51"/>
  <c r="F113" i="51"/>
  <c r="F77" i="51"/>
  <c r="F41" i="51"/>
  <c r="F5" i="51"/>
  <c r="F36" i="51"/>
  <c r="F59" i="51"/>
  <c r="F58" i="51"/>
  <c r="F10" i="51"/>
  <c r="F21" i="51"/>
  <c r="F116" i="51"/>
  <c r="F104" i="51"/>
  <c r="F92" i="51"/>
  <c r="F80" i="51"/>
  <c r="F68" i="51"/>
  <c r="F56" i="51"/>
  <c r="F44" i="51"/>
  <c r="F32" i="51"/>
  <c r="F20" i="51"/>
  <c r="F8" i="51"/>
  <c r="F115" i="51"/>
  <c r="F103" i="51"/>
  <c r="F91" i="51"/>
  <c r="F79" i="51"/>
  <c r="F67" i="51"/>
  <c r="F55" i="51"/>
  <c r="F43" i="51"/>
  <c r="F31" i="51"/>
  <c r="F19" i="51"/>
  <c r="F7" i="51"/>
  <c r="F3" i="51"/>
  <c r="AG12" i="46" l="1"/>
  <c r="AG34" i="46"/>
  <c r="AG36" i="46"/>
  <c r="AG37" i="46"/>
  <c r="AG39" i="46"/>
  <c r="AG40" i="46"/>
  <c r="AG43" i="46"/>
  <c r="AG44" i="46"/>
  <c r="AG47" i="46"/>
  <c r="AG50" i="46"/>
  <c r="AG54" i="46"/>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K4" i="49" l="1"/>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 id="13" xr16:uid="{00000000-0015-0000-FFFF-FFFF0C000000}" keepAlive="1" name="Requête - t_03_01_01 (1)" description="Connexion à la requête « t_03_01_01 (1) » dans le classeur." type="5" refreshedVersion="0" background="1">
    <dbPr connection="Provider=Microsoft.Mashup.OleDb.1;Data Source=$Workbook$;Location=&quot;t_03_01_01 (1)&quot;;Extended Properties=&quot;&quot;" command="SELECT * FROM [t_03_01_01 (1)]"/>
  </connection>
  <connection id="14" xr16:uid="{00000000-0015-0000-FFFF-FFFF0D000000}" keepAlive="1" name="Requête - t_03_01_02 (2)" description="Connexion à la requête « t_03_01_02 (2) » dans le classeur." type="5" refreshedVersion="0" background="1">
    <dbPr connection="Provider=Microsoft.Mashup.OleDb.1;Data Source=$Workbook$;Location=&quot;t_03_01_02 (2)&quot;;Extended Properties=&quot;&quot;" command="SELECT * FROM [t_03_01_02 (2)]"/>
  </connection>
  <connection id="15" xr16:uid="{00000000-0015-0000-FFFF-FFFF0E000000}" keepAlive="1" name="Requête - t_03_02_01" description="Connexion à la requête « t_03_02_01 » dans le classeur." type="5" refreshedVersion="0" background="1">
    <dbPr connection="Provider=Microsoft.Mashup.OleDb.1;Data Source=$Workbook$;Location=t_03_02_01;Extended Properties=&quot;&quot;" command="SELECT * FROM [t_03_02_01]"/>
  </connection>
  <connection id="16" xr16:uid="{00000000-0015-0000-FFFF-FFFF0F000000}" keepAlive="1" name="Requête - t_03_02_02" description="Connexion à la requête « t_03_02_02 » dans le classeur." type="5" refreshedVersion="0" background="1">
    <dbPr connection="Provider=Microsoft.Mashup.OleDb.1;Data Source=$Workbook$;Location=t_03_02_02;Extended Properties=&quot;&quot;" command="SELECT * FROM [t_03_02_02]"/>
  </connection>
  <connection id="17" xr16:uid="{00000000-0015-0000-FFFF-FFFF10000000}" keepAlive="1" name="Requête - t_03_02_03" description="Connexion à la requête « t_03_02_03 » dans le classeur." type="5" refreshedVersion="0" background="1">
    <dbPr connection="Provider=Microsoft.Mashup.OleDb.1;Data Source=$Workbook$;Location=t_03_02_03;Extended Properties=&quot;&quot;" command="SELECT * FROM [t_03_02_03]"/>
  </connection>
  <connection id="18" xr16:uid="{00000000-0015-0000-FFFF-FFFF11000000}" keepAlive="1" name="Requête - t_03_02_04" description="Connexion à la requête « t_03_02_04 » dans le classeur." type="5" refreshedVersion="0" background="1">
    <dbPr connection="Provider=Microsoft.Mashup.OleDb.1;Data Source=$Workbook$;Location=t_03_02_04;Extended Properties=&quot;&quot;" command="SELECT * FROM [t_03_02_04]"/>
  </connection>
  <connection id="19" xr16:uid="{00000000-0015-0000-FFFF-FFFF12000000}" keepAlive="1" name="Requête - t_03_02_05" description="Connexion à la requête « t_03_02_05 » dans le classeur." type="5" refreshedVersion="0" background="1">
    <dbPr connection="Provider=Microsoft.Mashup.OleDb.1;Data Source=$Workbook$;Location=t_03_02_05;Extended Properties=&quot;&quot;" command="SELECT * FROM [t_03_02_05]"/>
  </connection>
  <connection id="20" xr16:uid="{00000000-0015-0000-FFFF-FFFF13000000}" keepAlive="1" name="Requête - t_03_02_06" description="Connexion à la requête « t_03_02_06 » dans le classeur." type="5" refreshedVersion="0" background="1">
    <dbPr connection="Provider=Microsoft.Mashup.OleDb.1;Data Source=$Workbook$;Location=t_03_02_06;Extended Properties=&quot;&quot;" command="SELECT * FROM [t_03_02_06]"/>
  </connection>
</connections>
</file>

<file path=xl/sharedStrings.xml><?xml version="1.0" encoding="utf-8"?>
<sst xmlns="http://schemas.openxmlformats.org/spreadsheetml/2006/main" count="13978" uniqueCount="6861">
  <si>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</si>
  <si>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</si>
  <si>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</si>
  <si>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</si>
  <si>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</si>
  <si>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</si>
  <si>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</si>
  <si>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</si>
  <si>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</si>
  <si>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</si>
  <si>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</si>
  <si>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</si>
  <si>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</si>
  <si>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</si>
  <si>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</si>
  <si>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</si>
  <si>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</si>
  <si>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</si>
  <si>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</si>
  <si>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</si>
  <si>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</si>
  <si>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</si>
  <si>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</si>
  <si>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</si>
  <si>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</si>
  <si>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</si>
  <si>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</si>
  <si>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</si>
  <si>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</si>
  <si>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</si>
  <si>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</si>
  <si>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</si>
  <si>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</si>
  <si>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</si>
  <si>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</si>
  <si>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</si>
  <si>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</si>
  <si>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</si>
  <si>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</si>
  <si>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</si>
  <si>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</si>
  <si>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</si>
  <si>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</si>
  <si>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</si>
  <si>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</si>
  <si>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</si>
  <si>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</si>
  <si>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</si>
  <si>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</si>
  <si>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</si>
  <si>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</si>
  <si>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</si>
  <si>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</si>
  <si>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</si>
  <si>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</si>
  <si>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</si>
  <si>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</si>
  <si>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</si>
  <si>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</si>
  <si>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</si>
  <si>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</si>
  <si>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</si>
  <si>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</si>
  <si>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</si>
  <si>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</si>
  <si>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</si>
  <si>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</si>
  <si>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</si>
  <si>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</si>
  <si>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</si>
  <si>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</si>
  <si>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</si>
  <si>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</si>
  <si>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</si>
  <si>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</si>
  <si>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</si>
  <si>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</si>
  <si>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</si>
  <si>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</si>
  <si>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</si>
  <si>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</si>
  <si>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</si>
  <si>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</si>
  <si>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</si>
  <si>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</si>
  <si>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</si>
  <si>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</si>
  <si>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</si>
  <si>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</si>
  <si>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</si>
  <si>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</si>
  <si>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</si>
  <si>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</si>
  <si>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</si>
  <si>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</si>
  <si>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</si>
  <si>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</si>
  <si>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</si>
  <si>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</si>
  <si>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</si>
  <si>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</si>
  <si>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</si>
  <si>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</si>
  <si>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</si>
  <si>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</si>
  <si>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</si>
  <si>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</si>
  <si>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</si>
  <si>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</si>
  <si>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</si>
  <si>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</si>
  <si>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</si>
  <si>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</si>
  <si>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</si>
  <si>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</si>
  <si>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</si>
  <si>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</si>
  <si>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</si>
  <si>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</si>
  <si>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</si>
  <si>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</si>
  <si>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</si>
  <si>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</si>
  <si>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</si>
  <si>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</si>
  <si>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</si>
  <si>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</si>
  <si>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</si>
  <si>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</si>
  <si>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</si>
  <si>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</si>
  <si>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</si>
  <si>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</si>
  <si>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</si>
  <si>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</si>
  <si>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</si>
  <si>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</si>
  <si>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</si>
  <si>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</si>
  <si>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</si>
  <si>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</si>
  <si>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</si>
  <si>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</si>
  <si>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</si>
  <si>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</si>
  <si>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</si>
  <si>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</si>
  <si>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</si>
  <si>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</si>
  <si>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</si>
  <si>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</si>
  <si>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</si>
  <si>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</si>
  <si>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</si>
  <si>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</si>
  <si>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</si>
  <si>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</si>
  <si>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</si>
  <si>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</si>
  <si>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</si>
  <si>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</si>
  <si>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</si>
  <si>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</si>
  <si>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</si>
  <si>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</si>
  <si>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</si>
  <si>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</si>
  <si>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</si>
  <si>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</si>
  <si>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</si>
  <si>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</si>
  <si>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</si>
  <si>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</si>
  <si>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</si>
  <si>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</si>
  <si>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</si>
  <si>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</si>
  <si>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</si>
  <si>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</si>
  <si>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</si>
  <si>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</si>
  <si>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</si>
  <si>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</si>
  <si>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</si>
  <si>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</si>
  <si>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</si>
  <si>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</si>
  <si>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</si>
  <si>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</si>
  <si>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</si>
  <si>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</si>
  <si>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</si>
  <si>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</si>
  <si>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</si>
  <si>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</si>
  <si>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</si>
  <si>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</si>
  <si>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</si>
  <si>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</si>
  <si>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</si>
  <si>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</si>
  <si>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</si>
  <si>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</si>
  <si>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</si>
  <si>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</si>
  <si>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</si>
  <si>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</si>
  <si>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</si>
  <si>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</si>
  <si>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</si>
  <si>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</si>
  <si>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</si>
  <si>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</si>
  <si>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</si>
  <si>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</si>
  <si>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</si>
  <si>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</si>
  <si>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</si>
  <si>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</si>
  <si>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</si>
  <si>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</si>
  <si>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</si>
  <si>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</si>
  <si>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</si>
  <si>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</si>
  <si>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</si>
  <si>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</si>
  <si>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</si>
  <si>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</si>
  <si>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</si>
  <si>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</si>
  <si>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</si>
  <si>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</si>
  <si>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</si>
  <si>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</si>
  <si>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</si>
  <si>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</si>
  <si>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</si>
  <si>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</si>
  <si>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</si>
  <si>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</si>
  <si>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</si>
  <si>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</si>
  <si>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</si>
  <si>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</si>
  <si>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</si>
  <si>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</si>
  <si>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</si>
  <si>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</si>
  <si>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</si>
  <si>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</si>
  <si>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</si>
  <si>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</si>
  <si>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</si>
  <si>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</si>
  <si>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</si>
  <si>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</si>
  <si>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</si>
  <si>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</si>
  <si>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</si>
  <si>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</si>
  <si>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</si>
  <si>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</si>
  <si>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</si>
  <si>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</si>
  <si>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</si>
  <si>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</si>
  <si>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</si>
  <si>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</si>
  <si>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</si>
  <si>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</si>
  <si>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</si>
  <si>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</si>
  <si>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</si>
  <si>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</si>
  <si>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</si>
  <si>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</si>
  <si>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</si>
  <si>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</si>
  <si>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</si>
  <si>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</si>
  <si>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</si>
  <si>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</si>
  <si>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</si>
  <si>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</si>
  <si>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</si>
  <si>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</si>
  <si>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</si>
  <si>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</si>
  <si>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</si>
  <si>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</si>
  <si>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</si>
  <si>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</si>
  <si>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</si>
  <si>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</si>
  <si>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</si>
  <si>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</si>
  <si>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</si>
  <si>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</si>
  <si>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</si>
  <si>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</si>
  <si>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</si>
  <si>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</si>
  <si>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</si>
  <si>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</si>
  <si>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</si>
  <si>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</si>
  <si>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</si>
  <si>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</si>
  <si>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</si>
  <si>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</si>
  <si>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</si>
  <si>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</si>
  <si>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</si>
  <si>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</si>
  <si>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</si>
  <si>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</si>
  <si>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</si>
  <si>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</si>
  <si>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</si>
  <si>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</si>
  <si>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</si>
  <si>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</si>
  <si>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</si>
  <si>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</si>
  <si>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</si>
  <si>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</si>
  <si>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</si>
  <si>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</si>
  <si>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</si>
  <si>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</si>
  <si>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</si>
  <si>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</si>
  <si>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</si>
  <si>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</si>
  <si>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</si>
  <si>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</si>
  <si>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</si>
  <si>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</si>
  <si>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</si>
  <si>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</si>
  <si>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</si>
  <si>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</si>
  <si>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</si>
  <si>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</si>
  <si>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</si>
  <si>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</si>
  <si>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</si>
  <si>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</si>
  <si>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</si>
  <si>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</si>
  <si>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</si>
  <si>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</si>
  <si>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</si>
  <si>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</si>
  <si>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</si>
  <si>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</si>
  <si>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</si>
  <si>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</si>
  <si>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</si>
  <si>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</si>
  <si>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</si>
  <si>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</si>
  <si>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</si>
  <si>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</si>
  <si>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</si>
  <si>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</si>
  <si>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</si>
  <si>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</si>
  <si>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</si>
  <si>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</si>
  <si>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</si>
  <si>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</si>
  <si>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</si>
  <si>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</si>
  <si>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</si>
  <si>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</si>
  <si>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</si>
  <si>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</si>
  <si>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</si>
  <si>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</si>
  <si>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</si>
  <si>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</si>
  <si>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</si>
  <si>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</si>
  <si>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</si>
  <si>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</si>
  <si>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</si>
  <si>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</si>
  <si>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</si>
  <si>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</si>
  <si>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</si>
  <si>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</si>
  <si>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</si>
  <si>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</si>
  <si>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</si>
  <si>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</si>
  <si>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</si>
  <si>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</si>
  <si>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</si>
  <si>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</si>
  <si>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</si>
  <si>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</si>
  <si>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</si>
  <si>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</si>
  <si>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</si>
  <si>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</si>
  <si>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</si>
  <si>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</si>
  <si>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</si>
  <si>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</si>
  <si>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</si>
  <si>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</si>
  <si>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</si>
  <si>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</si>
  <si>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</si>
  <si>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</si>
  <si>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</si>
  <si>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</si>
  <si>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</si>
  <si>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</si>
  <si>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</si>
  <si>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</si>
  <si>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</si>
  <si>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</si>
  <si>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</si>
  <si>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</si>
  <si>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</si>
  <si>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</si>
  <si>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</si>
  <si>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</si>
  <si>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</si>
  <si>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</si>
  <si>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</si>
  <si>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</si>
  <si>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</si>
  <si>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</si>
  <si>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</si>
  <si>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</si>
  <si>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</si>
  <si>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</si>
  <si>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</si>
  <si>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</si>
  <si>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</si>
  <si>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</si>
  <si>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</si>
  <si>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</si>
  <si>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</si>
  <si>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</si>
  <si>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</si>
  <si>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</si>
  <si>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</si>
  <si>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</si>
  <si>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</si>
  <si>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</si>
  <si>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</si>
  <si>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</si>
  <si>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</si>
  <si>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</si>
  <si>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</si>
  <si>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</si>
  <si>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</si>
  <si>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</si>
  <si>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</si>
  <si>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</si>
  <si>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</si>
  <si>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</si>
  <si>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</si>
  <si>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</si>
  <si>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</si>
  <si>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</si>
  <si>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</si>
  <si>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</si>
  <si>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</si>
  <si>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</si>
  <si>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</si>
  <si>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</si>
  <si>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</si>
  <si>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</si>
  <si>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</si>
  <si>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</si>
  <si>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</si>
  <si>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</si>
  <si>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</si>
  <si>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</si>
  <si>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</si>
  <si>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</si>
  <si>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</si>
  <si>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</si>
  <si>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</si>
  <si>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</si>
  <si>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</si>
  <si>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</si>
  <si>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</si>
  <si>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</si>
  <si>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</si>
  <si>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</si>
  <si>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</si>
  <si>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</si>
  <si>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</si>
  <si>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</si>
  <si>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</si>
  <si>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</si>
  <si>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</si>
  <si>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</si>
  <si>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</si>
  <si>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</si>
  <si>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</si>
  <si>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</si>
  <si>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</si>
  <si>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</si>
  <si>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</si>
  <si>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</si>
  <si>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</si>
  <si>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</si>
  <si>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</si>
  <si>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</si>
  <si>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</si>
  <si>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</si>
  <si>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</si>
  <si>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</si>
  <si>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</si>
  <si>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</si>
  <si>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</si>
  <si>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</si>
  <si>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</si>
  <si>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</si>
  <si>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</si>
  <si>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</si>
  <si>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</si>
  <si>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</si>
  <si>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</si>
  <si>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</si>
  <si>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</si>
  <si>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</si>
  <si>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</si>
  <si>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</si>
  <si>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</si>
  <si>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</si>
  <si>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</si>
  <si>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</si>
  <si>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</si>
  <si>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</si>
  <si>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</si>
  <si>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</si>
  <si>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</si>
  <si>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</si>
  <si>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</si>
  <si>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</si>
  <si>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</si>
  <si>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</si>
  <si>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</si>
  <si>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</si>
  <si>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</si>
  <si>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</si>
  <si>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</si>
  <si>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</si>
  <si>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</si>
  <si>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</si>
  <si>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</si>
  <si>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</si>
  <si>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</si>
  <si>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</si>
  <si>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</si>
  <si>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</si>
  <si>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</si>
  <si>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</si>
  <si>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</si>
  <si>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</si>
  <si>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</si>
  <si>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</si>
  <si>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</si>
  <si>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</si>
  <si>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</si>
  <si>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</si>
  <si>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</si>
  <si>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</si>
  <si>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</si>
  <si>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</si>
  <si>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</si>
  <si>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</si>
  <si>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</si>
  <si>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</si>
  <si>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</si>
  <si>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</si>
  <si>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</si>
  <si>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</si>
  <si>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</si>
  <si>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</si>
  <si>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</si>
  <si>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</si>
  <si>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</si>
  <si>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</si>
  <si>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</si>
  <si>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</si>
  <si>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</si>
  <si>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</si>
  <si>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</si>
  <si>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</si>
  <si>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</si>
  <si>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</si>
  <si>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</si>
  <si>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</si>
  <si>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</si>
  <si>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</si>
  <si>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</si>
  <si>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</si>
  <si>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</si>
  <si>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</si>
  <si>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</si>
  <si>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</si>
  <si>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</si>
  <si>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</si>
  <si>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</si>
  <si>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</si>
  <si>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</si>
  <si>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</si>
  <si>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</si>
  <si>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</si>
  <si>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</si>
  <si>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</si>
  <si>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</si>
  <si>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</si>
  <si>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</si>
  <si>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</si>
  <si>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</si>
  <si>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</si>
  <si>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</si>
  <si>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</si>
  <si>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</si>
  <si>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</si>
  <si>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</si>
  <si>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</si>
  <si>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</si>
  <si>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</si>
  <si>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</si>
  <si>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</si>
  <si>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</si>
  <si>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</si>
  <si>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</si>
  <si>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</si>
  <si>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</si>
  <si>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</si>
  <si>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</si>
  <si>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</si>
  <si>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</si>
  <si>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</si>
  <si>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</si>
  <si>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</si>
  <si>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</si>
  <si>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</si>
  <si>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</si>
  <si>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</si>
  <si>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</si>
  <si>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</si>
  <si>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</si>
  <si>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</si>
  <si>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</si>
  <si>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</si>
  <si>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</si>
  <si>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</si>
  <si>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</si>
  <si>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</si>
  <si>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</si>
  <si>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</si>
  <si>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</si>
  <si>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</si>
  <si>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</si>
  <si>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</si>
  <si>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</si>
  <si>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</si>
  <si>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</si>
  <si>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</si>
  <si>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</si>
  <si>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</si>
  <si>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</si>
  <si>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</si>
  <si>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</si>
  <si>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</si>
  <si>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</si>
  <si>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</si>
  <si>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</si>
  <si>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</si>
  <si>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</si>
  <si>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</si>
  <si>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</si>
  <si>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</si>
  <si>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</si>
  <si>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</si>
  <si>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</si>
  <si>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</si>
  <si>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</si>
  <si>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</si>
  <si>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</si>
  <si>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</si>
  <si>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</si>
  <si>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</si>
  <si>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</si>
  <si>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</si>
  <si>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</si>
  <si>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</si>
  <si>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</si>
  <si>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</si>
  <si>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</si>
  <si>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</si>
  <si>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</si>
  <si>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</si>
  <si>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</si>
  <si>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</si>
  <si>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</si>
  <si>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</si>
  <si>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</si>
  <si>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</si>
  <si>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</si>
  <si>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</si>
  <si>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</si>
  <si>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</si>
  <si>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</si>
  <si>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</si>
  <si>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</si>
  <si>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</si>
  <si>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</si>
  <si>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</si>
  <si>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</si>
  <si>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</si>
  <si>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</si>
  <si>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</si>
  <si>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</si>
  <si>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</si>
  <si>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</si>
  <si>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</si>
  <si>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</si>
  <si>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</si>
  <si>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</si>
  <si>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</si>
  <si>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</si>
  <si>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</si>
  <si>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</si>
  <si>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</si>
  <si>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</si>
  <si>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</si>
  <si>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</si>
  <si>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</si>
  <si>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</si>
  <si>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</si>
  <si>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</si>
  <si>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</si>
  <si>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</si>
  <si>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</si>
  <si>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</si>
  <si>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</si>
  <si>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</si>
  <si>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</si>
  <si>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</si>
  <si>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</si>
  <si>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</si>
  <si>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</si>
  <si>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</si>
  <si>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</si>
  <si>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</si>
  <si>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</si>
  <si>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</si>
  <si>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</si>
  <si>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</si>
  <si>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</si>
  <si>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</si>
  <si>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</si>
  <si>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</si>
  <si>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</si>
  <si>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</si>
  <si>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</si>
  <si>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</si>
  <si>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</si>
  <si>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</si>
  <si>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</si>
  <si>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</si>
  <si>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</si>
  <si>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</si>
  <si>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</si>
  <si>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</si>
  <si>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</si>
  <si>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</si>
  <si>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</si>
  <si>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</si>
  <si>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</si>
  <si>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</si>
  <si>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</si>
  <si>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</si>
  <si>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</si>
  <si>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</si>
  <si>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</si>
  <si>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</si>
  <si>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</si>
  <si>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</si>
  <si>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</si>
  <si>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</si>
  <si>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</si>
  <si>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</si>
  <si>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</si>
  <si>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</si>
  <si>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</si>
  <si>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</si>
  <si>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</si>
  <si>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</si>
  <si>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</si>
  <si>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</si>
  <si>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</si>
  <si>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</si>
  <si>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</si>
  <si>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</si>
  <si>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</si>
  <si>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</si>
  <si>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</si>
  <si>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</si>
  <si>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</si>
  <si>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</si>
  <si>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</si>
  <si>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</si>
  <si>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</si>
  <si>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</si>
  <si>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</si>
  <si>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</si>
  <si>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</si>
  <si>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</si>
  <si>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</si>
  <si>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</si>
  <si>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</si>
  <si>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</si>
  <si>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</si>
  <si>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</si>
  <si>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</si>
  <si>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</si>
  <si>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</si>
  <si>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</si>
  <si>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</si>
  <si>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</si>
  <si>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</si>
  <si>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</si>
  <si>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</si>
  <si>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</si>
  <si>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</si>
  <si>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</si>
  <si>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</si>
  <si>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</si>
  <si>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</si>
  <si>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</si>
  <si>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</si>
  <si>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</si>
  <si>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</si>
  <si>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</si>
  <si>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</si>
  <si>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</si>
  <si>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</si>
  <si>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</si>
  <si>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</si>
  <si>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</si>
  <si>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</si>
  <si>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</si>
  <si>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</si>
  <si>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</si>
  <si>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</si>
  <si>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</si>
  <si>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</si>
  <si>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</si>
  <si>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</si>
  <si>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</si>
  <si>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</si>
  <si>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</si>
  <si>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</si>
  <si>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</si>
  <si>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</si>
  <si>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</si>
  <si>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</si>
  <si>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</si>
  <si>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</si>
  <si>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</si>
  <si>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</si>
  <si>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</si>
  <si>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</si>
  <si>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</si>
  <si>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</si>
  <si>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</si>
  <si>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</si>
  <si>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</si>
  <si>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</si>
  <si>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</si>
  <si>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</si>
  <si>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</si>
  <si>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</si>
  <si>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</si>
  <si>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</si>
  <si>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</si>
  <si>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</si>
  <si>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</si>
  <si>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</si>
  <si>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</si>
  <si>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</si>
  <si>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</si>
  <si>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</si>
  <si>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</si>
  <si>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</si>
  <si>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</si>
  <si>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</si>
  <si>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</si>
  <si>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</si>
  <si>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</si>
  <si>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</si>
  <si>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</si>
  <si>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</si>
  <si>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</si>
  <si>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</si>
  <si>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</si>
  <si>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</si>
  <si>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</si>
  <si>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</si>
  <si>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</si>
  <si>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</si>
  <si>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</si>
  <si>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</si>
  <si>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</si>
  <si>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</si>
  <si>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</si>
  <si>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</si>
  <si>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</si>
  <si>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</si>
  <si>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</si>
  <si>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</si>
  <si>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</si>
  <si>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</si>
  <si>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</si>
  <si>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</si>
  <si>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</si>
  <si>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</si>
  <si>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</si>
  <si>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</si>
  <si>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</si>
  <si>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</si>
  <si>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</si>
  <si>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</si>
  <si>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</si>
  <si>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</si>
  <si>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</si>
  <si>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</si>
  <si>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</si>
  <si>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</si>
  <si>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</si>
  <si>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</si>
  <si>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</si>
  <si>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</si>
  <si>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</si>
  <si>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</si>
  <si>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</si>
  <si>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</si>
  <si>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</si>
  <si>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</si>
  <si>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</si>
  <si>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</si>
  <si>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</si>
  <si>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</si>
  <si>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</si>
  <si>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</si>
  <si>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</si>
  <si>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</si>
  <si>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</si>
  <si>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</si>
  <si>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</si>
  <si>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</si>
  <si>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</si>
  <si>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</si>
  <si>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</si>
  <si>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</si>
  <si>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</si>
  <si>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</si>
  <si>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</si>
  <si>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</si>
  <si>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</si>
  <si>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</si>
  <si>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</si>
  <si>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</si>
  <si>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</si>
  <si>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</si>
  <si>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</si>
  <si>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</si>
  <si>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</si>
  <si>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</si>
  <si>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</si>
  <si>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</si>
  <si>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</si>
  <si>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</si>
  <si>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</si>
  <si>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</si>
  <si>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</si>
  <si>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</si>
  <si>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</si>
  <si>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</si>
  <si>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</si>
  <si>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</si>
  <si>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</si>
  <si>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</si>
  <si>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</si>
  <si>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</si>
  <si>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</si>
  <si>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</si>
  <si>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</si>
  <si>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</si>
  <si>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</si>
  <si>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</si>
  <si>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</si>
  <si>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</si>
  <si>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</si>
  <si>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</si>
  <si>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</si>
  <si>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</si>
  <si>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</si>
  <si>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</si>
  <si>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</si>
  <si>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</si>
  <si>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</si>
  <si>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</si>
  <si>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</si>
  <si>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</si>
  <si>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</si>
  <si>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</si>
  <si>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</si>
  <si>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</si>
  <si>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</si>
  <si>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</si>
  <si>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</si>
  <si>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</si>
  <si>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</si>
  <si>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</si>
  <si>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</si>
  <si>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</si>
  <si>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</si>
  <si>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</si>
  <si>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</si>
  <si>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</si>
  <si>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</si>
  <si>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</si>
  <si>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</si>
  <si>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</si>
  <si>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</si>
  <si>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</si>
  <si>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</si>
  <si>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</si>
  <si>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</si>
  <si>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</si>
  <si>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</si>
  <si>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</si>
  <si>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</si>
  <si>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</si>
  <si>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</si>
  <si>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</si>
  <si>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</si>
  <si>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</si>
  <si>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</si>
  <si>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</si>
  <si>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</si>
  <si>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</si>
  <si>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</si>
  <si>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</si>
  <si>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</si>
  <si>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</si>
  <si>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</si>
  <si>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</si>
  <si>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</si>
  <si>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</si>
  <si>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</si>
  <si>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</si>
  <si>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</si>
  <si>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</si>
  <si>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</si>
  <si>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</si>
  <si>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</si>
  <si>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</si>
  <si>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</si>
  <si>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</si>
  <si>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</si>
  <si>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</si>
  <si>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</si>
  <si>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</si>
  <si>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</si>
  <si>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</si>
  <si>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</si>
  <si>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</si>
  <si>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</si>
  <si>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</si>
  <si>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</si>
  <si>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</si>
  <si>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</si>
  <si>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</si>
  <si>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</si>
  <si>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</si>
  <si>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</si>
  <si>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</si>
  <si>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</si>
  <si>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</si>
  <si>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</si>
  <si>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</si>
  <si>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</si>
  <si>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</si>
  <si>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</si>
  <si>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</si>
  <si>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</si>
  <si>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</si>
  <si>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</si>
  <si>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</si>
  <si>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</si>
  <si>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</si>
  <si>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</si>
  <si>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</si>
  <si>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</si>
  <si>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</si>
  <si>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</si>
  <si>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</si>
  <si>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</si>
  <si>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</si>
  <si>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</si>
  <si>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</si>
  <si>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</si>
  <si>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</si>
  <si>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</si>
  <si>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</si>
  <si>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</si>
  <si>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</si>
  <si>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</si>
  <si>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</si>
  <si>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</si>
  <si>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</si>
  <si>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</si>
  <si>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</si>
  <si>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</si>
  <si>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</si>
  <si>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</si>
  <si>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</si>
  <si>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</si>
  <si>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</si>
  <si>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</si>
  <si>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</si>
  <si>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</si>
  <si>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</si>
  <si>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</si>
  <si>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</si>
  <si>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</si>
  <si>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</si>
  <si>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</si>
  <si>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</si>
  <si>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</si>
  <si>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</si>
  <si>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</si>
  <si>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</si>
  <si>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</si>
  <si>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</si>
  <si>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</si>
  <si>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</si>
  <si>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</si>
  <si>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</si>
  <si>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</si>
  <si>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</si>
  <si>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</si>
  <si>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</si>
  <si>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</si>
  <si>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</si>
  <si>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</si>
  <si>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</si>
  <si>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</si>
  <si>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</si>
  <si>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</si>
  <si>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</si>
  <si>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</si>
  <si>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</si>
  <si>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</si>
  <si>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</si>
  <si>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</si>
  <si>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</si>
  <si>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</si>
  <si>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</si>
  <si>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</si>
  <si>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</si>
  <si>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</si>
  <si>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</si>
  <si>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</si>
  <si>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</si>
  <si>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</si>
  <si>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</si>
  <si>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</si>
  <si>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</si>
  <si>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</si>
  <si>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</si>
  <si>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</si>
  <si>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</si>
  <si>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</si>
  <si>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</si>
  <si>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</si>
  <si>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</si>
  <si>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</si>
  <si>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</si>
  <si>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</si>
  <si>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</si>
  <si>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</si>
  <si>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</si>
  <si>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</si>
  <si>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</si>
  <si>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</si>
  <si>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</si>
  <si>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</si>
  <si>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</si>
  <si>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</si>
  <si>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</si>
  <si>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</si>
  <si>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</si>
  <si>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</si>
  <si>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</si>
  <si>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</si>
  <si>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</si>
  <si>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</si>
  <si>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</si>
  <si>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</si>
  <si>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</si>
  <si>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</si>
  <si>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</si>
  <si>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</si>
  <si>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</si>
  <si>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</si>
  <si>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</si>
  <si>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</si>
  <si>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</si>
  <si>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</si>
  <si>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</si>
  <si>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</si>
  <si>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</si>
  <si>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</si>
  <si>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</si>
  <si>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</si>
  <si>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</si>
  <si>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</si>
  <si>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</si>
  <si>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</si>
  <si>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</si>
  <si>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</si>
  <si>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</si>
  <si>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</si>
  <si>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</si>
  <si>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</si>
  <si>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</si>
  <si>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</si>
  <si>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</si>
  <si>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</si>
  <si>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</si>
  <si>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</si>
  <si>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</si>
  <si>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</si>
  <si>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</si>
  <si>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</si>
  <si>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</si>
  <si>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</si>
  <si>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</si>
  <si>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</si>
  <si>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</si>
  <si>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</si>
  <si>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</si>
  <si>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</si>
  <si>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</si>
  <si>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</si>
  <si>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</si>
  <si>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</si>
  <si>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</si>
  <si>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</si>
  <si>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</si>
  <si>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</si>
  <si>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</si>
  <si>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</si>
  <si>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</si>
  <si>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</si>
  <si>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</si>
  <si>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</si>
  <si>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</si>
  <si>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</si>
  <si>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</si>
  <si>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</si>
  <si>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</si>
  <si>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</si>
  <si>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</si>
  <si>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</si>
  <si>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</si>
  <si>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</si>
  <si>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</si>
  <si>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</si>
  <si>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</si>
  <si>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</si>
  <si>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</si>
  <si>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</si>
  <si>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</si>
  <si>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</si>
  <si>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</si>
  <si>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</si>
  <si>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</si>
  <si>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</si>
  <si>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</si>
  <si>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</si>
  <si>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</si>
  <si>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</si>
  <si>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</si>
  <si>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</si>
  <si>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</si>
  <si>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</si>
  <si>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</si>
  <si>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</si>
  <si>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</si>
  <si>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</si>
  <si>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</si>
  <si>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</si>
  <si>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</si>
  <si>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</si>
  <si>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</si>
  <si>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</si>
  <si>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</si>
  <si>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</si>
  <si>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</si>
  <si>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</si>
  <si>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</si>
  <si>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</si>
  <si>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</si>
  <si>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</si>
  <si>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</si>
  <si>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</si>
  <si>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</si>
  <si>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</si>
  <si>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</si>
  <si>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</si>
  <si>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</si>
  <si>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</si>
  <si>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</si>
  <si>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</si>
  <si>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</si>
  <si>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</si>
  <si>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</si>
  <si>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</si>
  <si>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</si>
  <si>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</si>
  <si>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</si>
  <si>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</si>
  <si>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</si>
  <si>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</si>
  <si>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</si>
  <si>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</si>
  <si>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</si>
  <si>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</si>
  <si>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</si>
  <si>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</si>
  <si>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</si>
  <si>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</si>
  <si>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</si>
  <si>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</si>
  <si>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</si>
  <si>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</si>
  <si>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</si>
  <si>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</si>
  <si>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</si>
  <si>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</si>
  <si>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</si>
  <si>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</si>
  <si>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</si>
  <si>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</si>
  <si>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</si>
  <si>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</si>
  <si>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</si>
  <si>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</si>
  <si>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</si>
  <si>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</si>
  <si>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</si>
  <si>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</si>
  <si>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</si>
  <si>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</si>
  <si>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</si>
  <si>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</si>
  <si>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</si>
  <si>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</si>
  <si>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</si>
  <si>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</si>
  <si>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</si>
  <si>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</si>
  <si>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</si>
  <si>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</si>
  <si>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</si>
  <si>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</si>
  <si>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</si>
  <si>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</si>
  <si>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</si>
  <si>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</si>
  <si>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</si>
  <si>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</si>
  <si>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</si>
  <si>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</si>
  <si>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</si>
  <si>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</si>
  <si>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</si>
  <si>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</si>
  <si>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</si>
  <si>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</si>
  <si>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</si>
  <si>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</si>
  <si>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</si>
  <si>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</si>
  <si>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</si>
  <si>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</si>
  <si>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</si>
  <si>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</si>
  <si>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</si>
  <si>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</si>
  <si>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</si>
  <si>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</si>
  <si>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</si>
  <si>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</si>
  <si>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</si>
  <si>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</si>
  <si>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</si>
  <si>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</si>
  <si>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</si>
  <si>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</si>
  <si>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</si>
  <si>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</si>
  <si>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</si>
  <si>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</si>
  <si>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</si>
  <si>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</si>
  <si>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</si>
  <si>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</si>
  <si>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</si>
  <si>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</si>
  <si>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</si>
  <si>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</si>
  <si>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</si>
  <si>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</si>
  <si>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</si>
  <si>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</si>
  <si>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</si>
  <si>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</si>
  <si>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</si>
  <si>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</si>
  <si>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</si>
  <si>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</si>
  <si>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</si>
  <si>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</si>
  <si>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</si>
  <si>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</si>
  <si>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</si>
  <si>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</si>
  <si>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</si>
  <si>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</si>
  <si>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</si>
  <si>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</si>
  <si>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</si>
  <si>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</si>
  <si>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</si>
  <si>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</si>
  <si>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</si>
  <si>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</si>
  <si>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</si>
  <si>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</si>
  <si>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</si>
  <si>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</si>
  <si>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</si>
  <si>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</si>
  <si>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</si>
  <si>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</si>
  <si>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</si>
  <si>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</si>
  <si>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</si>
  <si>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</si>
  <si>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</si>
  <si>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</si>
  <si>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</si>
  <si>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</si>
  <si>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</si>
  <si>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</si>
  <si>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</si>
  <si>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</si>
  <si>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</si>
  <si>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</si>
  <si>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</si>
  <si>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</si>
  <si>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</si>
  <si>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</si>
  <si>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</si>
  <si>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</si>
  <si>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</si>
  <si>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</si>
  <si>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</si>
  <si>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</si>
  <si>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</si>
  <si>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</si>
  <si>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</si>
  <si>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</si>
  <si>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</si>
  <si>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</si>
  <si>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</si>
  <si>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</si>
  <si>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</si>
  <si>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</si>
  <si>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</si>
  <si>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</si>
  <si>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</si>
  <si>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</si>
  <si>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</si>
  <si>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</si>
  <si>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</si>
  <si>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</si>
  <si>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</si>
  <si>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</si>
  <si>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</si>
  <si>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</si>
  <si>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</si>
  <si>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</si>
  <si>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</si>
  <si>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</si>
  <si>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</si>
  <si>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</si>
  <si>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</si>
  <si>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</si>
  <si>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</si>
  <si>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</si>
  <si>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</si>
  <si>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</si>
  <si>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</si>
  <si>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</si>
  <si>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</si>
  <si>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</si>
  <si>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</si>
  <si>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</si>
  <si>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</si>
  <si>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</si>
  <si>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</si>
  <si>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</si>
  <si>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</si>
  <si>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</si>
  <si>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</si>
  <si>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</si>
  <si>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</si>
  <si>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</si>
  <si>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</si>
  <si>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</si>
  <si>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</si>
  <si>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</si>
  <si>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</si>
  <si>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</si>
  <si>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</si>
  <si>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</si>
  <si>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</si>
  <si>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</si>
  <si>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</si>
  <si>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</si>
  <si>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</si>
  <si>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</si>
  <si>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</si>
  <si>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</si>
  <si>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</si>
  <si>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</si>
  <si>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</si>
  <si>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</si>
  <si>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</si>
  <si>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</si>
  <si>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</si>
  <si>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</si>
  <si>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</si>
  <si>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</si>
  <si>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</si>
  <si>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</si>
  <si>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</si>
  <si>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</si>
  <si>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</si>
  <si>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</si>
  <si>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</si>
  <si>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</si>
  <si>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</si>
  <si>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</si>
  <si>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</si>
  <si>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</si>
  <si>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</si>
  <si>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</si>
  <si>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</si>
  <si>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</si>
  <si>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</si>
  <si>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</si>
  <si>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</si>
  <si>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</si>
  <si>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</si>
  <si>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</si>
  <si>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</si>
  <si>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</si>
  <si>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</si>
  <si>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</si>
  <si>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</si>
  <si>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</si>
  <si>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</si>
  <si>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</si>
  <si>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</si>
  <si>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</si>
  <si>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</si>
  <si>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</si>
  <si>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</si>
  <si>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</si>
  <si>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</si>
  <si>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</si>
  <si>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</si>
  <si>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</si>
  <si>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</si>
  <si>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</si>
  <si>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</si>
  <si>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</si>
  <si>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</si>
  <si>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</si>
  <si>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</si>
  <si>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</si>
  <si>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</si>
  <si>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</si>
  <si>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</si>
  <si>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</si>
  <si>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</si>
  <si>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</si>
  <si>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</si>
  <si>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</si>
  <si>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</si>
  <si>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</si>
  <si>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</si>
  <si>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</si>
  <si>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</si>
  <si>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</si>
  <si>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</si>
  <si>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</si>
  <si>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</si>
  <si>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</si>
  <si>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</si>
  <si>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</si>
  <si>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</si>
  <si>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</si>
  <si>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</si>
  <si>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</si>
  <si>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</si>
  <si>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</si>
  <si>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</si>
  <si>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</si>
  <si>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</si>
  <si>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</si>
  <si>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</si>
  <si>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</si>
  <si>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</si>
  <si>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</si>
  <si>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</si>
  <si>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</si>
  <si>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</si>
  <si>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</si>
  <si>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</si>
  <si>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</si>
  <si>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</si>
  <si>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</si>
  <si>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</si>
  <si>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</si>
  <si>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</si>
  <si>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</si>
  <si>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</si>
  <si>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</si>
  <si>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</si>
  <si>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</si>
  <si>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</si>
  <si>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</si>
  <si>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</si>
  <si>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</si>
  <si>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</si>
  <si>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</si>
  <si>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</si>
  <si>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</si>
  <si>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</si>
  <si>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</si>
  <si>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</si>
  <si>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</si>
  <si>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</si>
  <si>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</si>
  <si>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</si>
  <si>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</si>
  <si>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</si>
  <si>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</si>
  <si>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</si>
  <si>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</si>
  <si>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</si>
  <si>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</si>
  <si>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</si>
  <si>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</si>
  <si>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</si>
  <si>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</si>
  <si>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</si>
  <si>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</si>
  <si>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</si>
  <si>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</si>
  <si>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</si>
  <si>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</si>
  <si>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</si>
  <si>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</si>
  <si>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</si>
  <si>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</si>
  <si>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</si>
  <si>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</si>
  <si>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</si>
  <si>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</si>
  <si>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</si>
  <si>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</si>
  <si>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</si>
  <si>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</si>
  <si>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</si>
  <si>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</si>
  <si>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</si>
  <si>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</si>
  <si>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</si>
  <si>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</si>
  <si>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</si>
  <si>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</si>
  <si>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</si>
  <si>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</si>
  <si>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</si>
  <si>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</si>
  <si>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</si>
  <si>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</si>
  <si>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</si>
  <si>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</si>
  <si>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</si>
  <si>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</si>
  <si>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</si>
  <si>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</si>
  <si>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</si>
  <si>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</si>
  <si>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</si>
  <si>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</si>
  <si>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</si>
  <si>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</si>
  <si>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</si>
  <si>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</si>
  <si>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</si>
  <si>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</si>
  <si>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</si>
  <si>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</si>
  <si>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</si>
  <si>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</si>
  <si>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</si>
  <si>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</si>
  <si>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</si>
  <si>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</si>
  <si>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</si>
  <si>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</si>
  <si>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</si>
  <si>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</si>
  <si>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</si>
  <si>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</si>
  <si>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</si>
  <si>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</si>
  <si>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</si>
  <si>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</si>
  <si>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</si>
  <si>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</si>
  <si>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</si>
  <si>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</si>
  <si>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</si>
  <si>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</si>
  <si>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</si>
  <si>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</si>
  <si>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</si>
  <si>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</si>
  <si>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</si>
  <si>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</si>
  <si>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</si>
  <si>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</si>
  <si>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</si>
  <si>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</si>
  <si>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</si>
  <si>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</si>
  <si>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</si>
  <si>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</si>
  <si>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</si>
  <si>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</si>
  <si>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</si>
  <si>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</si>
  <si>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</si>
  <si>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</si>
  <si>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</si>
  <si>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</si>
  <si>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</si>
  <si>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</si>
  <si>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</si>
  <si>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</si>
  <si>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</si>
  <si>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</si>
  <si>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</si>
  <si>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</si>
  <si>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</si>
  <si>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</si>
  <si>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</si>
  <si>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</si>
  <si>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</si>
  <si>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</si>
  <si>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</si>
  <si>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</si>
  <si>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</si>
  <si>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</si>
  <si>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</si>
  <si>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</si>
  <si>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</si>
  <si>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</si>
  <si>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</si>
  <si>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</si>
  <si>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</si>
  <si>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</si>
  <si>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</si>
  <si>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</si>
  <si>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</si>
  <si>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</si>
  <si>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</si>
  <si>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</si>
  <si>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</si>
  <si>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</si>
  <si>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</si>
  <si>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</si>
  <si>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</si>
  <si>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</si>
  <si>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</si>
  <si>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</si>
  <si>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</si>
  <si>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</si>
  <si>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</si>
  <si>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</si>
  <si>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</si>
  <si>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</si>
  <si>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</si>
  <si>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</si>
  <si>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</si>
  <si>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</si>
  <si>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</si>
  <si>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</si>
  <si>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</si>
  <si>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</si>
  <si>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</si>
  <si>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</si>
  <si>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</si>
  <si>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</si>
  <si>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</si>
  <si>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</si>
  <si>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</si>
  <si>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</si>
  <si>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</si>
  <si>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</si>
  <si>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</si>
  <si>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</si>
  <si>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</si>
  <si>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</si>
  <si>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</si>
  <si>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</si>
  <si>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</si>
  <si>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</si>
  <si>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</si>
  <si>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</si>
  <si>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</si>
  <si>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</si>
  <si>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</si>
  <si>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</si>
  <si>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</si>
  <si>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</si>
  <si>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</si>
  <si>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</si>
  <si>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</si>
  <si>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</si>
  <si>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</si>
  <si>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</si>
  <si>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</si>
  <si>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</si>
  <si>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</si>
  <si>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</si>
  <si>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</si>
  <si>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</si>
  <si>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</si>
  <si>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</si>
  <si>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</si>
  <si>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</si>
  <si>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</si>
  <si>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</si>
  <si>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</si>
  <si>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</si>
  <si>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</si>
  <si>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</si>
  <si>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</si>
  <si>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</si>
  <si>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</si>
  <si>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</si>
  <si>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</si>
  <si>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</si>
  <si>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</si>
  <si>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</si>
  <si>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</si>
  <si>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</si>
  <si>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</si>
  <si>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</si>
  <si>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</si>
  <si>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</si>
  <si>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</si>
  <si>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</si>
  <si>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</si>
  <si>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</si>
  <si>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</si>
  <si>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</si>
  <si>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</si>
  <si>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</si>
  <si>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</si>
  <si>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</si>
  <si>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</si>
  <si>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</si>
  <si>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</si>
  <si>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</si>
  <si>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</si>
  <si>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</si>
  <si>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</si>
  <si>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</si>
  <si>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</si>
  <si>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</si>
  <si>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</si>
  <si>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</si>
  <si>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</si>
  <si>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</si>
  <si>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</si>
  <si>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</si>
  <si>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</si>
  <si>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</si>
  <si>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</si>
  <si>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</si>
  <si>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</si>
  <si>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</si>
  <si>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</si>
  <si>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</si>
  <si>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</si>
  <si>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</si>
  <si>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</si>
  <si>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</si>
  <si>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</si>
  <si>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</si>
  <si>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</si>
  <si>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</si>
  <si>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</si>
  <si>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</si>
  <si>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</si>
  <si>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</si>
  <si>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</si>
  <si>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</si>
  <si>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</si>
  <si>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</si>
  <si>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</si>
  <si>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</si>
  <si>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</si>
  <si>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</si>
  <si>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</si>
  <si>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</si>
  <si>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</si>
  <si>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</si>
  <si>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</si>
  <si>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</si>
  <si>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</si>
  <si>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</si>
  <si>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</si>
  <si>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</si>
  <si>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</si>
  <si>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</si>
  <si>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</si>
  <si>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</si>
  <si>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</si>
  <si>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</si>
  <si>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</si>
  <si>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</si>
  <si>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</si>
  <si>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</si>
  <si>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</si>
  <si>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</si>
  <si>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</si>
  <si>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</si>
  <si>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</si>
  <si>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</si>
  <si>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</si>
  <si>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</si>
  <si>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</si>
  <si>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</si>
  <si>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</si>
  <si>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</si>
  <si>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</si>
  <si>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</si>
  <si>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</si>
  <si>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</si>
  <si>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</si>
  <si>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</si>
  <si>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</si>
  <si>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</si>
  <si>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</si>
  <si>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</si>
  <si>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</si>
  <si>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</si>
  <si>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</si>
  <si>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</si>
  <si>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</si>
  <si>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</si>
  <si>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</si>
  <si>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</si>
  <si>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</si>
  <si>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</si>
  <si>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</si>
  <si>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</si>
  <si>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</si>
  <si>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</si>
  <si>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</si>
  <si>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</si>
  <si>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</si>
  <si>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</si>
  <si>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</si>
  <si>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</si>
  <si>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</si>
  <si>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</si>
  <si>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</si>
  <si>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</si>
  <si>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</si>
  <si>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</si>
  <si>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</si>
  <si>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</si>
  <si>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</si>
  <si>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</si>
  <si>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</si>
  <si>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</si>
  <si>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</si>
  <si>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</si>
  <si>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</si>
  <si>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</si>
  <si>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</si>
  <si>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</si>
  <si>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</si>
  <si>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</si>
  <si>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</si>
  <si>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</si>
  <si>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</si>
  <si>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</si>
  <si>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</si>
  <si>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</si>
  <si>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</si>
  <si>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</si>
  <si>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</si>
  <si>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</si>
  <si>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</si>
  <si>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</si>
  <si>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</si>
  <si>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</si>
  <si>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</si>
  <si>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</si>
  <si>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</si>
  <si>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</si>
  <si>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</si>
  <si>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</si>
  <si>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</si>
  <si>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</si>
  <si>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</si>
  <si>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</si>
  <si>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</si>
  <si>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</si>
  <si>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</si>
  <si>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</si>
  <si>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</si>
  <si>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</si>
  <si>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</si>
  <si>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</si>
  <si>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</si>
  <si>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</si>
  <si>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</si>
  <si>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</si>
  <si>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</si>
  <si>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</si>
  <si>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</si>
  <si>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</si>
  <si>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</si>
  <si>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</si>
  <si>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</si>
  <si>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</si>
  <si>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</si>
  <si>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</si>
  <si>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</si>
  <si>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</si>
  <si>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</si>
  <si>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</si>
  <si>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</si>
  <si>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</si>
  <si>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</si>
  <si>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</si>
  <si>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</si>
  <si>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</si>
  <si>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</si>
  <si>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</si>
  <si>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</si>
  <si>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</si>
  <si>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</si>
  <si>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</si>
  <si>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</si>
  <si>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</si>
  <si>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</si>
  <si>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</si>
  <si>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</si>
  <si>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</si>
  <si>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</si>
  <si>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</si>
  <si>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</si>
  <si>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</si>
  <si>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</si>
  <si>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</si>
  <si>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</si>
  <si>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</si>
  <si>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</si>
  <si>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</si>
  <si>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</si>
  <si>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</si>
  <si>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</si>
  <si>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</si>
  <si>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</si>
  <si>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</si>
  <si>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</si>
  <si>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</si>
  <si>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</si>
  <si>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</si>
  <si>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</si>
  <si>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</si>
  <si>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</si>
  <si>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</si>
  <si>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</si>
  <si>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</si>
  <si>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</si>
  <si>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</si>
  <si>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</si>
  <si>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</si>
  <si>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</si>
  <si>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</si>
  <si>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</si>
  <si>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</si>
  <si>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</si>
  <si>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</si>
  <si>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</si>
  <si>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</si>
  <si>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</si>
  <si>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</si>
  <si>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</si>
  <si>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</si>
  <si>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</si>
  <si>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</si>
  <si>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</si>
  <si>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</si>
  <si>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</si>
  <si>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</si>
  <si>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</si>
  <si>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</si>
  <si>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</si>
  <si>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</si>
  <si>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</si>
  <si>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</si>
  <si>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</si>
  <si>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</si>
  <si>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</si>
  <si>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</si>
  <si>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</si>
  <si>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</si>
  <si>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</si>
  <si>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</si>
  <si>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</si>
  <si>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</si>
  <si>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</si>
  <si>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</si>
  <si>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</si>
  <si>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</si>
  <si>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</si>
  <si>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</si>
  <si>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</si>
  <si>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</si>
  <si>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</si>
  <si>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</si>
  <si>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</si>
  <si>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</si>
  <si>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</si>
  <si>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</si>
  <si>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</si>
  <si>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</si>
  <si>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</si>
  <si>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</si>
  <si>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</si>
  <si>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</si>
  <si>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</si>
  <si>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</si>
  <si>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</si>
  <si>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</si>
  <si>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</si>
  <si>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</si>
  <si>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</si>
  <si>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</si>
  <si>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</si>
  <si>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</si>
  <si>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</si>
  <si>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</si>
  <si>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</si>
  <si>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</si>
  <si>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</si>
  <si>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</si>
  <si>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</si>
  <si>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</si>
  <si>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</si>
  <si>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</si>
  <si>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</si>
  <si>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</si>
  <si>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</si>
  <si>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</si>
  <si>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</si>
  <si>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</si>
  <si>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</si>
  <si>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</si>
  <si>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</si>
  <si>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</si>
  <si>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</si>
  <si>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</si>
  <si>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</si>
  <si>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</si>
  <si>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</si>
  <si>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</si>
  <si>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</si>
  <si>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</si>
  <si>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</si>
  <si>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</si>
  <si>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</si>
  <si>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</si>
  <si>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</si>
  <si>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</si>
  <si>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</si>
  <si>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</si>
  <si>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</si>
  <si>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</si>
  <si>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</si>
  <si>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</si>
  <si>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</si>
  <si>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</si>
  <si>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</si>
  <si>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</si>
  <si>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</si>
  <si>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</si>
  <si>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</si>
  <si>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</si>
  <si>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</si>
  <si>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</si>
  <si>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</si>
  <si>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</si>
  <si>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</si>
  <si>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</si>
  <si>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</si>
  <si>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</si>
  <si>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</si>
  <si>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</si>
  <si>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</si>
  <si>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</si>
  <si>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</si>
  <si>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</si>
  <si>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</si>
  <si>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</si>
  <si>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</si>
  <si>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</si>
  <si>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</si>
  <si>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</si>
  <si>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</si>
  <si>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</si>
  <si>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</si>
  <si>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</si>
  <si>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</si>
  <si>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</si>
  <si>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</si>
  <si>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</si>
  <si>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</si>
  <si>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</si>
  <si>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</si>
  <si>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</si>
  <si>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</si>
  <si>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</si>
  <si>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</si>
  <si>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</si>
  <si>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</si>
  <si>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</si>
  <si>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</si>
  <si>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</si>
  <si>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</si>
  <si>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</si>
  <si>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</si>
  <si>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</si>
  <si>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</si>
  <si>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</si>
  <si>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</si>
  <si>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</si>
  <si>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</si>
  <si>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</si>
  <si>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</si>
  <si>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</si>
  <si>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</si>
  <si>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</si>
  <si>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</si>
  <si>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</si>
  <si>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</si>
  <si>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</si>
  <si>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</si>
  <si>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</si>
  <si>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</si>
  <si>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</si>
  <si>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</si>
  <si>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</si>
  <si>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</si>
  <si>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</si>
  <si>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</si>
  <si>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</si>
  <si>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</si>
  <si>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</si>
  <si>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</si>
  <si>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</si>
  <si>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</si>
  <si>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</si>
  <si>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</si>
  <si>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</si>
  <si>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</si>
  <si>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</si>
  <si>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</si>
  <si>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</si>
  <si>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</si>
  <si>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</si>
  <si>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</si>
  <si>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</si>
  <si>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</si>
  <si>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</si>
  <si>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</si>
  <si>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</si>
  <si>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</si>
  <si>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</si>
  <si>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</si>
  <si>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</si>
  <si>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</si>
  <si>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</si>
  <si>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</si>
  <si>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</si>
  <si>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</si>
  <si>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</si>
  <si>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</si>
  <si>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</si>
  <si>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</si>
  <si>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</si>
  <si>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</si>
  <si>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</si>
  <si>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</si>
  <si>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</si>
  <si>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</si>
  <si>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</si>
  <si>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</si>
  <si>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</si>
  <si>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</si>
  <si>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</si>
  <si>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</si>
  <si>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</si>
  <si>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</si>
  <si>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</si>
  <si>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</si>
  <si>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</si>
  <si>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</si>
  <si>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</si>
  <si>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</si>
  <si>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</si>
  <si>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</si>
  <si>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</si>
  <si>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</si>
  <si>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</si>
  <si>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</si>
  <si>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</si>
  <si>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</si>
  <si>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</si>
  <si>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</si>
  <si>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</si>
  <si>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</si>
  <si>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</si>
  <si>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</si>
  <si>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</si>
  <si>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</si>
  <si>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</si>
  <si>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</si>
  <si>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</si>
  <si>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</si>
  <si>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</si>
  <si>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</si>
  <si>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</si>
  <si>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</si>
  <si>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</si>
  <si>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</si>
  <si>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</si>
  <si>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</si>
  <si>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</si>
  <si>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</si>
  <si>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</si>
  <si>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</si>
  <si>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</si>
  <si>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</si>
  <si>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</si>
  <si>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</si>
  <si>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</si>
  <si>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</si>
  <si>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</si>
  <si>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</si>
  <si>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</si>
  <si>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</si>
  <si>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</si>
  <si>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</si>
  <si>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</si>
  <si>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</si>
  <si>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</si>
  <si>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</si>
  <si>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</si>
  <si>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</si>
  <si>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</si>
  <si>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</si>
  <si>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</si>
  <si>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</si>
  <si>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</si>
  <si>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</si>
  <si>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</si>
  <si>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</si>
  <si>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</si>
  <si>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</si>
  <si>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</si>
  <si>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</si>
  <si>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</si>
  <si>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</si>
  <si>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</si>
  <si>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</si>
  <si>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</si>
  <si>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</si>
  <si>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</si>
  <si>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</si>
  <si>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</si>
  <si>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</si>
  <si>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</si>
  <si>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</si>
  <si>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</si>
  <si>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</si>
  <si>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</si>
  <si>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</si>
  <si>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</si>
  <si>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</si>
  <si>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</si>
  <si>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</si>
  <si>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</si>
  <si>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</si>
  <si>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</si>
  <si>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</si>
  <si>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</si>
  <si>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</si>
  <si>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</si>
  <si>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</si>
  <si>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</si>
  <si>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</si>
  <si>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</si>
  <si>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</si>
  <si>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</si>
  <si>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</si>
  <si>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</si>
  <si>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</si>
  <si>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</si>
  <si>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</si>
  <si>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</si>
  <si>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</si>
  <si>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</si>
  <si>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</si>
  <si>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</si>
  <si>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</si>
  <si>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</si>
  <si>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</si>
  <si>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</si>
  <si>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</si>
  <si>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</si>
  <si>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</si>
  <si>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</si>
  <si>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</si>
  <si>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</si>
  <si>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</si>
  <si>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</si>
  <si>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</si>
  <si>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</si>
  <si>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</si>
  <si>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</si>
  <si>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</si>
  <si>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</si>
  <si>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</si>
  <si>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</si>
  <si>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</si>
  <si>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</si>
  <si>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</si>
  <si>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</si>
  <si>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</si>
  <si>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</si>
  <si>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</si>
  <si>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</si>
  <si>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</si>
  <si>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</si>
  <si>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</si>
  <si>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</si>
  <si>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</si>
  <si>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</si>
  <si>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</si>
  <si>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</si>
  <si>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</si>
  <si>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</si>
  <si>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</si>
  <si>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</si>
  <si>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</si>
  <si>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</si>
  <si>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</si>
  <si>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</si>
  <si>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</si>
  <si>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</si>
  <si>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</si>
  <si>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</si>
  <si>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</si>
  <si>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</si>
  <si>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</si>
  <si>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</si>
  <si>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</si>
  <si>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</si>
  <si>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</si>
  <si>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</si>
  <si>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</si>
  <si>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</si>
  <si>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</si>
  <si>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</si>
  <si>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</si>
  <si>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</si>
  <si>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</si>
  <si>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</si>
  <si>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</si>
  <si>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</si>
  <si>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</si>
  <si>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</si>
  <si>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</si>
  <si>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</si>
  <si>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</si>
  <si>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</si>
  <si>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</si>
  <si>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</si>
  <si>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</si>
  <si>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</si>
  <si>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</si>
  <si>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</si>
  <si>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</si>
  <si>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</si>
  <si>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</si>
  <si>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</si>
  <si>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</si>
  <si>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</si>
  <si>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</si>
  <si>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</si>
  <si>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</si>
  <si>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</si>
  <si>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</si>
  <si>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</si>
  <si>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</si>
  <si>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</si>
  <si>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</si>
  <si>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</si>
  <si>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</si>
  <si>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</si>
  <si>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</si>
  <si>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</si>
  <si>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</si>
  <si>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</si>
  <si>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</si>
  <si>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</si>
  <si>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</si>
  <si>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</si>
  <si>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</si>
  <si>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</si>
  <si>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</si>
  <si>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</si>
  <si>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</si>
  <si>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</si>
  <si>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</si>
  <si>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</si>
  <si>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</si>
  <si>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</si>
  <si>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</si>
  <si>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</si>
  <si>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</si>
  <si>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</si>
  <si>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</si>
  <si>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</si>
  <si>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</si>
  <si>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</si>
  <si>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</si>
  <si>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</si>
  <si>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</si>
  <si>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</si>
  <si>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</si>
  <si>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</si>
  <si>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</si>
  <si>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</si>
  <si>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</si>
  <si>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</si>
  <si>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</si>
  <si>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</si>
  <si>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</si>
  <si>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</si>
  <si>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</si>
  <si>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</si>
  <si>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</si>
  <si>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</si>
  <si>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</si>
  <si>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</si>
  <si>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</si>
  <si>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</si>
  <si>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</si>
  <si>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</si>
  <si>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</si>
  <si>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</si>
  <si>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</si>
  <si>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</si>
  <si>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</si>
  <si>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</si>
  <si>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</si>
  <si>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</si>
  <si>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</si>
  <si>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</si>
  <si>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</si>
  <si>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</si>
  <si>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</si>
  <si>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</si>
  <si>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</si>
  <si>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</si>
  <si>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</si>
  <si>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</si>
  <si>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</si>
  <si>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</si>
  <si>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</si>
  <si>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</si>
  <si>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</si>
  <si>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</si>
  <si>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</si>
  <si>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</si>
  <si>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</si>
  <si>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</si>
  <si>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</si>
  <si>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</si>
  <si>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</si>
  <si>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</si>
  <si>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</si>
  <si>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</si>
  <si>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</si>
  <si>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</si>
  <si>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</si>
  <si>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</si>
  <si>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</si>
  <si>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</si>
  <si>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</si>
  <si>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</si>
  <si>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</si>
  <si>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</si>
  <si>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</si>
  <si>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</si>
  <si>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</si>
  <si>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</si>
  <si>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</si>
  <si>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</si>
  <si>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</si>
  <si>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</si>
  <si>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</si>
  <si>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</si>
  <si>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</si>
  <si>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</si>
  <si>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</si>
  <si>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</si>
  <si>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</si>
  <si>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</si>
  <si>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</si>
  <si>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</si>
  <si>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</si>
  <si>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</si>
  <si>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</si>
  <si>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</si>
  <si>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</si>
  <si>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</si>
  <si>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</si>
  <si>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</si>
  <si>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</si>
  <si>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</si>
  <si>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</si>
  <si>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</si>
  <si>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</si>
  <si>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</si>
  <si>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</si>
  <si>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</si>
  <si>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</si>
  <si>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</si>
  <si>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</si>
  <si>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</si>
  <si>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</si>
  <si>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</si>
  <si>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</si>
  <si>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</si>
  <si>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</si>
  <si>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</si>
  <si>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</si>
  <si>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</si>
  <si>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</si>
  <si>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</si>
  <si>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</si>
  <si>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</si>
  <si>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</si>
  <si>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</si>
  <si>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</si>
  <si>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</si>
  <si>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</si>
  <si>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</si>
  <si>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</si>
  <si>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</si>
  <si>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</si>
  <si>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</si>
  <si>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</si>
  <si>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</si>
  <si>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</si>
  <si>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</si>
  <si>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</si>
  <si>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</si>
  <si>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</si>
  <si>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</si>
  <si>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</si>
  <si>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</si>
  <si>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</si>
  <si>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</si>
  <si>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</si>
  <si>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</si>
  <si>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</si>
  <si>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</si>
  <si>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</si>
  <si>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</si>
  <si>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</si>
  <si>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</si>
  <si>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</si>
  <si>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</si>
  <si>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</si>
  <si>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</si>
  <si>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</si>
  <si>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</si>
  <si>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</si>
  <si>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</si>
  <si>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</si>
  <si>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</si>
  <si>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</si>
  <si>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</si>
  <si>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</si>
  <si>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</si>
  <si>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</si>
  <si>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</si>
  <si>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</si>
  <si>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</si>
  <si>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</si>
  <si>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</si>
  <si>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</si>
  <si>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</si>
  <si>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</si>
  <si>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</si>
  <si>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</si>
  <si>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</si>
  <si>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</si>
  <si>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</si>
  <si>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</si>
  <si>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</si>
  <si>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</si>
  <si>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</si>
  <si>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</si>
  <si>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</si>
  <si>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</si>
  <si>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</si>
  <si>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</si>
  <si>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</si>
  <si>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</si>
  <si>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</si>
  <si>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</si>
  <si>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</si>
  <si>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</si>
  <si>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</si>
  <si>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</si>
  <si>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</si>
  <si>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</si>
  <si>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</si>
  <si>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</si>
  <si>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</si>
  <si>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</si>
  <si>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</si>
  <si>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</si>
  <si>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</si>
  <si>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</si>
  <si>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</si>
  <si>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</si>
  <si>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</si>
  <si>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</si>
  <si>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</si>
  <si>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</si>
  <si>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</si>
  <si>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</si>
  <si>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</si>
  <si>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</si>
  <si>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</si>
  <si>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</si>
  <si>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</si>
  <si>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</si>
  <si>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</si>
  <si>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</si>
  <si>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</si>
  <si>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</si>
  <si>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</si>
  <si>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</si>
  <si>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</si>
  <si>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</si>
  <si>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</si>
  <si>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</si>
  <si>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</si>
  <si>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</si>
  <si>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</si>
  <si>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</si>
  <si>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</si>
  <si>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</si>
  <si>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</si>
  <si>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</si>
  <si>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</si>
  <si>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</si>
  <si>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</si>
  <si>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</si>
  <si>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</si>
  <si>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</si>
  <si>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</si>
  <si>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</si>
  <si>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</si>
  <si>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</si>
  <si>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</si>
  <si>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</si>
  <si>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</si>
  <si>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</si>
  <si>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</si>
  <si>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</si>
  <si>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</si>
  <si>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</si>
  <si>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</si>
  <si>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</si>
  <si>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</si>
  <si>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</si>
  <si>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</si>
  <si>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</si>
  <si>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</si>
  <si>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</si>
  <si>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</si>
  <si>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</si>
  <si>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</si>
  <si>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</si>
  <si>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</si>
  <si>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</si>
  <si>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</si>
  <si>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</si>
  <si>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</si>
  <si>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</si>
  <si>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</si>
  <si>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</si>
  <si>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</si>
  <si>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</si>
  <si>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</si>
  <si>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</si>
  <si>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</si>
  <si>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</si>
  <si>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</si>
  <si>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</si>
  <si>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</si>
  <si>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</si>
  <si>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</si>
  <si>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</si>
  <si>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</si>
  <si>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</si>
  <si>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</si>
  <si>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</si>
  <si>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</si>
  <si>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</si>
  <si>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</si>
  <si>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</si>
  <si>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</si>
  <si>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</si>
  <si>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</si>
  <si>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</si>
  <si>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</si>
  <si>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</si>
  <si>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</si>
  <si>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</si>
  <si>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</si>
  <si>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</si>
  <si>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</si>
  <si>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</si>
  <si>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</si>
  <si>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</si>
  <si>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</si>
  <si>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</si>
  <si>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</si>
  <si>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</si>
  <si>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</si>
  <si>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</si>
  <si>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</si>
  <si>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</si>
  <si>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</si>
  <si>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</si>
  <si>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</si>
  <si>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</si>
  <si>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</si>
  <si>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</si>
  <si>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</si>
  <si>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</si>
  <si>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</si>
  <si>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</si>
  <si>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</si>
  <si>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</si>
  <si>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</si>
  <si>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</si>
  <si>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</si>
  <si>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</si>
  <si>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</si>
  <si>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</si>
  <si>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</si>
  <si>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</si>
  <si>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</si>
  <si>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</si>
  <si>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</si>
  <si>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</si>
  <si>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</si>
  <si>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</si>
  <si>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</si>
  <si>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</si>
  <si>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</si>
  <si>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</si>
  <si>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</si>
  <si>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</si>
  <si>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</si>
  <si>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</si>
  <si>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</si>
  <si>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</si>
  <si>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</si>
  <si>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</si>
  <si>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</si>
  <si>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</si>
  <si>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</si>
  <si>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</si>
  <si>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</si>
  <si>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</si>
  <si>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</si>
  <si>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</si>
  <si>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</si>
  <si>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</si>
  <si>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</si>
  <si>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</si>
  <si>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</si>
  <si>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</si>
  <si>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</si>
  <si>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</si>
  <si>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</si>
  <si>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</si>
  <si>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</si>
  <si>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</si>
  <si>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</si>
  <si>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</si>
  <si>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</si>
  <si>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</si>
  <si>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</si>
  <si>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</si>
  <si>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</si>
  <si>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</si>
  <si>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</si>
  <si>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</si>
  <si>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</si>
  <si>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</si>
  <si>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</si>
  <si>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</si>
  <si>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</si>
  <si>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</si>
  <si>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</si>
  <si>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</si>
  <si>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</si>
  <si>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</si>
  <si>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</si>
  <si>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</si>
  <si>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</si>
  <si>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</si>
  <si>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</si>
  <si>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</si>
  <si>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</si>
  <si>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</si>
  <si>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</si>
  <si>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</si>
  <si>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</si>
  <si>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</si>
  <si>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</si>
  <si>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</si>
  <si>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</si>
  <si>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</si>
  <si>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</si>
  <si>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</si>
  <si>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</si>
  <si>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</si>
  <si>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</si>
  <si>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</si>
  <si>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</si>
  <si>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</si>
  <si>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</si>
  <si>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</si>
  <si>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</si>
  <si>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</si>
  <si>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</si>
  <si>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</si>
  <si>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</si>
  <si>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</si>
  <si>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</si>
  <si>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</si>
  <si>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</si>
  <si>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</si>
  <si>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</si>
  <si>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</si>
  <si>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</si>
  <si>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</si>
  <si>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</si>
  <si>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</si>
  <si>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</si>
  <si>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</si>
  <si>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</si>
  <si>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</si>
  <si>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</si>
  <si>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</si>
  <si>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</si>
  <si>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</si>
  <si>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</si>
  <si>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</si>
  <si>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</si>
  <si>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</si>
  <si>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</si>
  <si>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</si>
  <si>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</si>
  <si>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</si>
  <si>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</si>
  <si>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</si>
  <si>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</si>
  <si>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</si>
  <si>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</si>
  <si>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</si>
  <si>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</si>
  <si>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</si>
  <si>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</si>
  <si>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</si>
  <si>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</si>
  <si>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</si>
  <si>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</si>
  <si>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</si>
  <si>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</si>
  <si>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</si>
  <si>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</si>
  <si>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</si>
  <si>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</si>
  <si>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</si>
  <si>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</si>
  <si>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</si>
  <si>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</si>
  <si>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</si>
  <si>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</si>
  <si>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</si>
  <si>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</si>
  <si>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</si>
  <si>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</si>
  <si>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</si>
  <si>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</si>
  <si>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</si>
  <si>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</si>
  <si>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</si>
  <si>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</si>
  <si>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</si>
  <si>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</si>
  <si>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</si>
  <si>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</si>
  <si>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</si>
  <si>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</si>
  <si>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</si>
  <si>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</si>
  <si>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</si>
  <si>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</si>
  <si>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</si>
  <si>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</si>
  <si>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</si>
  <si>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</si>
  <si>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</si>
  <si>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</si>
  <si>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</si>
  <si>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</si>
  <si>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</si>
  <si>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</si>
  <si>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</si>
  <si>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</si>
  <si>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</si>
  <si>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</si>
  <si>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</si>
  <si>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</si>
  <si>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</si>
  <si>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</si>
  <si>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</si>
  <si>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</si>
  <si>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</si>
  <si>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</si>
  <si>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</si>
  <si>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</si>
  <si>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</si>
  <si>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</si>
  <si>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</si>
  <si>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</si>
  <si>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</si>
  <si>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</si>
  <si>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</si>
  <si>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</si>
  <si>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</si>
  <si>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</si>
  <si>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</si>
  <si>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</si>
  <si>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</si>
  <si>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</si>
  <si>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</si>
  <si>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</si>
  <si>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</si>
  <si>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</si>
  <si>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</si>
  <si>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</si>
  <si>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</si>
  <si>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</si>
  <si>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</si>
  <si>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</si>
  <si>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</si>
  <si>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</si>
  <si>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</si>
  <si>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</si>
  <si>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</si>
  <si>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</si>
  <si>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</si>
  <si>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</si>
  <si>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</si>
  <si>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</si>
  <si>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</si>
  <si>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</si>
  <si>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</si>
  <si>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</si>
  <si>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</si>
  <si>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</si>
  <si>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</si>
  <si>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</si>
  <si>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</si>
  <si>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</si>
  <si>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</si>
  <si>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</si>
  <si>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</si>
  <si>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</si>
  <si>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</si>
  <si>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</si>
  <si>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</si>
  <si>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</si>
  <si>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</si>
  <si>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</si>
  <si>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</si>
  <si>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</si>
  <si>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</si>
  <si>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</si>
  <si>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</si>
  <si>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</si>
  <si>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</si>
  <si>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</si>
  <si>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</si>
  <si>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</si>
  <si>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</si>
  <si>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</si>
  <si>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</si>
  <si>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</si>
  <si>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</si>
  <si>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</si>
  <si>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</si>
  <si>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</si>
  <si>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</si>
  <si>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</si>
  <si>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</si>
  <si>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</si>
  <si>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</si>
  <si>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</si>
  <si>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</si>
  <si>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</si>
  <si>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</si>
  <si>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</si>
  <si>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</si>
  <si>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</si>
  <si>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</si>
  <si>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</si>
  <si>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</si>
  <si>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</si>
  <si>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</si>
  <si>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</si>
  <si>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</si>
  <si>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</si>
  <si>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</si>
  <si>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</si>
  <si>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</si>
  <si>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</si>
  <si>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</si>
  <si>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</si>
  <si>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</si>
  <si>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</si>
  <si>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</si>
  <si>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</si>
  <si>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</si>
  <si>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</si>
  <si>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</si>
  <si>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</si>
  <si>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</si>
  <si>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</si>
  <si>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</si>
  <si>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</si>
  <si>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</si>
  <si>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</si>
  <si>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</si>
  <si>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</si>
  <si>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</si>
  <si>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</si>
  <si>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</si>
  <si>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</si>
  <si>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</si>
  <si>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</si>
  <si>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</si>
  <si>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</si>
  <si>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</si>
  <si>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</si>
  <si>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</si>
  <si>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</si>
  <si>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</si>
  <si>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</si>
  <si>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</si>
  <si>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</si>
  <si>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</si>
  <si>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</si>
  <si>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</si>
  <si>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</si>
  <si>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</si>
  <si>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</si>
  <si>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</si>
  <si>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</si>
  <si>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</si>
  <si>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</si>
  <si>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</si>
  <si>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</si>
  <si>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</si>
  <si>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</si>
  <si>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</si>
  <si>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</si>
  <si>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</si>
  <si>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</si>
  <si>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</si>
  <si>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</si>
  <si>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</si>
  <si>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</si>
  <si>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</si>
  <si>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</si>
  <si>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</si>
  <si>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</si>
  <si>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</si>
  <si>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</si>
  <si>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</si>
  <si>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</si>
  <si>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</si>
  <si>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</si>
  <si>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</si>
  <si>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</si>
  <si>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</si>
  <si>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</si>
  <si>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</si>
  <si>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</si>
  <si>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</si>
  <si>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</si>
  <si>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</si>
  <si>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</si>
  <si>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</si>
  <si>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</si>
  <si>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</si>
  <si>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</si>
  <si>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</si>
  <si>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</si>
  <si>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</si>
  <si>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</si>
  <si>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</si>
  <si>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</si>
  <si>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</si>
  <si>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</si>
  <si>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</si>
  <si>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</si>
  <si>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</si>
  <si>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</si>
  <si>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</si>
  <si>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</si>
  <si>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</si>
  <si>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</si>
  <si>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</si>
  <si>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</si>
  <si>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</si>
  <si>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</si>
  <si>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</si>
  <si>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</si>
  <si>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</si>
  <si>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</si>
  <si>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</si>
  <si>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</si>
  <si>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</si>
  <si>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</si>
  <si>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</si>
  <si>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</si>
  <si>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</si>
  <si>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</si>
  <si>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</si>
  <si>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</si>
  <si>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</si>
  <si>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</si>
  <si>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</si>
  <si>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</si>
  <si>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</si>
  <si>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</si>
  <si>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</si>
  <si>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</si>
  <si>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</si>
  <si>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</si>
  <si>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</si>
  <si>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</si>
  <si>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</si>
  <si>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</si>
  <si>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</si>
  <si>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</si>
  <si>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</si>
  <si>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</si>
  <si>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</si>
  <si>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</si>
  <si>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</si>
  <si>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</si>
  <si>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</si>
  <si>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</si>
  <si>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</si>
  <si>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</si>
  <si>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</si>
  <si>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</si>
  <si>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</si>
  <si>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</si>
  <si>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</si>
  <si>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</si>
  <si>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</si>
  <si>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</si>
  <si>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</si>
  <si>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</si>
  <si>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</si>
  <si>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</si>
  <si>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</si>
  <si>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</si>
  <si>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</si>
  <si>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</si>
  <si>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</si>
  <si>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</si>
  <si>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</si>
  <si>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</si>
  <si>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</si>
  <si>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</si>
  <si>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</si>
  <si>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</si>
  <si>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</si>
  <si>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</si>
  <si>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</si>
  <si>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</si>
  <si>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</si>
  <si>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</si>
  <si>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</si>
  <si>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</si>
  <si>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</si>
  <si>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</si>
  <si>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</si>
  <si>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</si>
  <si>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</si>
  <si>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</si>
  <si>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</si>
  <si>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</si>
  <si>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</si>
  <si>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</si>
  <si>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</si>
  <si>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</si>
  <si>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</si>
  <si>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</si>
  <si>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</si>
  <si>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</si>
  <si>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</si>
  <si>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</si>
  <si>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</si>
  <si>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</si>
  <si>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</si>
  <si>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</si>
  <si>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</si>
  <si>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</si>
  <si>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</si>
  <si>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</si>
  <si>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</si>
  <si>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</si>
  <si>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</si>
  <si>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</si>
  <si>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</si>
  <si>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</si>
  <si>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</si>
  <si>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</si>
  <si>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</si>
  <si>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</si>
  <si>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</si>
  <si>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</si>
  <si>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</si>
  <si>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</si>
  <si>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</si>
  <si>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</si>
  <si>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</si>
  <si>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</si>
  <si>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</si>
  <si>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</si>
  <si>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</si>
  <si>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</si>
  <si>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</si>
  <si>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</si>
  <si>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</si>
  <si>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</si>
  <si>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</si>
  <si>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</si>
  <si>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</si>
  <si>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</si>
  <si>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</si>
  <si>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</si>
  <si>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</si>
  <si>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</si>
  <si>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</si>
  <si>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</si>
  <si>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</si>
  <si>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</si>
  <si>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</si>
  <si>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</si>
  <si>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</si>
  <si>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</si>
  <si>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</si>
  <si>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</si>
  <si>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</si>
  <si>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</si>
  <si>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</si>
  <si>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</si>
  <si>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</si>
  <si>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</si>
  <si>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</si>
  <si>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</si>
  <si>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</si>
  <si>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</si>
  <si>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</si>
  <si>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</si>
  <si>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</si>
  <si>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</si>
  <si>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</si>
  <si>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</si>
  <si>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</si>
  <si>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</si>
  <si>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</si>
  <si>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</si>
  <si>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</si>
  <si>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</si>
  <si>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</si>
  <si>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</si>
  <si>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</si>
  <si>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</si>
  <si>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</si>
  <si>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</si>
  <si>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</si>
  <si>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</si>
  <si>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</si>
  <si>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</si>
  <si>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</si>
  <si>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</si>
  <si>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</si>
  <si>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</si>
  <si>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</si>
  <si>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</si>
  <si>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</si>
  <si>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</si>
  <si>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</si>
  <si>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</si>
  <si>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</si>
  <si>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</si>
  <si>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</si>
  <si>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</si>
  <si>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</si>
  <si>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</si>
  <si>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</si>
  <si>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</si>
  <si>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</si>
  <si>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</si>
  <si>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</si>
  <si>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</si>
  <si>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</si>
  <si>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</si>
  <si>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</si>
  <si>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</si>
  <si>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</si>
  <si>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</si>
  <si>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</si>
  <si>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</si>
  <si>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</si>
  <si>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</si>
  <si>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</si>
  <si>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</si>
  <si>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</si>
  <si>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</si>
  <si>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</si>
  <si>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</si>
  <si>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</si>
  <si>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</si>
  <si>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</si>
  <si>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</si>
  <si>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</si>
  <si>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</si>
  <si>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</si>
  <si>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</si>
  <si>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</si>
  <si>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</si>
  <si>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</si>
  <si>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</si>
  <si>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</si>
  <si>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</si>
  <si>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</si>
  <si>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</si>
  <si>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</si>
  <si>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</si>
  <si>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</si>
  <si>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</si>
  <si>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</si>
  <si>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</si>
  <si>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</si>
  <si>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</si>
  <si>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</si>
  <si>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</si>
  <si>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</si>
  <si>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</si>
  <si>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</si>
  <si>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</si>
  <si>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</si>
  <si>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</si>
  <si>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</si>
  <si>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</si>
  <si>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</si>
  <si>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</si>
  <si>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</si>
  <si>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</si>
  <si>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</si>
  <si>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</si>
  <si>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</si>
  <si>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</si>
  <si>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</si>
  <si>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</si>
  <si>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</si>
  <si>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</si>
  <si>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</si>
  <si>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</si>
  <si>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</si>
  <si>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</si>
  <si>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</si>
  <si>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</si>
  <si>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</si>
  <si>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</si>
  <si>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</si>
  <si>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</si>
  <si>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</si>
  <si>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</si>
  <si>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</si>
  <si>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</si>
  <si>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</si>
  <si>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</si>
  <si>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</si>
  <si>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</si>
  <si>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</si>
  <si>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</si>
  <si>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</si>
  <si>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</si>
  <si>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</si>
  <si>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</si>
  <si>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</si>
  <si>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</si>
  <si>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</si>
  <si>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</si>
  <si>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</si>
  <si>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</si>
  <si>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</si>
  <si>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</si>
  <si>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</si>
  <si>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</si>
  <si>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</si>
  <si>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</si>
  <si>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</si>
  <si>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</si>
  <si>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</si>
  <si>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</si>
  <si>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</si>
  <si>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</si>
  <si>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</si>
  <si>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</si>
  <si>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</si>
  <si>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</si>
  <si>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</si>
  <si>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</si>
  <si>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</si>
  <si>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</si>
  <si>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</si>
  <si>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</si>
  <si>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</si>
  <si>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</si>
  <si>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</si>
  <si>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</si>
  <si>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</si>
  <si>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</si>
  <si>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</si>
  <si>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</si>
  <si>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</si>
  <si>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</si>
  <si>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</si>
  <si>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</si>
  <si>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</si>
  <si>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</si>
  <si>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</si>
  <si>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</si>
  <si>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</si>
  <si>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</si>
  <si>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</si>
  <si>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</si>
  <si>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</si>
  <si>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</si>
  <si>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</si>
  <si>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</si>
  <si>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</si>
  <si>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</si>
  <si>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</si>
  <si>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</si>
  <si>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</si>
  <si>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</si>
  <si>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</si>
  <si>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</si>
  <si>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</si>
  <si>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</si>
  <si>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</si>
  <si>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</si>
  <si>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</si>
  <si>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</si>
  <si>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</si>
  <si>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</si>
  <si>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</si>
  <si>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</si>
  <si>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</si>
  <si>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</si>
  <si>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</si>
  <si>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</si>
  <si>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</si>
  <si>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</si>
  <si>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</si>
  <si>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</si>
  <si>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</si>
  <si>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</si>
  <si>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</si>
  <si>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</si>
  <si>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</si>
  <si>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</si>
  <si>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</si>
  <si>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</si>
  <si>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</si>
  <si>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</si>
  <si>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</si>
  <si>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</si>
  <si>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</si>
  <si>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</si>
  <si>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</si>
  <si>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</si>
  <si>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</si>
  <si>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</si>
  <si>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</si>
  <si>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</si>
  <si>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</si>
  <si>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</si>
  <si>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</si>
  <si>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</si>
  <si>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</si>
  <si>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</si>
  <si>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</si>
  <si>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</si>
  <si>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</si>
  <si>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</si>
  <si>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</si>
  <si>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</si>
  <si>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</si>
  <si>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</si>
  <si>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</si>
  <si>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</si>
  <si>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</si>
  <si>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</si>
  <si>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</si>
  <si>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</si>
  <si>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</si>
  <si>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</si>
  <si>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</si>
  <si>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</si>
  <si>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</si>
  <si>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</si>
  <si>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</si>
  <si>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</si>
  <si>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</si>
  <si>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</si>
  <si>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</si>
  <si>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</si>
  <si>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</si>
  <si>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</si>
  <si>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</si>
  <si>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</si>
  <si>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</si>
  <si>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</si>
  <si>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</si>
  <si>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</si>
  <si>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</si>
  <si>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</si>
  <si>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</si>
  <si>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</si>
  <si>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</si>
  <si>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</si>
  <si>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</si>
  <si>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</si>
  <si>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</si>
  <si>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</si>
  <si>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</si>
  <si>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</si>
  <si>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</si>
  <si>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</si>
  <si>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</si>
  <si>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</si>
  <si>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</si>
  <si>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</si>
  <si>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</si>
  <si>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</si>
  <si>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</si>
  <si>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</si>
  <si>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</si>
  <si>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</si>
  <si>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</si>
  <si>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</si>
  <si>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</si>
  <si>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</si>
  <si>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</si>
  <si>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</si>
  <si>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</si>
  <si>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</si>
  <si>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</si>
  <si>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</si>
  <si>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</si>
  <si>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</si>
  <si>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</si>
  <si>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</si>
  <si>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</si>
  <si>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</si>
  <si>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</si>
  <si>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</si>
  <si>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</si>
  <si>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</si>
  <si>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</si>
  <si>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</si>
  <si>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</si>
  <si>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</si>
  <si>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</si>
  <si>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</si>
  <si>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</si>
  <si>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</si>
  <si>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</si>
  <si>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</si>
  <si>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</si>
  <si>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</si>
  <si>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</si>
  <si>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</si>
  <si>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</si>
  <si>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</si>
  <si>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</si>
  <si>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</si>
  <si>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</si>
  <si>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</si>
  <si>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</si>
  <si>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</si>
  <si>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</si>
  <si>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</si>
  <si>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</si>
  <si>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</si>
  <si>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</si>
  <si>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</si>
  <si>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</si>
  <si>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</si>
  <si>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</si>
  <si>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</si>
  <si>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</si>
  <si>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</si>
  <si>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</si>
  <si>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</si>
  <si>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</si>
  <si>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</si>
  <si>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</si>
  <si>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</si>
  <si>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</si>
  <si>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</si>
  <si>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</si>
  <si>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</si>
  <si>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</si>
  <si>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</si>
  <si>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</si>
  <si>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</si>
  <si>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</si>
  <si>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</si>
  <si>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</si>
  <si>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</si>
  <si>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</si>
  <si>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</si>
  <si>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</si>
  <si>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</si>
  <si>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</si>
  <si>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</si>
  <si>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</si>
  <si>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</si>
  <si>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</si>
  <si>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</si>
  <si>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</si>
  <si>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</si>
  <si>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</si>
  <si>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</si>
  <si>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</si>
  <si>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</si>
  <si>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</si>
  <si>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</si>
  <si>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</si>
  <si>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</si>
  <si>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</si>
  <si>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</si>
  <si>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</si>
  <si>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</si>
  <si>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</si>
  <si>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</si>
  <si>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</si>
  <si>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</si>
  <si>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</si>
  <si>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</si>
  <si>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</si>
  <si>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</si>
  <si>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</si>
  <si>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</si>
  <si>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</si>
  <si>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</si>
  <si>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</si>
  <si>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</si>
  <si>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</si>
  <si>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</si>
  <si>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</si>
  <si>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</si>
  <si>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</si>
  <si>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</si>
  <si>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</si>
  <si>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</si>
  <si>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</si>
  <si>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</si>
  <si>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</si>
  <si>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</si>
  <si>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</si>
  <si>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</si>
  <si>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</si>
  <si>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</si>
  <si>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</si>
  <si>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</si>
  <si>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</si>
  <si>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</si>
  <si>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</si>
  <si>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</si>
  <si>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</si>
  <si>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</si>
  <si>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</si>
  <si>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</si>
  <si>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</si>
  <si>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</si>
  <si>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</si>
  <si>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</si>
  <si>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</si>
  <si>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</si>
  <si>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</si>
  <si>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</si>
  <si>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</si>
  <si>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</si>
  <si>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</si>
  <si>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</si>
  <si>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</si>
  <si>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</si>
  <si>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</si>
  <si>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</si>
  <si>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</si>
  <si>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</si>
  <si>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</si>
  <si>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</si>
  <si>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</si>
  <si>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</si>
  <si>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</si>
  <si>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</si>
  <si>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</si>
  <si>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</si>
  <si>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</si>
  <si>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</si>
  <si>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</si>
  <si>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</si>
  <si>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</si>
  <si>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</si>
  <si>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</si>
  <si>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</si>
  <si>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</si>
  <si>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</si>
  <si>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</si>
  <si>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</si>
  <si>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</si>
  <si>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</si>
  <si>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</si>
  <si>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</si>
  <si>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</si>
  <si>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</si>
  <si>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</si>
  <si>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</si>
  <si>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</si>
  <si>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</si>
  <si>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</si>
  <si>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</si>
  <si>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</si>
  <si>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</si>
  <si>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</si>
  <si>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</si>
  <si>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</si>
  <si>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</si>
  <si>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</si>
  <si>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</si>
  <si>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</si>
  <si>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</si>
  <si>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</si>
  <si>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</si>
  <si>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</si>
  <si>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</si>
  <si>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</si>
  <si>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</si>
  <si>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</si>
  <si>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</si>
  <si>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</si>
  <si>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</si>
  <si>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</si>
  <si>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</si>
  <si>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</si>
  <si>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</si>
  <si>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</si>
  <si>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</si>
  <si>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</si>
  <si>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</si>
  <si>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</si>
  <si>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</si>
  <si>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</si>
  <si>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</si>
  <si>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</si>
  <si>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</si>
  <si>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</si>
  <si>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</si>
  <si>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</si>
  <si>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</si>
  <si>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</si>
  <si>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</si>
  <si>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</si>
  <si>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</si>
  <si>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</si>
  <si>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</si>
  <si>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</si>
  <si>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</si>
  <si>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</si>
  <si>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</si>
  <si>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</si>
  <si>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</si>
  <si>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</si>
  <si>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</si>
  <si>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</si>
  <si>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</si>
  <si>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</si>
  <si>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</si>
  <si>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</si>
  <si>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</si>
  <si>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</si>
  <si>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</si>
  <si>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</si>
  <si>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</si>
  <si>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</si>
  <si>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</si>
  <si>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</si>
  <si>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</si>
  <si>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</si>
  <si>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</si>
  <si>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</si>
  <si>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</si>
  <si>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</si>
  <si>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</si>
  <si>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</si>
  <si>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</si>
  <si>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</si>
  <si>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</si>
  <si>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</si>
  <si>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</si>
  <si>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</si>
  <si>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</si>
  <si>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</si>
  <si>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</si>
  <si>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</si>
  <si>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</si>
  <si>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</si>
  <si>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</si>
  <si>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</si>
  <si>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</si>
  <si>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</si>
  <si>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</si>
  <si>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</si>
  <si>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</si>
  <si>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</si>
  <si>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</si>
  <si>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</si>
  <si>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</si>
  <si>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</si>
  <si>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</si>
  <si>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</si>
  <si>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</si>
  <si>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</si>
  <si>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</si>
  <si>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</si>
  <si>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</si>
  <si>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</si>
  <si>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</si>
  <si>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</si>
  <si>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</si>
  <si>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</si>
  <si>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</si>
  <si>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</si>
  <si>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</si>
  <si>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</si>
  <si>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</si>
  <si>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</si>
  <si>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</si>
  <si>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</si>
  <si>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</si>
  <si>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</si>
  <si>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</si>
  <si>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</si>
  <si>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</si>
  <si>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</si>
  <si>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</si>
  <si>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</si>
  <si>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</si>
  <si>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</si>
  <si>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</si>
  <si>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</si>
  <si>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</si>
  <si>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</si>
  <si>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</si>
  <si>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</si>
  <si>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</si>
  <si>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</si>
  <si>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</si>
  <si>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</si>
  <si>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</si>
  <si>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</si>
  <si>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</si>
  <si>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</si>
  <si>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</si>
  <si>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</si>
  <si>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</si>
  <si>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</si>
  <si>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</si>
  <si>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</si>
  <si>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</si>
  <si>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</si>
  <si>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</si>
  <si>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</si>
  <si>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</si>
  <si>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</si>
  <si>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</si>
  <si>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</si>
  <si>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</si>
  <si>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</si>
  <si>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</si>
  <si>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</si>
  <si>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</si>
  <si>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</si>
  <si>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</si>
  <si>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</si>
  <si>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</si>
  <si>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</si>
  <si>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</si>
  <si>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</si>
  <si>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</si>
  <si>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</si>
  <si>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</si>
  <si>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</si>
  <si>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</si>
  <si>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</si>
  <si>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</si>
  <si>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</si>
  <si>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</si>
  <si>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</si>
  <si>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</si>
  <si>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</si>
  <si>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</si>
  <si>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</si>
  <si>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</si>
  <si>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</si>
  <si>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</si>
  <si>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</si>
  <si>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</si>
  <si>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</si>
  <si>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</si>
  <si>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</si>
  <si>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</si>
  <si>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</si>
  <si>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</si>
  <si>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</si>
  <si>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</si>
  <si>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</si>
  <si>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</si>
  <si>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</si>
  <si>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</si>
  <si>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</si>
  <si>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</si>
  <si>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</si>
  <si>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</si>
  <si>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</si>
  <si>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</si>
  <si>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</si>
  <si>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</si>
  <si>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</si>
  <si>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</si>
  <si>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</si>
  <si>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</si>
  <si>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</si>
  <si>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</si>
  <si>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</si>
  <si>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</si>
  <si>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</si>
  <si>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</si>
  <si>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</si>
  <si>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</si>
  <si>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</si>
  <si>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</si>
  <si>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</si>
  <si>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</si>
  <si>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</si>
  <si>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</si>
  <si>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</si>
  <si>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</si>
  <si>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</si>
  <si>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</si>
  <si>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</si>
  <si>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</si>
  <si>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</si>
  <si>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</si>
  <si>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</si>
  <si>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</si>
  <si>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</si>
  <si>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</si>
  <si>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</si>
  <si>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</si>
  <si>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</si>
  <si>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</si>
  <si>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</si>
  <si>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</si>
  <si>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</si>
  <si>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</si>
  <si>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</si>
  <si>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</si>
  <si>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</si>
  <si>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</si>
  <si>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</si>
  <si>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</si>
  <si>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</si>
  <si>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</si>
  <si>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</si>
  <si>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</si>
  <si>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</si>
  <si>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</si>
  <si>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</si>
  <si>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</si>
  <si>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</si>
  <si>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</si>
  <si>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</si>
  <si>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</si>
  <si>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</si>
  <si>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</si>
  <si>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</si>
  <si>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</si>
  <si>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</si>
  <si>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</si>
  <si>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</si>
  <si>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</si>
  <si>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</si>
  <si>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</si>
  <si>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</si>
  <si>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</si>
  <si>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</si>
  <si>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</si>
  <si>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</si>
  <si>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</si>
  <si>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</si>
  <si>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</si>
  <si>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</si>
  <si>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</si>
  <si>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</si>
  <si>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</si>
  <si>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</si>
  <si>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</si>
  <si>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</si>
  <si>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</si>
  <si>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</si>
  <si>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</si>
  <si>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</si>
  <si>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</si>
  <si>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</si>
  <si>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</si>
  <si>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</si>
  <si>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</si>
  <si>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</si>
  <si>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</si>
  <si>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</si>
  <si>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</si>
  <si>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</si>
  <si>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</si>
  <si>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</si>
  <si>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</si>
  <si>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</si>
  <si>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</si>
  <si>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</si>
  <si>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</si>
  <si>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</si>
  <si>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</si>
  <si>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</si>
  <si>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</si>
  <si>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</si>
  <si>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</si>
  <si>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</si>
  <si>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</si>
  <si>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</si>
  <si>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</si>
  <si>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</si>
  <si>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</si>
  <si>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</si>
  <si>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</si>
  <si>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</si>
  <si>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</si>
  <si>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</si>
  <si>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</si>
  <si>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</si>
  <si>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</si>
  <si>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</si>
  <si>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</si>
  <si>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</si>
  <si>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</si>
  <si>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</si>
  <si>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</si>
  <si>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</si>
  <si>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</si>
  <si>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</si>
  <si>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</si>
  <si>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</si>
  <si>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</si>
  <si>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</si>
  <si>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</si>
  <si>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</si>
  <si>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</si>
  <si>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</si>
  <si>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</si>
  <si>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</si>
  <si>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</si>
  <si>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</si>
  <si>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</si>
  <si>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</si>
  <si>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</si>
  <si>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</si>
  <si>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</si>
  <si>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</si>
  <si>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</si>
  <si>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</si>
  <si>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</si>
  <si>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</si>
  <si>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</si>
  <si>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</si>
  <si>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</si>
  <si>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</si>
  <si>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</si>
  <si>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</si>
  <si>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</si>
  <si>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</si>
  <si>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</si>
  <si>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</si>
  <si>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</si>
  <si>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</si>
  <si>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</si>
  <si>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</si>
  <si>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</si>
  <si>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</si>
  <si>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</si>
  <si>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</si>
  <si>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</si>
  <si>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</si>
  <si>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</si>
  <si>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</si>
  <si>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</si>
  <si>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</si>
  <si>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</si>
  <si>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</si>
  <si>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</si>
  <si>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</si>
  <si>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</si>
  <si>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</si>
  <si>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</si>
  <si>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</si>
  <si>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</si>
  <si>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</si>
  <si>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</si>
  <si>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</si>
  <si>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</si>
  <si>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</si>
  <si>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</si>
  <si>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</si>
  <si>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</si>
  <si>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</si>
  <si>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</si>
  <si>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</si>
  <si>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</si>
  <si>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</si>
  <si>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</si>
  <si>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</si>
  <si>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</si>
  <si>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</si>
  <si>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</si>
  <si>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</si>
  <si>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</si>
  <si>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</si>
  <si>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</si>
  <si>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</si>
  <si>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</si>
  <si>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</si>
  <si>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</si>
  <si>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</si>
  <si>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</si>
  <si>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</si>
  <si>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</si>
  <si>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</si>
  <si>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</si>
  <si>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</si>
  <si>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</si>
  <si>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</si>
  <si>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</si>
  <si>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</si>
  <si>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</si>
  <si>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</si>
  <si>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</si>
  <si>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</si>
  <si>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</si>
  <si>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</si>
  <si>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</si>
  <si>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</si>
  <si>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</si>
  <si>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</si>
  <si>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</si>
  <si>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</si>
  <si>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</si>
  <si>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</si>
  <si>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</si>
  <si>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</si>
  <si>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</si>
  <si>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</si>
  <si>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</si>
  <si>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</si>
  <si>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</si>
  <si>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</si>
  <si>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</si>
  <si>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</si>
  <si>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</si>
  <si>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</si>
  <si>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</si>
  <si>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</si>
  <si>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</si>
  <si>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</si>
  <si>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</si>
  <si>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</si>
  <si>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</si>
  <si>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</si>
  <si>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</si>
  <si>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</si>
  <si>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</si>
  <si>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</si>
  <si>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</si>
  <si>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</si>
  <si>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</si>
  <si>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</si>
  <si>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</si>
  <si>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</si>
  <si>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</si>
  <si>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</si>
  <si>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</si>
  <si>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</si>
  <si>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</si>
  <si>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</si>
  <si>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</si>
  <si>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</si>
  <si>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</si>
  <si>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</si>
  <si>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</si>
  <si>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</si>
  <si>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</si>
  <si>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</si>
  <si>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</si>
  <si>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</si>
  <si>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</si>
  <si>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</si>
  <si>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</si>
  <si>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</si>
  <si>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</si>
  <si>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</si>
  <si>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</si>
  <si>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</si>
  <si>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</si>
  <si>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</si>
  <si>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</si>
  <si>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</si>
  <si>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</si>
  <si>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</si>
  <si>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</si>
  <si>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</si>
  <si>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</si>
  <si>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</si>
  <si>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</si>
  <si>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</si>
  <si>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</si>
  <si>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</si>
  <si>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</si>
  <si>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</si>
  <si>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</si>
  <si>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</si>
  <si>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</si>
  <si>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</si>
  <si>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</si>
  <si>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</si>
  <si>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</si>
  <si>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</si>
  <si>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</si>
  <si>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</si>
  <si>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</si>
  <si>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</si>
  <si>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</si>
  <si>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</si>
  <si>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</si>
  <si>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</si>
  <si>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</si>
  <si>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</si>
  <si>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</si>
  <si>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</si>
  <si>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</si>
  <si>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</si>
  <si>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</si>
  <si>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</si>
  <si>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</si>
  <si>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</si>
  <si>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</si>
  <si>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</si>
  <si>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</si>
  <si>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</si>
  <si>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</si>
  <si>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</si>
  <si>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</si>
  <si>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</si>
  <si>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</si>
  <si>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</si>
  <si>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</si>
  <si>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</si>
  <si>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</si>
  <si>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</si>
  <si>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</si>
  <si>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</si>
  <si>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</si>
  <si>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</si>
  <si>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</si>
  <si>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</si>
  <si>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</si>
  <si>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</si>
  <si>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</si>
  <si>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</si>
  <si>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</si>
  <si>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</si>
  <si>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</si>
  <si>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</si>
  <si>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</si>
  <si>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</si>
  <si>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</si>
  <si>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</si>
  <si>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</si>
  <si>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</si>
  <si>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</si>
  <si>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</si>
  <si>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</si>
  <si>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</si>
  <si>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</si>
  <si>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</si>
  <si>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</si>
  <si>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</si>
  <si>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</si>
  <si>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</si>
  <si>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</si>
  <si>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</si>
  <si>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</si>
  <si>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</si>
  <si>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</si>
  <si>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</si>
  <si>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</si>
  <si>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</si>
  <si>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</si>
  <si>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</si>
  <si>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</si>
  <si>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</si>
  <si>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</si>
  <si>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</si>
  <si>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</si>
  <si>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</si>
  <si>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</si>
  <si>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</si>
  <si>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</si>
  <si>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</si>
  <si>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</si>
  <si>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</si>
  <si>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</si>
  <si>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</si>
  <si>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</si>
  <si>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</si>
  <si>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</si>
  <si>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</si>
  <si>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</si>
  <si>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</si>
  <si>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</si>
  <si>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</si>
  <si>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</si>
  <si>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</si>
  <si>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</si>
  <si>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</si>
  <si>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</si>
  <si>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</si>
  <si>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</si>
  <si>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</si>
  <si>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</si>
  <si>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</si>
  <si>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</si>
  <si>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</si>
  <si>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</si>
  <si>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</si>
  <si>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</si>
  <si>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</si>
  <si>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</si>
  <si>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</si>
  <si>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</si>
  <si>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</si>
  <si>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</si>
  <si>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</si>
  <si>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</si>
  <si>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</si>
  <si>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</si>
  <si>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</si>
  <si>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</si>
  <si>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</si>
  <si>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</si>
  <si>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</si>
  <si>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</si>
  <si>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</si>
  <si>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</si>
  <si>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</si>
  <si>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</si>
  <si>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</si>
  <si>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</si>
  <si>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</si>
  <si>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</si>
  <si>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</si>
  <si>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</si>
  <si>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</si>
  <si>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</si>
  <si>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</si>
  <si>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</si>
  <si>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</si>
  <si>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</si>
  <si>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</si>
  <si>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</si>
  <si>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</si>
  <si>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</si>
  <si>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</si>
  <si>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</si>
  <si>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</si>
  <si>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</si>
  <si>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</si>
  <si>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</si>
  <si>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</si>
  <si>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</si>
  <si>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</si>
  <si>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</si>
  <si>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</si>
  <si>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</si>
  <si>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</si>
  <si>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</si>
  <si>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</si>
  <si>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</si>
  <si>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</si>
  <si>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</si>
  <si>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</si>
  <si>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</si>
  <si>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</si>
  <si>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</si>
  <si>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</si>
  <si>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</si>
  <si>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</si>
  <si>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</si>
  <si>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</si>
  <si>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</si>
  <si>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</si>
  <si>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</si>
  <si>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</si>
  <si>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</si>
  <si>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</si>
  <si>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</si>
  <si>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</si>
  <si>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</si>
  <si>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</si>
  <si>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</si>
  <si>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</si>
  <si>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</si>
  <si>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</si>
  <si>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</si>
  <si>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</si>
  <si>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</si>
  <si>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</si>
  <si>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</si>
  <si>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</si>
  <si>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</si>
  <si>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</si>
  <si>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</si>
  <si>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</si>
  <si>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</si>
  <si>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</si>
  <si>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</si>
  <si>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</si>
  <si>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</si>
  <si>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</si>
  <si>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</si>
  <si>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</si>
  <si>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</si>
  <si>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</si>
  <si>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</si>
  <si>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</si>
  <si>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</si>
  <si>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</si>
  <si>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</si>
  <si>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</si>
  <si>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</si>
  <si>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</si>
  <si>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</si>
  <si>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</si>
  <si>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</si>
  <si>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</si>
  <si>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</si>
  <si>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</si>
  <si>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</si>
  <si>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</si>
  <si>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</si>
  <si>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</si>
  <si>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</si>
  <si>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</si>
  <si>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</si>
  <si>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</si>
  <si>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</si>
  <si>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</si>
  <si>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</si>
  <si>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</si>
  <si>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</si>
  <si>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</si>
  <si>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</si>
  <si>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</si>
  <si>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</si>
  <si>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</si>
  <si>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</si>
  <si>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</si>
  <si>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</si>
  <si>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</si>
  <si>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</si>
  <si>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</si>
  <si>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</si>
  <si>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</si>
  <si>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</si>
  <si>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</si>
  <si>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</si>
  <si>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</si>
  <si>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</si>
  <si>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</si>
  <si>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</si>
  <si>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</si>
  <si>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</si>
  <si>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</si>
  <si>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</si>
  <si>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</si>
  <si>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</si>
  <si>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</si>
  <si>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</si>
  <si>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</si>
  <si>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</si>
  <si>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</si>
  <si>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</si>
  <si>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</si>
  <si>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</si>
  <si>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</si>
  <si>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</si>
  <si>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</si>
  <si>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</si>
  <si>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</si>
  <si>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</si>
  <si>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</si>
  <si>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</si>
  <si>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</si>
  <si>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</si>
  <si>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</si>
  <si>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</si>
  <si>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</si>
  <si>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</si>
  <si>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</si>
  <si>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</si>
  <si>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</si>
  <si>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</si>
  <si>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</si>
  <si>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</si>
  <si>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</si>
  <si>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</si>
  <si>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</si>
  <si>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</si>
  <si>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</si>
  <si>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</si>
  <si>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</si>
  <si>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</si>
  <si>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</si>
  <si>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</si>
  <si>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</si>
  <si>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</si>
  <si>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</si>
  <si>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</si>
  <si>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</si>
  <si>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</si>
  <si>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</si>
  <si>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</si>
  <si>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</si>
  <si>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</si>
  <si>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</si>
  <si>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</si>
  <si>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</si>
  <si>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</si>
  <si>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</si>
  <si>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</si>
  <si>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</si>
  <si>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</si>
  <si>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</si>
  <si>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</si>
  <si>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</si>
  <si>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</si>
  <si>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</si>
  <si>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</si>
  <si>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</si>
  <si>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</si>
  <si>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</si>
  <si>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</si>
  <si>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</si>
  <si>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</si>
  <si>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</si>
  <si>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</si>
  <si>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</si>
  <si>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</si>
  <si>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</si>
  <si>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</si>
  <si>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</si>
  <si>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</si>
  <si>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</si>
  <si>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</si>
  <si>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</si>
  <si>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</si>
  <si>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</si>
  <si>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</si>
  <si>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</si>
  <si>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</si>
  <si>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</si>
  <si>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</si>
  <si>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</si>
  <si>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</si>
  <si>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</si>
  <si>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</si>
  <si>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</si>
  <si>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</si>
  <si>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</si>
  <si>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</si>
  <si>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</si>
  <si>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</si>
  <si>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</si>
  <si>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</si>
  <si>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</si>
  <si>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</si>
  <si>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</si>
  <si>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</si>
  <si>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</si>
  <si>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</si>
  <si>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</si>
  <si>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</si>
  <si>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</si>
  <si>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</si>
  <si>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</si>
  <si>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</si>
  <si>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</si>
  <si>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</si>
  <si>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</si>
  <si>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</si>
  <si>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</si>
  <si>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</si>
  <si>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</si>
  <si>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</si>
  <si>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</si>
  <si>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</si>
  <si>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</si>
  <si>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</si>
  <si>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</si>
  <si>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</si>
  <si>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</si>
  <si>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</si>
  <si>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</si>
  <si>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</si>
  <si>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</si>
  <si>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</si>
  <si>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</si>
  <si>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</si>
  <si>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</si>
  <si>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</si>
  <si>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</si>
  <si>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</si>
  <si>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</si>
  <si>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</si>
  <si>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</si>
  <si>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</si>
  <si>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</si>
  <si>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</si>
  <si>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</si>
  <si>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</si>
  <si>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</si>
  <si>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</si>
  <si>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</si>
  <si>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</si>
  <si>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</si>
  <si>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</si>
  <si>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</si>
  <si>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</si>
  <si>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</si>
  <si>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</si>
  <si>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</si>
  <si>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</si>
  <si>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</si>
  <si>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</si>
  <si>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</si>
  <si>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</si>
  <si>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</si>
  <si>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</si>
  <si>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</si>
  <si>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</si>
  <si>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</si>
  <si>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</si>
  <si>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</si>
  <si>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</si>
  <si>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</si>
  <si>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</si>
  <si>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</si>
  <si>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</si>
  <si>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</si>
  <si>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</si>
  <si>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</si>
  <si>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</si>
  <si>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</si>
  <si>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</si>
  <si>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</si>
  <si>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</si>
  <si>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</si>
  <si>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</si>
  <si>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</si>
  <si>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</si>
  <si>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</si>
  <si>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</si>
  <si>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</si>
  <si>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</si>
  <si>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</si>
  <si>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Station de Pompage SP1-OZ1</t>
  </si>
  <si>
    <t>SP1-OZ2</t>
  </si>
  <si>
    <t>Station de Pompage SP1-OZ2</t>
  </si>
  <si>
    <t>Station de Pompage SP2-OZ1</t>
  </si>
  <si>
    <t>SP2-OZ2</t>
  </si>
  <si>
    <t>Station de Pompage SP2-OZ2</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</si>
  <si>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</si>
  <si>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</si>
  <si>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</si>
  <si>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</si>
  <si>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</si>
  <si>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</si>
  <si>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</si>
  <si>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</si>
  <si>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</si>
  <si>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</si>
  <si>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</si>
  <si>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</si>
  <si>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</si>
  <si>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</si>
  <si>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</si>
  <si>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</si>
  <si>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</si>
  <si>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</si>
  <si>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</si>
  <si>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</si>
  <si>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</si>
  <si>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</si>
  <si>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</si>
  <si>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</si>
  <si>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</si>
  <si>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</si>
  <si>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</si>
  <si>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</si>
  <si>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</si>
  <si>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</si>
  <si>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</si>
  <si>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</si>
  <si>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</si>
  <si>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</si>
  <si>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</si>
  <si>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</si>
  <si>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</si>
  <si>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</si>
  <si>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</si>
  <si>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</si>
  <si>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</si>
  <si>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</si>
  <si>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</si>
  <si>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</si>
  <si>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</si>
  <si>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</si>
  <si>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</si>
  <si>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</si>
  <si>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</si>
  <si>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</si>
  <si>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</si>
  <si>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</si>
  <si>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</si>
  <si>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</si>
  <si>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</si>
  <si>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</si>
  <si>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</si>
  <si>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</si>
  <si>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</si>
  <si>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</si>
  <si>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</si>
  <si>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</si>
  <si>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</si>
  <si>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</si>
  <si>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</si>
  <si>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</si>
  <si>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</si>
  <si>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</si>
  <si>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</si>
  <si>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</si>
  <si>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</si>
  <si>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</si>
  <si>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</si>
  <si>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</si>
  <si>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</si>
  <si>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</si>
  <si>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</si>
  <si>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</si>
  <si>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</si>
  <si>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</si>
  <si>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</si>
  <si>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</si>
  <si>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</si>
  <si>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</si>
  <si>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</si>
  <si>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</si>
  <si>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</si>
  <si>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</si>
  <si>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</si>
  <si>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</si>
  <si>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</si>
  <si>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</si>
  <si>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</si>
  <si>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</si>
  <si>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</si>
  <si>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</si>
  <si>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</si>
  <si>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</si>
  <si>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</si>
  <si>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</si>
  <si>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</si>
  <si>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</si>
  <si>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</si>
  <si>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</si>
  <si>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</si>
  <si>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</si>
  <si>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</si>
  <si>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</si>
  <si>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</si>
  <si>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</si>
  <si>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</si>
  <si>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</si>
  <si>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</si>
  <si>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</si>
  <si>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</si>
  <si>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</si>
  <si>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</si>
  <si>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</si>
  <si>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</si>
  <si>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</si>
  <si>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</si>
  <si>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</si>
  <si>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</si>
  <si>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</si>
  <si>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</si>
  <si>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</si>
  <si>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</si>
  <si>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</si>
  <si>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</si>
  <si>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</si>
  <si>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</si>
  <si>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</si>
  <si>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</si>
  <si>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</si>
  <si>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</si>
  <si>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</si>
  <si>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</si>
  <si>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</si>
  <si>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</si>
  <si>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</si>
  <si>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</si>
  <si>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</si>
  <si>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</si>
  <si>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</si>
  <si>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</si>
  <si>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</si>
  <si>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</si>
  <si>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</si>
  <si>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</si>
  <si>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</si>
  <si>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</si>
  <si>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</si>
  <si>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</si>
  <si>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</si>
  <si>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</si>
  <si>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</si>
  <si>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</si>
  <si>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</si>
  <si>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</si>
  <si>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</si>
  <si>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</si>
  <si>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</si>
  <si>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</si>
  <si>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</si>
  <si>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</si>
  <si>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</si>
  <si>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</si>
  <si>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</si>
  <si>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</si>
  <si>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</si>
  <si>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</si>
  <si>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</si>
  <si>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</si>
  <si>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</si>
  <si>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</si>
  <si>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</si>
  <si>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</si>
  <si>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</si>
  <si>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</si>
  <si>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</si>
  <si>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</si>
  <si>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</si>
  <si>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</si>
  <si>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</si>
  <si>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</si>
  <si>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</si>
  <si>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</si>
  <si>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</si>
  <si>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</si>
  <si>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</si>
  <si>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</si>
  <si>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</si>
  <si>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</si>
  <si>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</si>
  <si>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</si>
  <si>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</si>
  <si>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</si>
  <si>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</si>
  <si>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</si>
  <si>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</si>
  <si>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</si>
  <si>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</si>
  <si>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</si>
  <si>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</si>
  <si>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</si>
  <si>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</si>
  <si>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</si>
  <si>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</si>
  <si>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</si>
  <si>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</si>
  <si>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</si>
  <si>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</si>
  <si>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</si>
  <si>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</si>
  <si>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</si>
  <si>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</si>
  <si>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</si>
  <si>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</si>
  <si>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</si>
  <si>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</si>
  <si>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</si>
  <si>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</si>
  <si>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</si>
  <si>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</si>
  <si>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</si>
  <si>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</si>
  <si>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</si>
  <si>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</si>
  <si>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</si>
  <si>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</si>
  <si>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</si>
  <si>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</si>
  <si>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</si>
  <si>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</si>
  <si>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</si>
  <si>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</si>
  <si>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</si>
  <si>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</si>
  <si>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</si>
  <si>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</si>
  <si>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</si>
  <si>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</si>
  <si>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</si>
  <si>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</si>
  <si>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</si>
  <si>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</si>
  <si>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</si>
  <si>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</si>
  <si>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</si>
  <si>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</si>
  <si>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</si>
  <si>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</si>
  <si>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</si>
  <si>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</si>
  <si>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</si>
  <si>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</si>
  <si>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</si>
  <si>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</si>
  <si>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</si>
  <si>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</si>
  <si>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</si>
  <si>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</si>
  <si>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</si>
  <si>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</si>
  <si>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</si>
  <si>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</si>
  <si>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</si>
  <si>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</si>
  <si>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</si>
  <si>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</si>
  <si>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</si>
  <si>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</si>
  <si>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</si>
  <si>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</si>
  <si>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</si>
  <si>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</si>
  <si>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</si>
  <si>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</si>
  <si>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</si>
  <si>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</si>
  <si>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</si>
  <si>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</si>
  <si>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</si>
  <si>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</si>
  <si>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</si>
  <si>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</si>
  <si>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</si>
  <si>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</si>
  <si>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</si>
  <si>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</si>
  <si>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</si>
  <si>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</si>
  <si>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</si>
  <si>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</si>
  <si>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</si>
  <si>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</si>
  <si>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</si>
  <si>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</si>
  <si>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</si>
  <si>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</si>
  <si>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</si>
  <si>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</si>
  <si>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</si>
  <si>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</si>
  <si>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</si>
  <si>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</si>
  <si>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</si>
  <si>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</si>
  <si>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</si>
  <si>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</si>
  <si>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</si>
  <si>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</si>
  <si>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</si>
  <si>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</si>
  <si>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</si>
  <si>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</si>
  <si>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</si>
  <si>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</si>
  <si>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</si>
  <si>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</si>
  <si>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</si>
  <si>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</si>
  <si>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</si>
  <si>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</si>
  <si>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</si>
  <si>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</si>
  <si>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</si>
  <si>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</si>
  <si>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</si>
  <si>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</si>
  <si>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</si>
  <si>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</si>
  <si>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</si>
  <si>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</si>
  <si>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</si>
  <si>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</si>
  <si>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</si>
  <si>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</si>
  <si>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</si>
  <si>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</si>
  <si>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</si>
  <si>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</si>
  <si>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</si>
  <si>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</si>
  <si>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</si>
  <si>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</si>
  <si>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</si>
  <si>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</si>
  <si>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</si>
  <si>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</si>
  <si>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</si>
  <si>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</si>
  <si>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</si>
  <si>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</si>
  <si>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</si>
  <si>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</si>
  <si>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</si>
  <si>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</si>
  <si>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</si>
  <si>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</si>
  <si>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</si>
  <si>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</si>
  <si>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</si>
  <si>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</si>
  <si>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</si>
  <si>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</si>
  <si>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</si>
  <si>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</si>
  <si>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</si>
  <si>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</si>
  <si>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</si>
  <si>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</si>
  <si>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</si>
  <si>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</si>
  <si>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</si>
  <si>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</si>
  <si>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</si>
  <si>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</si>
  <si>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</si>
  <si>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</si>
  <si>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</si>
  <si>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</si>
  <si>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</si>
  <si>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</si>
  <si>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</si>
  <si>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</si>
  <si>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</si>
  <si>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</si>
  <si>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</si>
  <si>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</si>
  <si>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</si>
  <si>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</si>
  <si>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</si>
  <si>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</si>
  <si>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</si>
  <si>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</si>
  <si>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</si>
  <si>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</si>
  <si>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</si>
  <si>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</si>
  <si>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</si>
  <si>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</si>
  <si>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</si>
  <si>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</si>
  <si>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</si>
  <si>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</si>
  <si>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</si>
  <si>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</si>
  <si>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</si>
  <si>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</si>
  <si>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</si>
  <si>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</si>
  <si>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</si>
  <si>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</si>
  <si>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</si>
  <si>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</si>
  <si>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</si>
  <si>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</si>
  <si>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</si>
  <si>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</si>
  <si>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</si>
  <si>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</si>
  <si>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</si>
  <si>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</si>
  <si>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</si>
  <si>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</si>
  <si>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</si>
  <si>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</si>
  <si>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</si>
  <si>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</si>
  <si>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</si>
  <si>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</si>
  <si>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</si>
  <si>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</si>
  <si>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</si>
  <si>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</si>
  <si>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</si>
  <si>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</si>
  <si>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</si>
  <si>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</si>
  <si>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</si>
  <si>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</si>
  <si>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</si>
  <si>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</si>
  <si>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</si>
  <si>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</si>
  <si>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</si>
  <si>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</si>
  <si>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</si>
  <si>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</si>
  <si>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</si>
  <si>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</si>
  <si>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</si>
  <si>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</si>
  <si>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</si>
  <si>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</si>
  <si>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</si>
  <si>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</si>
  <si>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</si>
  <si>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</si>
  <si>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</si>
  <si>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</si>
  <si>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</si>
  <si>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</si>
  <si>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</si>
  <si>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</si>
  <si>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</si>
  <si>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</si>
  <si>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</si>
  <si>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</si>
  <si>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</si>
  <si>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</si>
  <si>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</si>
  <si>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</si>
  <si>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</si>
  <si>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</si>
  <si>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</si>
  <si>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</si>
  <si>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</si>
  <si>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</si>
  <si>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</si>
  <si>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</si>
  <si>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</si>
  <si>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</si>
  <si>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</si>
  <si>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</si>
  <si>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</si>
  <si>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</si>
  <si>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</si>
  <si>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</si>
  <si>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</si>
  <si>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</si>
  <si>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</si>
  <si>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</si>
  <si>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</si>
  <si>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</si>
  <si>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</si>
  <si>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</si>
  <si>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</si>
  <si>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</si>
  <si>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</si>
  <si>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</si>
  <si>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</si>
  <si>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</si>
  <si>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</si>
  <si>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</si>
  <si>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</si>
  <si>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</si>
  <si>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</si>
  <si>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</si>
  <si>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</si>
  <si>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</si>
  <si>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</si>
  <si>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</si>
  <si>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</si>
  <si>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</si>
  <si>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</si>
  <si>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</si>
  <si>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</si>
  <si>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</si>
  <si>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</si>
  <si>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</si>
  <si>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</si>
  <si>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</si>
  <si>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</si>
  <si>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</si>
  <si>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</si>
  <si>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</si>
  <si>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</si>
  <si>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</si>
  <si>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</si>
  <si>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</si>
  <si>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</si>
  <si>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</si>
  <si>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</si>
  <si>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</si>
  <si>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</si>
  <si>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</si>
  <si>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</si>
  <si>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</si>
  <si>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</si>
  <si>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</si>
  <si>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</si>
  <si>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</si>
  <si>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</si>
  <si>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</si>
  <si>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</si>
  <si>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</si>
  <si>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</si>
  <si>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</si>
  <si>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</si>
  <si>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</si>
  <si>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</si>
  <si>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</si>
  <si>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</si>
  <si>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</si>
  <si>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</si>
  <si>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</si>
  <si>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</si>
  <si>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</si>
  <si>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</si>
  <si>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</si>
  <si>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</si>
  <si>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</si>
  <si>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</si>
  <si>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</si>
  <si>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</si>
  <si>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</si>
  <si>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</si>
  <si>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</si>
  <si>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</si>
  <si>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</si>
  <si>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</si>
  <si>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</si>
  <si>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</si>
  <si>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</si>
  <si>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</si>
  <si>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</si>
  <si>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</si>
  <si>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</si>
  <si>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</si>
  <si>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</si>
  <si>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</si>
  <si>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</si>
  <si>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</si>
  <si>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</si>
  <si>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</si>
  <si>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</si>
  <si>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</si>
  <si>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</si>
  <si>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</si>
  <si>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</si>
  <si>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</si>
  <si>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</si>
  <si>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</si>
  <si>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</si>
  <si>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</si>
  <si>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</si>
  <si>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</si>
  <si>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</si>
  <si>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</si>
  <si>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</si>
  <si>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</si>
  <si>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</si>
  <si>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</si>
  <si>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</si>
  <si>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</si>
  <si>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</si>
  <si>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</si>
  <si>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</si>
  <si>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</si>
  <si>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</si>
  <si>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</si>
  <si>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</si>
  <si>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</si>
  <si>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</si>
  <si>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</si>
  <si>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</si>
  <si>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</si>
  <si>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</si>
  <si>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</si>
  <si>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</si>
  <si>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</si>
  <si>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</si>
  <si>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</si>
  <si>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</si>
  <si>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</si>
  <si>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</si>
  <si>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</si>
  <si>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</si>
  <si>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</si>
  <si>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</si>
  <si>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</si>
  <si>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</si>
  <si>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</si>
  <si>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</si>
  <si>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</si>
  <si>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</si>
  <si>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</si>
  <si>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</si>
  <si>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</si>
  <si>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</si>
  <si>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</si>
  <si>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</si>
  <si>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</si>
  <si>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</si>
  <si>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</si>
  <si>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</si>
  <si>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</si>
  <si>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</si>
  <si>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</si>
  <si>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</si>
  <si>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</si>
  <si>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</si>
  <si>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</si>
  <si>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</si>
  <si>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</si>
  <si>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</si>
  <si>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</si>
  <si>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</si>
  <si>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</si>
  <si>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</si>
  <si>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</si>
  <si>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</si>
  <si>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</si>
  <si>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</si>
  <si>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</si>
  <si>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</si>
  <si>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</si>
  <si>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</si>
  <si>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</si>
  <si>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</si>
  <si>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</si>
  <si>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</si>
  <si>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</si>
  <si>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</si>
  <si>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</si>
  <si>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</si>
  <si>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</si>
  <si>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</si>
  <si>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</si>
  <si>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</si>
  <si>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</si>
  <si>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</si>
  <si>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</si>
  <si>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</si>
  <si>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</si>
  <si>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</si>
  <si>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</si>
  <si>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</si>
  <si>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</si>
  <si>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</si>
  <si>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</si>
  <si>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</si>
  <si>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</si>
  <si>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</si>
  <si>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</si>
  <si>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</si>
  <si>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</si>
  <si>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</si>
  <si>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</si>
  <si>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</si>
  <si>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</si>
  <si>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</si>
  <si>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</si>
  <si>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</si>
  <si>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</si>
  <si>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</si>
  <si>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</si>
  <si>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</si>
  <si>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</si>
  <si>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</si>
  <si>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</si>
  <si>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</si>
  <si>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</si>
  <si>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</si>
  <si>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</si>
  <si>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</si>
  <si>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</si>
  <si>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</si>
  <si>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</si>
  <si>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</si>
  <si>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</si>
  <si>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</si>
  <si>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</si>
  <si>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</si>
  <si>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</si>
  <si>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</si>
  <si>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</si>
  <si>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</si>
  <si>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</si>
  <si>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</si>
  <si>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</si>
  <si>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</si>
  <si>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</si>
  <si>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</si>
  <si>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</si>
  <si>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</si>
  <si>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</si>
  <si>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</si>
  <si>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</si>
  <si>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</si>
  <si>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</si>
  <si>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</si>
  <si>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</si>
  <si>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</si>
  <si>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</si>
  <si>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</si>
  <si>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</si>
  <si>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</si>
  <si>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</si>
  <si>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</si>
  <si>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</si>
  <si>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</si>
  <si>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</si>
  <si>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</si>
  <si>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</si>
  <si>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</si>
  <si>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</si>
  <si>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</si>
  <si>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</si>
  <si>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</si>
  <si>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</si>
  <si>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</si>
  <si>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</si>
  <si>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</si>
  <si>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</si>
  <si>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</si>
  <si>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</si>
  <si>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</si>
  <si>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</si>
  <si>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</si>
  <si>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</si>
  <si>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</si>
  <si>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</si>
  <si>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</si>
  <si>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</si>
  <si>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</si>
  <si>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</si>
  <si>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</si>
  <si>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</si>
  <si>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</si>
  <si>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</si>
  <si>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</si>
  <si>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</si>
  <si>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</si>
  <si>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</si>
  <si>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</si>
  <si>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</si>
  <si>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</si>
  <si>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</si>
  <si>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</si>
  <si>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</si>
  <si>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</si>
  <si>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</si>
  <si>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</si>
  <si>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</si>
  <si>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</si>
  <si>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</si>
  <si>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</si>
  <si>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</si>
  <si>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</si>
  <si>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</si>
  <si>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</si>
  <si>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</si>
  <si>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</si>
  <si>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</si>
  <si>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</si>
  <si>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</si>
  <si>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</si>
  <si>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</si>
  <si>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</si>
  <si>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</si>
  <si>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</si>
  <si>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</si>
  <si>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</si>
  <si>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</si>
  <si>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</si>
  <si>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</si>
  <si>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</si>
  <si>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</si>
  <si>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</si>
  <si>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</si>
  <si>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</si>
  <si>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</si>
  <si>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</si>
  <si>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Manage system audit data</t>
  </si>
  <si>
    <t>Manage network type data</t>
  </si>
  <si>
    <t>Manage network common data</t>
  </si>
  <si>
    <t>Manage network core data</t>
  </si>
  <si>
    <t>Manage general Type</t>
  </si>
  <si>
    <t>Manage general localization</t>
  </si>
  <si>
    <t>Manage general organization</t>
  </si>
  <si>
    <t>GROUP</t>
  </si>
  <si>
    <t>USER</t>
  </si>
  <si>
    <t>ROLE</t>
  </si>
  <si>
    <t>PERMISSION</t>
  </si>
  <si>
    <t>AUTHORITY</t>
  </si>
  <si>
    <t>AUDIT</t>
  </si>
  <si>
    <t>DOCUMENT</t>
  </si>
  <si>
    <t>COUNTRY</t>
  </si>
  <si>
    <t>STATE</t>
  </si>
  <si>
    <t>LOCALITY</t>
  </si>
  <si>
    <t>STRUCTURE_TYPE</t>
  </si>
  <si>
    <t>STRUCTURE</t>
  </si>
  <si>
    <t>JOB</t>
  </si>
  <si>
    <t>PERSON</t>
  </si>
  <si>
    <t>EMPLOYEE</t>
  </si>
  <si>
    <t>COMPANY_TYPE</t>
  </si>
  <si>
    <t>PARTNER_TYPE</t>
  </si>
  <si>
    <t>VENDOR_TYPE</t>
  </si>
  <si>
    <t>FACILITY_TYPE</t>
  </si>
  <si>
    <t>STATION_TYPE</t>
  </si>
  <si>
    <t>TERMINAL_TYPE</t>
  </si>
  <si>
    <t>EQUIPMENT_TYPE</t>
  </si>
  <si>
    <t>ZONE</t>
  </si>
  <si>
    <t>LOCATION</t>
  </si>
  <si>
    <t>PRODUCT</t>
  </si>
  <si>
    <t>OPERATIONAL_STATUS</t>
  </si>
  <si>
    <t>ALLOY</t>
  </si>
  <si>
    <t>PARTNER</t>
  </si>
  <si>
    <t>VENDOR</t>
  </si>
  <si>
    <t>INFRASTRUCTURE</t>
  </si>
  <si>
    <t>FACILITY</t>
  </si>
  <si>
    <t>PIPELINE_SYSTEM</t>
  </si>
  <si>
    <t>PIPELINE</t>
  </si>
  <si>
    <t>PIPELINE_SEGMENT</t>
  </si>
  <si>
    <t>STATION</t>
  </si>
  <si>
    <t>TERMINAL</t>
  </si>
  <si>
    <t>EQUIPMENT</t>
  </si>
  <si>
    <t>READ</t>
  </si>
  <si>
    <t>Resource</t>
  </si>
  <si>
    <t>Cction</t>
  </si>
  <si>
    <t>Mail</t>
  </si>
  <si>
    <t>Username</t>
  </si>
  <si>
    <t>DISTRICT</t>
  </si>
  <si>
    <t>PROCESSING_PLANT_TYPE</t>
  </si>
  <si>
    <t>PRODUCTION_FIELD_TYPE</t>
  </si>
  <si>
    <t>PROCESSING_PLANT</t>
  </si>
  <si>
    <t>PRODUCTION_FIELD</t>
  </si>
  <si>
    <t>F 01</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</si>
  <si>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</si>
  <si>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</si>
  <si>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</si>
  <si>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</si>
  <si>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</si>
  <si>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</si>
  <si>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</si>
  <si>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</si>
  <si>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</si>
  <si>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</si>
  <si>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</si>
  <si>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</si>
  <si>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</si>
  <si>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</si>
  <si>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</si>
  <si>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</si>
  <si>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</si>
  <si>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</si>
  <si>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</si>
  <si>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</si>
  <si>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</si>
  <si>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</si>
  <si>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</si>
  <si>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</si>
  <si>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</si>
  <si>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</si>
  <si>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</si>
  <si>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</si>
  <si>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</si>
  <si>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</si>
  <si>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</si>
  <si>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</si>
  <si>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</si>
  <si>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</si>
  <si>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</si>
  <si>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</si>
  <si>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</si>
  <si>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</si>
  <si>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</si>
  <si>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</si>
  <si>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</si>
  <si>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</si>
  <si>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</si>
  <si>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</si>
  <si>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</si>
  <si>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</si>
  <si>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</si>
  <si>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</si>
  <si>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</si>
  <si>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</si>
  <si>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</si>
  <si>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</si>
  <si>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</si>
  <si>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</si>
  <si>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</si>
  <si>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</si>
  <si>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</si>
  <si>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</si>
  <si>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</si>
  <si>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</si>
  <si>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</si>
  <si>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</si>
  <si>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</si>
  <si>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</si>
  <si>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</si>
  <si>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</si>
  <si>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</si>
  <si>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</si>
  <si>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</si>
  <si>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</si>
  <si>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</si>
  <si>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</si>
  <si>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</si>
  <si>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</si>
  <si>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</si>
  <si>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</si>
  <si>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</si>
  <si>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</si>
  <si>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</si>
  <si>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</si>
  <si>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</si>
  <si>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</si>
  <si>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</si>
  <si>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</si>
  <si>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</si>
  <si>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</si>
  <si>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</si>
  <si>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</si>
  <si>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</si>
  <si>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</si>
  <si>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</si>
  <si>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</si>
  <si>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</si>
  <si>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</si>
  <si>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</si>
  <si>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</si>
  <si>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</si>
  <si>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</si>
  <si>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</si>
  <si>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</si>
  <si>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</si>
  <si>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</si>
  <si>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</si>
  <si>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</si>
  <si>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</si>
  <si>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</si>
  <si>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</si>
  <si>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</si>
  <si>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</si>
  <si>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</si>
  <si>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</si>
  <si>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</si>
  <si>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</si>
  <si>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</si>
  <si>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</si>
  <si>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</si>
  <si>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</si>
  <si>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</si>
  <si>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</si>
  <si>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</si>
  <si>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</si>
  <si>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</si>
  <si>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</si>
  <si>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</si>
  <si>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</si>
  <si>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</si>
  <si>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</si>
  <si>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</si>
  <si>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</si>
  <si>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</si>
  <si>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</si>
  <si>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</si>
  <si>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</si>
  <si>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</si>
  <si>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</si>
  <si>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</si>
  <si>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</si>
  <si>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</si>
  <si>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</si>
  <si>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</si>
  <si>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</si>
  <si>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</si>
  <si>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</si>
  <si>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</si>
  <si>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</si>
  <si>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</si>
  <si>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</si>
  <si>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</si>
  <si>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</si>
  <si>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</si>
  <si>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</si>
  <si>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</si>
  <si>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</si>
  <si>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</si>
  <si>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</si>
  <si>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</si>
  <si>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</si>
  <si>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</si>
  <si>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</si>
  <si>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</si>
  <si>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</si>
  <si>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</si>
  <si>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</si>
  <si>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</si>
  <si>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</si>
  <si>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</si>
  <si>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</si>
  <si>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</si>
  <si>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</si>
  <si>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</si>
  <si>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</si>
  <si>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</si>
  <si>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</si>
  <si>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</si>
  <si>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</si>
  <si>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</si>
  <si>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</si>
  <si>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</si>
  <si>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</si>
  <si>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</si>
  <si>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</si>
  <si>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</si>
  <si>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</si>
  <si>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</si>
  <si>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</si>
  <si>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</si>
  <si>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</si>
  <si>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</si>
  <si>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</si>
  <si>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</si>
  <si>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</si>
  <si>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</si>
  <si>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</si>
  <si>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</si>
  <si>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</si>
  <si>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</si>
  <si>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</si>
  <si>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</si>
  <si>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</si>
  <si>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</si>
  <si>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</si>
  <si>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</si>
  <si>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</si>
  <si>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</si>
  <si>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</si>
  <si>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</si>
  <si>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</si>
  <si>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</si>
  <si>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</si>
  <si>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</si>
  <si>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</si>
  <si>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</si>
  <si>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</si>
  <si>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</si>
  <si>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</si>
  <si>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</si>
  <si>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</si>
  <si>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</si>
  <si>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</si>
  <si>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</si>
  <si>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</si>
  <si>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</si>
  <si>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</si>
  <si>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</si>
  <si>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</si>
  <si>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</si>
  <si>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</si>
  <si>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</si>
  <si>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</si>
  <si>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</si>
  <si>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</si>
  <si>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</si>
  <si>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</si>
  <si>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</si>
  <si>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</si>
  <si>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</si>
  <si>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</si>
  <si>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</si>
  <si>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</si>
  <si>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</si>
  <si>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</si>
  <si>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</si>
  <si>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</si>
  <si>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</si>
  <si>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</si>
  <si>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</si>
  <si>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</si>
  <si>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</si>
  <si>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</si>
  <si>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</si>
  <si>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</si>
  <si>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</si>
  <si>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</si>
  <si>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</si>
  <si>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</si>
  <si>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</si>
  <si>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</si>
  <si>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</si>
  <si>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</si>
  <si>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</si>
  <si>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</si>
  <si>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</si>
  <si>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</si>
  <si>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</si>
  <si>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</si>
  <si>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</si>
  <si>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</si>
  <si>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</si>
  <si>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</si>
  <si>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</si>
  <si>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</si>
  <si>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</si>
  <si>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SP3-OZ2</t>
  </si>
  <si>
    <t>SP4-OZ2</t>
  </si>
  <si>
    <t>SP5-OZ2</t>
  </si>
  <si>
    <t>SP6-OZ2</t>
  </si>
  <si>
    <t>SP0-LR1</t>
  </si>
  <si>
    <t>Group</t>
  </si>
  <si>
    <t>Role</t>
  </si>
  <si>
    <t>INSERT INTO R_T000201_T000203 (F_01, F_02) VALUES</t>
  </si>
  <si>
    <t>INSERT INTO R_T000202_T000203 (F_01, F_02) VALUES</t>
  </si>
  <si>
    <t>INSERT INTO R_T000202_T000201 (F_01, F_02) VALUES</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</si>
  <si>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</si>
  <si>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</si>
  <si>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</si>
  <si>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</si>
  <si>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</si>
  <si>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</si>
  <si>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</si>
  <si>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</si>
  <si>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</si>
  <si>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</si>
  <si>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</si>
  <si>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</si>
  <si>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</si>
  <si>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</si>
  <si>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</si>
  <si>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</si>
  <si>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</si>
  <si>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</si>
  <si>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</si>
  <si>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</si>
  <si>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</si>
  <si>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</si>
  <si>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</si>
  <si>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</si>
  <si>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</si>
  <si>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</si>
  <si>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</si>
  <si>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</si>
  <si>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</si>
  <si>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</si>
  <si>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</si>
  <si>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</si>
  <si>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</si>
  <si>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</si>
  <si>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</si>
  <si>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</si>
  <si>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</si>
  <si>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</si>
  <si>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</si>
  <si>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</si>
  <si>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</si>
  <si>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</si>
  <si>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</si>
  <si>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</si>
  <si>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</si>
  <si>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</si>
  <si>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</si>
  <si>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</si>
  <si>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</si>
  <si>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</si>
  <si>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</si>
  <si>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</si>
  <si>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</si>
  <si>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</si>
  <si>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</si>
  <si>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</si>
  <si>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</si>
  <si>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</si>
  <si>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</si>
  <si>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</si>
  <si>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</si>
  <si>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</si>
  <si>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</si>
  <si>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</si>
  <si>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</si>
  <si>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</si>
  <si>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</si>
  <si>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</si>
  <si>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</si>
  <si>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</si>
  <si>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</si>
  <si>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</si>
  <si>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</si>
  <si>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</si>
  <si>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</si>
  <si>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</si>
  <si>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</si>
  <si>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</si>
  <si>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</si>
  <si>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</si>
  <si>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</si>
  <si>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</si>
  <si>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</si>
  <si>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</si>
  <si>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</si>
  <si>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</si>
  <si>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</si>
  <si>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</si>
  <si>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</si>
  <si>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</si>
  <si>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</si>
  <si>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</si>
  <si>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</si>
  <si>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</si>
  <si>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</si>
  <si>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</si>
  <si>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</si>
  <si>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</si>
  <si>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</si>
  <si>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</si>
  <si>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</si>
  <si>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</si>
  <si>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</si>
  <si>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</si>
  <si>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</si>
  <si>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</si>
  <si>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</si>
  <si>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</si>
  <si>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</si>
  <si>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</si>
  <si>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</si>
  <si>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</si>
  <si>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</si>
  <si>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</si>
  <si>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</si>
  <si>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</si>
  <si>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</si>
  <si>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</si>
  <si>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</si>
  <si>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</si>
  <si>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</si>
  <si>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</si>
  <si>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</si>
  <si>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</si>
  <si>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</si>
  <si>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</si>
  <si>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</si>
  <si>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</si>
  <si>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</si>
  <si>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</si>
  <si>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</si>
  <si>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</si>
  <si>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</si>
  <si>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</si>
  <si>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</si>
  <si>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</si>
  <si>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</si>
  <si>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</si>
  <si>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</si>
  <si>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</si>
  <si>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</si>
  <si>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</si>
  <si>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</si>
  <si>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</si>
  <si>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</si>
  <si>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</si>
  <si>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</si>
  <si>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</si>
  <si>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</si>
  <si>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</si>
  <si>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</si>
  <si>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</si>
  <si>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</si>
  <si>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</si>
  <si>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</si>
  <si>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</si>
  <si>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</si>
  <si>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</si>
  <si>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</si>
  <si>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</si>
  <si>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</si>
  <si>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</si>
  <si>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</si>
  <si>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</si>
  <si>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</si>
  <si>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</si>
  <si>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</si>
  <si>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</si>
  <si>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</si>
  <si>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</si>
  <si>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</si>
  <si>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</si>
  <si>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</si>
  <si>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</si>
  <si>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</si>
  <si>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</si>
  <si>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</si>
  <si>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</si>
  <si>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</si>
  <si>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</si>
  <si>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</si>
  <si>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</si>
  <si>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</si>
  <si>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</si>
  <si>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</si>
  <si>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</si>
  <si>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</si>
  <si>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</si>
  <si>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</si>
  <si>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</si>
  <si>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</si>
  <si>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</si>
  <si>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</si>
  <si>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</si>
  <si>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</si>
  <si>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</si>
  <si>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</si>
  <si>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</si>
  <si>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</si>
  <si>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</si>
  <si>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</si>
  <si>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</si>
  <si>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</si>
  <si>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</si>
  <si>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</si>
  <si>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</si>
  <si>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</si>
  <si>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</si>
  <si>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</si>
  <si>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</si>
  <si>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</si>
  <si>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</si>
  <si>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</si>
  <si>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</si>
  <si>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</si>
  <si>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</si>
  <si>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</si>
  <si>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</si>
  <si>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</si>
  <si>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</si>
  <si>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</si>
  <si>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</si>
  <si>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</si>
  <si>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</si>
  <si>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</si>
  <si>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</si>
  <si>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</si>
  <si>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</si>
  <si>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</si>
  <si>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</si>
  <si>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</si>
  <si>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</si>
  <si>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</si>
  <si>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</si>
  <si>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</si>
  <si>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</si>
  <si>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</si>
  <si>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</si>
  <si>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</si>
  <si>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</si>
  <si>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</si>
  <si>
    <t>x</t>
  </si>
  <si>
    <t>StartTime</t>
  </si>
  <si>
    <t>EndTime</t>
  </si>
  <si>
    <t>Morning Early</t>
  </si>
  <si>
    <t>الصباح المبكر</t>
  </si>
  <si>
    <t>Matinée tôt</t>
  </si>
  <si>
    <t>Late Morning</t>
  </si>
  <si>
    <t>الصباح المتأخر</t>
  </si>
  <si>
    <t>Fin de matinée</t>
  </si>
  <si>
    <t>Midday</t>
  </si>
  <si>
    <t>الظهيرة</t>
  </si>
  <si>
    <t>Midi</t>
  </si>
  <si>
    <t>Early Afternoon</t>
  </si>
  <si>
    <t>Début d'après-midi</t>
  </si>
  <si>
    <t>Late Afternoon</t>
  </si>
  <si>
    <t>بعد الظهر المتأخر</t>
  </si>
  <si>
    <t>Fin d'après-midi</t>
  </si>
  <si>
    <t>Evening</t>
  </si>
  <si>
    <t>المساء</t>
  </si>
  <si>
    <t>Soirée</t>
  </si>
  <si>
    <t>Late Evening</t>
  </si>
  <si>
    <t>المساء المتأخر</t>
  </si>
  <si>
    <t>Fin de soirée</t>
  </si>
  <si>
    <t>Night</t>
  </si>
  <si>
    <t>الليل</t>
  </si>
  <si>
    <t>Nuit</t>
  </si>
  <si>
    <t>Midnight</t>
  </si>
  <si>
    <t>منتصف الليل</t>
  </si>
  <si>
    <t>Minuit</t>
  </si>
  <si>
    <t>SLOT_10</t>
  </si>
  <si>
    <t>Late Night</t>
  </si>
  <si>
    <t>الليل المتأخر</t>
  </si>
  <si>
    <t>Fin de nuit</t>
  </si>
  <si>
    <t>SLOT_11</t>
  </si>
  <si>
    <t>Early Dawn</t>
  </si>
  <si>
    <t>الفجر المبكر</t>
  </si>
  <si>
    <t>Aube</t>
  </si>
  <si>
    <t>SLOT_12</t>
  </si>
  <si>
    <t>Dawn</t>
  </si>
  <si>
    <t>الفجر</t>
  </si>
  <si>
    <t>Petit matin</t>
  </si>
  <si>
    <t>SLOT_01</t>
  </si>
  <si>
    <t>SLOT_02</t>
  </si>
  <si>
    <t>SLOT_03</t>
  </si>
  <si>
    <t>SLOT_04</t>
  </si>
  <si>
    <t>SLOT_05</t>
  </si>
  <si>
    <t>SLOT_06</t>
  </si>
  <si>
    <t>SLOT_07</t>
  </si>
  <si>
    <t>SLOT_08</t>
  </si>
  <si>
    <t>SLOT_09</t>
  </si>
  <si>
    <t>بعد الظهر</t>
  </si>
  <si>
    <t>INSERT INTO T_03_02_07 (F_00, F_01, F_02, F_03, F_04, F_05, F_06) VALUES</t>
  </si>
  <si>
    <t>PARAMETER</t>
  </si>
  <si>
    <t>FILE</t>
  </si>
  <si>
    <t>COORDINATE</t>
  </si>
  <si>
    <t>OPERATION_TYPE</t>
  </si>
  <si>
    <t>EVENT_TYPE</t>
  </si>
  <si>
    <t>ALERT_STATUS</t>
  </si>
  <si>
    <t>DATA_SOURCE</t>
  </si>
  <si>
    <t>EVENT_STATUS</t>
  </si>
  <si>
    <t>QUALITY_FLAG</t>
  </si>
  <si>
    <t>SEVERITY</t>
  </si>
  <si>
    <t>VALIDATION_STATUS</t>
  </si>
  <si>
    <t>READING_SLOT</t>
  </si>
  <si>
    <t>FLOW_OPERATION</t>
  </si>
  <si>
    <t>FLOW_FORECAST</t>
  </si>
  <si>
    <t>FLOW_READING</t>
  </si>
  <si>
    <t>FLOW_THRESHOLD</t>
  </si>
  <si>
    <t>FLOW_ALERT</t>
  </si>
  <si>
    <t>FLOW_EVENT</t>
  </si>
  <si>
    <t>WRITE</t>
  </si>
  <si>
    <t>SYSTEM-SECURITY-ADMIN</t>
  </si>
  <si>
    <t>F-02</t>
  </si>
  <si>
    <t>SYSTEM-AUDIT-ADMIN</t>
  </si>
  <si>
    <t>GENERAL-TYPE-ADMIN</t>
  </si>
  <si>
    <t>GENERAL-LOCALIZATION-ADMIN</t>
  </si>
  <si>
    <t>GENERAL-ORGANIZATION-ADMIN</t>
  </si>
  <si>
    <t>NETWORK-TYPE-ADMIN</t>
  </si>
  <si>
    <t>NETWORK-COMMON-ADMIN</t>
  </si>
  <si>
    <t>NETWORK-CORE-ADMIN</t>
  </si>
  <si>
    <t>FLOW-TYPE-ADMIN</t>
  </si>
  <si>
    <t>FLOW-COMMON-ADMIN</t>
  </si>
  <si>
    <t>FLOW-CORE-ADMIN</t>
  </si>
  <si>
    <t>Manage flow type data</t>
  </si>
  <si>
    <t>Manage flow common data</t>
  </si>
  <si>
    <t>Manage flow core data</t>
  </si>
  <si>
    <t>Manage system setting data</t>
  </si>
  <si>
    <t>SYSTEM-SETTING-ADMIN</t>
  </si>
  <si>
    <t>Manage system utility data</t>
  </si>
  <si>
    <t>Update system setting data</t>
  </si>
  <si>
    <t>Update system utility data</t>
  </si>
  <si>
    <t>Update system security data</t>
  </si>
  <si>
    <t>Update system audit data</t>
  </si>
  <si>
    <t>Update general Type</t>
  </si>
  <si>
    <t>Update general localization</t>
  </si>
  <si>
    <t>Update general organization</t>
  </si>
  <si>
    <t>Update network type data</t>
  </si>
  <si>
    <t>Update network common data</t>
  </si>
  <si>
    <t>Update network core data</t>
  </si>
  <si>
    <t>Update flow type data</t>
  </si>
  <si>
    <t>Update flow common data</t>
  </si>
  <si>
    <t>Update flow core data</t>
  </si>
  <si>
    <t>MANAGE</t>
  </si>
  <si>
    <t>EXECUTE</t>
  </si>
  <si>
    <t>APPROVE</t>
  </si>
  <si>
    <t>DELETE</t>
  </si>
  <si>
    <t>UPDATE</t>
  </si>
  <si>
    <t>CREATE</t>
  </si>
  <si>
    <t>SYSTEM-UTILITY-ADMIN</t>
  </si>
  <si>
    <t>SYSTEM-SETTING-EDITOR</t>
  </si>
  <si>
    <t>SYSTEM-SECURITY-EDITOR</t>
  </si>
  <si>
    <t>SYSTEM-AUDIT-EDITOR</t>
  </si>
  <si>
    <t>GENERAL-TYPE-EDITOR</t>
  </si>
  <si>
    <t>GENERAL-LOCALIZATION-EDITOR</t>
  </si>
  <si>
    <t>GENERAL-ORGANIZATION-EDITOR</t>
  </si>
  <si>
    <t>NETWORK-TYPE-EDITOR</t>
  </si>
  <si>
    <t>NETWORK-COMMON-EDITOR</t>
  </si>
  <si>
    <t>NETWORK-CORE-EDITOR</t>
  </si>
  <si>
    <t>FLOW-TYPE-EDITOR</t>
  </si>
  <si>
    <t>FLOW-COMMON-EDITOR</t>
  </si>
  <si>
    <t>FLOW-CORE-EDITOR</t>
  </si>
  <si>
    <t>SYSTEM-UTILITY-EDITOR</t>
  </si>
  <si>
    <t>TESTER</t>
  </si>
  <si>
    <t>Test Role</t>
  </si>
  <si>
    <t>مجدول</t>
  </si>
  <si>
    <t>Scheduled</t>
  </si>
  <si>
    <t>Planifié</t>
  </si>
  <si>
    <t>جاري</t>
  </si>
  <si>
    <t>Ongoing</t>
  </si>
  <si>
    <t>En Cours</t>
  </si>
  <si>
    <t>مكتمل</t>
  </si>
  <si>
    <t>Completed</t>
  </si>
  <si>
    <t>Terminé</t>
  </si>
  <si>
    <t>ملغى</t>
  </si>
  <si>
    <t>Cancelled</t>
  </si>
  <si>
    <t>Annulé</t>
  </si>
  <si>
    <t>مؤجل</t>
  </si>
  <si>
    <t>Postponed</t>
  </si>
  <si>
    <t>Reporté</t>
  </si>
  <si>
    <t>قيد التحقيق</t>
  </si>
  <si>
    <t>Under Investigation</t>
  </si>
  <si>
    <t>En Investigation</t>
  </si>
  <si>
    <t>INSERT INTO T_03_02_01 (F_00, F_01, F_02, F_03) VALUES</t>
  </si>
  <si>
    <t>Designation En</t>
  </si>
  <si>
    <t>Designation Ar</t>
  </si>
  <si>
    <t>Designation Fr</t>
  </si>
  <si>
    <t>INSERT INTO T_03_02_02 (F_00, F_01, F_02, F_03) VALUES</t>
  </si>
  <si>
    <t>مفتوح</t>
  </si>
  <si>
    <t>Open</t>
  </si>
  <si>
    <t>Ouvert</t>
  </si>
  <si>
    <t>تم الإقرار</t>
  </si>
  <si>
    <t>Acknowledged</t>
  </si>
  <si>
    <t>Reconnu</t>
  </si>
  <si>
    <t>قيد التنفيذ</t>
  </si>
  <si>
    <t>In Progress</t>
  </si>
  <si>
    <t>تم الحل</t>
  </si>
  <si>
    <t>Resolved</t>
  </si>
  <si>
    <t>Résolu</t>
  </si>
  <si>
    <t>مغلق</t>
  </si>
  <si>
    <t>Closed</t>
  </si>
  <si>
    <t>Fermé</t>
  </si>
  <si>
    <t>تم التصعيد</t>
  </si>
  <si>
    <t>Escalated</t>
  </si>
  <si>
    <t>Escaladé</t>
  </si>
  <si>
    <t>إنذار كاذب</t>
  </si>
  <si>
    <t>False Alarm</t>
  </si>
  <si>
    <t>Fausse Alerte</t>
  </si>
  <si>
    <t>معلومات</t>
  </si>
  <si>
    <t>Info</t>
  </si>
  <si>
    <t>Information</t>
  </si>
  <si>
    <t>منخفض</t>
  </si>
  <si>
    <t>Low</t>
  </si>
  <si>
    <t>Faible</t>
  </si>
  <si>
    <t>متوسط</t>
  </si>
  <si>
    <t>Medium</t>
  </si>
  <si>
    <t>Moyen</t>
  </si>
  <si>
    <t>عالي</t>
  </si>
  <si>
    <t>High</t>
  </si>
  <si>
    <t>Élevé</t>
  </si>
  <si>
    <t>حرج</t>
  </si>
  <si>
    <t>Critical</t>
  </si>
  <si>
    <t>Critique</t>
  </si>
  <si>
    <t>طارئ</t>
  </si>
  <si>
    <t>Emergency</t>
  </si>
  <si>
    <t>Urgence</t>
  </si>
  <si>
    <t>INSERT INTO T_03_02_03 (F_00, F_01, F_02, F_03) VALUES</t>
  </si>
  <si>
    <t>SCADA</t>
  </si>
  <si>
    <t>قراءات تلقائية من نظام المراقبة والتحكم</t>
  </si>
  <si>
    <t>Automated readings from Supervisory Control and Data Acquisition system</t>
  </si>
  <si>
    <t>Lectures automatisées du système de contrôle et d'acquisition de données</t>
  </si>
  <si>
    <t>نظام SCADA</t>
  </si>
  <si>
    <t>SCADA System</t>
  </si>
  <si>
    <t>Système SCADA</t>
  </si>
  <si>
    <t>MANUAL</t>
  </si>
  <si>
    <t>قراءات يدوية من قبل المشغلين في الميدان</t>
  </si>
  <si>
    <t>Manual readings taken by field operators</t>
  </si>
  <si>
    <t>Lectures manuelles effectuées par les opérateurs sur le terrain</t>
  </si>
  <si>
    <t>قراءة يدوية</t>
  </si>
  <si>
    <t>Manual Reading</t>
  </si>
  <si>
    <t>Lecture Manuelle</t>
  </si>
  <si>
    <t>CALCULATED</t>
  </si>
  <si>
    <t>قيم محسوبة من بيانات أخرى</t>
  </si>
  <si>
    <t>Values computed from other data sources</t>
  </si>
  <si>
    <t>Valeurs calculées à partir d'autres sources de données</t>
  </si>
  <si>
    <t>قيمة محسوبة</t>
  </si>
  <si>
    <t>Calculated Value</t>
  </si>
  <si>
    <t>Valeur Calculée</t>
  </si>
  <si>
    <t>EXTERNAL</t>
  </si>
  <si>
    <t>بيانات من أنظمة خارجية أو شركاء</t>
  </si>
  <si>
    <t>Data from external systems or partners</t>
  </si>
  <si>
    <t>Données provenant de systèmes externes ou de partenaires</t>
  </si>
  <si>
    <t>مصدر خارجي</t>
  </si>
  <si>
    <t>External Source</t>
  </si>
  <si>
    <t>Source Externe</t>
  </si>
  <si>
    <t>FLOWMETER</t>
  </si>
  <si>
    <t>قراءات مباشرة من أجهزة قياس التدفق</t>
  </si>
  <si>
    <t>Direct readings from flow measurement devices</t>
  </si>
  <si>
    <t>Lectures directes des dispositifs de mesure de débit</t>
  </si>
  <si>
    <t>عداد التدفق</t>
  </si>
  <si>
    <t>Flow Meter</t>
  </si>
  <si>
    <t>Débitmètre</t>
  </si>
  <si>
    <t>ESTIMATED</t>
  </si>
  <si>
    <t>قيم تقديرية بناء على بيانات تاريخية</t>
  </si>
  <si>
    <t>Estimated values based on historical data</t>
  </si>
  <si>
    <t>Valeurs estimées basées sur des données historiques</t>
  </si>
  <si>
    <t>تقديري</t>
  </si>
  <si>
    <t>Estimated</t>
  </si>
  <si>
    <t>Estimé</t>
  </si>
  <si>
    <t>Description Ar</t>
  </si>
  <si>
    <t>Description En</t>
  </si>
  <si>
    <t>Description Fr</t>
  </si>
  <si>
    <t>INSERT INTO T_03_02_04 (F_00, F_01, F_02, F_03, F_04, F_05, F_06, F_07) VALUES</t>
  </si>
  <si>
    <t>GOOD</t>
  </si>
  <si>
    <t>البيانات ذات جودة عالية وموثوقة</t>
  </si>
  <si>
    <t>Data is of high quality and reliable</t>
  </si>
  <si>
    <t>Les données sont de haute qualité et fiables</t>
  </si>
  <si>
    <t>جيد</t>
  </si>
  <si>
    <t>Good Quality</t>
  </si>
  <si>
    <t>Bonne Qualité</t>
  </si>
  <si>
    <t>LOW</t>
  </si>
  <si>
    <t>SENSOR_ERROR</t>
  </si>
  <si>
    <t>الحساس يظهر قراءات غير صحيحة</t>
  </si>
  <si>
    <t>Sensor showing incorrect readings</t>
  </si>
  <si>
    <t>Le capteur affiche des lectures incorrectes</t>
  </si>
  <si>
    <t>خطأ في الحساس</t>
  </si>
  <si>
    <t>Sensor Error</t>
  </si>
  <si>
    <t>Erreur de Capteur</t>
  </si>
  <si>
    <t>HIGH</t>
  </si>
  <si>
    <t>CALIBRATION_NEEDED</t>
  </si>
  <si>
    <t>الجهاز يحتاج إلى معايرة</t>
  </si>
  <si>
    <t>Device requires calibration</t>
  </si>
  <si>
    <t>L'appareil nécessite un étalonnage</t>
  </si>
  <si>
    <t>يحتاج معايرة</t>
  </si>
  <si>
    <t>Calibration Needed</t>
  </si>
  <si>
    <t>Étalonnage Requis</t>
  </si>
  <si>
    <t>MEDIUM</t>
  </si>
  <si>
    <t>OUT_OF_RANGE</t>
  </si>
  <si>
    <t>القراءة خارج النطاق المتوقع</t>
  </si>
  <si>
    <t>Reading outside expected range</t>
  </si>
  <si>
    <t>Lecture en dehors de la plage attendue</t>
  </si>
  <si>
    <t>خارج النطاق</t>
  </si>
  <si>
    <t>Out of Range</t>
  </si>
  <si>
    <t>Hors Plage</t>
  </si>
  <si>
    <t>SUSPICIOUS</t>
  </si>
  <si>
    <t>القراءة تبدو غير طبيعية</t>
  </si>
  <si>
    <t>Reading appears abnormal</t>
  </si>
  <si>
    <t>La lecture semble anormale</t>
  </si>
  <si>
    <t>قراءة مشبوهة</t>
  </si>
  <si>
    <t>Suspicious Reading</t>
  </si>
  <si>
    <t>Lecture Suspecte</t>
  </si>
  <si>
    <t>COMM_FAILURE</t>
  </si>
  <si>
    <t>فقدان الاتصال مع الجهاز</t>
  </si>
  <si>
    <t>Loss of communication with device</t>
  </si>
  <si>
    <t>Perte de communication avec l'appareil</t>
  </si>
  <si>
    <t>فشل الاتصال</t>
  </si>
  <si>
    <t>Communication Failure</t>
  </si>
  <si>
    <t>Échec de Communication</t>
  </si>
  <si>
    <t>CRITICAL</t>
  </si>
  <si>
    <t>DRIFT</t>
  </si>
  <si>
    <t>انحراف في قيم القياس بمرور الوقت</t>
  </si>
  <si>
    <t>Measurement values drifting over time</t>
  </si>
  <si>
    <t>Valeurs de mesure dérivant dans le temps</t>
  </si>
  <si>
    <t>انحراف مكتشف</t>
  </si>
  <si>
    <t>Drift Detected</t>
  </si>
  <si>
    <t>Dérive Détectée</t>
  </si>
  <si>
    <t>Level</t>
  </si>
  <si>
    <t>PENDING</t>
  </si>
  <si>
    <t>البيانات في انتظار التحقق</t>
  </si>
  <si>
    <t>Data awaiting validation</t>
  </si>
  <si>
    <t>Données en attente de validation</t>
  </si>
  <si>
    <t>قيد الانتظار</t>
  </si>
  <si>
    <t>Pending Validation</t>
  </si>
  <si>
    <t>En Attente de Validation</t>
  </si>
  <si>
    <t>VALIDATED</t>
  </si>
  <si>
    <t>البيانات تم التحقق منها والموافقة عليها</t>
  </si>
  <si>
    <t>Data has been verified and approved</t>
  </si>
  <si>
    <t>Les données ont été vérifiées et approuvées</t>
  </si>
  <si>
    <t>تم التحقق</t>
  </si>
  <si>
    <t>Validated</t>
  </si>
  <si>
    <t>Validé</t>
  </si>
  <si>
    <t>REJECTED</t>
  </si>
  <si>
    <t>البيانات تم رفضها بسبب مشاكل في الجودة</t>
  </si>
  <si>
    <t>Data rejected due to quality issues</t>
  </si>
  <si>
    <t>Données rejetées en raison de problèmes de qualité</t>
  </si>
  <si>
    <t>مرفوض</t>
  </si>
  <si>
    <t>Rejected</t>
  </si>
  <si>
    <t>Rejeté</t>
  </si>
  <si>
    <t>REQUIRES_REVIEW</t>
  </si>
  <si>
    <t>البيانات تحتاج إلى مراجعة يدوية</t>
  </si>
  <si>
    <t>Data requires manual review</t>
  </si>
  <si>
    <t>Les données nécessitent une révision manuelle</t>
  </si>
  <si>
    <t>يتطلب مراجعة</t>
  </si>
  <si>
    <t>Requires Review</t>
  </si>
  <si>
    <t>Nécessite une Révision</t>
  </si>
  <si>
    <t>AUTO_VALIDATED</t>
  </si>
  <si>
    <t>التحقق التلقائي من البيانات ناجح</t>
  </si>
  <si>
    <t>Automatic validation successful</t>
  </si>
  <si>
    <t>Validation automatique réussie</t>
  </si>
  <si>
    <t>تم التحقق تلقائياً</t>
  </si>
  <si>
    <t>Auto-Validated</t>
  </si>
  <si>
    <t>Validé Automatiquement</t>
  </si>
  <si>
    <t>CORRECTED</t>
  </si>
  <si>
    <t>البيانات تم تصحيحها وإعادة التحقق منها</t>
  </si>
  <si>
    <t>Data has been corrected and revalidated</t>
  </si>
  <si>
    <t>Les données ont été corrigées et revalidées</t>
  </si>
  <si>
    <t>تم التصحيح</t>
  </si>
  <si>
    <t>Corrected</t>
  </si>
  <si>
    <t>Corrigé</t>
  </si>
  <si>
    <t>INSERT INTO T_03_02_06 (F_00, F_01, F_02, F_03, F_04, F_05, F_06, F_07) VALUES</t>
  </si>
  <si>
    <t>INSERT INTO T_03_02_05 (F_00, F_01, F_02, F_03, F_04, F_05, F_06, F_07, F_08) VALUES</t>
  </si>
  <si>
    <t>PRODUCTION</t>
  </si>
  <si>
    <t>إنتاج</t>
  </si>
  <si>
    <t>Production</t>
  </si>
  <si>
    <t>TRANSPORT</t>
  </si>
  <si>
    <t>نقل</t>
  </si>
  <si>
    <t>Transport</t>
  </si>
  <si>
    <t>EXPORT</t>
  </si>
  <si>
    <t>تصدير</t>
  </si>
  <si>
    <t>Exportation</t>
  </si>
  <si>
    <t>IMPORT</t>
  </si>
  <si>
    <t>استيراد</t>
  </si>
  <si>
    <t>Import</t>
  </si>
  <si>
    <t>Importation</t>
  </si>
  <si>
    <t>STORAGE_IN</t>
  </si>
  <si>
    <t>تخزين - دخول</t>
  </si>
  <si>
    <t>Storage In</t>
  </si>
  <si>
    <t>Stockage - Entrée</t>
  </si>
  <si>
    <t>STORAGE_OUT</t>
  </si>
  <si>
    <t>تخزين - خروج</t>
  </si>
  <si>
    <t>Storage Out</t>
  </si>
  <si>
    <t>Stockage - Sortie</t>
  </si>
  <si>
    <t>CONSUMPTION</t>
  </si>
  <si>
    <t>استهلاك</t>
  </si>
  <si>
    <t>Consumption</t>
  </si>
  <si>
    <t>Consommation</t>
  </si>
  <si>
    <t>INJECTION</t>
  </si>
  <si>
    <t>حقن</t>
  </si>
  <si>
    <t>Injection</t>
  </si>
  <si>
    <t>FLARING</t>
  </si>
  <si>
    <t>حرق</t>
  </si>
  <si>
    <t>Flaring</t>
  </si>
  <si>
    <t>Torchage</t>
  </si>
  <si>
    <t>TRANSFER</t>
  </si>
  <si>
    <t>نقل داخلي</t>
  </si>
  <si>
    <t>Transfer</t>
  </si>
  <si>
    <t>Transfert</t>
  </si>
  <si>
    <t>INSERT INTO T_03_01_01 (F_00, F_01, F_02, F_03, F_04) VALUES</t>
  </si>
  <si>
    <t>EMERGENCY_SHUTDOWN</t>
  </si>
  <si>
    <t>إيقاف طارئ</t>
  </si>
  <si>
    <t>Emergency Shutdown</t>
  </si>
  <si>
    <t>Arrêt d'Urgence</t>
  </si>
  <si>
    <t>PLANNED_MAINT</t>
  </si>
  <si>
    <t>صيانة مخططة</t>
  </si>
  <si>
    <t>Planned Maintenance</t>
  </si>
  <si>
    <t>Maintenance Planifiée</t>
  </si>
  <si>
    <t>CORRECTIVE_MAINT</t>
  </si>
  <si>
    <t>صيانة تصحيحية</t>
  </si>
  <si>
    <t>Corrective Maintenance</t>
  </si>
  <si>
    <t>Maintenance Corrective</t>
  </si>
  <si>
    <t>EQUIPMENT_FAILURE</t>
  </si>
  <si>
    <t>عطل في المعدات</t>
  </si>
  <si>
    <t>Equipment Failure</t>
  </si>
  <si>
    <t>Panne d'Équipement</t>
  </si>
  <si>
    <t>SAFETY_INCIDENT</t>
  </si>
  <si>
    <t>حادث أمان</t>
  </si>
  <si>
    <t>Safety Incident</t>
  </si>
  <si>
    <t>Incident de Sécurité</t>
  </si>
  <si>
    <t>INSPECTION</t>
  </si>
  <si>
    <t>تفتيش</t>
  </si>
  <si>
    <t>Inspection</t>
  </si>
  <si>
    <t>STARTUP</t>
  </si>
  <si>
    <t>بدء التشغيل</t>
  </si>
  <si>
    <t>Startup</t>
  </si>
  <si>
    <t>Démarrage</t>
  </si>
  <si>
    <t>NORMAL_SHUTDOWN</t>
  </si>
  <si>
    <t>إيقاف عادي</t>
  </si>
  <si>
    <t>Normal Shutdown</t>
  </si>
  <si>
    <t>Arrêt Normal</t>
  </si>
  <si>
    <t>PROCESS_UPSET</t>
  </si>
  <si>
    <t>اضطراب العملية</t>
  </si>
  <si>
    <t>Process Upset</t>
  </si>
  <si>
    <t>Perturbation du Processus</t>
  </si>
  <si>
    <t>LEAK_DETECTION</t>
  </si>
  <si>
    <t>كشف التسرب</t>
  </si>
  <si>
    <t>Leak Detection</t>
  </si>
  <si>
    <t>Détection de Fuite</t>
  </si>
  <si>
    <t>INSERT INTO T_03_01_02 (F_00, F_01, F_02, F_03, F_04) VALUES</t>
  </si>
  <si>
    <t>LR1/DLR1</t>
  </si>
  <si>
    <t>EL Kala</t>
  </si>
  <si>
    <t>SYSTEM-SETTING-CONSULTANT</t>
  </si>
  <si>
    <t>SYSTEM-UTILITY-CONSULTANT</t>
  </si>
  <si>
    <t>SYSTEM-SECURITY-CONSULTANT</t>
  </si>
  <si>
    <t>SYSTEM-AUDIT-CONSULTANT</t>
  </si>
  <si>
    <t>GENERAL-TYPE-CONSULTANT</t>
  </si>
  <si>
    <t>GENERAL-LOCALIZATION-CONSULTANT</t>
  </si>
  <si>
    <t>GENERAL-ORGANIZATION-CONSULTANT</t>
  </si>
  <si>
    <t>NETWORK-TYPE-CONSULTANT</t>
  </si>
  <si>
    <t>NETWORK-COMMON-CONSULTANT</t>
  </si>
  <si>
    <t>NETWORK-CORE-CONSULTANT</t>
  </si>
  <si>
    <t>FLOW-TYPE-CONSULTANT</t>
  </si>
  <si>
    <t>FLOW-COMMON-CONSULTANT</t>
  </si>
  <si>
    <t>FLOW-CORE-CONSULTANT</t>
  </si>
  <si>
    <t>Consult system setting data</t>
  </si>
  <si>
    <t>Consult system utility data</t>
  </si>
  <si>
    <t>Consult system security data</t>
  </si>
  <si>
    <t>Consult system audit data</t>
  </si>
  <si>
    <t>Consult general Type</t>
  </si>
  <si>
    <t>Consult general localization</t>
  </si>
  <si>
    <t>Consult general organization</t>
  </si>
  <si>
    <t>Consult network type data</t>
  </si>
  <si>
    <t>Consult network common data</t>
  </si>
  <si>
    <t>Consult network core data</t>
  </si>
  <si>
    <t>Consult flow type data</t>
  </si>
  <si>
    <t>Consult flow common data</t>
  </si>
  <si>
    <t>Consult flow core data</t>
  </si>
  <si>
    <t>Validate flow core data</t>
  </si>
  <si>
    <t>Validate system setting data</t>
  </si>
  <si>
    <t>Validate system utility data</t>
  </si>
  <si>
    <t>Validate system security data</t>
  </si>
  <si>
    <t>Validate system audit data</t>
  </si>
  <si>
    <t>Validate general Type</t>
  </si>
  <si>
    <t>Validate general localization</t>
  </si>
  <si>
    <t>Validate general organization</t>
  </si>
  <si>
    <t>Validate network type data</t>
  </si>
  <si>
    <t>Validate network common data</t>
  </si>
  <si>
    <t>Validate network core data</t>
  </si>
  <si>
    <t>Validate flow type data</t>
  </si>
  <si>
    <t>Validate flow common data</t>
  </si>
  <si>
    <t>SYSTEM-SETTING-VALIDATOR</t>
  </si>
  <si>
    <t>SYSTEM-UTILITY-VALIDATOR</t>
  </si>
  <si>
    <t>SYSTEM-SECURITY-VALIDATOR</t>
  </si>
  <si>
    <t>SYSTEM-AUDIT-VALIDATOR</t>
  </si>
  <si>
    <t>GENERAL-TYPE-VALIDATOR</t>
  </si>
  <si>
    <t>GENERAL-LOCALIZATION-VALIDATOR</t>
  </si>
  <si>
    <t>GENERAL-ORGANIZATION-VALIDATOR</t>
  </si>
  <si>
    <t>NETWORK-TYPE-VALIDATOR</t>
  </si>
  <si>
    <t>NETWORK-COMMON-VALIDATOR</t>
  </si>
  <si>
    <t>NETWORK-CORE-VALIDATOR</t>
  </si>
  <si>
    <t>FLOW-TYPE-VALIDATOR</t>
  </si>
  <si>
    <t>FLOW-COMMON-VALIDATOR</t>
  </si>
  <si>
    <t>FLOW-CORE-VALIDATOR</t>
  </si>
  <si>
    <t>SYSTEM_ADMIN</t>
  </si>
  <si>
    <t>INFRASTRUCTURE_ADMIN</t>
  </si>
  <si>
    <t>INFRASTRUCTURE_EDITOR</t>
  </si>
  <si>
    <t>INFRASTRUCTURE_CONSULTANT</t>
  </si>
  <si>
    <t>ORGANIZATION_ADMIN</t>
  </si>
  <si>
    <t>MONITORING_ADMIN</t>
  </si>
  <si>
    <t>ORGANIZATION_EDITOR</t>
  </si>
  <si>
    <t>ORGANIZATION_CONSULTANT</t>
  </si>
  <si>
    <t>MONITORING_CONSULTANT</t>
  </si>
  <si>
    <t>MONITORING_OPERATOR</t>
  </si>
  <si>
    <t>MONITORING_VALIDATOR</t>
  </si>
  <si>
    <t>Manage system (Security, Settings, Audit)</t>
  </si>
  <si>
    <t>Manage infrastructure (type, common and core infrastructure)</t>
  </si>
  <si>
    <t>Edit infrastructure (common and core infrastructure)</t>
  </si>
  <si>
    <t>Edit organization (common and core organization and localization)</t>
  </si>
  <si>
    <t>Manage organization (type, common and core organization and localization)</t>
  </si>
  <si>
    <t>View infrastructure data</t>
  </si>
  <si>
    <t>View organization data</t>
  </si>
  <si>
    <t>Manage flow monitoring process</t>
  </si>
  <si>
    <t>Validate flow monitoring readings</t>
  </si>
  <si>
    <t>Record flow monitoring data</t>
  </si>
  <si>
    <t>View flow monitoring data and statistics</t>
  </si>
  <si>
    <t>ONET-KL</t>
  </si>
  <si>
    <t>Terminal d\'Exportation Terrestre El Kala</t>
  </si>
  <si>
    <t>Manager</t>
  </si>
  <si>
    <t>INSERT INTO T_02_03_08 (F_00, F_08, F_09, F_10, F_11, F_12, F_13, F_14, F_15, F_16, F_17, F_18, F_19, F_20, F_21, F_22, F_23, F_24) VALUES</t>
  </si>
  <si>
    <t>DT-MDZ</t>
  </si>
  <si>
    <t>Terminal de Distribution Mocta Douz</t>
  </si>
  <si>
    <t>SP4-OH1</t>
  </si>
  <si>
    <t>Station de Pompage SP4-OH1</t>
  </si>
  <si>
    <t>S01-OZ1</t>
  </si>
  <si>
    <t>8.74</t>
  </si>
  <si>
    <t>S02-OZ1</t>
  </si>
  <si>
    <t>S03-OZ1</t>
  </si>
  <si>
    <t>S04-OZ1</t>
  </si>
  <si>
    <t>S05-OZ1</t>
  </si>
  <si>
    <t>S06-OZ1</t>
  </si>
  <si>
    <t>S07-OZ1</t>
  </si>
  <si>
    <t>Segment 01-OZ1</t>
  </si>
  <si>
    <t>Segment 02-OZ2</t>
  </si>
  <si>
    <t>Start</t>
  </si>
  <si>
    <t>End</t>
  </si>
  <si>
    <t>PipelineId</t>
  </si>
  <si>
    <t>SP1-OZ1/OZ2</t>
  </si>
  <si>
    <t>SP2-OZ1/OZ2</t>
  </si>
  <si>
    <t>SP3-OZ1/OZ2</t>
  </si>
  <si>
    <t>SP4-OZ1/OZ2</t>
  </si>
  <si>
    <t>SP5-OZ1/OZ2</t>
  </si>
  <si>
    <t>SP6-OZ1/OZ2</t>
  </si>
  <si>
    <t>PRS-OZ1/OZ2</t>
  </si>
  <si>
    <t>Segment 02-OZ1</t>
  </si>
  <si>
    <t>Segment 03-OZ1</t>
  </si>
  <si>
    <t>Segment 04-OZ1</t>
  </si>
  <si>
    <t>Segment 05-OZ1</t>
  </si>
  <si>
    <t>Segment 06-OZ1</t>
  </si>
  <si>
    <t>Segment 07-OZ1</t>
  </si>
  <si>
    <t>S01-OZ2</t>
  </si>
  <si>
    <t>S02-OZ2</t>
  </si>
  <si>
    <t>S03-OZ2</t>
  </si>
  <si>
    <t>S04-OZ2</t>
  </si>
  <si>
    <t>S05-OZ2</t>
  </si>
  <si>
    <t>S06-OZ2</t>
  </si>
  <si>
    <t>S07-OZ2</t>
  </si>
  <si>
    <t>Segment 01-OZ2</t>
  </si>
  <si>
    <t>Segment 03-OZ2</t>
  </si>
  <si>
    <t>Segment 04-OZ2</t>
  </si>
  <si>
    <t>Segment 05-OZ2</t>
  </si>
  <si>
    <t>Segment 06-OZ2</t>
  </si>
  <si>
    <t>Segment 07-OZ2</t>
  </si>
  <si>
    <t>7.92</t>
  </si>
  <si>
    <t>7.93</t>
  </si>
  <si>
    <t>7.94</t>
  </si>
  <si>
    <t>7.95</t>
  </si>
  <si>
    <t>7.96</t>
  </si>
  <si>
    <t>7.97</t>
  </si>
  <si>
    <t>7.98</t>
  </si>
  <si>
    <t>INSERT INTO T_02_03_09 (F_00, F_08, F_09, F_10, F_11, F_12, F_13, F_14, F_15, F_16, F_17, F_18, F_19) VALUES</t>
  </si>
  <si>
    <t>Segment 01-OK1</t>
  </si>
  <si>
    <t>Segment 02-OK1</t>
  </si>
  <si>
    <t>Segment 03-OK1</t>
  </si>
  <si>
    <t>Segment 04-OK1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</si>
</sst>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10">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
      <patternFill patternType="solid">
        <fgColor rgb="FFFF0000"/>
        <bgColor indexed="64"/>
      </patternFill>
    </fill>
    <fill>
      <patternFill patternType="solid">
        <fgColor theme="9" tint="0.79998168889431442"/>
        <bgColor indexed="64"/>
      </patternFill>
    </fill>
    <fill>
      <patternFill patternType="solid">
        <fgColor theme="4"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xf numFmtId="0" fontId="3" fillId="2" borderId="4" xfId="0" applyFont="1" applyFill="1" applyBorder="1" applyAlignment="1">
      <alignment horizontal="center" vertical="center"/>
    </xf>
    <xf numFmtId="20" fontId="6" fillId="0" borderId="1" xfId="0" applyNumberFormat="1" applyFont="1" applyBorder="1" applyAlignment="1">
      <alignment horizontal="center" vertical="center" wrapText="1"/>
    </xf>
    <xf numFmtId="164" fontId="1" fillId="3" borderId="1" xfId="0" applyNumberFormat="1" applyFont="1" applyFill="1" applyBorder="1" applyAlignment="1">
      <alignment horizontal="center" vertical="center"/>
    </xf>
    <xf numFmtId="0" fontId="1" fillId="3" borderId="1" xfId="0" applyFont="1" applyFill="1" applyBorder="1" applyAlignment="1">
      <alignment vertical="center"/>
    </xf>
    <xf numFmtId="0" fontId="1" fillId="3" borderId="1" xfId="0" applyFont="1" applyFill="1" applyBorder="1" applyAlignment="1">
      <alignment vertical="center" wrapText="1"/>
    </xf>
    <xf numFmtId="0" fontId="1" fillId="0" borderId="1" xfId="0" applyFont="1" applyFill="1" applyBorder="1" applyAlignment="1">
      <alignment horizontal="center" vertical="center"/>
    </xf>
    <xf numFmtId="0" fontId="1" fillId="0" borderId="0" xfId="0" applyFont="1" applyAlignment="1">
      <alignment horizontal="left"/>
    </xf>
    <xf numFmtId="169" fontId="1" fillId="0" borderId="1" xfId="0" applyNumberFormat="1" applyFont="1" applyFill="1" applyBorder="1" applyAlignment="1">
      <alignment horizontal="left" vertical="center"/>
    </xf>
    <xf numFmtId="165" fontId="1" fillId="7" borderId="1" xfId="0" applyNumberFormat="1" applyFont="1" applyFill="1" applyBorder="1" applyAlignment="1">
      <alignment horizontal="left" vertical="center"/>
    </xf>
    <xf numFmtId="0" fontId="1" fillId="3" borderId="0" xfId="0" applyFont="1" applyFill="1" applyBorder="1" applyAlignment="1">
      <alignment horizontal="center" vertical="center"/>
    </xf>
    <xf numFmtId="0" fontId="1" fillId="3" borderId="1" xfId="0" applyFont="1" applyFill="1" applyBorder="1" applyAlignment="1">
      <alignment horizontal="center" vertical="center"/>
    </xf>
    <xf numFmtId="165" fontId="1" fillId="3" borderId="1" xfId="0" applyNumberFormat="1" applyFont="1" applyFill="1" applyBorder="1" applyAlignment="1">
      <alignment horizontal="left" vertical="center"/>
    </xf>
    <xf numFmtId="167" fontId="1" fillId="3" borderId="1" xfId="0" applyNumberFormat="1" applyFont="1" applyFill="1" applyBorder="1" applyAlignment="1">
      <alignment horizontal="center" vertical="center"/>
    </xf>
    <xf numFmtId="0" fontId="1" fillId="8" borderId="1" xfId="0" applyFont="1" applyFill="1" applyBorder="1" applyAlignment="1">
      <alignment horizontal="center" vertical="center"/>
    </xf>
    <xf numFmtId="164" fontId="1" fillId="8" borderId="1" xfId="0" applyNumberFormat="1" applyFont="1" applyFill="1" applyBorder="1" applyAlignment="1">
      <alignment horizontal="center" vertical="center"/>
    </xf>
    <xf numFmtId="164" fontId="1" fillId="9" borderId="1" xfId="0" applyNumberFormat="1" applyFont="1" applyFill="1" applyBorder="1" applyAlignment="1">
      <alignment horizontal="center" vertical="center"/>
    </xf>
    <xf numFmtId="165" fontId="1" fillId="9" borderId="1" xfId="0" applyNumberFormat="1" applyFont="1" applyFill="1" applyBorder="1" applyAlignment="1">
      <alignment horizontal="left" vertical="center"/>
    </xf>
    <xf numFmtId="0" fontId="1" fillId="9" borderId="1" xfId="0" applyFont="1" applyFill="1" applyBorder="1" applyAlignment="1">
      <alignment vertical="center"/>
    </xf>
    <xf numFmtId="167" fontId="1" fillId="9" borderId="1" xfId="0" applyNumberFormat="1" applyFont="1" applyFill="1" applyBorder="1" applyAlignment="1">
      <alignment horizontal="center" vertical="center"/>
    </xf>
    <xf numFmtId="0" fontId="1" fillId="9" borderId="1" xfId="0" applyFont="1" applyFill="1" applyBorder="1" applyAlignment="1">
      <alignment horizontal="center" vertical="center"/>
    </xf>
    <xf numFmtId="1" fontId="1" fillId="9" borderId="1" xfId="0" applyNumberFormat="1" applyFont="1" applyFill="1" applyBorder="1" applyAlignment="1">
      <alignment horizontal="center" vertical="center"/>
    </xf>
    <xf numFmtId="0" fontId="1" fillId="9" borderId="1" xfId="0" applyNumberFormat="1" applyFont="1" applyFill="1" applyBorder="1" applyAlignment="1">
      <alignment horizontal="center" vertical="center"/>
    </xf>
    <xf numFmtId="168" fontId="1" fillId="9" borderId="1" xfId="0" applyNumberFormat="1" applyFont="1" applyFill="1" applyBorder="1" applyAlignment="1">
      <alignment horizontal="center" vertical="center"/>
    </xf>
    <xf numFmtId="168" fontId="1" fillId="9" borderId="1" xfId="0" applyNumberFormat="1" applyFont="1" applyFill="1" applyBorder="1" applyAlignment="1">
      <alignment horizontal="right" vertical="center"/>
    </xf>
    <xf numFmtId="0" fontId="1" fillId="9" borderId="0" xfId="0" applyFont="1" applyFill="1" applyBorder="1" applyAlignment="1">
      <alignment horizontal="center" vertical="center"/>
    </xf>
    <xf numFmtId="0" fontId="1" fillId="9" borderId="3" xfId="0" applyFont="1" applyFill="1" applyBorder="1" applyAlignment="1">
      <alignment horizontal="center" vertical="center"/>
    </xf>
    <xf numFmtId="169" fontId="1" fillId="9" borderId="1" xfId="0" applyNumberFormat="1" applyFont="1" applyFill="1" applyBorder="1" applyAlignment="1">
      <alignment horizontal="left" vertical="center"/>
    </xf>
    <xf numFmtId="0" fontId="1" fillId="9" borderId="1" xfId="0" applyFont="1" applyFill="1" applyBorder="1" applyAlignment="1">
      <alignment horizontal="center" vertical="center" wrapText="1"/>
    </xf>
    <xf numFmtId="0" fontId="1" fillId="9" borderId="0" xfId="0" applyFont="1" applyFill="1"/>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theme" Target="theme/theme1.xml"/><Relationship Id="rId69"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3A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0.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workbookViewId="0">
      <selection activeCell="B7" sqref="B7:B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5266</v>
      </c>
      <c r="D1" s="1" t="s">
        <v>5600</v>
      </c>
    </row>
    <row r="2" spans="1:4" ht="20.149999999999999" customHeight="1" x14ac:dyDescent="0.35">
      <c r="A2" s="1" t="s">
        <v>44</v>
      </c>
      <c r="B2" s="1" t="s">
        <v>41</v>
      </c>
      <c r="C2" s="1" t="s">
        <v>42</v>
      </c>
      <c r="D2" s="1" t="s">
        <v>5846</v>
      </c>
    </row>
    <row r="3" spans="1:4" ht="20.149999999999999" customHeight="1" x14ac:dyDescent="0.35">
      <c r="A3" s="3">
        <v>1</v>
      </c>
      <c r="B3" s="4" t="s">
        <v>5683</v>
      </c>
      <c r="C3" s="4" t="s">
        <v>5682</v>
      </c>
      <c r="D3" s="16" t="str">
        <f>CONCATENATE("(",A3,",'",B3,"','",C3,"'),")</f>
        <v>(1,'System Administrators','Group Members has all permissions on data belongs to system component'),</v>
      </c>
    </row>
    <row r="4" spans="1:4" ht="20.149999999999999" customHeight="1" x14ac:dyDescent="0.35">
      <c r="A4" s="3">
        <v>2</v>
      </c>
      <c r="B4" s="4" t="s">
        <v>5685</v>
      </c>
      <c r="C4" s="4" t="s">
        <v>5684</v>
      </c>
      <c r="D4" s="16" t="str">
        <f t="shared" ref="D4:D10" si="0">CONCATENATE("(",A4,",'",B4,"','",C4,"'),")</f>
        <v>(2,'Business Administrators','Group Members has all permissions on data belongs to business component'),</v>
      </c>
    </row>
    <row r="5" spans="1:4" ht="20.149999999999999" customHeight="1" x14ac:dyDescent="0.35">
      <c r="A5" s="3">
        <v>3</v>
      </c>
      <c r="B5" s="4" t="s">
        <v>5687</v>
      </c>
      <c r="C5" s="4" t="s">
        <v>5686</v>
      </c>
      <c r="D5" s="16" t="str">
        <f t="shared" si="0"/>
        <v>(3,'Common Administrators','Group Members has all permissions on data belongs to common component'),</v>
      </c>
    </row>
    <row r="6" spans="1:4" ht="20.149999999999999" customHeight="1" x14ac:dyDescent="0.35">
      <c r="A6" s="3">
        <v>4</v>
      </c>
      <c r="B6" s="4" t="s">
        <v>5689</v>
      </c>
      <c r="C6" s="4" t="s">
        <v>5688</v>
      </c>
      <c r="D6" s="16" t="str">
        <f t="shared" si="0"/>
        <v>(4,'Network Administrators','Group Members has all permissions on data belongs to network component'),</v>
      </c>
    </row>
    <row r="7" spans="1:4" ht="20.149999999999999" customHeight="1" x14ac:dyDescent="0.35">
      <c r="A7" s="3">
        <v>5</v>
      </c>
      <c r="B7" s="4" t="s">
        <v>5691</v>
      </c>
      <c r="C7" s="4" t="s">
        <v>5690</v>
      </c>
      <c r="D7" s="16" t="str">
        <f t="shared" si="0"/>
        <v>(5,'System Users','Group Members has read permission on data belongs to system component'),</v>
      </c>
    </row>
    <row r="8" spans="1:4" ht="20.149999999999999" customHeight="1" x14ac:dyDescent="0.35">
      <c r="A8" s="3">
        <v>6</v>
      </c>
      <c r="B8" s="4" t="s">
        <v>5693</v>
      </c>
      <c r="C8" s="4" t="s">
        <v>5692</v>
      </c>
      <c r="D8" s="16" t="str">
        <f t="shared" si="0"/>
        <v>(6,'Business Users','Group Members has read permission on data belongs to business component'),</v>
      </c>
    </row>
    <row r="9" spans="1:4" ht="20.149999999999999" customHeight="1" x14ac:dyDescent="0.35">
      <c r="A9" s="3">
        <v>7</v>
      </c>
      <c r="B9" s="4" t="s">
        <v>5695</v>
      </c>
      <c r="C9" s="4" t="s">
        <v>5694</v>
      </c>
      <c r="D9" s="16" t="str">
        <f t="shared" si="0"/>
        <v>(7,'Common Users','Group Members has read permission on data belongs to common component'),</v>
      </c>
    </row>
    <row r="10" spans="1:4" ht="20.149999999999999" customHeight="1" x14ac:dyDescent="0.35">
      <c r="A10" s="3">
        <v>8</v>
      </c>
      <c r="B10" s="4" t="s">
        <v>5697</v>
      </c>
      <c r="C10" s="4" t="s">
        <v>5696</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6073</v>
      </c>
      <c r="B1" s="1" t="s">
        <v>6074</v>
      </c>
      <c r="C1" s="1" t="s">
        <v>5600</v>
      </c>
    </row>
    <row r="2" spans="1:3" ht="20.149999999999999" customHeight="1" x14ac:dyDescent="0.35">
      <c r="A2" s="1" t="s">
        <v>41</v>
      </c>
      <c r="B2" s="1" t="s">
        <v>42</v>
      </c>
      <c r="C2" s="1" t="s">
        <v>6075</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1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5789</v>
      </c>
      <c r="C1" s="1" t="s">
        <v>5788</v>
      </c>
      <c r="D1" s="1" t="s">
        <v>5738</v>
      </c>
      <c r="E1" s="1" t="s">
        <v>5738</v>
      </c>
      <c r="F1" s="1" t="s">
        <v>5733</v>
      </c>
      <c r="G1" s="1" t="s">
        <v>5734</v>
      </c>
      <c r="H1" s="1" t="s">
        <v>5735</v>
      </c>
      <c r="I1" s="1" t="s">
        <v>5736</v>
      </c>
      <c r="J1" s="1" t="s">
        <v>5737</v>
      </c>
      <c r="K1" s="1" t="s">
        <v>5600</v>
      </c>
    </row>
    <row r="2" spans="1:11" ht="20.149999999999999" customHeight="1" x14ac:dyDescent="0.35">
      <c r="A2" s="1" t="s">
        <v>44</v>
      </c>
      <c r="B2" s="1" t="s">
        <v>41</v>
      </c>
      <c r="C2" s="1" t="s">
        <v>42</v>
      </c>
      <c r="D2" s="1" t="s">
        <v>5671</v>
      </c>
      <c r="E2" s="1" t="s">
        <v>43</v>
      </c>
      <c r="F2" s="1" t="s">
        <v>53</v>
      </c>
      <c r="G2" s="1" t="s">
        <v>2094</v>
      </c>
      <c r="H2" s="1" t="s">
        <v>4077</v>
      </c>
      <c r="I2" s="1" t="s">
        <v>4349</v>
      </c>
      <c r="J2" s="1" t="s">
        <v>4350</v>
      </c>
      <c r="K2" s="1" t="s">
        <v>5847</v>
      </c>
    </row>
    <row r="3" spans="1:11" ht="20.149999999999999" customHeight="1" x14ac:dyDescent="0.35">
      <c r="A3" s="3">
        <v>1</v>
      </c>
      <c r="B3" s="4" t="s">
        <v>5700</v>
      </c>
      <c r="C3" s="4" t="s">
        <v>5698</v>
      </c>
      <c r="D3" s="5" t="s">
        <v>5739</v>
      </c>
      <c r="E3" s="4" t="s">
        <v>5699</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5703</v>
      </c>
      <c r="C4" s="4" t="s">
        <v>5701</v>
      </c>
      <c r="D4" s="5"/>
      <c r="E4" s="4" t="s">
        <v>5702</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5706</v>
      </c>
      <c r="C5" s="4" t="s">
        <v>5704</v>
      </c>
      <c r="D5" s="5"/>
      <c r="E5" s="4" t="s">
        <v>5705</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5708</v>
      </c>
      <c r="C6" s="4" t="s">
        <v>5707</v>
      </c>
      <c r="D6" s="5"/>
      <c r="E6" s="4" t="s">
        <v>5705</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5710</v>
      </c>
      <c r="C7" s="4" t="s">
        <v>5709</v>
      </c>
      <c r="D7" s="5"/>
      <c r="E7" s="4" t="s">
        <v>5705</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5712</v>
      </c>
      <c r="C8" s="4" t="s">
        <v>5711</v>
      </c>
      <c r="D8" s="5"/>
      <c r="E8" s="4" t="s">
        <v>5705</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5714</v>
      </c>
      <c r="C9" s="4" t="s">
        <v>5713</v>
      </c>
      <c r="D9" s="5"/>
      <c r="E9" s="4" t="s">
        <v>5705</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5716</v>
      </c>
      <c r="C10" s="4" t="s">
        <v>5715</v>
      </c>
      <c r="D10" s="5"/>
      <c r="E10" s="4" t="s">
        <v>5705</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5718</v>
      </c>
      <c r="C11" s="4" t="s">
        <v>5717</v>
      </c>
      <c r="D11" s="5"/>
      <c r="E11" s="4" t="s">
        <v>5705</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5720</v>
      </c>
      <c r="C12" s="4" t="s">
        <v>5719</v>
      </c>
      <c r="D12" s="5"/>
      <c r="E12" s="4" t="s">
        <v>5705</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5722</v>
      </c>
      <c r="C13" s="4" t="s">
        <v>5721</v>
      </c>
      <c r="D13" s="5"/>
      <c r="E13" s="4" t="s">
        <v>5705</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5724</v>
      </c>
      <c r="C14" s="4" t="s">
        <v>5723</v>
      </c>
      <c r="D14" s="5"/>
      <c r="E14" s="4" t="s">
        <v>5705</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5726</v>
      </c>
      <c r="C15" s="4" t="s">
        <v>5725</v>
      </c>
      <c r="D15" s="5"/>
      <c r="E15" s="4" t="s">
        <v>5705</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5728</v>
      </c>
      <c r="C16" s="4" t="s">
        <v>5727</v>
      </c>
      <c r="D16" s="5"/>
      <c r="E16" s="4" t="s">
        <v>5705</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5730</v>
      </c>
      <c r="C17" s="4" t="s">
        <v>5729</v>
      </c>
      <c r="D17" s="5"/>
      <c r="E17" s="4" t="s">
        <v>5705</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5732</v>
      </c>
      <c r="C18" s="4" t="s">
        <v>5731</v>
      </c>
      <c r="D18" s="5"/>
      <c r="E18" s="4" t="s">
        <v>5705</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59999389629810485"/>
  </sheetPr>
  <dimension ref="A1:C10"/>
  <sheetViews>
    <sheetView workbookViewId="0">
      <selection activeCell="F12" sqref="F12"/>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6081</v>
      </c>
      <c r="B1" s="1" t="s">
        <v>6073</v>
      </c>
      <c r="C1" s="1" t="s">
        <v>5600</v>
      </c>
    </row>
    <row r="2" spans="1:3" ht="20.149999999999999" customHeight="1" x14ac:dyDescent="0.35">
      <c r="A2" s="1" t="s">
        <v>41</v>
      </c>
      <c r="B2" s="1" t="s">
        <v>42</v>
      </c>
      <c r="C2" s="1" t="s">
        <v>6077</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3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C13"/>
  <sheetViews>
    <sheetView workbookViewId="0">
      <selection activeCell="C2" sqref="C2:C13"/>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6081</v>
      </c>
      <c r="B1" s="1" t="s">
        <v>6074</v>
      </c>
      <c r="C1" s="1" t="s">
        <v>5600</v>
      </c>
    </row>
    <row r="2" spans="1:3" ht="20.149999999999999" customHeight="1" x14ac:dyDescent="0.35">
      <c r="A2" s="1" t="s">
        <v>41</v>
      </c>
      <c r="B2" s="1" t="s">
        <v>42</v>
      </c>
      <c r="C2" s="1" t="s">
        <v>6076</v>
      </c>
    </row>
    <row r="3" spans="1:3" ht="20.149999999999999" customHeight="1" x14ac:dyDescent="0.35">
      <c r="A3" s="4">
        <v>1</v>
      </c>
      <c r="B3" s="4">
        <v>1</v>
      </c>
      <c r="C3" s="16" t="str">
        <f>CONCATENATE("(",A3,",",B3,"),")</f>
        <v>(1,1),</v>
      </c>
    </row>
    <row r="4" spans="1:3" ht="20.149999999999999" customHeight="1" x14ac:dyDescent="0.35">
      <c r="A4" s="4">
        <v>1</v>
      </c>
      <c r="B4" s="4">
        <v>2</v>
      </c>
      <c r="C4" s="16" t="str">
        <f t="shared" ref="C4:C13"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sheetData>
  <autoFilter ref="A2:B13" xr:uid="{00000000-0009-0000-0000-000004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D66"/>
  <sheetViews>
    <sheetView workbookViewId="0">
      <selection activeCell="D3" sqref="D3:D13"/>
    </sheetView>
  </sheetViews>
  <sheetFormatPr baseColWidth="10" defaultColWidth="10.81640625" defaultRowHeight="15.5" x14ac:dyDescent="0.35"/>
  <cols>
    <col min="1" max="1" width="4.453125" style="2" customWidth="1"/>
    <col min="2" max="2" width="39.26953125" style="2" customWidth="1"/>
    <col min="3" max="3" width="66.81640625" style="2" bestFit="1" customWidth="1"/>
    <col min="4" max="4" width="93.7265625" style="2" bestFit="1" customWidth="1"/>
    <col min="5" max="16384" width="10.81640625" style="2"/>
  </cols>
  <sheetData>
    <row r="1" spans="1:4" ht="20.149999999999999" customHeight="1" x14ac:dyDescent="0.35">
      <c r="A1" s="1" t="s">
        <v>37</v>
      </c>
      <c r="B1" s="1" t="s">
        <v>5266</v>
      </c>
      <c r="C1" s="1" t="s">
        <v>4572</v>
      </c>
      <c r="D1" s="1" t="s">
        <v>5600</v>
      </c>
    </row>
    <row r="2" spans="1:4" ht="20.149999999999999" customHeight="1" x14ac:dyDescent="0.35">
      <c r="A2" s="1" t="s">
        <v>44</v>
      </c>
      <c r="B2" s="1" t="s">
        <v>6391</v>
      </c>
      <c r="C2" s="1" t="s">
        <v>41</v>
      </c>
      <c r="D2" s="1" t="s">
        <v>5848</v>
      </c>
    </row>
    <row r="3" spans="1:4" ht="20.149999999999999" customHeight="1" x14ac:dyDescent="0.35">
      <c r="A3" s="3">
        <v>1</v>
      </c>
      <c r="B3" s="4" t="s">
        <v>6780</v>
      </c>
      <c r="C3" s="4" t="s">
        <v>6791</v>
      </c>
      <c r="D3" s="16" t="str">
        <f>CONCATENATE("(",A3,",'",B3,"','",C3,"'),")</f>
        <v>(1,'SYSTEM_ADMIN','Manage system (Security, Settings, Audit)'),</v>
      </c>
    </row>
    <row r="4" spans="1:4" ht="20.149999999999999" customHeight="1" x14ac:dyDescent="0.35">
      <c r="A4" s="3">
        <v>2</v>
      </c>
      <c r="B4" s="4" t="s">
        <v>6781</v>
      </c>
      <c r="C4" s="4" t="s">
        <v>6792</v>
      </c>
      <c r="D4" s="16" t="str">
        <f t="shared" ref="D4:D13" si="0">CONCATENATE("(",A4,",'",B4,"','",C4,"'),")</f>
        <v>(2,'INFRASTRUCTURE_ADMIN','Manage infrastructure (type, common and core infrastructure)'),</v>
      </c>
    </row>
    <row r="5" spans="1:4" ht="20.149999999999999" customHeight="1" x14ac:dyDescent="0.35">
      <c r="A5" s="3">
        <v>3</v>
      </c>
      <c r="B5" s="4" t="s">
        <v>6782</v>
      </c>
      <c r="C5" s="4" t="s">
        <v>6793</v>
      </c>
      <c r="D5" s="16" t="str">
        <f t="shared" si="0"/>
        <v>(3,'INFRASTRUCTURE_EDITOR','Edit infrastructure (common and core infrastructure)'),</v>
      </c>
    </row>
    <row r="6" spans="1:4" ht="20.149999999999999" customHeight="1" x14ac:dyDescent="0.35">
      <c r="A6" s="3">
        <v>4</v>
      </c>
      <c r="B6" s="4" t="s">
        <v>6783</v>
      </c>
      <c r="C6" s="4" t="s">
        <v>6796</v>
      </c>
      <c r="D6" s="16" t="str">
        <f t="shared" si="0"/>
        <v>(4,'INFRASTRUCTURE_CONSULTANT','View infrastructure data'),</v>
      </c>
    </row>
    <row r="7" spans="1:4" ht="20.149999999999999" customHeight="1" x14ac:dyDescent="0.35">
      <c r="A7" s="3">
        <v>5</v>
      </c>
      <c r="B7" s="4" t="s">
        <v>6784</v>
      </c>
      <c r="C7" s="4" t="s">
        <v>6795</v>
      </c>
      <c r="D7" s="16" t="str">
        <f t="shared" si="0"/>
        <v>(5,'ORGANIZATION_ADMIN','Manage organization (type, common and core organization and localization)'),</v>
      </c>
    </row>
    <row r="8" spans="1:4" ht="20.149999999999999" customHeight="1" x14ac:dyDescent="0.35">
      <c r="A8" s="3">
        <v>6</v>
      </c>
      <c r="B8" s="4" t="s">
        <v>6786</v>
      </c>
      <c r="C8" s="4" t="s">
        <v>6794</v>
      </c>
      <c r="D8" s="16" t="str">
        <f t="shared" si="0"/>
        <v>(6,'ORGANIZATION_EDITOR','Edit organization (common and core organization and localization)'),</v>
      </c>
    </row>
    <row r="9" spans="1:4" ht="20.149999999999999" customHeight="1" x14ac:dyDescent="0.35">
      <c r="A9" s="3">
        <v>7</v>
      </c>
      <c r="B9" s="4" t="s">
        <v>6787</v>
      </c>
      <c r="C9" s="4" t="s">
        <v>6797</v>
      </c>
      <c r="D9" s="16" t="str">
        <f t="shared" si="0"/>
        <v>(7,'ORGANIZATION_CONSULTANT','View organization data'),</v>
      </c>
    </row>
    <row r="10" spans="1:4" ht="20.149999999999999" customHeight="1" x14ac:dyDescent="0.35">
      <c r="A10" s="3">
        <v>8</v>
      </c>
      <c r="B10" s="4" t="s">
        <v>6785</v>
      </c>
      <c r="C10" s="4" t="s">
        <v>6798</v>
      </c>
      <c r="D10" s="16" t="str">
        <f t="shared" si="0"/>
        <v>(8,'MONITORING_ADMIN','Manage flow monitoring process'),</v>
      </c>
    </row>
    <row r="11" spans="1:4" ht="20.149999999999999" customHeight="1" x14ac:dyDescent="0.35">
      <c r="A11" s="3">
        <v>9</v>
      </c>
      <c r="B11" s="4" t="s">
        <v>6790</v>
      </c>
      <c r="C11" s="4" t="s">
        <v>6799</v>
      </c>
      <c r="D11" s="16" t="str">
        <f t="shared" si="0"/>
        <v>(9,'MONITORING_VALIDATOR','Validate flow monitoring readings'),</v>
      </c>
    </row>
    <row r="12" spans="1:4" ht="20.149999999999999" customHeight="1" x14ac:dyDescent="0.35">
      <c r="A12" s="3">
        <v>10</v>
      </c>
      <c r="B12" s="4" t="s">
        <v>6789</v>
      </c>
      <c r="C12" s="4" t="s">
        <v>6800</v>
      </c>
      <c r="D12" s="16" t="str">
        <f t="shared" si="0"/>
        <v>(10,'MONITORING_OPERATOR','Record flow monitoring data'),</v>
      </c>
    </row>
    <row r="13" spans="1:4" ht="20.149999999999999" customHeight="1" x14ac:dyDescent="0.35">
      <c r="A13" s="3">
        <v>11</v>
      </c>
      <c r="B13" s="4" t="s">
        <v>6788</v>
      </c>
      <c r="C13" s="4" t="s">
        <v>6801</v>
      </c>
      <c r="D13" s="16" t="str">
        <f t="shared" si="0"/>
        <v>(11,'MONITORING_CONSULTANT','View flow monitoring data and statistics'),</v>
      </c>
    </row>
    <row r="14" spans="1:4" ht="20.149999999999999" customHeight="1" x14ac:dyDescent="0.35">
      <c r="A14" s="42">
        <v>1</v>
      </c>
      <c r="B14" s="43" t="s">
        <v>6406</v>
      </c>
      <c r="C14" s="43" t="s">
        <v>6405</v>
      </c>
      <c r="D14" s="44" t="str">
        <f>CONCATENATE("(",A14,",'",B14,"','",C14,"'),")</f>
        <v>(1,'SYSTEM-SETTING-ADMIN','Manage system setting data'),</v>
      </c>
    </row>
    <row r="15" spans="1:4" ht="20.149999999999999" customHeight="1" x14ac:dyDescent="0.35">
      <c r="A15" s="42">
        <v>2</v>
      </c>
      <c r="B15" s="43" t="s">
        <v>6427</v>
      </c>
      <c r="C15" s="43" t="s">
        <v>6407</v>
      </c>
      <c r="D15" s="44" t="str">
        <f t="shared" ref="D15:D26" si="1">CONCATENATE("(",A15,",'",B15,"','",C15,"'),")</f>
        <v>(2,'SYSTEM-UTILITY-ADMIN','Manage system utility data'),</v>
      </c>
    </row>
    <row r="16" spans="1:4" ht="20.149999999999999" customHeight="1" x14ac:dyDescent="0.35">
      <c r="A16" s="42">
        <v>3</v>
      </c>
      <c r="B16" s="43" t="s">
        <v>6390</v>
      </c>
      <c r="C16" s="43" t="s">
        <v>5740</v>
      </c>
      <c r="D16" s="44" t="str">
        <f t="shared" si="1"/>
        <v>(3,'SYSTEM-SECURITY-ADMIN','Manage system security data'),</v>
      </c>
    </row>
    <row r="17" spans="1:4" ht="20.149999999999999" customHeight="1" x14ac:dyDescent="0.35">
      <c r="A17" s="42">
        <v>4</v>
      </c>
      <c r="B17" s="43" t="s">
        <v>6392</v>
      </c>
      <c r="C17" s="43" t="s">
        <v>5741</v>
      </c>
      <c r="D17" s="44" t="str">
        <f t="shared" si="1"/>
        <v>(4,'SYSTEM-AUDIT-ADMIN','Manage system audit data'),</v>
      </c>
    </row>
    <row r="18" spans="1:4" ht="20.149999999999999" customHeight="1" x14ac:dyDescent="0.35">
      <c r="A18" s="42">
        <v>5</v>
      </c>
      <c r="B18" s="43" t="s">
        <v>6393</v>
      </c>
      <c r="C18" s="43" t="s">
        <v>5745</v>
      </c>
      <c r="D18" s="44" t="str">
        <f t="shared" si="1"/>
        <v>(5,'GENERAL-TYPE-ADMIN','Manage general Type'),</v>
      </c>
    </row>
    <row r="19" spans="1:4" ht="20.149999999999999" customHeight="1" x14ac:dyDescent="0.35">
      <c r="A19" s="42">
        <v>6</v>
      </c>
      <c r="B19" s="43" t="s">
        <v>6394</v>
      </c>
      <c r="C19" s="43" t="s">
        <v>5746</v>
      </c>
      <c r="D19" s="44" t="str">
        <f t="shared" si="1"/>
        <v>(6,'GENERAL-LOCALIZATION-ADMIN','Manage general localization'),</v>
      </c>
    </row>
    <row r="20" spans="1:4" ht="20.149999999999999" customHeight="1" x14ac:dyDescent="0.35">
      <c r="A20" s="42">
        <v>7</v>
      </c>
      <c r="B20" s="43" t="s">
        <v>6395</v>
      </c>
      <c r="C20" s="43" t="s">
        <v>5747</v>
      </c>
      <c r="D20" s="44" t="str">
        <f t="shared" si="1"/>
        <v>(7,'GENERAL-ORGANIZATION-ADMIN','Manage general organization'),</v>
      </c>
    </row>
    <row r="21" spans="1:4" ht="20.149999999999999" customHeight="1" x14ac:dyDescent="0.35">
      <c r="A21" s="42">
        <v>8</v>
      </c>
      <c r="B21" s="43" t="s">
        <v>6396</v>
      </c>
      <c r="C21" s="43" t="s">
        <v>5742</v>
      </c>
      <c r="D21" s="44" t="str">
        <f t="shared" si="1"/>
        <v>(8,'NETWORK-TYPE-ADMIN','Manage network type data'),</v>
      </c>
    </row>
    <row r="22" spans="1:4" ht="20.149999999999999" customHeight="1" x14ac:dyDescent="0.35">
      <c r="A22" s="42">
        <v>9</v>
      </c>
      <c r="B22" s="43" t="s">
        <v>6397</v>
      </c>
      <c r="C22" s="43" t="s">
        <v>5743</v>
      </c>
      <c r="D22" s="44" t="str">
        <f t="shared" si="1"/>
        <v>(9,'NETWORK-COMMON-ADMIN','Manage network common data'),</v>
      </c>
    </row>
    <row r="23" spans="1:4" ht="20.149999999999999" customHeight="1" x14ac:dyDescent="0.35">
      <c r="A23" s="42">
        <v>10</v>
      </c>
      <c r="B23" s="43" t="s">
        <v>6398</v>
      </c>
      <c r="C23" s="43" t="s">
        <v>5744</v>
      </c>
      <c r="D23" s="44" t="str">
        <f t="shared" si="1"/>
        <v>(10,'NETWORK-CORE-ADMIN','Manage network core data'),</v>
      </c>
    </row>
    <row r="24" spans="1:4" ht="20.149999999999999" customHeight="1" x14ac:dyDescent="0.35">
      <c r="A24" s="42">
        <v>11</v>
      </c>
      <c r="B24" s="43" t="s">
        <v>6399</v>
      </c>
      <c r="C24" s="43" t="s">
        <v>6402</v>
      </c>
      <c r="D24" s="44" t="str">
        <f t="shared" si="1"/>
        <v>(11,'FLOW-TYPE-ADMIN','Manage flow type data'),</v>
      </c>
    </row>
    <row r="25" spans="1:4" ht="20.149999999999999" customHeight="1" x14ac:dyDescent="0.35">
      <c r="A25" s="42">
        <v>12</v>
      </c>
      <c r="B25" s="43" t="s">
        <v>6400</v>
      </c>
      <c r="C25" s="43" t="s">
        <v>6403</v>
      </c>
      <c r="D25" s="44" t="str">
        <f t="shared" si="1"/>
        <v>(12,'FLOW-COMMON-ADMIN','Manage flow common data'),</v>
      </c>
    </row>
    <row r="26" spans="1:4" ht="20.149999999999999" customHeight="1" x14ac:dyDescent="0.35">
      <c r="A26" s="42">
        <v>13</v>
      </c>
      <c r="B26" s="43" t="s">
        <v>6401</v>
      </c>
      <c r="C26" s="43" t="s">
        <v>6404</v>
      </c>
      <c r="D26" s="44" t="str">
        <f t="shared" si="1"/>
        <v>(13,'FLOW-CORE-ADMIN','Manage flow core data'),</v>
      </c>
    </row>
    <row r="27" spans="1:4" ht="20.149999999999999" customHeight="1" x14ac:dyDescent="0.35">
      <c r="A27" s="42">
        <v>21</v>
      </c>
      <c r="B27" s="43" t="s">
        <v>6428</v>
      </c>
      <c r="C27" s="43" t="s">
        <v>6408</v>
      </c>
      <c r="D27" s="44" t="str">
        <f>CONCATENATE("(",A27,",'",B27,"','",C27,"'),")</f>
        <v>(21,'SYSTEM-SETTING-EDITOR','Update system setting data'),</v>
      </c>
    </row>
    <row r="28" spans="1:4" ht="20.149999999999999" customHeight="1" x14ac:dyDescent="0.35">
      <c r="A28" s="42">
        <v>22</v>
      </c>
      <c r="B28" s="43" t="s">
        <v>6440</v>
      </c>
      <c r="C28" s="43" t="s">
        <v>6409</v>
      </c>
      <c r="D28" s="44" t="str">
        <f t="shared" ref="D28:D39" si="2">CONCATENATE("(",A28,",'",B28,"','",C28,"'),")</f>
        <v>(22,'SYSTEM-UTILITY-EDITOR','Update system utility data'),</v>
      </c>
    </row>
    <row r="29" spans="1:4" ht="20.149999999999999" customHeight="1" x14ac:dyDescent="0.35">
      <c r="A29" s="42">
        <v>23</v>
      </c>
      <c r="B29" s="43" t="s">
        <v>6429</v>
      </c>
      <c r="C29" s="43" t="s">
        <v>6410</v>
      </c>
      <c r="D29" s="44" t="str">
        <f t="shared" si="2"/>
        <v>(23,'SYSTEM-SECURITY-EDITOR','Update system security data'),</v>
      </c>
    </row>
    <row r="30" spans="1:4" ht="20.149999999999999" customHeight="1" x14ac:dyDescent="0.35">
      <c r="A30" s="42">
        <v>24</v>
      </c>
      <c r="B30" s="43" t="s">
        <v>6430</v>
      </c>
      <c r="C30" s="43" t="s">
        <v>6411</v>
      </c>
      <c r="D30" s="44" t="str">
        <f t="shared" si="2"/>
        <v>(24,'SYSTEM-AUDIT-EDITOR','Update system audit data'),</v>
      </c>
    </row>
    <row r="31" spans="1:4" ht="20.149999999999999" customHeight="1" x14ac:dyDescent="0.35">
      <c r="A31" s="42">
        <v>25</v>
      </c>
      <c r="B31" s="43" t="s">
        <v>6431</v>
      </c>
      <c r="C31" s="43" t="s">
        <v>6412</v>
      </c>
      <c r="D31" s="44" t="str">
        <f t="shared" si="2"/>
        <v>(25,'GENERAL-TYPE-EDITOR','Update general Type'),</v>
      </c>
    </row>
    <row r="32" spans="1:4" ht="20.149999999999999" customHeight="1" x14ac:dyDescent="0.35">
      <c r="A32" s="42">
        <v>26</v>
      </c>
      <c r="B32" s="43" t="s">
        <v>6432</v>
      </c>
      <c r="C32" s="43" t="s">
        <v>6413</v>
      </c>
      <c r="D32" s="44" t="str">
        <f t="shared" si="2"/>
        <v>(26,'GENERAL-LOCALIZATION-EDITOR','Update general localization'),</v>
      </c>
    </row>
    <row r="33" spans="1:4" ht="20.149999999999999" customHeight="1" x14ac:dyDescent="0.35">
      <c r="A33" s="42">
        <v>27</v>
      </c>
      <c r="B33" s="43" t="s">
        <v>6433</v>
      </c>
      <c r="C33" s="43" t="s">
        <v>6414</v>
      </c>
      <c r="D33" s="44" t="str">
        <f t="shared" si="2"/>
        <v>(27,'GENERAL-ORGANIZATION-EDITOR','Update general organization'),</v>
      </c>
    </row>
    <row r="34" spans="1:4" ht="20.149999999999999" customHeight="1" x14ac:dyDescent="0.35">
      <c r="A34" s="42">
        <v>28</v>
      </c>
      <c r="B34" s="43" t="s">
        <v>6434</v>
      </c>
      <c r="C34" s="43" t="s">
        <v>6415</v>
      </c>
      <c r="D34" s="44" t="str">
        <f t="shared" si="2"/>
        <v>(28,'NETWORK-TYPE-EDITOR','Update network type data'),</v>
      </c>
    </row>
    <row r="35" spans="1:4" ht="20.149999999999999" customHeight="1" x14ac:dyDescent="0.35">
      <c r="A35" s="42">
        <v>29</v>
      </c>
      <c r="B35" s="43" t="s">
        <v>6435</v>
      </c>
      <c r="C35" s="43" t="s">
        <v>6416</v>
      </c>
      <c r="D35" s="44" t="str">
        <f t="shared" si="2"/>
        <v>(29,'NETWORK-COMMON-EDITOR','Update network common data'),</v>
      </c>
    </row>
    <row r="36" spans="1:4" ht="20.149999999999999" customHeight="1" x14ac:dyDescent="0.35">
      <c r="A36" s="42">
        <v>30</v>
      </c>
      <c r="B36" s="43" t="s">
        <v>6436</v>
      </c>
      <c r="C36" s="43" t="s">
        <v>6417</v>
      </c>
      <c r="D36" s="44" t="str">
        <f t="shared" si="2"/>
        <v>(30,'NETWORK-CORE-EDITOR','Update network core data'),</v>
      </c>
    </row>
    <row r="37" spans="1:4" ht="20.149999999999999" customHeight="1" x14ac:dyDescent="0.35">
      <c r="A37" s="42">
        <v>31</v>
      </c>
      <c r="B37" s="43" t="s">
        <v>6437</v>
      </c>
      <c r="C37" s="43" t="s">
        <v>6418</v>
      </c>
      <c r="D37" s="44" t="str">
        <f t="shared" si="2"/>
        <v>(31,'FLOW-TYPE-EDITOR','Update flow type data'),</v>
      </c>
    </row>
    <row r="38" spans="1:4" ht="20.149999999999999" customHeight="1" x14ac:dyDescent="0.35">
      <c r="A38" s="42">
        <v>32</v>
      </c>
      <c r="B38" s="43" t="s">
        <v>6438</v>
      </c>
      <c r="C38" s="43" t="s">
        <v>6419</v>
      </c>
      <c r="D38" s="44" t="str">
        <f t="shared" si="2"/>
        <v>(32,'FLOW-COMMON-EDITOR','Update flow common data'),</v>
      </c>
    </row>
    <row r="39" spans="1:4" ht="20.149999999999999" customHeight="1" x14ac:dyDescent="0.35">
      <c r="A39" s="42">
        <v>33</v>
      </c>
      <c r="B39" s="43" t="s">
        <v>6439</v>
      </c>
      <c r="C39" s="43" t="s">
        <v>6420</v>
      </c>
      <c r="D39" s="44" t="str">
        <f t="shared" si="2"/>
        <v>(33,'FLOW-CORE-EDITOR','Update flow core data'),</v>
      </c>
    </row>
    <row r="40" spans="1:4" ht="20.149999999999999" customHeight="1" x14ac:dyDescent="0.35">
      <c r="A40" s="42">
        <v>41</v>
      </c>
      <c r="B40" s="43" t="s">
        <v>6728</v>
      </c>
      <c r="C40" s="43" t="s">
        <v>6741</v>
      </c>
      <c r="D40" s="44" t="str">
        <f>CONCATENATE("(",A40,",'",B40,"','",C40,"'),")</f>
        <v>(41,'SYSTEM-SETTING-CONSULTANT','Consult system setting data'),</v>
      </c>
    </row>
    <row r="41" spans="1:4" ht="20.149999999999999" customHeight="1" x14ac:dyDescent="0.35">
      <c r="A41" s="42">
        <v>42</v>
      </c>
      <c r="B41" s="43" t="s">
        <v>6729</v>
      </c>
      <c r="C41" s="43" t="s">
        <v>6742</v>
      </c>
      <c r="D41" s="44" t="str">
        <f t="shared" ref="D41:D65" si="3">CONCATENATE("(",A41,",'",B41,"','",C41,"'),")</f>
        <v>(42,'SYSTEM-UTILITY-CONSULTANT','Consult system utility data'),</v>
      </c>
    </row>
    <row r="42" spans="1:4" ht="20.149999999999999" customHeight="1" x14ac:dyDescent="0.35">
      <c r="A42" s="42">
        <v>43</v>
      </c>
      <c r="B42" s="43" t="s">
        <v>6730</v>
      </c>
      <c r="C42" s="43" t="s">
        <v>6743</v>
      </c>
      <c r="D42" s="44" t="str">
        <f t="shared" si="3"/>
        <v>(43,'SYSTEM-SECURITY-CONSULTANT','Consult system security data'),</v>
      </c>
    </row>
    <row r="43" spans="1:4" ht="20.149999999999999" customHeight="1" x14ac:dyDescent="0.35">
      <c r="A43" s="42">
        <v>44</v>
      </c>
      <c r="B43" s="43" t="s">
        <v>6731</v>
      </c>
      <c r="C43" s="43" t="s">
        <v>6744</v>
      </c>
      <c r="D43" s="44" t="str">
        <f t="shared" si="3"/>
        <v>(44,'SYSTEM-AUDIT-CONSULTANT','Consult system audit data'),</v>
      </c>
    </row>
    <row r="44" spans="1:4" ht="20.149999999999999" customHeight="1" x14ac:dyDescent="0.35">
      <c r="A44" s="42">
        <v>45</v>
      </c>
      <c r="B44" s="43" t="s">
        <v>6732</v>
      </c>
      <c r="C44" s="43" t="s">
        <v>6745</v>
      </c>
      <c r="D44" s="44" t="str">
        <f t="shared" si="3"/>
        <v>(45,'GENERAL-TYPE-CONSULTANT','Consult general Type'),</v>
      </c>
    </row>
    <row r="45" spans="1:4" ht="20.149999999999999" customHeight="1" x14ac:dyDescent="0.35">
      <c r="A45" s="42">
        <v>46</v>
      </c>
      <c r="B45" s="43" t="s">
        <v>6733</v>
      </c>
      <c r="C45" s="43" t="s">
        <v>6746</v>
      </c>
      <c r="D45" s="44" t="str">
        <f t="shared" si="3"/>
        <v>(46,'GENERAL-LOCALIZATION-CONSULTANT','Consult general localization'),</v>
      </c>
    </row>
    <row r="46" spans="1:4" ht="20.149999999999999" customHeight="1" x14ac:dyDescent="0.35">
      <c r="A46" s="42">
        <v>47</v>
      </c>
      <c r="B46" s="43" t="s">
        <v>6734</v>
      </c>
      <c r="C46" s="43" t="s">
        <v>6747</v>
      </c>
      <c r="D46" s="44" t="str">
        <f t="shared" si="3"/>
        <v>(47,'GENERAL-ORGANIZATION-CONSULTANT','Consult general organization'),</v>
      </c>
    </row>
    <row r="47" spans="1:4" ht="20.149999999999999" customHeight="1" x14ac:dyDescent="0.35">
      <c r="A47" s="42">
        <v>48</v>
      </c>
      <c r="B47" s="43" t="s">
        <v>6735</v>
      </c>
      <c r="C47" s="43" t="s">
        <v>6748</v>
      </c>
      <c r="D47" s="44" t="str">
        <f t="shared" si="3"/>
        <v>(48,'NETWORK-TYPE-CONSULTANT','Consult network type data'),</v>
      </c>
    </row>
    <row r="48" spans="1:4" ht="20.149999999999999" customHeight="1" x14ac:dyDescent="0.35">
      <c r="A48" s="42">
        <v>49</v>
      </c>
      <c r="B48" s="43" t="s">
        <v>6736</v>
      </c>
      <c r="C48" s="43" t="s">
        <v>6749</v>
      </c>
      <c r="D48" s="44" t="str">
        <f t="shared" si="3"/>
        <v>(49,'NETWORK-COMMON-CONSULTANT','Consult network common data'),</v>
      </c>
    </row>
    <row r="49" spans="1:4" ht="20.149999999999999" customHeight="1" x14ac:dyDescent="0.35">
      <c r="A49" s="42">
        <v>50</v>
      </c>
      <c r="B49" s="43" t="s">
        <v>6737</v>
      </c>
      <c r="C49" s="43" t="s">
        <v>6750</v>
      </c>
      <c r="D49" s="44" t="str">
        <f t="shared" si="3"/>
        <v>(50,'NETWORK-CORE-CONSULTANT','Consult network core data'),</v>
      </c>
    </row>
    <row r="50" spans="1:4" ht="20.149999999999999" customHeight="1" x14ac:dyDescent="0.35">
      <c r="A50" s="42">
        <v>51</v>
      </c>
      <c r="B50" s="43" t="s">
        <v>6738</v>
      </c>
      <c r="C50" s="43" t="s">
        <v>6751</v>
      </c>
      <c r="D50" s="44" t="str">
        <f t="shared" si="3"/>
        <v>(51,'FLOW-TYPE-CONSULTANT','Consult flow type data'),</v>
      </c>
    </row>
    <row r="51" spans="1:4" ht="20.149999999999999" customHeight="1" x14ac:dyDescent="0.35">
      <c r="A51" s="42">
        <v>52</v>
      </c>
      <c r="B51" s="43" t="s">
        <v>6739</v>
      </c>
      <c r="C51" s="43" t="s">
        <v>6752</v>
      </c>
      <c r="D51" s="44" t="str">
        <f t="shared" si="3"/>
        <v>(52,'FLOW-COMMON-CONSULTANT','Consult flow common data'),</v>
      </c>
    </row>
    <row r="52" spans="1:4" ht="20.149999999999999" customHeight="1" x14ac:dyDescent="0.35">
      <c r="A52" s="42">
        <v>53</v>
      </c>
      <c r="B52" s="43" t="s">
        <v>6740</v>
      </c>
      <c r="C52" s="43" t="s">
        <v>6753</v>
      </c>
      <c r="D52" s="44" t="str">
        <f t="shared" si="3"/>
        <v>(53,'FLOW-CORE-CONSULTANT','Consult flow core data'),</v>
      </c>
    </row>
    <row r="53" spans="1:4" ht="20.149999999999999" customHeight="1" x14ac:dyDescent="0.35">
      <c r="A53" s="42">
        <v>61</v>
      </c>
      <c r="B53" s="43" t="s">
        <v>6767</v>
      </c>
      <c r="C53" s="43" t="s">
        <v>6755</v>
      </c>
      <c r="D53" s="44" t="str">
        <f t="shared" si="3"/>
        <v>(61,'SYSTEM-SETTING-VALIDATOR','Validate system setting data'),</v>
      </c>
    </row>
    <row r="54" spans="1:4" ht="20.149999999999999" customHeight="1" x14ac:dyDescent="0.35">
      <c r="A54" s="42">
        <v>62</v>
      </c>
      <c r="B54" s="43" t="s">
        <v>6768</v>
      </c>
      <c r="C54" s="43" t="s">
        <v>6756</v>
      </c>
      <c r="D54" s="44" t="str">
        <f t="shared" si="3"/>
        <v>(62,'SYSTEM-UTILITY-VALIDATOR','Validate system utility data'),</v>
      </c>
    </row>
    <row r="55" spans="1:4" ht="20.149999999999999" customHeight="1" x14ac:dyDescent="0.35">
      <c r="A55" s="42">
        <v>63</v>
      </c>
      <c r="B55" s="43" t="s">
        <v>6769</v>
      </c>
      <c r="C55" s="43" t="s">
        <v>6757</v>
      </c>
      <c r="D55" s="44" t="str">
        <f t="shared" si="3"/>
        <v>(63,'SYSTEM-SECURITY-VALIDATOR','Validate system security data'),</v>
      </c>
    </row>
    <row r="56" spans="1:4" ht="20.149999999999999" customHeight="1" x14ac:dyDescent="0.35">
      <c r="A56" s="42">
        <v>64</v>
      </c>
      <c r="B56" s="43" t="s">
        <v>6770</v>
      </c>
      <c r="C56" s="43" t="s">
        <v>6758</v>
      </c>
      <c r="D56" s="44" t="str">
        <f t="shared" si="3"/>
        <v>(64,'SYSTEM-AUDIT-VALIDATOR','Validate system audit data'),</v>
      </c>
    </row>
    <row r="57" spans="1:4" ht="20.149999999999999" customHeight="1" x14ac:dyDescent="0.35">
      <c r="A57" s="42">
        <v>65</v>
      </c>
      <c r="B57" s="43" t="s">
        <v>6771</v>
      </c>
      <c r="C57" s="43" t="s">
        <v>6759</v>
      </c>
      <c r="D57" s="44" t="str">
        <f t="shared" si="3"/>
        <v>(65,'GENERAL-TYPE-VALIDATOR','Validate general Type'),</v>
      </c>
    </row>
    <row r="58" spans="1:4" ht="20.149999999999999" customHeight="1" x14ac:dyDescent="0.35">
      <c r="A58" s="42">
        <v>66</v>
      </c>
      <c r="B58" s="43" t="s">
        <v>6772</v>
      </c>
      <c r="C58" s="43" t="s">
        <v>6760</v>
      </c>
      <c r="D58" s="44" t="str">
        <f t="shared" si="3"/>
        <v>(66,'GENERAL-LOCALIZATION-VALIDATOR','Validate general localization'),</v>
      </c>
    </row>
    <row r="59" spans="1:4" ht="20.149999999999999" customHeight="1" x14ac:dyDescent="0.35">
      <c r="A59" s="42">
        <v>67</v>
      </c>
      <c r="B59" s="43" t="s">
        <v>6773</v>
      </c>
      <c r="C59" s="43" t="s">
        <v>6761</v>
      </c>
      <c r="D59" s="44" t="str">
        <f t="shared" si="3"/>
        <v>(67,'GENERAL-ORGANIZATION-VALIDATOR','Validate general organization'),</v>
      </c>
    </row>
    <row r="60" spans="1:4" ht="20.149999999999999" customHeight="1" x14ac:dyDescent="0.35">
      <c r="A60" s="42">
        <v>68</v>
      </c>
      <c r="B60" s="43" t="s">
        <v>6774</v>
      </c>
      <c r="C60" s="43" t="s">
        <v>6762</v>
      </c>
      <c r="D60" s="44" t="str">
        <f t="shared" si="3"/>
        <v>(68,'NETWORK-TYPE-VALIDATOR','Validate network type data'),</v>
      </c>
    </row>
    <row r="61" spans="1:4" ht="20.149999999999999" customHeight="1" x14ac:dyDescent="0.35">
      <c r="A61" s="42">
        <v>69</v>
      </c>
      <c r="B61" s="43" t="s">
        <v>6775</v>
      </c>
      <c r="C61" s="43" t="s">
        <v>6763</v>
      </c>
      <c r="D61" s="44" t="str">
        <f t="shared" si="3"/>
        <v>(69,'NETWORK-COMMON-VALIDATOR','Validate network common data'),</v>
      </c>
    </row>
    <row r="62" spans="1:4" ht="20.149999999999999" customHeight="1" x14ac:dyDescent="0.35">
      <c r="A62" s="42">
        <v>70</v>
      </c>
      <c r="B62" s="43" t="s">
        <v>6776</v>
      </c>
      <c r="C62" s="43" t="s">
        <v>6764</v>
      </c>
      <c r="D62" s="44" t="str">
        <f t="shared" si="3"/>
        <v>(70,'NETWORK-CORE-VALIDATOR','Validate network core data'),</v>
      </c>
    </row>
    <row r="63" spans="1:4" ht="20.149999999999999" customHeight="1" x14ac:dyDescent="0.35">
      <c r="A63" s="42">
        <v>71</v>
      </c>
      <c r="B63" s="43" t="s">
        <v>6777</v>
      </c>
      <c r="C63" s="43" t="s">
        <v>6765</v>
      </c>
      <c r="D63" s="44" t="str">
        <f t="shared" si="3"/>
        <v>(71,'FLOW-TYPE-VALIDATOR','Validate flow type data'),</v>
      </c>
    </row>
    <row r="64" spans="1:4" ht="20.149999999999999" customHeight="1" x14ac:dyDescent="0.35">
      <c r="A64" s="42">
        <v>72</v>
      </c>
      <c r="B64" s="43" t="s">
        <v>6778</v>
      </c>
      <c r="C64" s="43" t="s">
        <v>6766</v>
      </c>
      <c r="D64" s="44" t="str">
        <f t="shared" si="3"/>
        <v>(72,'FLOW-COMMON-VALIDATOR','Validate flow common data'),</v>
      </c>
    </row>
    <row r="65" spans="1:4" ht="20.149999999999999" customHeight="1" x14ac:dyDescent="0.35">
      <c r="A65" s="42">
        <v>73</v>
      </c>
      <c r="B65" s="43" t="s">
        <v>6779</v>
      </c>
      <c r="C65" s="43" t="s">
        <v>6754</v>
      </c>
      <c r="D65" s="44" t="str">
        <f t="shared" si="3"/>
        <v>(73,'FLOW-CORE-VALIDATOR','Validate flow core data'),</v>
      </c>
    </row>
    <row r="66" spans="1:4" ht="20.149999999999999" customHeight="1" x14ac:dyDescent="0.35">
      <c r="A66" s="42">
        <v>99</v>
      </c>
      <c r="B66" s="43" t="s">
        <v>6441</v>
      </c>
      <c r="C66" s="43" t="s">
        <v>6442</v>
      </c>
      <c r="D66" s="44" t="str">
        <f t="shared" ref="D66" si="4">CONCATENATE("(",A66,",'",B66,"','",C66,"'),")</f>
        <v>(99,'TESTER','Test Role'),</v>
      </c>
    </row>
  </sheetData>
  <autoFilter ref="A2:B26" xr:uid="{00000000-0009-0000-0000-000005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C474"/>
  <sheetViews>
    <sheetView workbookViewId="0">
      <selection activeCell="C474" sqref="C2:C474"/>
    </sheetView>
  </sheetViews>
  <sheetFormatPr baseColWidth="10" defaultColWidth="10.81640625" defaultRowHeight="15.5" x14ac:dyDescent="0.35"/>
  <cols>
    <col min="1" max="2" width="10.54296875" style="2" customWidth="1"/>
    <col min="3" max="3" width="50.54296875" style="2" customWidth="1"/>
    <col min="4" max="16384" width="10.81640625" style="2"/>
  </cols>
  <sheetData>
    <row r="1" spans="1:3" ht="20.149999999999999" customHeight="1" x14ac:dyDescent="0.35">
      <c r="A1" s="1" t="s">
        <v>6074</v>
      </c>
      <c r="B1" s="1" t="s">
        <v>6082</v>
      </c>
      <c r="C1" s="1" t="s">
        <v>5600</v>
      </c>
    </row>
    <row r="2" spans="1:3" ht="20.149999999999999" customHeight="1" x14ac:dyDescent="0.35">
      <c r="A2" s="1" t="s">
        <v>41</v>
      </c>
      <c r="B2" s="1" t="s">
        <v>42</v>
      </c>
      <c r="C2" s="1" t="s">
        <v>6078</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2</v>
      </c>
      <c r="B11" s="4">
        <v>9</v>
      </c>
      <c r="C11" s="16" t="str">
        <f t="shared" si="0"/>
        <v>(2,9),</v>
      </c>
    </row>
    <row r="12" spans="1:3" ht="20.149999999999999" customHeight="1" x14ac:dyDescent="0.35">
      <c r="A12" s="4">
        <v>2</v>
      </c>
      <c r="B12" s="4">
        <v>10</v>
      </c>
      <c r="C12" s="16" t="str">
        <f t="shared" si="0"/>
        <v>(2,10),</v>
      </c>
    </row>
    <row r="13" spans="1:3" ht="20.149999999999999" customHeight="1" x14ac:dyDescent="0.35">
      <c r="A13" s="4">
        <v>2</v>
      </c>
      <c r="B13" s="4">
        <v>11</v>
      </c>
      <c r="C13" s="16" t="str">
        <f t="shared" si="0"/>
        <v>(2,11),</v>
      </c>
    </row>
    <row r="14" spans="1:3" ht="20.149999999999999" customHeight="1" x14ac:dyDescent="0.35">
      <c r="A14" s="4">
        <v>2</v>
      </c>
      <c r="B14" s="4">
        <v>12</v>
      </c>
      <c r="C14" s="16" t="str">
        <f t="shared" si="0"/>
        <v>(2,12),</v>
      </c>
    </row>
    <row r="15" spans="1:3" ht="20.149999999999999" customHeight="1" x14ac:dyDescent="0.35">
      <c r="A15" s="4">
        <v>2</v>
      </c>
      <c r="B15" s="4">
        <v>13</v>
      </c>
      <c r="C15" s="16" t="str">
        <f t="shared" si="0"/>
        <v>(2,13),</v>
      </c>
    </row>
    <row r="16" spans="1:3" ht="20.149999999999999" customHeight="1" x14ac:dyDescent="0.35">
      <c r="A16" s="4">
        <v>2</v>
      </c>
      <c r="B16" s="4">
        <v>14</v>
      </c>
      <c r="C16" s="16" t="str">
        <f t="shared" si="0"/>
        <v>(2,14),</v>
      </c>
    </row>
    <row r="17" spans="1:3" ht="20.149999999999999" customHeight="1" x14ac:dyDescent="0.35">
      <c r="A17" s="4">
        <v>2</v>
      </c>
      <c r="B17" s="4">
        <v>15</v>
      </c>
      <c r="C17" s="16" t="str">
        <f t="shared" si="0"/>
        <v>(2,15),</v>
      </c>
    </row>
    <row r="18" spans="1:3" ht="20.149999999999999" customHeight="1" x14ac:dyDescent="0.35">
      <c r="A18" s="4">
        <v>2</v>
      </c>
      <c r="B18" s="4">
        <v>16</v>
      </c>
      <c r="C18" s="16" t="str">
        <f t="shared" si="0"/>
        <v>(2,16),</v>
      </c>
    </row>
    <row r="19" spans="1:3" ht="20.149999999999999" customHeight="1" x14ac:dyDescent="0.35">
      <c r="A19" s="4">
        <v>2</v>
      </c>
      <c r="B19" s="4">
        <v>17</v>
      </c>
      <c r="C19" s="16" t="str">
        <f t="shared" si="0"/>
        <v>(2,17),</v>
      </c>
    </row>
    <row r="20" spans="1:3" ht="20.149999999999999" customHeight="1" x14ac:dyDescent="0.35">
      <c r="A20" s="4">
        <v>2</v>
      </c>
      <c r="B20" s="4">
        <v>18</v>
      </c>
      <c r="C20" s="16" t="str">
        <f t="shared" ref="C20:C22" si="1">CONCATENATE("(",A20,",",B20,"),")</f>
        <v>(2,18),</v>
      </c>
    </row>
    <row r="21" spans="1:3" ht="20.149999999999999" customHeight="1" x14ac:dyDescent="0.35">
      <c r="A21" s="4">
        <v>2</v>
      </c>
      <c r="B21" s="4">
        <v>19</v>
      </c>
      <c r="C21" s="16" t="str">
        <f t="shared" si="1"/>
        <v>(2,19),</v>
      </c>
    </row>
    <row r="22" spans="1:3" ht="20.149999999999999" customHeight="1" x14ac:dyDescent="0.35">
      <c r="A22" s="4">
        <v>2</v>
      </c>
      <c r="B22" s="4">
        <v>20</v>
      </c>
      <c r="C22" s="16" t="str">
        <f t="shared" si="1"/>
        <v>(2,20),</v>
      </c>
    </row>
    <row r="23" spans="1:3" ht="20.149999999999999" customHeight="1" x14ac:dyDescent="0.35">
      <c r="A23" s="4">
        <v>5</v>
      </c>
      <c r="B23" s="4">
        <v>21</v>
      </c>
      <c r="C23" s="16" t="str">
        <f t="shared" ref="C23:C86" si="2">CONCATENATE("(",A23,",",B23,"),")</f>
        <v>(5,21),</v>
      </c>
    </row>
    <row r="24" spans="1:3" ht="20.149999999999999" customHeight="1" x14ac:dyDescent="0.35">
      <c r="A24" s="4">
        <v>5</v>
      </c>
      <c r="B24" s="4">
        <v>22</v>
      </c>
      <c r="C24" s="16" t="str">
        <f t="shared" si="2"/>
        <v>(5,22),</v>
      </c>
    </row>
    <row r="25" spans="1:3" ht="20.149999999999999" customHeight="1" x14ac:dyDescent="0.35">
      <c r="A25" s="4">
        <v>5</v>
      </c>
      <c r="B25" s="4">
        <v>23</v>
      </c>
      <c r="C25" s="16" t="str">
        <f t="shared" si="2"/>
        <v>(5,23),</v>
      </c>
    </row>
    <row r="26" spans="1:3" ht="20.149999999999999" customHeight="1" x14ac:dyDescent="0.35">
      <c r="A26" s="4">
        <v>5</v>
      </c>
      <c r="B26" s="4">
        <v>24</v>
      </c>
      <c r="C26" s="16" t="str">
        <f t="shared" si="2"/>
        <v>(5,24),</v>
      </c>
    </row>
    <row r="27" spans="1:3" ht="20.149999999999999" customHeight="1" x14ac:dyDescent="0.35">
      <c r="A27" s="4">
        <v>5</v>
      </c>
      <c r="B27" s="4">
        <v>25</v>
      </c>
      <c r="C27" s="16" t="str">
        <f t="shared" si="2"/>
        <v>(5,25),</v>
      </c>
    </row>
    <row r="28" spans="1:3" ht="20.149999999999999" customHeight="1" x14ac:dyDescent="0.35">
      <c r="A28" s="4">
        <v>5</v>
      </c>
      <c r="B28" s="4">
        <v>26</v>
      </c>
      <c r="C28" s="16" t="str">
        <f t="shared" si="2"/>
        <v>(5,26),</v>
      </c>
    </row>
    <row r="29" spans="1:3" ht="20.149999999999999" customHeight="1" x14ac:dyDescent="0.35">
      <c r="A29" s="4">
        <v>5</v>
      </c>
      <c r="B29" s="4">
        <v>27</v>
      </c>
      <c r="C29" s="16" t="str">
        <f t="shared" si="2"/>
        <v>(5,27),</v>
      </c>
    </row>
    <row r="30" spans="1:3" ht="20.149999999999999" customHeight="1" x14ac:dyDescent="0.35">
      <c r="A30" s="4">
        <v>5</v>
      </c>
      <c r="B30" s="4">
        <v>28</v>
      </c>
      <c r="C30" s="16" t="str">
        <f t="shared" si="2"/>
        <v>(5,28),</v>
      </c>
    </row>
    <row r="31" spans="1:3" ht="20.149999999999999" customHeight="1" x14ac:dyDescent="0.35">
      <c r="A31" s="4">
        <v>5</v>
      </c>
      <c r="B31" s="4">
        <v>29</v>
      </c>
      <c r="C31" s="16" t="str">
        <f t="shared" si="2"/>
        <v>(5,29),</v>
      </c>
    </row>
    <row r="32" spans="1:3" ht="20.149999999999999" customHeight="1" x14ac:dyDescent="0.35">
      <c r="A32" s="4">
        <v>5</v>
      </c>
      <c r="B32" s="4">
        <v>30</v>
      </c>
      <c r="C32" s="16" t="str">
        <f t="shared" si="2"/>
        <v>(5,30),</v>
      </c>
    </row>
    <row r="33" spans="1:3" ht="20.149999999999999" customHeight="1" x14ac:dyDescent="0.35">
      <c r="A33" s="4">
        <v>5</v>
      </c>
      <c r="B33" s="4">
        <v>31</v>
      </c>
      <c r="C33" s="16" t="str">
        <f t="shared" si="2"/>
        <v>(5,31),</v>
      </c>
    </row>
    <row r="34" spans="1:3" ht="20.149999999999999" customHeight="1" x14ac:dyDescent="0.35">
      <c r="A34" s="4">
        <v>5</v>
      </c>
      <c r="B34" s="4">
        <v>32</v>
      </c>
      <c r="C34" s="16" t="str">
        <f t="shared" si="2"/>
        <v>(5,32),</v>
      </c>
    </row>
    <row r="35" spans="1:3" ht="20.149999999999999" customHeight="1" x14ac:dyDescent="0.35">
      <c r="A35" s="4">
        <v>5</v>
      </c>
      <c r="B35" s="4">
        <v>33</v>
      </c>
      <c r="C35" s="16" t="str">
        <f t="shared" si="2"/>
        <v>(5,33),</v>
      </c>
    </row>
    <row r="36" spans="1:3" ht="20.149999999999999" customHeight="1" x14ac:dyDescent="0.35">
      <c r="A36" s="4">
        <v>5</v>
      </c>
      <c r="B36" s="4">
        <v>34</v>
      </c>
      <c r="C36" s="16" t="str">
        <f t="shared" si="2"/>
        <v>(5,34),</v>
      </c>
    </row>
    <row r="37" spans="1:3" ht="20.149999999999999" customHeight="1" x14ac:dyDescent="0.35">
      <c r="A37" s="4">
        <v>5</v>
      </c>
      <c r="B37" s="4">
        <v>35</v>
      </c>
      <c r="C37" s="16" t="str">
        <f t="shared" si="2"/>
        <v>(5,35),</v>
      </c>
    </row>
    <row r="38" spans="1:3" ht="20.149999999999999" customHeight="1" x14ac:dyDescent="0.35">
      <c r="A38" s="4">
        <v>5</v>
      </c>
      <c r="B38" s="4">
        <v>36</v>
      </c>
      <c r="C38" s="16" t="str">
        <f t="shared" si="2"/>
        <v>(5,36),</v>
      </c>
    </row>
    <row r="39" spans="1:3" ht="20.149999999999999" customHeight="1" x14ac:dyDescent="0.35">
      <c r="A39" s="4">
        <v>5</v>
      </c>
      <c r="B39" s="4">
        <v>37</v>
      </c>
      <c r="C39" s="16" t="str">
        <f t="shared" si="2"/>
        <v>(5,37),</v>
      </c>
    </row>
    <row r="40" spans="1:3" ht="20.149999999999999" customHeight="1" x14ac:dyDescent="0.35">
      <c r="A40" s="4">
        <v>5</v>
      </c>
      <c r="B40" s="4">
        <v>38</v>
      </c>
      <c r="C40" s="16" t="str">
        <f t="shared" si="2"/>
        <v>(5,38),</v>
      </c>
    </row>
    <row r="41" spans="1:3" ht="20.149999999999999" customHeight="1" x14ac:dyDescent="0.35">
      <c r="A41" s="4">
        <v>5</v>
      </c>
      <c r="B41" s="4">
        <v>39</v>
      </c>
      <c r="C41" s="16" t="str">
        <f t="shared" si="2"/>
        <v>(5,39),</v>
      </c>
    </row>
    <row r="42" spans="1:3" ht="20.149999999999999" customHeight="1" x14ac:dyDescent="0.35">
      <c r="A42" s="4">
        <v>5</v>
      </c>
      <c r="B42" s="4">
        <v>40</v>
      </c>
      <c r="C42" s="16" t="str">
        <f t="shared" si="2"/>
        <v>(5,40),</v>
      </c>
    </row>
    <row r="43" spans="1:3" ht="20.149999999999999" customHeight="1" x14ac:dyDescent="0.35">
      <c r="A43" s="4">
        <v>5</v>
      </c>
      <c r="B43" s="4">
        <v>41</v>
      </c>
      <c r="C43" s="16" t="str">
        <f t="shared" si="2"/>
        <v>(5,41),</v>
      </c>
    </row>
    <row r="44" spans="1:3" ht="20.149999999999999" customHeight="1" x14ac:dyDescent="0.35">
      <c r="A44" s="4">
        <v>5</v>
      </c>
      <c r="B44" s="4">
        <v>42</v>
      </c>
      <c r="C44" s="16" t="str">
        <f t="shared" si="2"/>
        <v>(5,42),</v>
      </c>
    </row>
    <row r="45" spans="1:3" ht="20.149999999999999" customHeight="1" x14ac:dyDescent="0.35">
      <c r="A45" s="4">
        <v>5</v>
      </c>
      <c r="B45" s="4">
        <v>43</v>
      </c>
      <c r="C45" s="16" t="str">
        <f t="shared" si="2"/>
        <v>(5,43),</v>
      </c>
    </row>
    <row r="46" spans="1:3" ht="20.149999999999999" customHeight="1" x14ac:dyDescent="0.35">
      <c r="A46" s="4">
        <v>5</v>
      </c>
      <c r="B46" s="4">
        <v>44</v>
      </c>
      <c r="C46" s="16" t="str">
        <f t="shared" si="2"/>
        <v>(5,44),</v>
      </c>
    </row>
    <row r="47" spans="1:3" ht="20.149999999999999" customHeight="1" x14ac:dyDescent="0.35">
      <c r="A47" s="4">
        <v>8</v>
      </c>
      <c r="B47" s="4">
        <v>45</v>
      </c>
      <c r="C47" s="16" t="str">
        <f t="shared" si="2"/>
        <v>(8,45),</v>
      </c>
    </row>
    <row r="48" spans="1:3" ht="20.149999999999999" customHeight="1" x14ac:dyDescent="0.35">
      <c r="A48" s="4">
        <v>8</v>
      </c>
      <c r="B48" s="4">
        <v>46</v>
      </c>
      <c r="C48" s="16" t="str">
        <f t="shared" si="2"/>
        <v>(8,46),</v>
      </c>
    </row>
    <row r="49" spans="1:3" ht="20.149999999999999" customHeight="1" x14ac:dyDescent="0.35">
      <c r="A49" s="4">
        <v>8</v>
      </c>
      <c r="B49" s="4">
        <v>47</v>
      </c>
      <c r="C49" s="16" t="str">
        <f t="shared" si="2"/>
        <v>(8,47),</v>
      </c>
    </row>
    <row r="50" spans="1:3" ht="20.149999999999999" customHeight="1" x14ac:dyDescent="0.35">
      <c r="A50" s="4">
        <v>8</v>
      </c>
      <c r="B50" s="4">
        <v>48</v>
      </c>
      <c r="C50" s="16" t="str">
        <f t="shared" si="2"/>
        <v>(8,48),</v>
      </c>
    </row>
    <row r="51" spans="1:3" ht="20.149999999999999" customHeight="1" x14ac:dyDescent="0.35">
      <c r="A51" s="4">
        <v>8</v>
      </c>
      <c r="B51" s="4">
        <v>49</v>
      </c>
      <c r="C51" s="16" t="str">
        <f t="shared" si="2"/>
        <v>(8,49),</v>
      </c>
    </row>
    <row r="52" spans="1:3" ht="20.149999999999999" customHeight="1" x14ac:dyDescent="0.35">
      <c r="A52" s="4">
        <v>8</v>
      </c>
      <c r="B52" s="4">
        <v>50</v>
      </c>
      <c r="C52" s="16" t="str">
        <f t="shared" si="2"/>
        <v>(8,50),</v>
      </c>
    </row>
    <row r="53" spans="1:3" ht="20.149999999999999" customHeight="1" x14ac:dyDescent="0.35">
      <c r="A53" s="4">
        <v>8</v>
      </c>
      <c r="B53" s="4">
        <v>51</v>
      </c>
      <c r="C53" s="16" t="str">
        <f t="shared" si="2"/>
        <v>(8,51),</v>
      </c>
    </row>
    <row r="54" spans="1:3" ht="20.149999999999999" customHeight="1" x14ac:dyDescent="0.35">
      <c r="A54" s="4">
        <v>8</v>
      </c>
      <c r="B54" s="4">
        <v>52</v>
      </c>
      <c r="C54" s="16" t="str">
        <f t="shared" si="2"/>
        <v>(8,52),</v>
      </c>
    </row>
    <row r="55" spans="1:3" ht="20.149999999999999" customHeight="1" x14ac:dyDescent="0.35">
      <c r="A55" s="4">
        <v>8</v>
      </c>
      <c r="B55" s="4">
        <v>53</v>
      </c>
      <c r="C55" s="16" t="str">
        <f t="shared" si="2"/>
        <v>(8,53),</v>
      </c>
    </row>
    <row r="56" spans="1:3" ht="20.149999999999999" customHeight="1" x14ac:dyDescent="0.35">
      <c r="A56" s="4">
        <v>8</v>
      </c>
      <c r="B56" s="4">
        <v>54</v>
      </c>
      <c r="C56" s="16" t="str">
        <f t="shared" si="2"/>
        <v>(8,54),</v>
      </c>
    </row>
    <row r="57" spans="1:3" ht="20.149999999999999" customHeight="1" x14ac:dyDescent="0.35">
      <c r="A57" s="4">
        <v>8</v>
      </c>
      <c r="B57" s="4">
        <v>55</v>
      </c>
      <c r="C57" s="16" t="str">
        <f t="shared" si="2"/>
        <v>(8,55),</v>
      </c>
    </row>
    <row r="58" spans="1:3" ht="20.149999999999999" customHeight="1" x14ac:dyDescent="0.35">
      <c r="A58" s="4">
        <v>8</v>
      </c>
      <c r="B58" s="4">
        <v>56</v>
      </c>
      <c r="C58" s="16" t="str">
        <f t="shared" si="2"/>
        <v>(8,56),</v>
      </c>
    </row>
    <row r="59" spans="1:3" ht="20.149999999999999" customHeight="1" x14ac:dyDescent="0.35">
      <c r="A59" s="4">
        <v>8</v>
      </c>
      <c r="B59" s="4">
        <v>57</v>
      </c>
      <c r="C59" s="16" t="str">
        <f t="shared" si="2"/>
        <v>(8,57),</v>
      </c>
    </row>
    <row r="60" spans="1:3" ht="20.149999999999999" customHeight="1" x14ac:dyDescent="0.35">
      <c r="A60" s="4">
        <v>8</v>
      </c>
      <c r="B60" s="4">
        <v>58</v>
      </c>
      <c r="C60" s="16" t="str">
        <f t="shared" si="2"/>
        <v>(8,58),</v>
      </c>
    </row>
    <row r="61" spans="1:3" ht="20.149999999999999" customHeight="1" x14ac:dyDescent="0.35">
      <c r="A61" s="4">
        <v>8</v>
      </c>
      <c r="B61" s="4">
        <v>59</v>
      </c>
      <c r="C61" s="16" t="str">
        <f t="shared" si="2"/>
        <v>(8,59),</v>
      </c>
    </row>
    <row r="62" spans="1:3" ht="20.149999999999999" customHeight="1" x14ac:dyDescent="0.35">
      <c r="A62" s="4">
        <v>1</v>
      </c>
      <c r="B62" s="4">
        <v>101</v>
      </c>
      <c r="C62" s="16" t="str">
        <f t="shared" si="2"/>
        <v>(1,101),</v>
      </c>
    </row>
    <row r="63" spans="1:3" ht="20.149999999999999" customHeight="1" x14ac:dyDescent="0.35">
      <c r="A63" s="4">
        <v>1</v>
      </c>
      <c r="B63" s="4">
        <v>102</v>
      </c>
      <c r="C63" s="16" t="str">
        <f t="shared" si="2"/>
        <v>(1,102),</v>
      </c>
    </row>
    <row r="64" spans="1:3" ht="20.149999999999999" customHeight="1" x14ac:dyDescent="0.35">
      <c r="A64" s="4">
        <v>1</v>
      </c>
      <c r="B64" s="4">
        <v>103</v>
      </c>
      <c r="C64" s="16" t="str">
        <f t="shared" si="2"/>
        <v>(1,103),</v>
      </c>
    </row>
    <row r="65" spans="1:3" ht="20.149999999999999" customHeight="1" x14ac:dyDescent="0.35">
      <c r="A65" s="4">
        <v>1</v>
      </c>
      <c r="B65" s="4">
        <v>104</v>
      </c>
      <c r="C65" s="16" t="str">
        <f t="shared" si="2"/>
        <v>(1,104),</v>
      </c>
    </row>
    <row r="66" spans="1:3" ht="20.149999999999999" customHeight="1" x14ac:dyDescent="0.35">
      <c r="A66" s="4">
        <v>1</v>
      </c>
      <c r="B66" s="4">
        <v>105</v>
      </c>
      <c r="C66" s="16" t="str">
        <f t="shared" si="2"/>
        <v>(1,105),</v>
      </c>
    </row>
    <row r="67" spans="1:3" ht="20.149999999999999" customHeight="1" x14ac:dyDescent="0.35">
      <c r="A67" s="4">
        <v>1</v>
      </c>
      <c r="B67" s="4">
        <v>106</v>
      </c>
      <c r="C67" s="16" t="str">
        <f t="shared" si="2"/>
        <v>(1,106),</v>
      </c>
    </row>
    <row r="68" spans="1:3" ht="20.149999999999999" customHeight="1" x14ac:dyDescent="0.35">
      <c r="A68" s="4">
        <v>1</v>
      </c>
      <c r="B68" s="4">
        <v>107</v>
      </c>
      <c r="C68" s="16" t="str">
        <f t="shared" si="2"/>
        <v>(1,107),</v>
      </c>
    </row>
    <row r="69" spans="1:3" ht="20.149999999999999" customHeight="1" x14ac:dyDescent="0.35">
      <c r="A69" s="4">
        <v>1</v>
      </c>
      <c r="B69" s="4">
        <v>108</v>
      </c>
      <c r="C69" s="16" t="str">
        <f t="shared" si="2"/>
        <v>(1,108),</v>
      </c>
    </row>
    <row r="70" spans="1:3" ht="20.149999999999999" customHeight="1" x14ac:dyDescent="0.35">
      <c r="A70" s="4">
        <v>7</v>
      </c>
      <c r="B70" s="4">
        <v>109</v>
      </c>
      <c r="C70" s="16" t="str">
        <f t="shared" si="2"/>
        <v>(7,109),</v>
      </c>
    </row>
    <row r="71" spans="1:3" ht="20.149999999999999" customHeight="1" x14ac:dyDescent="0.35">
      <c r="A71" s="4">
        <v>7</v>
      </c>
      <c r="B71" s="4">
        <v>110</v>
      </c>
      <c r="C71" s="16" t="str">
        <f t="shared" si="2"/>
        <v>(7,110),</v>
      </c>
    </row>
    <row r="72" spans="1:3" ht="20.149999999999999" customHeight="1" x14ac:dyDescent="0.35">
      <c r="A72" s="4">
        <v>7</v>
      </c>
      <c r="B72" s="4">
        <v>111</v>
      </c>
      <c r="C72" s="16" t="str">
        <f t="shared" si="2"/>
        <v>(7,111),</v>
      </c>
    </row>
    <row r="73" spans="1:3" ht="20.149999999999999" customHeight="1" x14ac:dyDescent="0.35">
      <c r="A73" s="4">
        <v>7</v>
      </c>
      <c r="B73" s="4">
        <v>112</v>
      </c>
      <c r="C73" s="16" t="str">
        <f t="shared" si="2"/>
        <v>(7,112),</v>
      </c>
    </row>
    <row r="74" spans="1:3" ht="20.149999999999999" customHeight="1" x14ac:dyDescent="0.35">
      <c r="A74" s="4">
        <v>7</v>
      </c>
      <c r="B74" s="4">
        <v>113</v>
      </c>
      <c r="C74" s="16" t="str">
        <f t="shared" si="2"/>
        <v>(7,113),</v>
      </c>
    </row>
    <row r="75" spans="1:3" ht="20.149999999999999" customHeight="1" x14ac:dyDescent="0.35">
      <c r="A75" s="4">
        <v>7</v>
      </c>
      <c r="B75" s="4">
        <v>114</v>
      </c>
      <c r="C75" s="16" t="str">
        <f t="shared" si="2"/>
        <v>(7,114),</v>
      </c>
    </row>
    <row r="76" spans="1:3" ht="20.149999999999999" customHeight="1" x14ac:dyDescent="0.35">
      <c r="A76" s="4">
        <v>7</v>
      </c>
      <c r="B76" s="4">
        <v>115</v>
      </c>
      <c r="C76" s="16" t="str">
        <f t="shared" si="2"/>
        <v>(7,115),</v>
      </c>
    </row>
    <row r="77" spans="1:3" ht="20.149999999999999" customHeight="1" x14ac:dyDescent="0.35">
      <c r="A77" s="4">
        <v>7</v>
      </c>
      <c r="B77" s="4">
        <v>116</v>
      </c>
      <c r="C77" s="16" t="str">
        <f t="shared" si="2"/>
        <v>(7,116),</v>
      </c>
    </row>
    <row r="78" spans="1:3" ht="20.149999999999999" customHeight="1" x14ac:dyDescent="0.35">
      <c r="A78" s="4">
        <v>7</v>
      </c>
      <c r="B78" s="4">
        <v>117</v>
      </c>
      <c r="C78" s="16" t="str">
        <f t="shared" si="2"/>
        <v>(7,117),</v>
      </c>
    </row>
    <row r="79" spans="1:3" ht="20.149999999999999" customHeight="1" x14ac:dyDescent="0.35">
      <c r="A79" s="4">
        <v>7</v>
      </c>
      <c r="B79" s="4">
        <v>118</v>
      </c>
      <c r="C79" s="16" t="str">
        <f t="shared" si="2"/>
        <v>(7,118),</v>
      </c>
    </row>
    <row r="80" spans="1:3" ht="20.149999999999999" customHeight="1" x14ac:dyDescent="0.35">
      <c r="A80" s="4">
        <v>7</v>
      </c>
      <c r="B80" s="4">
        <v>119</v>
      </c>
      <c r="C80" s="16" t="str">
        <f t="shared" si="2"/>
        <v>(7,119),</v>
      </c>
    </row>
    <row r="81" spans="1:3" ht="20.149999999999999" customHeight="1" x14ac:dyDescent="0.35">
      <c r="A81" s="4">
        <v>7</v>
      </c>
      <c r="B81" s="4">
        <v>120</v>
      </c>
      <c r="C81" s="16" t="str">
        <f t="shared" si="2"/>
        <v>(7,120),</v>
      </c>
    </row>
    <row r="82" spans="1:3" ht="20.149999999999999" customHeight="1" x14ac:dyDescent="0.35">
      <c r="A82" s="4">
        <v>4</v>
      </c>
      <c r="B82" s="4">
        <v>121</v>
      </c>
      <c r="C82" s="16" t="str">
        <f t="shared" si="2"/>
        <v>(4,121),</v>
      </c>
    </row>
    <row r="83" spans="1:3" ht="20.149999999999999" customHeight="1" x14ac:dyDescent="0.35">
      <c r="A83" s="4">
        <v>4</v>
      </c>
      <c r="B83" s="4">
        <v>122</v>
      </c>
      <c r="C83" s="16" t="str">
        <f t="shared" si="2"/>
        <v>(4,122),</v>
      </c>
    </row>
    <row r="84" spans="1:3" ht="20.149999999999999" customHeight="1" x14ac:dyDescent="0.35">
      <c r="A84" s="4">
        <v>4</v>
      </c>
      <c r="B84" s="4">
        <v>123</v>
      </c>
      <c r="C84" s="16" t="str">
        <f t="shared" si="2"/>
        <v>(4,123),</v>
      </c>
    </row>
    <row r="85" spans="1:3" ht="20.149999999999999" customHeight="1" x14ac:dyDescent="0.35">
      <c r="A85" s="4">
        <v>4</v>
      </c>
      <c r="B85" s="4">
        <v>124</v>
      </c>
      <c r="C85" s="16" t="str">
        <f t="shared" si="2"/>
        <v>(4,124),</v>
      </c>
    </row>
    <row r="86" spans="1:3" ht="20.149999999999999" customHeight="1" x14ac:dyDescent="0.35">
      <c r="A86" s="4">
        <v>4</v>
      </c>
      <c r="B86" s="4">
        <v>125</v>
      </c>
      <c r="C86" s="16" t="str">
        <f t="shared" si="2"/>
        <v>(4,125),</v>
      </c>
    </row>
    <row r="87" spans="1:3" ht="20.149999999999999" customHeight="1" x14ac:dyDescent="0.35">
      <c r="A87" s="4">
        <v>4</v>
      </c>
      <c r="B87" s="4">
        <v>126</v>
      </c>
      <c r="C87" s="16" t="str">
        <f t="shared" ref="C87:C150" si="3">CONCATENATE("(",A87,",",B87,"),")</f>
        <v>(4,126),</v>
      </c>
    </row>
    <row r="88" spans="1:3" ht="20.149999999999999" customHeight="1" x14ac:dyDescent="0.35">
      <c r="A88" s="4">
        <v>4</v>
      </c>
      <c r="B88" s="4">
        <v>127</v>
      </c>
      <c r="C88" s="16" t="str">
        <f t="shared" si="3"/>
        <v>(4,127),</v>
      </c>
    </row>
    <row r="89" spans="1:3" ht="20.149999999999999" customHeight="1" x14ac:dyDescent="0.35">
      <c r="A89" s="4">
        <v>4</v>
      </c>
      <c r="B89" s="4">
        <v>128</v>
      </c>
      <c r="C89" s="16" t="str">
        <f t="shared" si="3"/>
        <v>(4,128),</v>
      </c>
    </row>
    <row r="90" spans="1:3" ht="20.149999999999999" customHeight="1" x14ac:dyDescent="0.35">
      <c r="A90" s="4">
        <v>4</v>
      </c>
      <c r="B90" s="4">
        <v>129</v>
      </c>
      <c r="C90" s="16" t="str">
        <f t="shared" si="3"/>
        <v>(4,129),</v>
      </c>
    </row>
    <row r="91" spans="1:3" ht="20.149999999999999" customHeight="1" x14ac:dyDescent="0.35">
      <c r="A91" s="4">
        <v>4</v>
      </c>
      <c r="B91" s="4">
        <v>130</v>
      </c>
      <c r="C91" s="16" t="str">
        <f t="shared" si="3"/>
        <v>(4,130),</v>
      </c>
    </row>
    <row r="92" spans="1:3" ht="20.149999999999999" customHeight="1" x14ac:dyDescent="0.35">
      <c r="A92" s="4">
        <v>4</v>
      </c>
      <c r="B92" s="4">
        <v>131</v>
      </c>
      <c r="C92" s="16" t="str">
        <f t="shared" si="3"/>
        <v>(4,131),</v>
      </c>
    </row>
    <row r="93" spans="1:3" ht="20.149999999999999" customHeight="1" x14ac:dyDescent="0.35">
      <c r="A93" s="4">
        <v>4</v>
      </c>
      <c r="B93" s="4">
        <v>132</v>
      </c>
      <c r="C93" s="16" t="str">
        <f t="shared" si="3"/>
        <v>(4,132),</v>
      </c>
    </row>
    <row r="94" spans="1:3" ht="20.149999999999999" customHeight="1" x14ac:dyDescent="0.35">
      <c r="A94" s="4">
        <v>4</v>
      </c>
      <c r="B94" s="4">
        <v>133</v>
      </c>
      <c r="C94" s="16" t="str">
        <f t="shared" si="3"/>
        <v>(4,133),</v>
      </c>
    </row>
    <row r="95" spans="1:3" ht="20.149999999999999" customHeight="1" x14ac:dyDescent="0.35">
      <c r="A95" s="4">
        <v>4</v>
      </c>
      <c r="B95" s="4">
        <v>134</v>
      </c>
      <c r="C95" s="16" t="str">
        <f t="shared" si="3"/>
        <v>(4,134),</v>
      </c>
    </row>
    <row r="96" spans="1:3" ht="20.149999999999999" customHeight="1" x14ac:dyDescent="0.35">
      <c r="A96" s="4">
        <v>4</v>
      </c>
      <c r="B96" s="4">
        <v>135</v>
      </c>
      <c r="C96" s="16" t="str">
        <f t="shared" si="3"/>
        <v>(4,135),</v>
      </c>
    </row>
    <row r="97" spans="1:3" ht="20.149999999999999" customHeight="1" x14ac:dyDescent="0.35">
      <c r="A97" s="4">
        <v>4</v>
      </c>
      <c r="B97" s="4">
        <v>136</v>
      </c>
      <c r="C97" s="16" t="str">
        <f t="shared" si="3"/>
        <v>(4,136),</v>
      </c>
    </row>
    <row r="98" spans="1:3" ht="20.149999999999999" customHeight="1" x14ac:dyDescent="0.35">
      <c r="A98" s="4">
        <v>4</v>
      </c>
      <c r="B98" s="4">
        <v>137</v>
      </c>
      <c r="C98" s="16" t="str">
        <f t="shared" si="3"/>
        <v>(4,137),</v>
      </c>
    </row>
    <row r="99" spans="1:3" ht="20.149999999999999" customHeight="1" x14ac:dyDescent="0.35">
      <c r="A99" s="4">
        <v>4</v>
      </c>
      <c r="B99" s="4">
        <v>138</v>
      </c>
      <c r="C99" s="16" t="str">
        <f t="shared" si="3"/>
        <v>(4,138),</v>
      </c>
    </row>
    <row r="100" spans="1:3" ht="20.149999999999999" customHeight="1" x14ac:dyDescent="0.35">
      <c r="A100" s="4">
        <v>4</v>
      </c>
      <c r="B100" s="4">
        <v>139</v>
      </c>
      <c r="C100" s="16" t="str">
        <f t="shared" si="3"/>
        <v>(4,139),</v>
      </c>
    </row>
    <row r="101" spans="1:3" ht="20.149999999999999" customHeight="1" x14ac:dyDescent="0.35">
      <c r="A101" s="4">
        <v>4</v>
      </c>
      <c r="B101" s="4">
        <v>140</v>
      </c>
      <c r="C101" s="16" t="str">
        <f t="shared" si="3"/>
        <v>(4,140),</v>
      </c>
    </row>
    <row r="102" spans="1:3" ht="20.149999999999999" customHeight="1" x14ac:dyDescent="0.35">
      <c r="A102" s="4">
        <v>4</v>
      </c>
      <c r="B102" s="4">
        <v>141</v>
      </c>
      <c r="C102" s="16" t="str">
        <f t="shared" si="3"/>
        <v>(4,141),</v>
      </c>
    </row>
    <row r="103" spans="1:3" ht="20.149999999999999" customHeight="1" x14ac:dyDescent="0.35">
      <c r="A103" s="4">
        <v>4</v>
      </c>
      <c r="B103" s="4">
        <v>142</v>
      </c>
      <c r="C103" s="16" t="str">
        <f t="shared" si="3"/>
        <v>(4,142),</v>
      </c>
    </row>
    <row r="104" spans="1:3" ht="20.149999999999999" customHeight="1" x14ac:dyDescent="0.35">
      <c r="A104" s="4">
        <v>4</v>
      </c>
      <c r="B104" s="4">
        <v>143</v>
      </c>
      <c r="C104" s="16" t="str">
        <f t="shared" si="3"/>
        <v>(4,143),</v>
      </c>
    </row>
    <row r="105" spans="1:3" ht="20.149999999999999" customHeight="1" x14ac:dyDescent="0.35">
      <c r="A105" s="4">
        <v>4</v>
      </c>
      <c r="B105" s="4">
        <v>144</v>
      </c>
      <c r="C105" s="16" t="str">
        <f t="shared" si="3"/>
        <v>(4,144),</v>
      </c>
    </row>
    <row r="106" spans="1:3" ht="20.149999999999999" customHeight="1" x14ac:dyDescent="0.35">
      <c r="A106" s="4">
        <v>11</v>
      </c>
      <c r="B106" s="4">
        <v>145</v>
      </c>
      <c r="C106" s="16" t="str">
        <f t="shared" si="3"/>
        <v>(11,145),</v>
      </c>
    </row>
    <row r="107" spans="1:3" ht="20.149999999999999" customHeight="1" x14ac:dyDescent="0.35">
      <c r="A107" s="4">
        <v>11</v>
      </c>
      <c r="B107" s="4">
        <v>146</v>
      </c>
      <c r="C107" s="16" t="str">
        <f t="shared" si="3"/>
        <v>(11,146),</v>
      </c>
    </row>
    <row r="108" spans="1:3" ht="20.149999999999999" customHeight="1" x14ac:dyDescent="0.35">
      <c r="A108" s="4">
        <v>11</v>
      </c>
      <c r="B108" s="4">
        <v>147</v>
      </c>
      <c r="C108" s="16" t="str">
        <f t="shared" si="3"/>
        <v>(11,147),</v>
      </c>
    </row>
    <row r="109" spans="1:3" ht="20.149999999999999" customHeight="1" x14ac:dyDescent="0.35">
      <c r="A109" s="4">
        <v>11</v>
      </c>
      <c r="B109" s="4">
        <v>148</v>
      </c>
      <c r="C109" s="16" t="str">
        <f t="shared" si="3"/>
        <v>(11,148),</v>
      </c>
    </row>
    <row r="110" spans="1:3" ht="20.149999999999999" customHeight="1" x14ac:dyDescent="0.35">
      <c r="A110" s="4">
        <v>11</v>
      </c>
      <c r="B110" s="4">
        <v>149</v>
      </c>
      <c r="C110" s="16" t="str">
        <f t="shared" si="3"/>
        <v>(11,149),</v>
      </c>
    </row>
    <row r="111" spans="1:3" ht="20.149999999999999" customHeight="1" x14ac:dyDescent="0.35">
      <c r="A111" s="4">
        <v>11</v>
      </c>
      <c r="B111" s="4">
        <v>150</v>
      </c>
      <c r="C111" s="16" t="str">
        <f t="shared" si="3"/>
        <v>(11,150),</v>
      </c>
    </row>
    <row r="112" spans="1:3" ht="20.149999999999999" customHeight="1" x14ac:dyDescent="0.35">
      <c r="A112" s="4">
        <v>11</v>
      </c>
      <c r="B112" s="4">
        <v>151</v>
      </c>
      <c r="C112" s="16" t="str">
        <f t="shared" si="3"/>
        <v>(11,151),</v>
      </c>
    </row>
    <row r="113" spans="1:3" ht="20.149999999999999" customHeight="1" x14ac:dyDescent="0.35">
      <c r="A113" s="4">
        <v>11</v>
      </c>
      <c r="B113" s="4">
        <v>152</v>
      </c>
      <c r="C113" s="16" t="str">
        <f t="shared" si="3"/>
        <v>(11,152),</v>
      </c>
    </row>
    <row r="114" spans="1:3" ht="20.149999999999999" customHeight="1" x14ac:dyDescent="0.35">
      <c r="A114" s="4">
        <v>11</v>
      </c>
      <c r="B114" s="4">
        <v>153</v>
      </c>
      <c r="C114" s="16" t="str">
        <f t="shared" si="3"/>
        <v>(11,153),</v>
      </c>
    </row>
    <row r="115" spans="1:3" ht="20.149999999999999" customHeight="1" x14ac:dyDescent="0.35">
      <c r="A115" s="4">
        <v>11</v>
      </c>
      <c r="B115" s="4">
        <v>154</v>
      </c>
      <c r="C115" s="16" t="str">
        <f t="shared" si="3"/>
        <v>(11,154),</v>
      </c>
    </row>
    <row r="116" spans="1:3" ht="20.149999999999999" customHeight="1" x14ac:dyDescent="0.35">
      <c r="A116" s="4">
        <v>11</v>
      </c>
      <c r="B116" s="4">
        <v>155</v>
      </c>
      <c r="C116" s="16" t="str">
        <f t="shared" si="3"/>
        <v>(11,155),</v>
      </c>
    </row>
    <row r="117" spans="1:3" ht="20.149999999999999" customHeight="1" x14ac:dyDescent="0.35">
      <c r="A117" s="4">
        <v>11</v>
      </c>
      <c r="B117" s="4">
        <v>156</v>
      </c>
      <c r="C117" s="16" t="str">
        <f t="shared" si="3"/>
        <v>(11,156),</v>
      </c>
    </row>
    <row r="118" spans="1:3" ht="20.149999999999999" customHeight="1" x14ac:dyDescent="0.35">
      <c r="A118" s="4">
        <v>11</v>
      </c>
      <c r="B118" s="4">
        <v>157</v>
      </c>
      <c r="C118" s="16" t="str">
        <f t="shared" si="3"/>
        <v>(11,157),</v>
      </c>
    </row>
    <row r="119" spans="1:3" ht="20.149999999999999" customHeight="1" x14ac:dyDescent="0.35">
      <c r="A119" s="4">
        <v>11</v>
      </c>
      <c r="B119" s="4">
        <v>158</v>
      </c>
      <c r="C119" s="16" t="str">
        <f t="shared" si="3"/>
        <v>(11,158),</v>
      </c>
    </row>
    <row r="120" spans="1:3" ht="20.149999999999999" customHeight="1" x14ac:dyDescent="0.35">
      <c r="A120" s="4">
        <v>11</v>
      </c>
      <c r="B120" s="4">
        <v>159</v>
      </c>
      <c r="C120" s="16" t="str">
        <f t="shared" si="3"/>
        <v>(11,159),</v>
      </c>
    </row>
    <row r="121" spans="1:3" ht="20.149999999999999" customHeight="1" x14ac:dyDescent="0.35">
      <c r="A121" s="4">
        <v>1</v>
      </c>
      <c r="B121" s="4">
        <v>201</v>
      </c>
      <c r="C121" s="16" t="str">
        <f t="shared" si="3"/>
        <v>(1,201),</v>
      </c>
    </row>
    <row r="122" spans="1:3" ht="20.149999999999999" customHeight="1" x14ac:dyDescent="0.35">
      <c r="A122" s="4">
        <v>1</v>
      </c>
      <c r="B122" s="4">
        <v>202</v>
      </c>
      <c r="C122" s="16" t="str">
        <f t="shared" si="3"/>
        <v>(1,202),</v>
      </c>
    </row>
    <row r="123" spans="1:3" ht="20.149999999999999" customHeight="1" x14ac:dyDescent="0.35">
      <c r="A123" s="4">
        <v>1</v>
      </c>
      <c r="B123" s="4">
        <v>203</v>
      </c>
      <c r="C123" s="16" t="str">
        <f t="shared" si="3"/>
        <v>(1,203),</v>
      </c>
    </row>
    <row r="124" spans="1:3" ht="20.149999999999999" customHeight="1" x14ac:dyDescent="0.35">
      <c r="A124" s="4">
        <v>1</v>
      </c>
      <c r="B124" s="4">
        <v>204</v>
      </c>
      <c r="C124" s="16" t="str">
        <f t="shared" si="3"/>
        <v>(1,204),</v>
      </c>
    </row>
    <row r="125" spans="1:3" ht="20.149999999999999" customHeight="1" x14ac:dyDescent="0.35">
      <c r="A125" s="4">
        <v>1</v>
      </c>
      <c r="B125" s="4">
        <v>205</v>
      </c>
      <c r="C125" s="16" t="str">
        <f t="shared" si="3"/>
        <v>(1,205),</v>
      </c>
    </row>
    <row r="126" spans="1:3" ht="20.149999999999999" customHeight="1" x14ac:dyDescent="0.35">
      <c r="A126" s="4">
        <v>1</v>
      </c>
      <c r="B126" s="4">
        <v>206</v>
      </c>
      <c r="C126" s="16" t="str">
        <f t="shared" si="3"/>
        <v>(1,206),</v>
      </c>
    </row>
    <row r="127" spans="1:3" ht="20.149999999999999" customHeight="1" x14ac:dyDescent="0.35">
      <c r="A127" s="4">
        <v>1</v>
      </c>
      <c r="B127" s="4">
        <v>207</v>
      </c>
      <c r="C127" s="16" t="str">
        <f t="shared" si="3"/>
        <v>(1,207),</v>
      </c>
    </row>
    <row r="128" spans="1:3" ht="20.149999999999999" customHeight="1" x14ac:dyDescent="0.35">
      <c r="A128" s="4">
        <v>1</v>
      </c>
      <c r="B128" s="4">
        <v>208</v>
      </c>
      <c r="C128" s="16" t="str">
        <f t="shared" si="3"/>
        <v>(1,208),</v>
      </c>
    </row>
    <row r="129" spans="1:3" ht="20.149999999999999" customHeight="1" x14ac:dyDescent="0.35">
      <c r="A129" s="4">
        <v>6</v>
      </c>
      <c r="B129" s="4">
        <v>209</v>
      </c>
      <c r="C129" s="16" t="str">
        <f t="shared" si="3"/>
        <v>(6,209),</v>
      </c>
    </row>
    <row r="130" spans="1:3" ht="20.149999999999999" customHeight="1" x14ac:dyDescent="0.35">
      <c r="A130" s="4">
        <v>6</v>
      </c>
      <c r="B130" s="4">
        <v>210</v>
      </c>
      <c r="C130" s="16" t="str">
        <f t="shared" si="3"/>
        <v>(6,210),</v>
      </c>
    </row>
    <row r="131" spans="1:3" ht="20.149999999999999" customHeight="1" x14ac:dyDescent="0.35">
      <c r="A131" s="4">
        <v>6</v>
      </c>
      <c r="B131" s="4">
        <v>211</v>
      </c>
      <c r="C131" s="16" t="str">
        <f t="shared" si="3"/>
        <v>(6,211),</v>
      </c>
    </row>
    <row r="132" spans="1:3" ht="20.149999999999999" customHeight="1" x14ac:dyDescent="0.35">
      <c r="A132" s="4">
        <v>6</v>
      </c>
      <c r="B132" s="4">
        <v>212</v>
      </c>
      <c r="C132" s="16" t="str">
        <f t="shared" si="3"/>
        <v>(6,212),</v>
      </c>
    </row>
    <row r="133" spans="1:3" ht="20.149999999999999" customHeight="1" x14ac:dyDescent="0.35">
      <c r="A133" s="4">
        <v>6</v>
      </c>
      <c r="B133" s="4">
        <v>213</v>
      </c>
      <c r="C133" s="16" t="str">
        <f t="shared" si="3"/>
        <v>(6,213),</v>
      </c>
    </row>
    <row r="134" spans="1:3" ht="20.149999999999999" customHeight="1" x14ac:dyDescent="0.35">
      <c r="A134" s="4">
        <v>6</v>
      </c>
      <c r="B134" s="4">
        <v>214</v>
      </c>
      <c r="C134" s="16" t="str">
        <f t="shared" si="3"/>
        <v>(6,214),</v>
      </c>
    </row>
    <row r="135" spans="1:3" ht="20.149999999999999" customHeight="1" x14ac:dyDescent="0.35">
      <c r="A135" s="4">
        <v>6</v>
      </c>
      <c r="B135" s="4">
        <v>215</v>
      </c>
      <c r="C135" s="16" t="str">
        <f t="shared" si="3"/>
        <v>(6,215),</v>
      </c>
    </row>
    <row r="136" spans="1:3" ht="20.149999999999999" customHeight="1" x14ac:dyDescent="0.35">
      <c r="A136" s="4">
        <v>6</v>
      </c>
      <c r="B136" s="4">
        <v>216</v>
      </c>
      <c r="C136" s="16" t="str">
        <f t="shared" si="3"/>
        <v>(6,216),</v>
      </c>
    </row>
    <row r="137" spans="1:3" ht="20.149999999999999" customHeight="1" x14ac:dyDescent="0.35">
      <c r="A137" s="4">
        <v>6</v>
      </c>
      <c r="B137" s="4">
        <v>217</v>
      </c>
      <c r="C137" s="16" t="str">
        <f t="shared" si="3"/>
        <v>(6,217),</v>
      </c>
    </row>
    <row r="138" spans="1:3" ht="20.149999999999999" customHeight="1" x14ac:dyDescent="0.35">
      <c r="A138" s="4">
        <v>6</v>
      </c>
      <c r="B138" s="4">
        <v>218</v>
      </c>
      <c r="C138" s="16" t="str">
        <f t="shared" si="3"/>
        <v>(6,218),</v>
      </c>
    </row>
    <row r="139" spans="1:3" ht="20.149999999999999" customHeight="1" x14ac:dyDescent="0.35">
      <c r="A139" s="4">
        <v>6</v>
      </c>
      <c r="B139" s="4">
        <v>219</v>
      </c>
      <c r="C139" s="16" t="str">
        <f t="shared" si="3"/>
        <v>(6,219),</v>
      </c>
    </row>
    <row r="140" spans="1:3" ht="20.149999999999999" customHeight="1" x14ac:dyDescent="0.35">
      <c r="A140" s="4">
        <v>6</v>
      </c>
      <c r="B140" s="4">
        <v>220</v>
      </c>
      <c r="C140" s="16" t="str">
        <f t="shared" si="3"/>
        <v>(6,220),</v>
      </c>
    </row>
    <row r="141" spans="1:3" ht="20.149999999999999" customHeight="1" x14ac:dyDescent="0.35">
      <c r="A141" s="4">
        <v>3</v>
      </c>
      <c r="B141" s="4">
        <v>221</v>
      </c>
      <c r="C141" s="16" t="str">
        <f t="shared" si="3"/>
        <v>(3,221),</v>
      </c>
    </row>
    <row r="142" spans="1:3" ht="20.149999999999999" customHeight="1" x14ac:dyDescent="0.35">
      <c r="A142" s="4">
        <v>3</v>
      </c>
      <c r="B142" s="4">
        <v>222</v>
      </c>
      <c r="C142" s="16" t="str">
        <f t="shared" si="3"/>
        <v>(3,222),</v>
      </c>
    </row>
    <row r="143" spans="1:3" ht="20.149999999999999" customHeight="1" x14ac:dyDescent="0.35">
      <c r="A143" s="4">
        <v>3</v>
      </c>
      <c r="B143" s="4">
        <v>223</v>
      </c>
      <c r="C143" s="16" t="str">
        <f t="shared" si="3"/>
        <v>(3,223),</v>
      </c>
    </row>
    <row r="144" spans="1:3" ht="20.149999999999999" customHeight="1" x14ac:dyDescent="0.35">
      <c r="A144" s="4">
        <v>3</v>
      </c>
      <c r="B144" s="4">
        <v>224</v>
      </c>
      <c r="C144" s="16" t="str">
        <f t="shared" si="3"/>
        <v>(3,224),</v>
      </c>
    </row>
    <row r="145" spans="1:3" ht="20.149999999999999" customHeight="1" x14ac:dyDescent="0.35">
      <c r="A145" s="4">
        <v>3</v>
      </c>
      <c r="B145" s="4">
        <v>225</v>
      </c>
      <c r="C145" s="16" t="str">
        <f t="shared" si="3"/>
        <v>(3,225),</v>
      </c>
    </row>
    <row r="146" spans="1:3" ht="20.149999999999999" customHeight="1" x14ac:dyDescent="0.35">
      <c r="A146" s="4">
        <v>3</v>
      </c>
      <c r="B146" s="4">
        <v>226</v>
      </c>
      <c r="C146" s="16" t="str">
        <f t="shared" si="3"/>
        <v>(3,226),</v>
      </c>
    </row>
    <row r="147" spans="1:3" ht="20.149999999999999" customHeight="1" x14ac:dyDescent="0.35">
      <c r="A147" s="4">
        <v>3</v>
      </c>
      <c r="B147" s="4">
        <v>227</v>
      </c>
      <c r="C147" s="16" t="str">
        <f t="shared" si="3"/>
        <v>(3,227),</v>
      </c>
    </row>
    <row r="148" spans="1:3" ht="20.149999999999999" customHeight="1" x14ac:dyDescent="0.35">
      <c r="A148" s="4">
        <v>3</v>
      </c>
      <c r="B148" s="4">
        <v>228</v>
      </c>
      <c r="C148" s="16" t="str">
        <f t="shared" si="3"/>
        <v>(3,228),</v>
      </c>
    </row>
    <row r="149" spans="1:3" ht="20.149999999999999" customHeight="1" x14ac:dyDescent="0.35">
      <c r="A149" s="4">
        <v>3</v>
      </c>
      <c r="B149" s="4">
        <v>229</v>
      </c>
      <c r="C149" s="16" t="str">
        <f t="shared" si="3"/>
        <v>(3,229),</v>
      </c>
    </row>
    <row r="150" spans="1:3" ht="20.149999999999999" customHeight="1" x14ac:dyDescent="0.35">
      <c r="A150" s="4">
        <v>3</v>
      </c>
      <c r="B150" s="4">
        <v>230</v>
      </c>
      <c r="C150" s="16" t="str">
        <f t="shared" si="3"/>
        <v>(3,230),</v>
      </c>
    </row>
    <row r="151" spans="1:3" ht="20.149999999999999" customHeight="1" x14ac:dyDescent="0.35">
      <c r="A151" s="4">
        <v>3</v>
      </c>
      <c r="B151" s="4">
        <v>231</v>
      </c>
      <c r="C151" s="16" t="str">
        <f t="shared" ref="C151:C214" si="4">CONCATENATE("(",A151,",",B151,"),")</f>
        <v>(3,231),</v>
      </c>
    </row>
    <row r="152" spans="1:3" ht="20.149999999999999" customHeight="1" x14ac:dyDescent="0.35">
      <c r="A152" s="4">
        <v>3</v>
      </c>
      <c r="B152" s="4">
        <v>232</v>
      </c>
      <c r="C152" s="16" t="str">
        <f t="shared" si="4"/>
        <v>(3,232),</v>
      </c>
    </row>
    <row r="153" spans="1:3" ht="20.149999999999999" customHeight="1" x14ac:dyDescent="0.35">
      <c r="A153" s="4">
        <v>3</v>
      </c>
      <c r="B153" s="4">
        <v>233</v>
      </c>
      <c r="C153" s="16" t="str">
        <f t="shared" si="4"/>
        <v>(3,233),</v>
      </c>
    </row>
    <row r="154" spans="1:3" ht="20.149999999999999" customHeight="1" x14ac:dyDescent="0.35">
      <c r="A154" s="4">
        <v>3</v>
      </c>
      <c r="B154" s="4">
        <v>234</v>
      </c>
      <c r="C154" s="16" t="str">
        <f t="shared" si="4"/>
        <v>(3,234),</v>
      </c>
    </row>
    <row r="155" spans="1:3" ht="20.149999999999999" customHeight="1" x14ac:dyDescent="0.35">
      <c r="A155" s="4">
        <v>3</v>
      </c>
      <c r="B155" s="4">
        <v>235</v>
      </c>
      <c r="C155" s="16" t="str">
        <f t="shared" si="4"/>
        <v>(3,235),</v>
      </c>
    </row>
    <row r="156" spans="1:3" ht="20.149999999999999" customHeight="1" x14ac:dyDescent="0.35">
      <c r="A156" s="4">
        <v>3</v>
      </c>
      <c r="B156" s="4">
        <v>236</v>
      </c>
      <c r="C156" s="16" t="str">
        <f t="shared" si="4"/>
        <v>(3,236),</v>
      </c>
    </row>
    <row r="157" spans="1:3" ht="20.149999999999999" customHeight="1" x14ac:dyDescent="0.35">
      <c r="A157" s="4">
        <v>3</v>
      </c>
      <c r="B157" s="4">
        <v>237</v>
      </c>
      <c r="C157" s="16" t="str">
        <f t="shared" si="4"/>
        <v>(3,237),</v>
      </c>
    </row>
    <row r="158" spans="1:3" ht="20.149999999999999" customHeight="1" x14ac:dyDescent="0.35">
      <c r="A158" s="4">
        <v>3</v>
      </c>
      <c r="B158" s="4">
        <v>238</v>
      </c>
      <c r="C158" s="16" t="str">
        <f t="shared" si="4"/>
        <v>(3,238),</v>
      </c>
    </row>
    <row r="159" spans="1:3" ht="20.149999999999999" customHeight="1" x14ac:dyDescent="0.35">
      <c r="A159" s="4">
        <v>3</v>
      </c>
      <c r="B159" s="4">
        <v>239</v>
      </c>
      <c r="C159" s="16" t="str">
        <f t="shared" si="4"/>
        <v>(3,239),</v>
      </c>
    </row>
    <row r="160" spans="1:3" ht="20.149999999999999" customHeight="1" x14ac:dyDescent="0.35">
      <c r="A160" s="4">
        <v>3</v>
      </c>
      <c r="B160" s="4">
        <v>240</v>
      </c>
      <c r="C160" s="16" t="str">
        <f t="shared" si="4"/>
        <v>(3,240),</v>
      </c>
    </row>
    <row r="161" spans="1:3" ht="20.149999999999999" customHeight="1" x14ac:dyDescent="0.35">
      <c r="A161" s="4">
        <v>3</v>
      </c>
      <c r="B161" s="4">
        <v>241</v>
      </c>
      <c r="C161" s="16" t="str">
        <f t="shared" si="4"/>
        <v>(3,241),</v>
      </c>
    </row>
    <row r="162" spans="1:3" ht="20.149999999999999" customHeight="1" x14ac:dyDescent="0.35">
      <c r="A162" s="4">
        <v>3</v>
      </c>
      <c r="B162" s="4">
        <v>242</v>
      </c>
      <c r="C162" s="16" t="str">
        <f t="shared" si="4"/>
        <v>(3,242),</v>
      </c>
    </row>
    <row r="163" spans="1:3" ht="20.149999999999999" customHeight="1" x14ac:dyDescent="0.35">
      <c r="A163" s="4">
        <v>3</v>
      </c>
      <c r="B163" s="4">
        <v>243</v>
      </c>
      <c r="C163" s="16" t="str">
        <f t="shared" si="4"/>
        <v>(3,243),</v>
      </c>
    </row>
    <row r="164" spans="1:3" ht="20.149999999999999" customHeight="1" x14ac:dyDescent="0.35">
      <c r="A164" s="4">
        <v>3</v>
      </c>
      <c r="B164" s="4">
        <v>244</v>
      </c>
      <c r="C164" s="16" t="str">
        <f t="shared" si="4"/>
        <v>(3,244),</v>
      </c>
    </row>
    <row r="165" spans="1:3" ht="20.149999999999999" customHeight="1" x14ac:dyDescent="0.35">
      <c r="A165" s="4">
        <v>9</v>
      </c>
      <c r="B165" s="4">
        <v>245</v>
      </c>
      <c r="C165" s="16" t="str">
        <f t="shared" si="4"/>
        <v>(9,245),</v>
      </c>
    </row>
    <row r="166" spans="1:3" ht="20.149999999999999" customHeight="1" x14ac:dyDescent="0.35">
      <c r="A166" s="4">
        <v>9</v>
      </c>
      <c r="B166" s="4">
        <v>246</v>
      </c>
      <c r="C166" s="16" t="str">
        <f t="shared" si="4"/>
        <v>(9,246),</v>
      </c>
    </row>
    <row r="167" spans="1:3" ht="20.149999999999999" customHeight="1" x14ac:dyDescent="0.35">
      <c r="A167" s="4">
        <v>9</v>
      </c>
      <c r="B167" s="4">
        <v>247</v>
      </c>
      <c r="C167" s="16" t="str">
        <f t="shared" si="4"/>
        <v>(9,247),</v>
      </c>
    </row>
    <row r="168" spans="1:3" ht="20.149999999999999" customHeight="1" x14ac:dyDescent="0.35">
      <c r="A168" s="4">
        <v>9</v>
      </c>
      <c r="B168" s="4">
        <v>248</v>
      </c>
      <c r="C168" s="16" t="str">
        <f t="shared" si="4"/>
        <v>(9,248),</v>
      </c>
    </row>
    <row r="169" spans="1:3" ht="20.149999999999999" customHeight="1" x14ac:dyDescent="0.35">
      <c r="A169" s="4">
        <v>9</v>
      </c>
      <c r="B169" s="4">
        <v>249</v>
      </c>
      <c r="C169" s="16" t="str">
        <f t="shared" si="4"/>
        <v>(9,249),</v>
      </c>
    </row>
    <row r="170" spans="1:3" ht="20.149999999999999" customHeight="1" x14ac:dyDescent="0.35">
      <c r="A170" s="4">
        <v>9</v>
      </c>
      <c r="B170" s="4">
        <v>250</v>
      </c>
      <c r="C170" s="16" t="str">
        <f t="shared" si="4"/>
        <v>(9,250),</v>
      </c>
    </row>
    <row r="171" spans="1:3" ht="20.149999999999999" customHeight="1" x14ac:dyDescent="0.35">
      <c r="A171" s="4">
        <v>9</v>
      </c>
      <c r="B171" s="4">
        <v>251</v>
      </c>
      <c r="C171" s="16" t="str">
        <f t="shared" si="4"/>
        <v>(9,251),</v>
      </c>
    </row>
    <row r="172" spans="1:3" ht="20.149999999999999" customHeight="1" x14ac:dyDescent="0.35">
      <c r="A172" s="4">
        <v>9</v>
      </c>
      <c r="B172" s="4">
        <v>252</v>
      </c>
      <c r="C172" s="16" t="str">
        <f t="shared" si="4"/>
        <v>(9,252),</v>
      </c>
    </row>
    <row r="173" spans="1:3" ht="20.149999999999999" customHeight="1" x14ac:dyDescent="0.35">
      <c r="A173" s="4">
        <v>9</v>
      </c>
      <c r="B173" s="4">
        <v>253</v>
      </c>
      <c r="C173" s="16" t="str">
        <f t="shared" si="4"/>
        <v>(9,253),</v>
      </c>
    </row>
    <row r="174" spans="1:3" ht="20.149999999999999" customHeight="1" x14ac:dyDescent="0.35">
      <c r="A174" s="4">
        <v>9</v>
      </c>
      <c r="B174" s="4">
        <v>254</v>
      </c>
      <c r="C174" s="16" t="str">
        <f t="shared" si="4"/>
        <v>(9,254),</v>
      </c>
    </row>
    <row r="175" spans="1:3" ht="20.149999999999999" customHeight="1" x14ac:dyDescent="0.35">
      <c r="A175" s="4">
        <v>9</v>
      </c>
      <c r="B175" s="4">
        <v>255</v>
      </c>
      <c r="C175" s="16" t="str">
        <f t="shared" si="4"/>
        <v>(9,255),</v>
      </c>
    </row>
    <row r="176" spans="1:3" ht="20.149999999999999" customHeight="1" x14ac:dyDescent="0.35">
      <c r="A176" s="4">
        <v>9</v>
      </c>
      <c r="B176" s="4">
        <v>256</v>
      </c>
      <c r="C176" s="16" t="str">
        <f t="shared" si="4"/>
        <v>(9,256),</v>
      </c>
    </row>
    <row r="177" spans="1:3" ht="20.149999999999999" customHeight="1" x14ac:dyDescent="0.35">
      <c r="A177" s="4">
        <v>9</v>
      </c>
      <c r="B177" s="4">
        <v>257</v>
      </c>
      <c r="C177" s="16" t="str">
        <f t="shared" si="4"/>
        <v>(9,257),</v>
      </c>
    </row>
    <row r="178" spans="1:3" ht="20.149999999999999" customHeight="1" x14ac:dyDescent="0.35">
      <c r="A178" s="4">
        <v>9</v>
      </c>
      <c r="B178" s="4">
        <v>258</v>
      </c>
      <c r="C178" s="16" t="str">
        <f t="shared" si="4"/>
        <v>(9,258),</v>
      </c>
    </row>
    <row r="179" spans="1:3" ht="20.149999999999999" customHeight="1" x14ac:dyDescent="0.35">
      <c r="A179" s="4">
        <v>9</v>
      </c>
      <c r="B179" s="4">
        <v>259</v>
      </c>
      <c r="C179" s="16" t="str">
        <f t="shared" si="4"/>
        <v>(9,259),</v>
      </c>
    </row>
    <row r="180" spans="1:3" ht="20.149999999999999" customHeight="1" x14ac:dyDescent="0.35">
      <c r="A180" s="4">
        <v>1</v>
      </c>
      <c r="B180" s="4">
        <v>301</v>
      </c>
      <c r="C180" s="16" t="str">
        <f t="shared" si="4"/>
        <v>(1,301),</v>
      </c>
    </row>
    <row r="181" spans="1:3" ht="20.149999999999999" customHeight="1" x14ac:dyDescent="0.35">
      <c r="A181" s="4">
        <v>1</v>
      </c>
      <c r="B181" s="4">
        <v>302</v>
      </c>
      <c r="C181" s="16" t="str">
        <f t="shared" si="4"/>
        <v>(1,302),</v>
      </c>
    </row>
    <row r="182" spans="1:3" ht="20.149999999999999" customHeight="1" x14ac:dyDescent="0.35">
      <c r="A182" s="4">
        <v>1</v>
      </c>
      <c r="B182" s="4">
        <v>303</v>
      </c>
      <c r="C182" s="16" t="str">
        <f t="shared" si="4"/>
        <v>(1,303),</v>
      </c>
    </row>
    <row r="183" spans="1:3" ht="20.149999999999999" customHeight="1" x14ac:dyDescent="0.35">
      <c r="A183" s="4">
        <v>1</v>
      </c>
      <c r="B183" s="4">
        <v>304</v>
      </c>
      <c r="C183" s="16" t="str">
        <f t="shared" si="4"/>
        <v>(1,304),</v>
      </c>
    </row>
    <row r="184" spans="1:3" ht="20.149999999999999" customHeight="1" x14ac:dyDescent="0.35">
      <c r="A184" s="4">
        <v>1</v>
      </c>
      <c r="B184" s="4">
        <v>305</v>
      </c>
      <c r="C184" s="16" t="str">
        <f t="shared" si="4"/>
        <v>(1,305),</v>
      </c>
    </row>
    <row r="185" spans="1:3" ht="20.149999999999999" customHeight="1" x14ac:dyDescent="0.35">
      <c r="A185" s="4">
        <v>1</v>
      </c>
      <c r="B185" s="4">
        <v>306</v>
      </c>
      <c r="C185" s="16" t="str">
        <f t="shared" si="4"/>
        <v>(1,306),</v>
      </c>
    </row>
    <row r="186" spans="1:3" ht="20.149999999999999" customHeight="1" x14ac:dyDescent="0.35">
      <c r="A186" s="4">
        <v>1</v>
      </c>
      <c r="B186" s="4">
        <v>307</v>
      </c>
      <c r="C186" s="16" t="str">
        <f t="shared" si="4"/>
        <v>(1,307),</v>
      </c>
    </row>
    <row r="187" spans="1:3" ht="20.149999999999999" customHeight="1" x14ac:dyDescent="0.35">
      <c r="A187" s="4">
        <v>1</v>
      </c>
      <c r="B187" s="4">
        <v>308</v>
      </c>
      <c r="C187" s="16" t="str">
        <f t="shared" si="4"/>
        <v>(1,308),</v>
      </c>
    </row>
    <row r="188" spans="1:3" ht="20.149999999999999" customHeight="1" x14ac:dyDescent="0.35">
      <c r="A188" s="4">
        <v>6</v>
      </c>
      <c r="B188" s="4">
        <v>309</v>
      </c>
      <c r="C188" s="16" t="str">
        <f t="shared" si="4"/>
        <v>(6,309),</v>
      </c>
    </row>
    <row r="189" spans="1:3" ht="20.149999999999999" customHeight="1" x14ac:dyDescent="0.35">
      <c r="A189" s="4">
        <v>6</v>
      </c>
      <c r="B189" s="4">
        <v>310</v>
      </c>
      <c r="C189" s="16" t="str">
        <f t="shared" si="4"/>
        <v>(6,310),</v>
      </c>
    </row>
    <row r="190" spans="1:3" ht="20.149999999999999" customHeight="1" x14ac:dyDescent="0.35">
      <c r="A190" s="4">
        <v>6</v>
      </c>
      <c r="B190" s="4">
        <v>311</v>
      </c>
      <c r="C190" s="16" t="str">
        <f t="shared" si="4"/>
        <v>(6,311),</v>
      </c>
    </row>
    <row r="191" spans="1:3" ht="20.149999999999999" customHeight="1" x14ac:dyDescent="0.35">
      <c r="A191" s="4">
        <v>6</v>
      </c>
      <c r="B191" s="4">
        <v>312</v>
      </c>
      <c r="C191" s="16" t="str">
        <f t="shared" si="4"/>
        <v>(6,312),</v>
      </c>
    </row>
    <row r="192" spans="1:3" ht="20.149999999999999" customHeight="1" x14ac:dyDescent="0.35">
      <c r="A192" s="4">
        <v>6</v>
      </c>
      <c r="B192" s="4">
        <v>313</v>
      </c>
      <c r="C192" s="16" t="str">
        <f t="shared" si="4"/>
        <v>(6,313),</v>
      </c>
    </row>
    <row r="193" spans="1:3" ht="20.149999999999999" customHeight="1" x14ac:dyDescent="0.35">
      <c r="A193" s="4">
        <v>6</v>
      </c>
      <c r="B193" s="4">
        <v>314</v>
      </c>
      <c r="C193" s="16" t="str">
        <f t="shared" si="4"/>
        <v>(6,314),</v>
      </c>
    </row>
    <row r="194" spans="1:3" ht="20.149999999999999" customHeight="1" x14ac:dyDescent="0.35">
      <c r="A194" s="4">
        <v>6</v>
      </c>
      <c r="B194" s="4">
        <v>315</v>
      </c>
      <c r="C194" s="16" t="str">
        <f t="shared" si="4"/>
        <v>(6,315),</v>
      </c>
    </row>
    <row r="195" spans="1:3" ht="20.149999999999999" customHeight="1" x14ac:dyDescent="0.35">
      <c r="A195" s="4">
        <v>6</v>
      </c>
      <c r="B195" s="4">
        <v>316</v>
      </c>
      <c r="C195" s="16" t="str">
        <f t="shared" si="4"/>
        <v>(6,316),</v>
      </c>
    </row>
    <row r="196" spans="1:3" ht="20.149999999999999" customHeight="1" x14ac:dyDescent="0.35">
      <c r="A196" s="4">
        <v>6</v>
      </c>
      <c r="B196" s="4">
        <v>317</v>
      </c>
      <c r="C196" s="16" t="str">
        <f t="shared" si="4"/>
        <v>(6,317),</v>
      </c>
    </row>
    <row r="197" spans="1:3" ht="20.149999999999999" customHeight="1" x14ac:dyDescent="0.35">
      <c r="A197" s="4">
        <v>6</v>
      </c>
      <c r="B197" s="4">
        <v>318</v>
      </c>
      <c r="C197" s="16" t="str">
        <f t="shared" si="4"/>
        <v>(6,318),</v>
      </c>
    </row>
    <row r="198" spans="1:3" ht="20.149999999999999" customHeight="1" x14ac:dyDescent="0.35">
      <c r="A198" s="4">
        <v>6</v>
      </c>
      <c r="B198" s="4">
        <v>319</v>
      </c>
      <c r="C198" s="16" t="str">
        <f t="shared" si="4"/>
        <v>(6,319),</v>
      </c>
    </row>
    <row r="199" spans="1:3" ht="20.149999999999999" customHeight="1" x14ac:dyDescent="0.35">
      <c r="A199" s="4">
        <v>6</v>
      </c>
      <c r="B199" s="4">
        <v>320</v>
      </c>
      <c r="C199" s="16" t="str">
        <f t="shared" si="4"/>
        <v>(6,320),</v>
      </c>
    </row>
    <row r="200" spans="1:3" ht="20.149999999999999" customHeight="1" x14ac:dyDescent="0.35">
      <c r="A200" s="4">
        <v>3</v>
      </c>
      <c r="B200" s="4">
        <v>321</v>
      </c>
      <c r="C200" s="16" t="str">
        <f t="shared" si="4"/>
        <v>(3,321),</v>
      </c>
    </row>
    <row r="201" spans="1:3" ht="20.149999999999999" customHeight="1" x14ac:dyDescent="0.35">
      <c r="A201" s="4">
        <v>3</v>
      </c>
      <c r="B201" s="4">
        <v>322</v>
      </c>
      <c r="C201" s="16" t="str">
        <f t="shared" si="4"/>
        <v>(3,322),</v>
      </c>
    </row>
    <row r="202" spans="1:3" ht="20.149999999999999" customHeight="1" x14ac:dyDescent="0.35">
      <c r="A202" s="4">
        <v>3</v>
      </c>
      <c r="B202" s="4">
        <v>323</v>
      </c>
      <c r="C202" s="16" t="str">
        <f t="shared" si="4"/>
        <v>(3,323),</v>
      </c>
    </row>
    <row r="203" spans="1:3" ht="20.149999999999999" customHeight="1" x14ac:dyDescent="0.35">
      <c r="A203" s="4">
        <v>3</v>
      </c>
      <c r="B203" s="4">
        <v>324</v>
      </c>
      <c r="C203" s="16" t="str">
        <f t="shared" si="4"/>
        <v>(3,324),</v>
      </c>
    </row>
    <row r="204" spans="1:3" ht="20.149999999999999" customHeight="1" x14ac:dyDescent="0.35">
      <c r="A204" s="4">
        <v>3</v>
      </c>
      <c r="B204" s="4">
        <v>325</v>
      </c>
      <c r="C204" s="16" t="str">
        <f t="shared" si="4"/>
        <v>(3,325),</v>
      </c>
    </row>
    <row r="205" spans="1:3" ht="20.149999999999999" customHeight="1" x14ac:dyDescent="0.35">
      <c r="A205" s="4">
        <v>3</v>
      </c>
      <c r="B205" s="4">
        <v>326</v>
      </c>
      <c r="C205" s="16" t="str">
        <f t="shared" si="4"/>
        <v>(3,326),</v>
      </c>
    </row>
    <row r="206" spans="1:3" ht="20.149999999999999" customHeight="1" x14ac:dyDescent="0.35">
      <c r="A206" s="4">
        <v>3</v>
      </c>
      <c r="B206" s="4">
        <v>327</v>
      </c>
      <c r="C206" s="16" t="str">
        <f t="shared" si="4"/>
        <v>(3,327),</v>
      </c>
    </row>
    <row r="207" spans="1:3" ht="20.149999999999999" customHeight="1" x14ac:dyDescent="0.35">
      <c r="A207" s="4">
        <v>3</v>
      </c>
      <c r="B207" s="4">
        <v>328</v>
      </c>
      <c r="C207" s="16" t="str">
        <f t="shared" si="4"/>
        <v>(3,328),</v>
      </c>
    </row>
    <row r="208" spans="1:3" ht="20.149999999999999" customHeight="1" x14ac:dyDescent="0.35">
      <c r="A208" s="4">
        <v>3</v>
      </c>
      <c r="B208" s="4">
        <v>329</v>
      </c>
      <c r="C208" s="16" t="str">
        <f t="shared" si="4"/>
        <v>(3,329),</v>
      </c>
    </row>
    <row r="209" spans="1:3" ht="20.149999999999999" customHeight="1" x14ac:dyDescent="0.35">
      <c r="A209" s="4">
        <v>3</v>
      </c>
      <c r="B209" s="4">
        <v>330</v>
      </c>
      <c r="C209" s="16" t="str">
        <f t="shared" si="4"/>
        <v>(3,330),</v>
      </c>
    </row>
    <row r="210" spans="1:3" ht="20.149999999999999" customHeight="1" x14ac:dyDescent="0.35">
      <c r="A210" s="4">
        <v>3</v>
      </c>
      <c r="B210" s="4">
        <v>331</v>
      </c>
      <c r="C210" s="16" t="str">
        <f t="shared" si="4"/>
        <v>(3,331),</v>
      </c>
    </row>
    <row r="211" spans="1:3" ht="20.149999999999999" customHeight="1" x14ac:dyDescent="0.35">
      <c r="A211" s="4">
        <v>3</v>
      </c>
      <c r="B211" s="4">
        <v>332</v>
      </c>
      <c r="C211" s="16" t="str">
        <f t="shared" si="4"/>
        <v>(3,332),</v>
      </c>
    </row>
    <row r="212" spans="1:3" ht="20.149999999999999" customHeight="1" x14ac:dyDescent="0.35">
      <c r="A212" s="4">
        <v>3</v>
      </c>
      <c r="B212" s="4">
        <v>333</v>
      </c>
      <c r="C212" s="16" t="str">
        <f t="shared" si="4"/>
        <v>(3,333),</v>
      </c>
    </row>
    <row r="213" spans="1:3" ht="20.149999999999999" customHeight="1" x14ac:dyDescent="0.35">
      <c r="A213" s="4">
        <v>3</v>
      </c>
      <c r="B213" s="4">
        <v>334</v>
      </c>
      <c r="C213" s="16" t="str">
        <f t="shared" si="4"/>
        <v>(3,334),</v>
      </c>
    </row>
    <row r="214" spans="1:3" ht="20.149999999999999" customHeight="1" x14ac:dyDescent="0.35">
      <c r="A214" s="4">
        <v>3</v>
      </c>
      <c r="B214" s="4">
        <v>335</v>
      </c>
      <c r="C214" s="16" t="str">
        <f t="shared" si="4"/>
        <v>(3,335),</v>
      </c>
    </row>
    <row r="215" spans="1:3" ht="20.149999999999999" customHeight="1" x14ac:dyDescent="0.35">
      <c r="A215" s="4">
        <v>3</v>
      </c>
      <c r="B215" s="4">
        <v>336</v>
      </c>
      <c r="C215" s="16" t="str">
        <f t="shared" ref="C215:C278" si="5">CONCATENATE("(",A215,",",B215,"),")</f>
        <v>(3,336),</v>
      </c>
    </row>
    <row r="216" spans="1:3" ht="20.149999999999999" customHeight="1" x14ac:dyDescent="0.35">
      <c r="A216" s="4">
        <v>3</v>
      </c>
      <c r="B216" s="4">
        <v>337</v>
      </c>
      <c r="C216" s="16" t="str">
        <f t="shared" si="5"/>
        <v>(3,337),</v>
      </c>
    </row>
    <row r="217" spans="1:3" ht="20.149999999999999" customHeight="1" x14ac:dyDescent="0.35">
      <c r="A217" s="4">
        <v>3</v>
      </c>
      <c r="B217" s="4">
        <v>338</v>
      </c>
      <c r="C217" s="16" t="str">
        <f t="shared" si="5"/>
        <v>(3,338),</v>
      </c>
    </row>
    <row r="218" spans="1:3" ht="20.149999999999999" customHeight="1" x14ac:dyDescent="0.35">
      <c r="A218" s="4">
        <v>3</v>
      </c>
      <c r="B218" s="4">
        <v>339</v>
      </c>
      <c r="C218" s="16" t="str">
        <f t="shared" si="5"/>
        <v>(3,339),</v>
      </c>
    </row>
    <row r="219" spans="1:3" ht="20.149999999999999" customHeight="1" x14ac:dyDescent="0.35">
      <c r="A219" s="4">
        <v>3</v>
      </c>
      <c r="B219" s="4">
        <v>340</v>
      </c>
      <c r="C219" s="16" t="str">
        <f t="shared" si="5"/>
        <v>(3,340),</v>
      </c>
    </row>
    <row r="220" spans="1:3" ht="20.149999999999999" customHeight="1" x14ac:dyDescent="0.35">
      <c r="A220" s="4">
        <v>3</v>
      </c>
      <c r="B220" s="4">
        <v>341</v>
      </c>
      <c r="C220" s="16" t="str">
        <f t="shared" si="5"/>
        <v>(3,341),</v>
      </c>
    </row>
    <row r="221" spans="1:3" ht="20.149999999999999" customHeight="1" x14ac:dyDescent="0.35">
      <c r="A221" s="4">
        <v>3</v>
      </c>
      <c r="B221" s="4">
        <v>342</v>
      </c>
      <c r="C221" s="16" t="str">
        <f t="shared" si="5"/>
        <v>(3,342),</v>
      </c>
    </row>
    <row r="222" spans="1:3" ht="20.149999999999999" customHeight="1" x14ac:dyDescent="0.35">
      <c r="A222" s="4">
        <v>3</v>
      </c>
      <c r="B222" s="4">
        <v>343</v>
      </c>
      <c r="C222" s="16" t="str">
        <f t="shared" si="5"/>
        <v>(3,343),</v>
      </c>
    </row>
    <row r="223" spans="1:3" ht="20.149999999999999" customHeight="1" x14ac:dyDescent="0.35">
      <c r="A223" s="4">
        <v>3</v>
      </c>
      <c r="B223" s="4">
        <v>344</v>
      </c>
      <c r="C223" s="16" t="str">
        <f t="shared" si="5"/>
        <v>(3,344),</v>
      </c>
    </row>
    <row r="224" spans="1:3" ht="20.149999999999999" customHeight="1" x14ac:dyDescent="0.35">
      <c r="A224" s="4">
        <v>8</v>
      </c>
      <c r="B224" s="4">
        <v>345</v>
      </c>
      <c r="C224" s="16" t="str">
        <f t="shared" si="5"/>
        <v>(8,345),</v>
      </c>
    </row>
    <row r="225" spans="1:3" ht="20.149999999999999" customHeight="1" x14ac:dyDescent="0.35">
      <c r="A225" s="4">
        <v>8</v>
      </c>
      <c r="B225" s="4">
        <v>346</v>
      </c>
      <c r="C225" s="16" t="str">
        <f t="shared" si="5"/>
        <v>(8,346),</v>
      </c>
    </row>
    <row r="226" spans="1:3" ht="20.149999999999999" customHeight="1" x14ac:dyDescent="0.35">
      <c r="A226" s="4">
        <v>8</v>
      </c>
      <c r="B226" s="4">
        <v>347</v>
      </c>
      <c r="C226" s="16" t="str">
        <f t="shared" si="5"/>
        <v>(8,347),</v>
      </c>
    </row>
    <row r="227" spans="1:3" ht="20.149999999999999" customHeight="1" x14ac:dyDescent="0.35">
      <c r="A227" s="4">
        <v>8</v>
      </c>
      <c r="B227" s="4">
        <v>348</v>
      </c>
      <c r="C227" s="16" t="str">
        <f t="shared" si="5"/>
        <v>(8,348),</v>
      </c>
    </row>
    <row r="228" spans="1:3" ht="20.149999999999999" customHeight="1" x14ac:dyDescent="0.35">
      <c r="A228" s="4">
        <v>8</v>
      </c>
      <c r="B228" s="4">
        <v>349</v>
      </c>
      <c r="C228" s="16" t="str">
        <f t="shared" si="5"/>
        <v>(8,349),</v>
      </c>
    </row>
    <row r="229" spans="1:3" ht="20.149999999999999" customHeight="1" x14ac:dyDescent="0.35">
      <c r="A229" s="4">
        <v>8</v>
      </c>
      <c r="B229" s="4">
        <v>350</v>
      </c>
      <c r="C229" s="16" t="str">
        <f t="shared" si="5"/>
        <v>(8,350),</v>
      </c>
    </row>
    <row r="230" spans="1:3" ht="20.149999999999999" customHeight="1" x14ac:dyDescent="0.35">
      <c r="A230" s="4">
        <v>8</v>
      </c>
      <c r="B230" s="4">
        <v>351</v>
      </c>
      <c r="C230" s="16" t="str">
        <f t="shared" si="5"/>
        <v>(8,351),</v>
      </c>
    </row>
    <row r="231" spans="1:3" ht="20.149999999999999" customHeight="1" x14ac:dyDescent="0.35">
      <c r="A231" s="4">
        <v>8</v>
      </c>
      <c r="B231" s="4">
        <v>352</v>
      </c>
      <c r="C231" s="16" t="str">
        <f t="shared" si="5"/>
        <v>(8,352),</v>
      </c>
    </row>
    <row r="232" spans="1:3" ht="20.149999999999999" customHeight="1" x14ac:dyDescent="0.35">
      <c r="A232" s="4">
        <v>8</v>
      </c>
      <c r="B232" s="4">
        <v>353</v>
      </c>
      <c r="C232" s="16" t="str">
        <f t="shared" si="5"/>
        <v>(8,353),</v>
      </c>
    </row>
    <row r="233" spans="1:3" ht="20.149999999999999" customHeight="1" x14ac:dyDescent="0.35">
      <c r="A233" s="4">
        <v>9</v>
      </c>
      <c r="B233" s="4">
        <v>354</v>
      </c>
      <c r="C233" s="16" t="str">
        <f t="shared" si="5"/>
        <v>(9,354),</v>
      </c>
    </row>
    <row r="234" spans="1:3" ht="20.149999999999999" customHeight="1" x14ac:dyDescent="0.35">
      <c r="A234" s="4">
        <v>9</v>
      </c>
      <c r="B234" s="4">
        <v>355</v>
      </c>
      <c r="C234" s="16" t="str">
        <f t="shared" si="5"/>
        <v>(9,355),</v>
      </c>
    </row>
    <row r="235" spans="1:3" ht="20.149999999999999" customHeight="1" x14ac:dyDescent="0.35">
      <c r="A235" s="4">
        <v>9</v>
      </c>
      <c r="B235" s="4">
        <v>356</v>
      </c>
      <c r="C235" s="16" t="str">
        <f t="shared" si="5"/>
        <v>(9,356),</v>
      </c>
    </row>
    <row r="236" spans="1:3" ht="20.149999999999999" customHeight="1" x14ac:dyDescent="0.35">
      <c r="A236" s="4">
        <v>9</v>
      </c>
      <c r="B236" s="4">
        <v>357</v>
      </c>
      <c r="C236" s="16" t="str">
        <f t="shared" si="5"/>
        <v>(9,357),</v>
      </c>
    </row>
    <row r="237" spans="1:3" ht="20.149999999999999" customHeight="1" x14ac:dyDescent="0.35">
      <c r="A237" s="4">
        <v>9</v>
      </c>
      <c r="B237" s="4">
        <v>358</v>
      </c>
      <c r="C237" s="16" t="str">
        <f t="shared" si="5"/>
        <v>(9,358),</v>
      </c>
    </row>
    <row r="238" spans="1:3" ht="20.149999999999999" customHeight="1" x14ac:dyDescent="0.35">
      <c r="A238" s="4">
        <v>9</v>
      </c>
      <c r="B238" s="4">
        <v>359</v>
      </c>
      <c r="C238" s="16" t="str">
        <f t="shared" si="5"/>
        <v>(9,359),</v>
      </c>
    </row>
    <row r="239" spans="1:3" ht="20.149999999999999" customHeight="1" x14ac:dyDescent="0.35">
      <c r="A239" s="4">
        <v>1</v>
      </c>
      <c r="B239" s="4">
        <v>401</v>
      </c>
      <c r="C239" s="16" t="str">
        <f t="shared" si="5"/>
        <v>(1,401),</v>
      </c>
    </row>
    <row r="240" spans="1:3" ht="20.149999999999999" customHeight="1" x14ac:dyDescent="0.35">
      <c r="A240" s="4">
        <v>1</v>
      </c>
      <c r="B240" s="4">
        <v>402</v>
      </c>
      <c r="C240" s="16" t="str">
        <f t="shared" si="5"/>
        <v>(1,402),</v>
      </c>
    </row>
    <row r="241" spans="1:3" ht="20.149999999999999" customHeight="1" x14ac:dyDescent="0.35">
      <c r="A241" s="4">
        <v>1</v>
      </c>
      <c r="B241" s="4">
        <v>403</v>
      </c>
      <c r="C241" s="16" t="str">
        <f t="shared" si="5"/>
        <v>(1,403),</v>
      </c>
    </row>
    <row r="242" spans="1:3" ht="20.149999999999999" customHeight="1" x14ac:dyDescent="0.35">
      <c r="A242" s="4">
        <v>1</v>
      </c>
      <c r="B242" s="4">
        <v>404</v>
      </c>
      <c r="C242" s="16" t="str">
        <f t="shared" si="5"/>
        <v>(1,404),</v>
      </c>
    </row>
    <row r="243" spans="1:3" ht="20.149999999999999" customHeight="1" x14ac:dyDescent="0.35">
      <c r="A243" s="4">
        <v>1</v>
      </c>
      <c r="B243" s="4">
        <v>405</v>
      </c>
      <c r="C243" s="16" t="str">
        <f t="shared" si="5"/>
        <v>(1,405),</v>
      </c>
    </row>
    <row r="244" spans="1:3" ht="20.149999999999999" customHeight="1" x14ac:dyDescent="0.35">
      <c r="A244" s="4">
        <v>1</v>
      </c>
      <c r="B244" s="4">
        <v>406</v>
      </c>
      <c r="C244" s="16" t="str">
        <f t="shared" si="5"/>
        <v>(1,406),</v>
      </c>
    </row>
    <row r="245" spans="1:3" ht="20.149999999999999" customHeight="1" x14ac:dyDescent="0.35">
      <c r="A245" s="4">
        <v>1</v>
      </c>
      <c r="B245" s="4">
        <v>407</v>
      </c>
      <c r="C245" s="16" t="str">
        <f t="shared" si="5"/>
        <v>(1,407),</v>
      </c>
    </row>
    <row r="246" spans="1:3" ht="20.149999999999999" customHeight="1" x14ac:dyDescent="0.35">
      <c r="A246" s="4">
        <v>1</v>
      </c>
      <c r="B246" s="4">
        <v>408</v>
      </c>
      <c r="C246" s="16" t="str">
        <f t="shared" si="5"/>
        <v>(1,408),</v>
      </c>
    </row>
    <row r="247" spans="1:3" ht="20.149999999999999" customHeight="1" x14ac:dyDescent="0.35">
      <c r="A247" s="4">
        <v>6</v>
      </c>
      <c r="B247" s="4">
        <v>409</v>
      </c>
      <c r="C247" s="16" t="str">
        <f t="shared" si="5"/>
        <v>(6,409),</v>
      </c>
    </row>
    <row r="248" spans="1:3" ht="20.149999999999999" customHeight="1" x14ac:dyDescent="0.35">
      <c r="A248" s="4">
        <v>6</v>
      </c>
      <c r="B248" s="4">
        <v>410</v>
      </c>
      <c r="C248" s="16" t="str">
        <f t="shared" si="5"/>
        <v>(6,410),</v>
      </c>
    </row>
    <row r="249" spans="1:3" ht="20.149999999999999" customHeight="1" x14ac:dyDescent="0.35">
      <c r="A249" s="4">
        <v>6</v>
      </c>
      <c r="B249" s="4">
        <v>411</v>
      </c>
      <c r="C249" s="16" t="str">
        <f t="shared" si="5"/>
        <v>(6,411),</v>
      </c>
    </row>
    <row r="250" spans="1:3" ht="20.149999999999999" customHeight="1" x14ac:dyDescent="0.35">
      <c r="A250" s="4">
        <v>6</v>
      </c>
      <c r="B250" s="4">
        <v>412</v>
      </c>
      <c r="C250" s="16" t="str">
        <f t="shared" si="5"/>
        <v>(6,412),</v>
      </c>
    </row>
    <row r="251" spans="1:3" ht="20.149999999999999" customHeight="1" x14ac:dyDescent="0.35">
      <c r="A251" s="4">
        <v>6</v>
      </c>
      <c r="B251" s="4">
        <v>413</v>
      </c>
      <c r="C251" s="16" t="str">
        <f t="shared" si="5"/>
        <v>(6,413),</v>
      </c>
    </row>
    <row r="252" spans="1:3" ht="20.149999999999999" customHeight="1" x14ac:dyDescent="0.35">
      <c r="A252" s="4">
        <v>6</v>
      </c>
      <c r="B252" s="4">
        <v>414</v>
      </c>
      <c r="C252" s="16" t="str">
        <f t="shared" si="5"/>
        <v>(6,414),</v>
      </c>
    </row>
    <row r="253" spans="1:3" ht="20.149999999999999" customHeight="1" x14ac:dyDescent="0.35">
      <c r="A253" s="4">
        <v>6</v>
      </c>
      <c r="B253" s="4">
        <v>415</v>
      </c>
      <c r="C253" s="16" t="str">
        <f t="shared" si="5"/>
        <v>(6,415),</v>
      </c>
    </row>
    <row r="254" spans="1:3" ht="20.149999999999999" customHeight="1" x14ac:dyDescent="0.35">
      <c r="A254" s="4">
        <v>6</v>
      </c>
      <c r="B254" s="4">
        <v>416</v>
      </c>
      <c r="C254" s="16" t="str">
        <f t="shared" si="5"/>
        <v>(6,416),</v>
      </c>
    </row>
    <row r="255" spans="1:3" ht="20.149999999999999" customHeight="1" x14ac:dyDescent="0.35">
      <c r="A255" s="4">
        <v>6</v>
      </c>
      <c r="B255" s="4">
        <v>417</v>
      </c>
      <c r="C255" s="16" t="str">
        <f t="shared" si="5"/>
        <v>(6,417),</v>
      </c>
    </row>
    <row r="256" spans="1:3" ht="20.149999999999999" customHeight="1" x14ac:dyDescent="0.35">
      <c r="A256" s="4">
        <v>6</v>
      </c>
      <c r="B256" s="4">
        <v>418</v>
      </c>
      <c r="C256" s="16" t="str">
        <f t="shared" si="5"/>
        <v>(6,418),</v>
      </c>
    </row>
    <row r="257" spans="1:3" ht="20.149999999999999" customHeight="1" x14ac:dyDescent="0.35">
      <c r="A257" s="4">
        <v>6</v>
      </c>
      <c r="B257" s="4">
        <v>419</v>
      </c>
      <c r="C257" s="16" t="str">
        <f t="shared" si="5"/>
        <v>(6,419),</v>
      </c>
    </row>
    <row r="258" spans="1:3" ht="20.149999999999999" customHeight="1" x14ac:dyDescent="0.35">
      <c r="A258" s="4">
        <v>6</v>
      </c>
      <c r="B258" s="4">
        <v>420</v>
      </c>
      <c r="C258" s="16" t="str">
        <f t="shared" si="5"/>
        <v>(6,420),</v>
      </c>
    </row>
    <row r="259" spans="1:3" ht="20.149999999999999" customHeight="1" x14ac:dyDescent="0.35">
      <c r="A259" s="4">
        <v>3</v>
      </c>
      <c r="B259" s="4">
        <v>421</v>
      </c>
      <c r="C259" s="16" t="str">
        <f t="shared" si="5"/>
        <v>(3,421),</v>
      </c>
    </row>
    <row r="260" spans="1:3" ht="20.149999999999999" customHeight="1" x14ac:dyDescent="0.35">
      <c r="A260" s="4">
        <v>3</v>
      </c>
      <c r="B260" s="4">
        <v>422</v>
      </c>
      <c r="C260" s="16" t="str">
        <f t="shared" si="5"/>
        <v>(3,422),</v>
      </c>
    </row>
    <row r="261" spans="1:3" ht="20.149999999999999" customHeight="1" x14ac:dyDescent="0.35">
      <c r="A261" s="4">
        <v>3</v>
      </c>
      <c r="B261" s="4">
        <v>423</v>
      </c>
      <c r="C261" s="16" t="str">
        <f t="shared" si="5"/>
        <v>(3,423),</v>
      </c>
    </row>
    <row r="262" spans="1:3" ht="20.149999999999999" customHeight="1" x14ac:dyDescent="0.35">
      <c r="A262" s="4">
        <v>3</v>
      </c>
      <c r="B262" s="4">
        <v>424</v>
      </c>
      <c r="C262" s="16" t="str">
        <f t="shared" si="5"/>
        <v>(3,424),</v>
      </c>
    </row>
    <row r="263" spans="1:3" ht="20.149999999999999" customHeight="1" x14ac:dyDescent="0.35">
      <c r="A263" s="4">
        <v>3</v>
      </c>
      <c r="B263" s="4">
        <v>425</v>
      </c>
      <c r="C263" s="16" t="str">
        <f t="shared" si="5"/>
        <v>(3,425),</v>
      </c>
    </row>
    <row r="264" spans="1:3" ht="20.149999999999999" customHeight="1" x14ac:dyDescent="0.35">
      <c r="A264" s="4">
        <v>3</v>
      </c>
      <c r="B264" s="4">
        <v>426</v>
      </c>
      <c r="C264" s="16" t="str">
        <f t="shared" si="5"/>
        <v>(3,426),</v>
      </c>
    </row>
    <row r="265" spans="1:3" ht="20.149999999999999" customHeight="1" x14ac:dyDescent="0.35">
      <c r="A265" s="4">
        <v>3</v>
      </c>
      <c r="B265" s="4">
        <v>427</v>
      </c>
      <c r="C265" s="16" t="str">
        <f t="shared" si="5"/>
        <v>(3,427),</v>
      </c>
    </row>
    <row r="266" spans="1:3" ht="20.149999999999999" customHeight="1" x14ac:dyDescent="0.35">
      <c r="A266" s="4">
        <v>3</v>
      </c>
      <c r="B266" s="4">
        <v>428</v>
      </c>
      <c r="C266" s="16" t="str">
        <f t="shared" si="5"/>
        <v>(3,428),</v>
      </c>
    </row>
    <row r="267" spans="1:3" ht="20.149999999999999" customHeight="1" x14ac:dyDescent="0.35">
      <c r="A267" s="4">
        <v>3</v>
      </c>
      <c r="B267" s="4">
        <v>429</v>
      </c>
      <c r="C267" s="16" t="str">
        <f t="shared" si="5"/>
        <v>(3,429),</v>
      </c>
    </row>
    <row r="268" spans="1:3" ht="20.149999999999999" customHeight="1" x14ac:dyDescent="0.35">
      <c r="A268" s="4">
        <v>3</v>
      </c>
      <c r="B268" s="4">
        <v>430</v>
      </c>
      <c r="C268" s="16" t="str">
        <f t="shared" si="5"/>
        <v>(3,430),</v>
      </c>
    </row>
    <row r="269" spans="1:3" ht="20.149999999999999" customHeight="1" x14ac:dyDescent="0.35">
      <c r="A269" s="4">
        <v>3</v>
      </c>
      <c r="B269" s="4">
        <v>431</v>
      </c>
      <c r="C269" s="16" t="str">
        <f t="shared" si="5"/>
        <v>(3,431),</v>
      </c>
    </row>
    <row r="270" spans="1:3" ht="20.149999999999999" customHeight="1" x14ac:dyDescent="0.35">
      <c r="A270" s="4">
        <v>3</v>
      </c>
      <c r="B270" s="4">
        <v>432</v>
      </c>
      <c r="C270" s="16" t="str">
        <f t="shared" si="5"/>
        <v>(3,432),</v>
      </c>
    </row>
    <row r="271" spans="1:3" ht="20.149999999999999" customHeight="1" x14ac:dyDescent="0.35">
      <c r="A271" s="4">
        <v>3</v>
      </c>
      <c r="B271" s="4">
        <v>433</v>
      </c>
      <c r="C271" s="16" t="str">
        <f t="shared" si="5"/>
        <v>(3,433),</v>
      </c>
    </row>
    <row r="272" spans="1:3" ht="20.149999999999999" customHeight="1" x14ac:dyDescent="0.35">
      <c r="A272" s="4">
        <v>3</v>
      </c>
      <c r="B272" s="4">
        <v>434</v>
      </c>
      <c r="C272" s="16" t="str">
        <f t="shared" si="5"/>
        <v>(3,434),</v>
      </c>
    </row>
    <row r="273" spans="1:3" ht="20.149999999999999" customHeight="1" x14ac:dyDescent="0.35">
      <c r="A273" s="4">
        <v>3</v>
      </c>
      <c r="B273" s="4">
        <v>435</v>
      </c>
      <c r="C273" s="16" t="str">
        <f t="shared" si="5"/>
        <v>(3,435),</v>
      </c>
    </row>
    <row r="274" spans="1:3" ht="20.149999999999999" customHeight="1" x14ac:dyDescent="0.35">
      <c r="A274" s="4">
        <v>3</v>
      </c>
      <c r="B274" s="4">
        <v>436</v>
      </c>
      <c r="C274" s="16" t="str">
        <f t="shared" si="5"/>
        <v>(3,436),</v>
      </c>
    </row>
    <row r="275" spans="1:3" ht="20.149999999999999" customHeight="1" x14ac:dyDescent="0.35">
      <c r="A275" s="4">
        <v>3</v>
      </c>
      <c r="B275" s="4">
        <v>437</v>
      </c>
      <c r="C275" s="16" t="str">
        <f t="shared" si="5"/>
        <v>(3,437),</v>
      </c>
    </row>
    <row r="276" spans="1:3" ht="20.149999999999999" customHeight="1" x14ac:dyDescent="0.35">
      <c r="A276" s="4">
        <v>3</v>
      </c>
      <c r="B276" s="4">
        <v>438</v>
      </c>
      <c r="C276" s="16" t="str">
        <f t="shared" si="5"/>
        <v>(3,438),</v>
      </c>
    </row>
    <row r="277" spans="1:3" ht="20.149999999999999" customHeight="1" x14ac:dyDescent="0.35">
      <c r="A277" s="4">
        <v>3</v>
      </c>
      <c r="B277" s="4">
        <v>439</v>
      </c>
      <c r="C277" s="16" t="str">
        <f t="shared" si="5"/>
        <v>(3,439),</v>
      </c>
    </row>
    <row r="278" spans="1:3" ht="20.149999999999999" customHeight="1" x14ac:dyDescent="0.35">
      <c r="A278" s="4">
        <v>3</v>
      </c>
      <c r="B278" s="4">
        <v>440</v>
      </c>
      <c r="C278" s="16" t="str">
        <f t="shared" si="5"/>
        <v>(3,440),</v>
      </c>
    </row>
    <row r="279" spans="1:3" ht="20.149999999999999" customHeight="1" x14ac:dyDescent="0.35">
      <c r="A279" s="4">
        <v>3</v>
      </c>
      <c r="B279" s="4">
        <v>441</v>
      </c>
      <c r="C279" s="16" t="str">
        <f t="shared" ref="C279:C342" si="6">CONCATENATE("(",A279,",",B279,"),")</f>
        <v>(3,441),</v>
      </c>
    </row>
    <row r="280" spans="1:3" ht="20.149999999999999" customHeight="1" x14ac:dyDescent="0.35">
      <c r="A280" s="4">
        <v>3</v>
      </c>
      <c r="B280" s="4">
        <v>442</v>
      </c>
      <c r="C280" s="16" t="str">
        <f t="shared" si="6"/>
        <v>(3,442),</v>
      </c>
    </row>
    <row r="281" spans="1:3" ht="20.149999999999999" customHeight="1" x14ac:dyDescent="0.35">
      <c r="A281" s="4">
        <v>3</v>
      </c>
      <c r="B281" s="4">
        <v>443</v>
      </c>
      <c r="C281" s="16" t="str">
        <f t="shared" si="6"/>
        <v>(3,443),</v>
      </c>
    </row>
    <row r="282" spans="1:3" ht="20.149999999999999" customHeight="1" x14ac:dyDescent="0.35">
      <c r="A282" s="4">
        <v>3</v>
      </c>
      <c r="B282" s="4">
        <v>444</v>
      </c>
      <c r="C282" s="16" t="str">
        <f t="shared" si="6"/>
        <v>(3,444),</v>
      </c>
    </row>
    <row r="283" spans="1:3" ht="20.149999999999999" customHeight="1" x14ac:dyDescent="0.35">
      <c r="A283" s="4">
        <v>8</v>
      </c>
      <c r="B283" s="4">
        <v>445</v>
      </c>
      <c r="C283" s="16" t="str">
        <f t="shared" si="6"/>
        <v>(8,445),</v>
      </c>
    </row>
    <row r="284" spans="1:3" ht="20.149999999999999" customHeight="1" x14ac:dyDescent="0.35">
      <c r="A284" s="4">
        <v>8</v>
      </c>
      <c r="B284" s="4">
        <v>446</v>
      </c>
      <c r="C284" s="16" t="str">
        <f t="shared" si="6"/>
        <v>(8,446),</v>
      </c>
    </row>
    <row r="285" spans="1:3" ht="20.149999999999999" customHeight="1" x14ac:dyDescent="0.35">
      <c r="A285" s="4">
        <v>8</v>
      </c>
      <c r="B285" s="4">
        <v>447</v>
      </c>
      <c r="C285" s="16" t="str">
        <f t="shared" si="6"/>
        <v>(8,447),</v>
      </c>
    </row>
    <row r="286" spans="1:3" ht="20.149999999999999" customHeight="1" x14ac:dyDescent="0.35">
      <c r="A286" s="4">
        <v>8</v>
      </c>
      <c r="B286" s="4">
        <v>448</v>
      </c>
      <c r="C286" s="16" t="str">
        <f t="shared" si="6"/>
        <v>(8,448),</v>
      </c>
    </row>
    <row r="287" spans="1:3" ht="20.149999999999999" customHeight="1" x14ac:dyDescent="0.35">
      <c r="A287" s="4">
        <v>8</v>
      </c>
      <c r="B287" s="4">
        <v>449</v>
      </c>
      <c r="C287" s="16" t="str">
        <f t="shared" si="6"/>
        <v>(8,449),</v>
      </c>
    </row>
    <row r="288" spans="1:3" ht="20.149999999999999" customHeight="1" x14ac:dyDescent="0.35">
      <c r="A288" s="4">
        <v>8</v>
      </c>
      <c r="B288" s="4">
        <v>450</v>
      </c>
      <c r="C288" s="16" t="str">
        <f t="shared" si="6"/>
        <v>(8,450),</v>
      </c>
    </row>
    <row r="289" spans="1:3" ht="20.149999999999999" customHeight="1" x14ac:dyDescent="0.35">
      <c r="A289" s="4">
        <v>8</v>
      </c>
      <c r="B289" s="4">
        <v>451</v>
      </c>
      <c r="C289" s="16" t="str">
        <f t="shared" si="6"/>
        <v>(8,451),</v>
      </c>
    </row>
    <row r="290" spans="1:3" ht="20.149999999999999" customHeight="1" x14ac:dyDescent="0.35">
      <c r="A290" s="4">
        <v>8</v>
      </c>
      <c r="B290" s="4">
        <v>452</v>
      </c>
      <c r="C290" s="16" t="str">
        <f t="shared" si="6"/>
        <v>(8,452),</v>
      </c>
    </row>
    <row r="291" spans="1:3" ht="20.149999999999999" customHeight="1" x14ac:dyDescent="0.35">
      <c r="A291" s="4">
        <v>8</v>
      </c>
      <c r="B291" s="4">
        <v>453</v>
      </c>
      <c r="C291" s="16" t="str">
        <f t="shared" si="6"/>
        <v>(8,453),</v>
      </c>
    </row>
    <row r="292" spans="1:3" ht="20.149999999999999" customHeight="1" x14ac:dyDescent="0.35">
      <c r="A292" s="4">
        <v>9</v>
      </c>
      <c r="B292" s="4">
        <v>454</v>
      </c>
      <c r="C292" s="16" t="str">
        <f t="shared" si="6"/>
        <v>(9,454),</v>
      </c>
    </row>
    <row r="293" spans="1:3" ht="20.149999999999999" customHeight="1" x14ac:dyDescent="0.35">
      <c r="A293" s="4">
        <v>9</v>
      </c>
      <c r="B293" s="4">
        <v>455</v>
      </c>
      <c r="C293" s="16" t="str">
        <f t="shared" si="6"/>
        <v>(9,455),</v>
      </c>
    </row>
    <row r="294" spans="1:3" ht="20.149999999999999" customHeight="1" x14ac:dyDescent="0.35">
      <c r="A294" s="4">
        <v>9</v>
      </c>
      <c r="B294" s="4">
        <v>456</v>
      </c>
      <c r="C294" s="16" t="str">
        <f t="shared" si="6"/>
        <v>(9,456),</v>
      </c>
    </row>
    <row r="295" spans="1:3" ht="20.149999999999999" customHeight="1" x14ac:dyDescent="0.35">
      <c r="A295" s="4">
        <v>9</v>
      </c>
      <c r="B295" s="4">
        <v>457</v>
      </c>
      <c r="C295" s="16" t="str">
        <f t="shared" si="6"/>
        <v>(9,457),</v>
      </c>
    </row>
    <row r="296" spans="1:3" ht="20.149999999999999" customHeight="1" x14ac:dyDescent="0.35">
      <c r="A296" s="4">
        <v>9</v>
      </c>
      <c r="B296" s="4">
        <v>458</v>
      </c>
      <c r="C296" s="16" t="str">
        <f t="shared" si="6"/>
        <v>(9,458),</v>
      </c>
    </row>
    <row r="297" spans="1:3" ht="20.149999999999999" customHeight="1" x14ac:dyDescent="0.35">
      <c r="A297" s="4">
        <v>9</v>
      </c>
      <c r="B297" s="4">
        <v>459</v>
      </c>
      <c r="C297" s="16" t="str">
        <f t="shared" si="6"/>
        <v>(9,459),</v>
      </c>
    </row>
    <row r="298" spans="1:3" ht="20.149999999999999" customHeight="1" x14ac:dyDescent="0.35">
      <c r="A298" s="4">
        <v>1</v>
      </c>
      <c r="B298" s="4">
        <v>501</v>
      </c>
      <c r="C298" s="16" t="str">
        <f t="shared" si="6"/>
        <v>(1,501),</v>
      </c>
    </row>
    <row r="299" spans="1:3" ht="20.149999999999999" customHeight="1" x14ac:dyDescent="0.35">
      <c r="A299" s="4">
        <v>1</v>
      </c>
      <c r="B299" s="4">
        <v>502</v>
      </c>
      <c r="C299" s="16" t="str">
        <f t="shared" si="6"/>
        <v>(1,502),</v>
      </c>
    </row>
    <row r="300" spans="1:3" ht="20.149999999999999" customHeight="1" x14ac:dyDescent="0.35">
      <c r="A300" s="4">
        <v>1</v>
      </c>
      <c r="B300" s="4">
        <v>503</v>
      </c>
      <c r="C300" s="16" t="str">
        <f t="shared" si="6"/>
        <v>(1,503),</v>
      </c>
    </row>
    <row r="301" spans="1:3" ht="20.149999999999999" customHeight="1" x14ac:dyDescent="0.35">
      <c r="A301" s="4">
        <v>1</v>
      </c>
      <c r="B301" s="4">
        <v>504</v>
      </c>
      <c r="C301" s="16" t="str">
        <f t="shared" si="6"/>
        <v>(1,504),</v>
      </c>
    </row>
    <row r="302" spans="1:3" ht="20.149999999999999" customHeight="1" x14ac:dyDescent="0.35">
      <c r="A302" s="4">
        <v>1</v>
      </c>
      <c r="B302" s="4">
        <v>505</v>
      </c>
      <c r="C302" s="16" t="str">
        <f t="shared" si="6"/>
        <v>(1,505),</v>
      </c>
    </row>
    <row r="303" spans="1:3" ht="20.149999999999999" customHeight="1" x14ac:dyDescent="0.35">
      <c r="A303" s="4">
        <v>1</v>
      </c>
      <c r="B303" s="4">
        <v>506</v>
      </c>
      <c r="C303" s="16" t="str">
        <f t="shared" si="6"/>
        <v>(1,506),</v>
      </c>
    </row>
    <row r="304" spans="1:3" ht="20.149999999999999" customHeight="1" x14ac:dyDescent="0.35">
      <c r="A304" s="4">
        <v>1</v>
      </c>
      <c r="B304" s="4">
        <v>507</v>
      </c>
      <c r="C304" s="16" t="str">
        <f t="shared" si="6"/>
        <v>(1,507),</v>
      </c>
    </row>
    <row r="305" spans="1:3" ht="20.149999999999999" customHeight="1" x14ac:dyDescent="0.35">
      <c r="A305" s="4">
        <v>1</v>
      </c>
      <c r="B305" s="4">
        <v>508</v>
      </c>
      <c r="C305" s="16" t="str">
        <f t="shared" si="6"/>
        <v>(1,508),</v>
      </c>
    </row>
    <row r="306" spans="1:3" ht="20.149999999999999" customHeight="1" x14ac:dyDescent="0.35">
      <c r="A306" s="4">
        <v>6</v>
      </c>
      <c r="B306" s="4">
        <v>509</v>
      </c>
      <c r="C306" s="16" t="str">
        <f t="shared" si="6"/>
        <v>(6,509),</v>
      </c>
    </row>
    <row r="307" spans="1:3" ht="20.149999999999999" customHeight="1" x14ac:dyDescent="0.35">
      <c r="A307" s="4">
        <v>6</v>
      </c>
      <c r="B307" s="4">
        <v>510</v>
      </c>
      <c r="C307" s="16" t="str">
        <f t="shared" si="6"/>
        <v>(6,510),</v>
      </c>
    </row>
    <row r="308" spans="1:3" ht="20.149999999999999" customHeight="1" x14ac:dyDescent="0.35">
      <c r="A308" s="4">
        <v>6</v>
      </c>
      <c r="B308" s="4">
        <v>511</v>
      </c>
      <c r="C308" s="16" t="str">
        <f t="shared" si="6"/>
        <v>(6,511),</v>
      </c>
    </row>
    <row r="309" spans="1:3" ht="20.149999999999999" customHeight="1" x14ac:dyDescent="0.35">
      <c r="A309" s="4">
        <v>6</v>
      </c>
      <c r="B309" s="4">
        <v>512</v>
      </c>
      <c r="C309" s="16" t="str">
        <f t="shared" si="6"/>
        <v>(6,512),</v>
      </c>
    </row>
    <row r="310" spans="1:3" ht="20.149999999999999" customHeight="1" x14ac:dyDescent="0.35">
      <c r="A310" s="4">
        <v>6</v>
      </c>
      <c r="B310" s="4">
        <v>513</v>
      </c>
      <c r="C310" s="16" t="str">
        <f t="shared" si="6"/>
        <v>(6,513),</v>
      </c>
    </row>
    <row r="311" spans="1:3" ht="20.149999999999999" customHeight="1" x14ac:dyDescent="0.35">
      <c r="A311" s="4">
        <v>6</v>
      </c>
      <c r="B311" s="4">
        <v>514</v>
      </c>
      <c r="C311" s="16" t="str">
        <f t="shared" si="6"/>
        <v>(6,514),</v>
      </c>
    </row>
    <row r="312" spans="1:3" ht="20.149999999999999" customHeight="1" x14ac:dyDescent="0.35">
      <c r="A312" s="4">
        <v>6</v>
      </c>
      <c r="B312" s="4">
        <v>515</v>
      </c>
      <c r="C312" s="16" t="str">
        <f t="shared" si="6"/>
        <v>(6,515),</v>
      </c>
    </row>
    <row r="313" spans="1:3" ht="20.149999999999999" customHeight="1" x14ac:dyDescent="0.35">
      <c r="A313" s="4">
        <v>6</v>
      </c>
      <c r="B313" s="4">
        <v>516</v>
      </c>
      <c r="C313" s="16" t="str">
        <f t="shared" si="6"/>
        <v>(6,516),</v>
      </c>
    </row>
    <row r="314" spans="1:3" ht="20.149999999999999" customHeight="1" x14ac:dyDescent="0.35">
      <c r="A314" s="4">
        <v>6</v>
      </c>
      <c r="B314" s="4">
        <v>517</v>
      </c>
      <c r="C314" s="16" t="str">
        <f t="shared" si="6"/>
        <v>(6,517),</v>
      </c>
    </row>
    <row r="315" spans="1:3" ht="20.149999999999999" customHeight="1" x14ac:dyDescent="0.35">
      <c r="A315" s="4">
        <v>6</v>
      </c>
      <c r="B315" s="4">
        <v>518</v>
      </c>
      <c r="C315" s="16" t="str">
        <f t="shared" si="6"/>
        <v>(6,518),</v>
      </c>
    </row>
    <row r="316" spans="1:3" ht="20.149999999999999" customHeight="1" x14ac:dyDescent="0.35">
      <c r="A316" s="4">
        <v>6</v>
      </c>
      <c r="B316" s="4">
        <v>519</v>
      </c>
      <c r="C316" s="16" t="str">
        <f t="shared" si="6"/>
        <v>(6,519),</v>
      </c>
    </row>
    <row r="317" spans="1:3" ht="20.149999999999999" customHeight="1" x14ac:dyDescent="0.35">
      <c r="A317" s="4">
        <v>6</v>
      </c>
      <c r="B317" s="4">
        <v>520</v>
      </c>
      <c r="C317" s="16" t="str">
        <f t="shared" si="6"/>
        <v>(6,520),</v>
      </c>
    </row>
    <row r="318" spans="1:3" ht="20.149999999999999" customHeight="1" x14ac:dyDescent="0.35">
      <c r="A318" s="4">
        <v>3</v>
      </c>
      <c r="B318" s="4">
        <v>521</v>
      </c>
      <c r="C318" s="16" t="str">
        <f t="shared" si="6"/>
        <v>(3,521),</v>
      </c>
    </row>
    <row r="319" spans="1:3" ht="20.149999999999999" customHeight="1" x14ac:dyDescent="0.35">
      <c r="A319" s="4">
        <v>3</v>
      </c>
      <c r="B319" s="4">
        <v>522</v>
      </c>
      <c r="C319" s="16" t="str">
        <f t="shared" si="6"/>
        <v>(3,522),</v>
      </c>
    </row>
    <row r="320" spans="1:3" ht="20.149999999999999" customHeight="1" x14ac:dyDescent="0.35">
      <c r="A320" s="4">
        <v>3</v>
      </c>
      <c r="B320" s="4">
        <v>523</v>
      </c>
      <c r="C320" s="16" t="str">
        <f t="shared" si="6"/>
        <v>(3,523),</v>
      </c>
    </row>
    <row r="321" spans="1:3" ht="20.149999999999999" customHeight="1" x14ac:dyDescent="0.35">
      <c r="A321" s="4">
        <v>3</v>
      </c>
      <c r="B321" s="4">
        <v>524</v>
      </c>
      <c r="C321" s="16" t="str">
        <f t="shared" si="6"/>
        <v>(3,524),</v>
      </c>
    </row>
    <row r="322" spans="1:3" ht="20.149999999999999" customHeight="1" x14ac:dyDescent="0.35">
      <c r="A322" s="4">
        <v>3</v>
      </c>
      <c r="B322" s="4">
        <v>525</v>
      </c>
      <c r="C322" s="16" t="str">
        <f t="shared" si="6"/>
        <v>(3,525),</v>
      </c>
    </row>
    <row r="323" spans="1:3" ht="20.149999999999999" customHeight="1" x14ac:dyDescent="0.35">
      <c r="A323" s="4">
        <v>3</v>
      </c>
      <c r="B323" s="4">
        <v>526</v>
      </c>
      <c r="C323" s="16" t="str">
        <f t="shared" si="6"/>
        <v>(3,526),</v>
      </c>
    </row>
    <row r="324" spans="1:3" ht="20.149999999999999" customHeight="1" x14ac:dyDescent="0.35">
      <c r="A324" s="4">
        <v>3</v>
      </c>
      <c r="B324" s="4">
        <v>527</v>
      </c>
      <c r="C324" s="16" t="str">
        <f t="shared" si="6"/>
        <v>(3,527),</v>
      </c>
    </row>
    <row r="325" spans="1:3" ht="20.149999999999999" customHeight="1" x14ac:dyDescent="0.35">
      <c r="A325" s="4">
        <v>3</v>
      </c>
      <c r="B325" s="4">
        <v>528</v>
      </c>
      <c r="C325" s="16" t="str">
        <f t="shared" si="6"/>
        <v>(3,528),</v>
      </c>
    </row>
    <row r="326" spans="1:3" ht="20.149999999999999" customHeight="1" x14ac:dyDescent="0.35">
      <c r="A326" s="4">
        <v>3</v>
      </c>
      <c r="B326" s="4">
        <v>529</v>
      </c>
      <c r="C326" s="16" t="str">
        <f t="shared" si="6"/>
        <v>(3,529),</v>
      </c>
    </row>
    <row r="327" spans="1:3" ht="20.149999999999999" customHeight="1" x14ac:dyDescent="0.35">
      <c r="A327" s="4">
        <v>3</v>
      </c>
      <c r="B327" s="4">
        <v>530</v>
      </c>
      <c r="C327" s="16" t="str">
        <f t="shared" si="6"/>
        <v>(3,530),</v>
      </c>
    </row>
    <row r="328" spans="1:3" ht="20.149999999999999" customHeight="1" x14ac:dyDescent="0.35">
      <c r="A328" s="4">
        <v>3</v>
      </c>
      <c r="B328" s="4">
        <v>531</v>
      </c>
      <c r="C328" s="16" t="str">
        <f t="shared" si="6"/>
        <v>(3,531),</v>
      </c>
    </row>
    <row r="329" spans="1:3" ht="20.149999999999999" customHeight="1" x14ac:dyDescent="0.35">
      <c r="A329" s="4">
        <v>3</v>
      </c>
      <c r="B329" s="4">
        <v>532</v>
      </c>
      <c r="C329" s="16" t="str">
        <f t="shared" si="6"/>
        <v>(3,532),</v>
      </c>
    </row>
    <row r="330" spans="1:3" ht="20.149999999999999" customHeight="1" x14ac:dyDescent="0.35">
      <c r="A330" s="4">
        <v>3</v>
      </c>
      <c r="B330" s="4">
        <v>533</v>
      </c>
      <c r="C330" s="16" t="str">
        <f t="shared" si="6"/>
        <v>(3,533),</v>
      </c>
    </row>
    <row r="331" spans="1:3" ht="20.149999999999999" customHeight="1" x14ac:dyDescent="0.35">
      <c r="A331" s="4">
        <v>3</v>
      </c>
      <c r="B331" s="4">
        <v>534</v>
      </c>
      <c r="C331" s="16" t="str">
        <f t="shared" si="6"/>
        <v>(3,534),</v>
      </c>
    </row>
    <row r="332" spans="1:3" ht="20.149999999999999" customHeight="1" x14ac:dyDescent="0.35">
      <c r="A332" s="4">
        <v>3</v>
      </c>
      <c r="B332" s="4">
        <v>535</v>
      </c>
      <c r="C332" s="16" t="str">
        <f t="shared" si="6"/>
        <v>(3,535),</v>
      </c>
    </row>
    <row r="333" spans="1:3" ht="20.149999999999999" customHeight="1" x14ac:dyDescent="0.35">
      <c r="A333" s="4">
        <v>3</v>
      </c>
      <c r="B333" s="4">
        <v>536</v>
      </c>
      <c r="C333" s="16" t="str">
        <f t="shared" si="6"/>
        <v>(3,536),</v>
      </c>
    </row>
    <row r="334" spans="1:3" ht="20.149999999999999" customHeight="1" x14ac:dyDescent="0.35">
      <c r="A334" s="4">
        <v>3</v>
      </c>
      <c r="B334" s="4">
        <v>537</v>
      </c>
      <c r="C334" s="16" t="str">
        <f t="shared" si="6"/>
        <v>(3,537),</v>
      </c>
    </row>
    <row r="335" spans="1:3" ht="20.149999999999999" customHeight="1" x14ac:dyDescent="0.35">
      <c r="A335" s="4">
        <v>3</v>
      </c>
      <c r="B335" s="4">
        <v>538</v>
      </c>
      <c r="C335" s="16" t="str">
        <f t="shared" si="6"/>
        <v>(3,538),</v>
      </c>
    </row>
    <row r="336" spans="1:3" ht="20.149999999999999" customHeight="1" x14ac:dyDescent="0.35">
      <c r="A336" s="4">
        <v>3</v>
      </c>
      <c r="B336" s="4">
        <v>539</v>
      </c>
      <c r="C336" s="16" t="str">
        <f t="shared" si="6"/>
        <v>(3,539),</v>
      </c>
    </row>
    <row r="337" spans="1:3" ht="20.149999999999999" customHeight="1" x14ac:dyDescent="0.35">
      <c r="A337" s="4">
        <v>3</v>
      </c>
      <c r="B337" s="4">
        <v>540</v>
      </c>
      <c r="C337" s="16" t="str">
        <f t="shared" si="6"/>
        <v>(3,540),</v>
      </c>
    </row>
    <row r="338" spans="1:3" ht="20.149999999999999" customHeight="1" x14ac:dyDescent="0.35">
      <c r="A338" s="4">
        <v>3</v>
      </c>
      <c r="B338" s="4">
        <v>541</v>
      </c>
      <c r="C338" s="16" t="str">
        <f t="shared" si="6"/>
        <v>(3,541),</v>
      </c>
    </row>
    <row r="339" spans="1:3" ht="20.149999999999999" customHeight="1" x14ac:dyDescent="0.35">
      <c r="A339" s="4">
        <v>3</v>
      </c>
      <c r="B339" s="4">
        <v>542</v>
      </c>
      <c r="C339" s="16" t="str">
        <f t="shared" si="6"/>
        <v>(3,542),</v>
      </c>
    </row>
    <row r="340" spans="1:3" ht="20.149999999999999" customHeight="1" x14ac:dyDescent="0.35">
      <c r="A340" s="4">
        <v>3</v>
      </c>
      <c r="B340" s="4">
        <v>543</v>
      </c>
      <c r="C340" s="16" t="str">
        <f t="shared" si="6"/>
        <v>(3,543),</v>
      </c>
    </row>
    <row r="341" spans="1:3" ht="20.149999999999999" customHeight="1" x14ac:dyDescent="0.35">
      <c r="A341" s="4">
        <v>3</v>
      </c>
      <c r="B341" s="4">
        <v>544</v>
      </c>
      <c r="C341" s="16" t="str">
        <f t="shared" si="6"/>
        <v>(3,544),</v>
      </c>
    </row>
    <row r="342" spans="1:3" ht="20.149999999999999" customHeight="1" x14ac:dyDescent="0.35">
      <c r="A342" s="4">
        <v>8</v>
      </c>
      <c r="B342" s="4">
        <v>545</v>
      </c>
      <c r="C342" s="16" t="str">
        <f t="shared" si="6"/>
        <v>(8,545),</v>
      </c>
    </row>
    <row r="343" spans="1:3" ht="20.149999999999999" customHeight="1" x14ac:dyDescent="0.35">
      <c r="A343" s="4">
        <v>8</v>
      </c>
      <c r="B343" s="4">
        <v>546</v>
      </c>
      <c r="C343" s="16" t="str">
        <f t="shared" ref="C343:C406" si="7">CONCATENATE("(",A343,",",B343,"),")</f>
        <v>(8,546),</v>
      </c>
    </row>
    <row r="344" spans="1:3" ht="20.149999999999999" customHeight="1" x14ac:dyDescent="0.35">
      <c r="A344" s="4">
        <v>8</v>
      </c>
      <c r="B344" s="4">
        <v>547</v>
      </c>
      <c r="C344" s="16" t="str">
        <f t="shared" si="7"/>
        <v>(8,547),</v>
      </c>
    </row>
    <row r="345" spans="1:3" ht="20.149999999999999" customHeight="1" x14ac:dyDescent="0.35">
      <c r="A345" s="4">
        <v>8</v>
      </c>
      <c r="B345" s="4">
        <v>548</v>
      </c>
      <c r="C345" s="16" t="str">
        <f t="shared" si="7"/>
        <v>(8,548),</v>
      </c>
    </row>
    <row r="346" spans="1:3" ht="20.149999999999999" customHeight="1" x14ac:dyDescent="0.35">
      <c r="A346" s="4">
        <v>8</v>
      </c>
      <c r="B346" s="4">
        <v>549</v>
      </c>
      <c r="C346" s="16" t="str">
        <f t="shared" si="7"/>
        <v>(8,549),</v>
      </c>
    </row>
    <row r="347" spans="1:3" ht="20.149999999999999" customHeight="1" x14ac:dyDescent="0.35">
      <c r="A347" s="4">
        <v>8</v>
      </c>
      <c r="B347" s="4">
        <v>550</v>
      </c>
      <c r="C347" s="16" t="str">
        <f t="shared" si="7"/>
        <v>(8,550),</v>
      </c>
    </row>
    <row r="348" spans="1:3" ht="20.149999999999999" customHeight="1" x14ac:dyDescent="0.35">
      <c r="A348" s="4">
        <v>8</v>
      </c>
      <c r="B348" s="4">
        <v>551</v>
      </c>
      <c r="C348" s="16" t="str">
        <f t="shared" si="7"/>
        <v>(8,551),</v>
      </c>
    </row>
    <row r="349" spans="1:3" ht="20.149999999999999" customHeight="1" x14ac:dyDescent="0.35">
      <c r="A349" s="4">
        <v>8</v>
      </c>
      <c r="B349" s="4">
        <v>552</v>
      </c>
      <c r="C349" s="16" t="str">
        <f t="shared" si="7"/>
        <v>(8,552),</v>
      </c>
    </row>
    <row r="350" spans="1:3" ht="20.149999999999999" customHeight="1" x14ac:dyDescent="0.35">
      <c r="A350" s="4">
        <v>8</v>
      </c>
      <c r="B350" s="4">
        <v>553</v>
      </c>
      <c r="C350" s="16" t="str">
        <f t="shared" si="7"/>
        <v>(8,553),</v>
      </c>
    </row>
    <row r="351" spans="1:3" ht="20.149999999999999" customHeight="1" x14ac:dyDescent="0.35">
      <c r="A351" s="4">
        <v>10</v>
      </c>
      <c r="B351" s="4">
        <v>554</v>
      </c>
      <c r="C351" s="16" t="str">
        <f t="shared" si="7"/>
        <v>(10,554),</v>
      </c>
    </row>
    <row r="352" spans="1:3" ht="20.149999999999999" customHeight="1" x14ac:dyDescent="0.35">
      <c r="A352" s="4">
        <v>10</v>
      </c>
      <c r="B352" s="4">
        <v>555</v>
      </c>
      <c r="C352" s="16" t="str">
        <f t="shared" si="7"/>
        <v>(10,555),</v>
      </c>
    </row>
    <row r="353" spans="1:3" ht="20.149999999999999" customHeight="1" x14ac:dyDescent="0.35">
      <c r="A353" s="4">
        <v>10</v>
      </c>
      <c r="B353" s="4">
        <v>556</v>
      </c>
      <c r="C353" s="16" t="str">
        <f t="shared" si="7"/>
        <v>(10,556),</v>
      </c>
    </row>
    <row r="354" spans="1:3" ht="20.149999999999999" customHeight="1" x14ac:dyDescent="0.35">
      <c r="A354" s="4">
        <v>10</v>
      </c>
      <c r="B354" s="4">
        <v>557</v>
      </c>
      <c r="C354" s="16" t="str">
        <f t="shared" si="7"/>
        <v>(10,557),</v>
      </c>
    </row>
    <row r="355" spans="1:3" ht="20.149999999999999" customHeight="1" x14ac:dyDescent="0.35">
      <c r="A355" s="4">
        <v>10</v>
      </c>
      <c r="B355" s="4">
        <v>558</v>
      </c>
      <c r="C355" s="16" t="str">
        <f t="shared" si="7"/>
        <v>(10,558),</v>
      </c>
    </row>
    <row r="356" spans="1:3" ht="20.149999999999999" customHeight="1" x14ac:dyDescent="0.35">
      <c r="A356" s="4">
        <v>10</v>
      </c>
      <c r="B356" s="4">
        <v>559</v>
      </c>
      <c r="C356" s="16" t="str">
        <f t="shared" si="7"/>
        <v>(10,559),</v>
      </c>
    </row>
    <row r="357" spans="1:3" ht="20.149999999999999" customHeight="1" x14ac:dyDescent="0.35">
      <c r="A357" s="4">
        <v>1</v>
      </c>
      <c r="B357" s="4">
        <v>601</v>
      </c>
      <c r="C357" s="16" t="str">
        <f t="shared" si="7"/>
        <v>(1,601),</v>
      </c>
    </row>
    <row r="358" spans="1:3" ht="20.149999999999999" customHeight="1" x14ac:dyDescent="0.35">
      <c r="A358" s="4">
        <v>1</v>
      </c>
      <c r="B358" s="4">
        <v>602</v>
      </c>
      <c r="C358" s="16" t="str">
        <f t="shared" si="7"/>
        <v>(1,602),</v>
      </c>
    </row>
    <row r="359" spans="1:3" ht="20.149999999999999" customHeight="1" x14ac:dyDescent="0.35">
      <c r="A359" s="4">
        <v>1</v>
      </c>
      <c r="B359" s="4">
        <v>603</v>
      </c>
      <c r="C359" s="16" t="str">
        <f t="shared" si="7"/>
        <v>(1,603),</v>
      </c>
    </row>
    <row r="360" spans="1:3" ht="20.149999999999999" customHeight="1" x14ac:dyDescent="0.35">
      <c r="A360" s="4">
        <v>1</v>
      </c>
      <c r="B360" s="4">
        <v>604</v>
      </c>
      <c r="C360" s="16" t="str">
        <f t="shared" si="7"/>
        <v>(1,604),</v>
      </c>
    </row>
    <row r="361" spans="1:3" ht="20.149999999999999" customHeight="1" x14ac:dyDescent="0.35">
      <c r="A361" s="4">
        <v>1</v>
      </c>
      <c r="B361" s="4">
        <v>605</v>
      </c>
      <c r="C361" s="16" t="str">
        <f t="shared" si="7"/>
        <v>(1,605),</v>
      </c>
    </row>
    <row r="362" spans="1:3" ht="20.149999999999999" customHeight="1" x14ac:dyDescent="0.35">
      <c r="A362" s="4">
        <v>1</v>
      </c>
      <c r="B362" s="4">
        <v>606</v>
      </c>
      <c r="C362" s="16" t="str">
        <f t="shared" si="7"/>
        <v>(1,606),</v>
      </c>
    </row>
    <row r="363" spans="1:3" ht="20.149999999999999" customHeight="1" x14ac:dyDescent="0.35">
      <c r="A363" s="4">
        <v>1</v>
      </c>
      <c r="B363" s="4">
        <v>607</v>
      </c>
      <c r="C363" s="16" t="str">
        <f t="shared" si="7"/>
        <v>(1,607),</v>
      </c>
    </row>
    <row r="364" spans="1:3" ht="20.149999999999999" customHeight="1" x14ac:dyDescent="0.35">
      <c r="A364" s="4">
        <v>1</v>
      </c>
      <c r="B364" s="4">
        <v>608</v>
      </c>
      <c r="C364" s="16" t="str">
        <f t="shared" si="7"/>
        <v>(1,608),</v>
      </c>
    </row>
    <row r="365" spans="1:3" ht="20.149999999999999" customHeight="1" x14ac:dyDescent="0.35">
      <c r="A365" s="4">
        <v>6</v>
      </c>
      <c r="B365" s="4">
        <v>609</v>
      </c>
      <c r="C365" s="16" t="str">
        <f t="shared" si="7"/>
        <v>(6,609),</v>
      </c>
    </row>
    <row r="366" spans="1:3" ht="20.149999999999999" customHeight="1" x14ac:dyDescent="0.35">
      <c r="A366" s="4">
        <v>6</v>
      </c>
      <c r="B366" s="4">
        <v>610</v>
      </c>
      <c r="C366" s="16" t="str">
        <f t="shared" si="7"/>
        <v>(6,610),</v>
      </c>
    </row>
    <row r="367" spans="1:3" ht="20.149999999999999" customHeight="1" x14ac:dyDescent="0.35">
      <c r="A367" s="4">
        <v>6</v>
      </c>
      <c r="B367" s="4">
        <v>611</v>
      </c>
      <c r="C367" s="16" t="str">
        <f t="shared" si="7"/>
        <v>(6,611),</v>
      </c>
    </row>
    <row r="368" spans="1:3" ht="20.149999999999999" customHeight="1" x14ac:dyDescent="0.35">
      <c r="A368" s="4">
        <v>6</v>
      </c>
      <c r="B368" s="4">
        <v>612</v>
      </c>
      <c r="C368" s="16" t="str">
        <f t="shared" si="7"/>
        <v>(6,612),</v>
      </c>
    </row>
    <row r="369" spans="1:3" ht="20.149999999999999" customHeight="1" x14ac:dyDescent="0.35">
      <c r="A369" s="4">
        <v>6</v>
      </c>
      <c r="B369" s="4">
        <v>613</v>
      </c>
      <c r="C369" s="16" t="str">
        <f t="shared" si="7"/>
        <v>(6,613),</v>
      </c>
    </row>
    <row r="370" spans="1:3" ht="20.149999999999999" customHeight="1" x14ac:dyDescent="0.35">
      <c r="A370" s="4">
        <v>6</v>
      </c>
      <c r="B370" s="4">
        <v>614</v>
      </c>
      <c r="C370" s="16" t="str">
        <f t="shared" si="7"/>
        <v>(6,614),</v>
      </c>
    </row>
    <row r="371" spans="1:3" ht="20.149999999999999" customHeight="1" x14ac:dyDescent="0.35">
      <c r="A371" s="4">
        <v>6</v>
      </c>
      <c r="B371" s="4">
        <v>615</v>
      </c>
      <c r="C371" s="16" t="str">
        <f t="shared" si="7"/>
        <v>(6,615),</v>
      </c>
    </row>
    <row r="372" spans="1:3" ht="20.149999999999999" customHeight="1" x14ac:dyDescent="0.35">
      <c r="A372" s="4">
        <v>6</v>
      </c>
      <c r="B372" s="4">
        <v>616</v>
      </c>
      <c r="C372" s="16" t="str">
        <f t="shared" si="7"/>
        <v>(6,616),</v>
      </c>
    </row>
    <row r="373" spans="1:3" ht="20.149999999999999" customHeight="1" x14ac:dyDescent="0.35">
      <c r="A373" s="4">
        <v>6</v>
      </c>
      <c r="B373" s="4">
        <v>617</v>
      </c>
      <c r="C373" s="16" t="str">
        <f t="shared" si="7"/>
        <v>(6,617),</v>
      </c>
    </row>
    <row r="374" spans="1:3" ht="20.149999999999999" customHeight="1" x14ac:dyDescent="0.35">
      <c r="A374" s="4">
        <v>6</v>
      </c>
      <c r="B374" s="4">
        <v>618</v>
      </c>
      <c r="C374" s="16" t="str">
        <f t="shared" si="7"/>
        <v>(6,618),</v>
      </c>
    </row>
    <row r="375" spans="1:3" ht="20.149999999999999" customHeight="1" x14ac:dyDescent="0.35">
      <c r="A375" s="4">
        <v>6</v>
      </c>
      <c r="B375" s="4">
        <v>619</v>
      </c>
      <c r="C375" s="16" t="str">
        <f t="shared" si="7"/>
        <v>(6,619),</v>
      </c>
    </row>
    <row r="376" spans="1:3" ht="20.149999999999999" customHeight="1" x14ac:dyDescent="0.35">
      <c r="A376" s="4">
        <v>6</v>
      </c>
      <c r="B376" s="4">
        <v>620</v>
      </c>
      <c r="C376" s="16" t="str">
        <f t="shared" si="7"/>
        <v>(6,620),</v>
      </c>
    </row>
    <row r="377" spans="1:3" ht="20.149999999999999" customHeight="1" x14ac:dyDescent="0.35">
      <c r="A377" s="4">
        <v>3</v>
      </c>
      <c r="B377" s="4">
        <v>621</v>
      </c>
      <c r="C377" s="16" t="str">
        <f t="shared" si="7"/>
        <v>(3,621),</v>
      </c>
    </row>
    <row r="378" spans="1:3" ht="20.149999999999999" customHeight="1" x14ac:dyDescent="0.35">
      <c r="A378" s="4">
        <v>3</v>
      </c>
      <c r="B378" s="4">
        <v>622</v>
      </c>
      <c r="C378" s="16" t="str">
        <f t="shared" si="7"/>
        <v>(3,622),</v>
      </c>
    </row>
    <row r="379" spans="1:3" ht="20.149999999999999" customHeight="1" x14ac:dyDescent="0.35">
      <c r="A379" s="4">
        <v>3</v>
      </c>
      <c r="B379" s="4">
        <v>623</v>
      </c>
      <c r="C379" s="16" t="str">
        <f t="shared" si="7"/>
        <v>(3,623),</v>
      </c>
    </row>
    <row r="380" spans="1:3" ht="20.149999999999999" customHeight="1" x14ac:dyDescent="0.35">
      <c r="A380" s="4">
        <v>3</v>
      </c>
      <c r="B380" s="4">
        <v>624</v>
      </c>
      <c r="C380" s="16" t="str">
        <f t="shared" si="7"/>
        <v>(3,624),</v>
      </c>
    </row>
    <row r="381" spans="1:3" ht="20.149999999999999" customHeight="1" x14ac:dyDescent="0.35">
      <c r="A381" s="4">
        <v>3</v>
      </c>
      <c r="B381" s="4">
        <v>625</v>
      </c>
      <c r="C381" s="16" t="str">
        <f t="shared" si="7"/>
        <v>(3,625),</v>
      </c>
    </row>
    <row r="382" spans="1:3" ht="20.149999999999999" customHeight="1" x14ac:dyDescent="0.35">
      <c r="A382" s="4">
        <v>3</v>
      </c>
      <c r="B382" s="4">
        <v>626</v>
      </c>
      <c r="C382" s="16" t="str">
        <f t="shared" si="7"/>
        <v>(3,626),</v>
      </c>
    </row>
    <row r="383" spans="1:3" ht="20.149999999999999" customHeight="1" x14ac:dyDescent="0.35">
      <c r="A383" s="4">
        <v>3</v>
      </c>
      <c r="B383" s="4">
        <v>627</v>
      </c>
      <c r="C383" s="16" t="str">
        <f t="shared" si="7"/>
        <v>(3,627),</v>
      </c>
    </row>
    <row r="384" spans="1:3" ht="20.149999999999999" customHeight="1" x14ac:dyDescent="0.35">
      <c r="A384" s="4">
        <v>3</v>
      </c>
      <c r="B384" s="4">
        <v>628</v>
      </c>
      <c r="C384" s="16" t="str">
        <f t="shared" si="7"/>
        <v>(3,628),</v>
      </c>
    </row>
    <row r="385" spans="1:3" ht="20.149999999999999" customHeight="1" x14ac:dyDescent="0.35">
      <c r="A385" s="4">
        <v>3</v>
      </c>
      <c r="B385" s="4">
        <v>629</v>
      </c>
      <c r="C385" s="16" t="str">
        <f t="shared" si="7"/>
        <v>(3,629),</v>
      </c>
    </row>
    <row r="386" spans="1:3" ht="20.149999999999999" customHeight="1" x14ac:dyDescent="0.35">
      <c r="A386" s="4">
        <v>3</v>
      </c>
      <c r="B386" s="4">
        <v>630</v>
      </c>
      <c r="C386" s="16" t="str">
        <f t="shared" si="7"/>
        <v>(3,630),</v>
      </c>
    </row>
    <row r="387" spans="1:3" ht="20.149999999999999" customHeight="1" x14ac:dyDescent="0.35">
      <c r="A387" s="4">
        <v>3</v>
      </c>
      <c r="B387" s="4">
        <v>631</v>
      </c>
      <c r="C387" s="16" t="str">
        <f t="shared" si="7"/>
        <v>(3,631),</v>
      </c>
    </row>
    <row r="388" spans="1:3" ht="20.149999999999999" customHeight="1" x14ac:dyDescent="0.35">
      <c r="A388" s="4">
        <v>3</v>
      </c>
      <c r="B388" s="4">
        <v>632</v>
      </c>
      <c r="C388" s="16" t="str">
        <f t="shared" si="7"/>
        <v>(3,632),</v>
      </c>
    </row>
    <row r="389" spans="1:3" ht="20.149999999999999" customHeight="1" x14ac:dyDescent="0.35">
      <c r="A389" s="4">
        <v>3</v>
      </c>
      <c r="B389" s="4">
        <v>633</v>
      </c>
      <c r="C389" s="16" t="str">
        <f t="shared" si="7"/>
        <v>(3,633),</v>
      </c>
    </row>
    <row r="390" spans="1:3" ht="20.149999999999999" customHeight="1" x14ac:dyDescent="0.35">
      <c r="A390" s="4">
        <v>3</v>
      </c>
      <c r="B390" s="4">
        <v>634</v>
      </c>
      <c r="C390" s="16" t="str">
        <f t="shared" si="7"/>
        <v>(3,634),</v>
      </c>
    </row>
    <row r="391" spans="1:3" ht="20.149999999999999" customHeight="1" x14ac:dyDescent="0.35">
      <c r="A391" s="4">
        <v>3</v>
      </c>
      <c r="B391" s="4">
        <v>635</v>
      </c>
      <c r="C391" s="16" t="str">
        <f t="shared" si="7"/>
        <v>(3,635),</v>
      </c>
    </row>
    <row r="392" spans="1:3" ht="20.149999999999999" customHeight="1" x14ac:dyDescent="0.35">
      <c r="A392" s="4">
        <v>3</v>
      </c>
      <c r="B392" s="4">
        <v>636</v>
      </c>
      <c r="C392" s="16" t="str">
        <f t="shared" si="7"/>
        <v>(3,636),</v>
      </c>
    </row>
    <row r="393" spans="1:3" ht="20.149999999999999" customHeight="1" x14ac:dyDescent="0.35">
      <c r="A393" s="4">
        <v>3</v>
      </c>
      <c r="B393" s="4">
        <v>637</v>
      </c>
      <c r="C393" s="16" t="str">
        <f t="shared" si="7"/>
        <v>(3,637),</v>
      </c>
    </row>
    <row r="394" spans="1:3" ht="20.149999999999999" customHeight="1" x14ac:dyDescent="0.35">
      <c r="A394" s="4">
        <v>3</v>
      </c>
      <c r="B394" s="4">
        <v>638</v>
      </c>
      <c r="C394" s="16" t="str">
        <f t="shared" si="7"/>
        <v>(3,638),</v>
      </c>
    </row>
    <row r="395" spans="1:3" ht="20.149999999999999" customHeight="1" x14ac:dyDescent="0.35">
      <c r="A395" s="4">
        <v>3</v>
      </c>
      <c r="B395" s="4">
        <v>639</v>
      </c>
      <c r="C395" s="16" t="str">
        <f t="shared" si="7"/>
        <v>(3,639),</v>
      </c>
    </row>
    <row r="396" spans="1:3" ht="20.149999999999999" customHeight="1" x14ac:dyDescent="0.35">
      <c r="A396" s="4">
        <v>3</v>
      </c>
      <c r="B396" s="4">
        <v>640</v>
      </c>
      <c r="C396" s="16" t="str">
        <f t="shared" si="7"/>
        <v>(3,640),</v>
      </c>
    </row>
    <row r="397" spans="1:3" ht="20.149999999999999" customHeight="1" x14ac:dyDescent="0.35">
      <c r="A397" s="4">
        <v>3</v>
      </c>
      <c r="B397" s="4">
        <v>641</v>
      </c>
      <c r="C397" s="16" t="str">
        <f t="shared" si="7"/>
        <v>(3,641),</v>
      </c>
    </row>
    <row r="398" spans="1:3" ht="20.149999999999999" customHeight="1" x14ac:dyDescent="0.35">
      <c r="A398" s="4">
        <v>3</v>
      </c>
      <c r="B398" s="4">
        <v>642</v>
      </c>
      <c r="C398" s="16" t="str">
        <f t="shared" si="7"/>
        <v>(3,642),</v>
      </c>
    </row>
    <row r="399" spans="1:3" ht="20.149999999999999" customHeight="1" x14ac:dyDescent="0.35">
      <c r="A399" s="4">
        <v>3</v>
      </c>
      <c r="B399" s="4">
        <v>643</v>
      </c>
      <c r="C399" s="16" t="str">
        <f t="shared" si="7"/>
        <v>(3,643),</v>
      </c>
    </row>
    <row r="400" spans="1:3" ht="20.149999999999999" customHeight="1" x14ac:dyDescent="0.35">
      <c r="A400" s="4">
        <v>3</v>
      </c>
      <c r="B400" s="4">
        <v>644</v>
      </c>
      <c r="C400" s="16" t="str">
        <f t="shared" si="7"/>
        <v>(3,644),</v>
      </c>
    </row>
    <row r="401" spans="1:3" ht="20.149999999999999" customHeight="1" x14ac:dyDescent="0.35">
      <c r="A401" s="4">
        <v>8</v>
      </c>
      <c r="B401" s="4">
        <v>645</v>
      </c>
      <c r="C401" s="16" t="str">
        <f t="shared" si="7"/>
        <v>(8,645),</v>
      </c>
    </row>
    <row r="402" spans="1:3" ht="20.149999999999999" customHeight="1" x14ac:dyDescent="0.35">
      <c r="A402" s="4">
        <v>8</v>
      </c>
      <c r="B402" s="4">
        <v>646</v>
      </c>
      <c r="C402" s="16" t="str">
        <f t="shared" si="7"/>
        <v>(8,646),</v>
      </c>
    </row>
    <row r="403" spans="1:3" ht="20.149999999999999" customHeight="1" x14ac:dyDescent="0.35">
      <c r="A403" s="4">
        <v>8</v>
      </c>
      <c r="B403" s="4">
        <v>647</v>
      </c>
      <c r="C403" s="16" t="str">
        <f t="shared" si="7"/>
        <v>(8,647),</v>
      </c>
    </row>
    <row r="404" spans="1:3" ht="20.149999999999999" customHeight="1" x14ac:dyDescent="0.35">
      <c r="A404" s="4">
        <v>8</v>
      </c>
      <c r="B404" s="4">
        <v>648</v>
      </c>
      <c r="C404" s="16" t="str">
        <f t="shared" si="7"/>
        <v>(8,648),</v>
      </c>
    </row>
    <row r="405" spans="1:3" ht="20.149999999999999" customHeight="1" x14ac:dyDescent="0.35">
      <c r="A405" s="4">
        <v>8</v>
      </c>
      <c r="B405" s="4">
        <v>649</v>
      </c>
      <c r="C405" s="16" t="str">
        <f t="shared" si="7"/>
        <v>(8,649),</v>
      </c>
    </row>
    <row r="406" spans="1:3" ht="20.149999999999999" customHeight="1" x14ac:dyDescent="0.35">
      <c r="A406" s="4">
        <v>8</v>
      </c>
      <c r="B406" s="4">
        <v>650</v>
      </c>
      <c r="C406" s="16" t="str">
        <f t="shared" si="7"/>
        <v>(8,650),</v>
      </c>
    </row>
    <row r="407" spans="1:3" ht="20.149999999999999" customHeight="1" x14ac:dyDescent="0.35">
      <c r="A407" s="4">
        <v>8</v>
      </c>
      <c r="B407" s="4">
        <v>651</v>
      </c>
      <c r="C407" s="16" t="str">
        <f t="shared" ref="C407:C470" si="8">CONCATENATE("(",A407,",",B407,"),")</f>
        <v>(8,651),</v>
      </c>
    </row>
    <row r="408" spans="1:3" ht="20.149999999999999" customHeight="1" x14ac:dyDescent="0.35">
      <c r="A408" s="4">
        <v>8</v>
      </c>
      <c r="B408" s="4">
        <v>652</v>
      </c>
      <c r="C408" s="16" t="str">
        <f t="shared" si="8"/>
        <v>(8,652),</v>
      </c>
    </row>
    <row r="409" spans="1:3" ht="20.149999999999999" customHeight="1" x14ac:dyDescent="0.35">
      <c r="A409" s="4">
        <v>8</v>
      </c>
      <c r="B409" s="4">
        <v>653</v>
      </c>
      <c r="C409" s="16" t="str">
        <f t="shared" si="8"/>
        <v>(8,653),</v>
      </c>
    </row>
    <row r="410" spans="1:3" ht="20.149999999999999" customHeight="1" x14ac:dyDescent="0.35">
      <c r="A410" s="4">
        <v>10</v>
      </c>
      <c r="B410" s="4">
        <v>654</v>
      </c>
      <c r="C410" s="16" t="str">
        <f t="shared" si="8"/>
        <v>(10,654),</v>
      </c>
    </row>
    <row r="411" spans="1:3" ht="20.149999999999999" customHeight="1" x14ac:dyDescent="0.35">
      <c r="A411" s="4">
        <v>10</v>
      </c>
      <c r="B411" s="4">
        <v>655</v>
      </c>
      <c r="C411" s="16" t="str">
        <f t="shared" si="8"/>
        <v>(10,655),</v>
      </c>
    </row>
    <row r="412" spans="1:3" ht="20.149999999999999" customHeight="1" x14ac:dyDescent="0.35">
      <c r="A412" s="4">
        <v>10</v>
      </c>
      <c r="B412" s="4">
        <v>656</v>
      </c>
      <c r="C412" s="16" t="str">
        <f t="shared" si="8"/>
        <v>(10,656),</v>
      </c>
    </row>
    <row r="413" spans="1:3" ht="20.149999999999999" customHeight="1" x14ac:dyDescent="0.35">
      <c r="A413" s="4">
        <v>10</v>
      </c>
      <c r="B413" s="4">
        <v>657</v>
      </c>
      <c r="C413" s="16" t="str">
        <f t="shared" si="8"/>
        <v>(10,657),</v>
      </c>
    </row>
    <row r="414" spans="1:3" ht="20.149999999999999" customHeight="1" x14ac:dyDescent="0.35">
      <c r="A414" s="4">
        <v>10</v>
      </c>
      <c r="B414" s="4">
        <v>658</v>
      </c>
      <c r="C414" s="16" t="str">
        <f t="shared" si="8"/>
        <v>(10,658),</v>
      </c>
    </row>
    <row r="415" spans="1:3" ht="20.149999999999999" customHeight="1" x14ac:dyDescent="0.35">
      <c r="A415" s="4">
        <v>10</v>
      </c>
      <c r="B415" s="4">
        <v>659</v>
      </c>
      <c r="C415" s="16" t="str">
        <f t="shared" si="8"/>
        <v>(10,659),</v>
      </c>
    </row>
    <row r="416" spans="1:3" ht="20.149999999999999" customHeight="1" x14ac:dyDescent="0.35">
      <c r="A416" s="4">
        <v>1</v>
      </c>
      <c r="B416" s="4">
        <v>701</v>
      </c>
      <c r="C416" s="16" t="str">
        <f t="shared" si="8"/>
        <v>(1,701),</v>
      </c>
    </row>
    <row r="417" spans="1:3" ht="20.149999999999999" customHeight="1" x14ac:dyDescent="0.35">
      <c r="A417" s="4">
        <v>1</v>
      </c>
      <c r="B417" s="4">
        <v>702</v>
      </c>
      <c r="C417" s="16" t="str">
        <f t="shared" si="8"/>
        <v>(1,702),</v>
      </c>
    </row>
    <row r="418" spans="1:3" ht="20.149999999999999" customHeight="1" x14ac:dyDescent="0.35">
      <c r="A418" s="4">
        <v>1</v>
      </c>
      <c r="B418" s="4">
        <v>703</v>
      </c>
      <c r="C418" s="16" t="str">
        <f t="shared" si="8"/>
        <v>(1,703),</v>
      </c>
    </row>
    <row r="419" spans="1:3" ht="20.149999999999999" customHeight="1" x14ac:dyDescent="0.35">
      <c r="A419" s="4">
        <v>1</v>
      </c>
      <c r="B419" s="4">
        <v>704</v>
      </c>
      <c r="C419" s="16" t="str">
        <f t="shared" si="8"/>
        <v>(1,704),</v>
      </c>
    </row>
    <row r="420" spans="1:3" ht="20.149999999999999" customHeight="1" x14ac:dyDescent="0.35">
      <c r="A420" s="4">
        <v>1</v>
      </c>
      <c r="B420" s="4">
        <v>705</v>
      </c>
      <c r="C420" s="16" t="str">
        <f t="shared" si="8"/>
        <v>(1,705),</v>
      </c>
    </row>
    <row r="421" spans="1:3" ht="20.149999999999999" customHeight="1" x14ac:dyDescent="0.35">
      <c r="A421" s="4">
        <v>1</v>
      </c>
      <c r="B421" s="4">
        <v>706</v>
      </c>
      <c r="C421" s="16" t="str">
        <f t="shared" si="8"/>
        <v>(1,706),</v>
      </c>
    </row>
    <row r="422" spans="1:3" ht="20.149999999999999" customHeight="1" x14ac:dyDescent="0.35">
      <c r="A422" s="4">
        <v>1</v>
      </c>
      <c r="B422" s="4">
        <v>707</v>
      </c>
      <c r="C422" s="16" t="str">
        <f t="shared" si="8"/>
        <v>(1,707),</v>
      </c>
    </row>
    <row r="423" spans="1:3" ht="20.149999999999999" customHeight="1" x14ac:dyDescent="0.35">
      <c r="A423" s="4">
        <v>1</v>
      </c>
      <c r="B423" s="4">
        <v>708</v>
      </c>
      <c r="C423" s="16" t="str">
        <f t="shared" si="8"/>
        <v>(1,708),</v>
      </c>
    </row>
    <row r="424" spans="1:3" ht="20.149999999999999" customHeight="1" x14ac:dyDescent="0.35">
      <c r="A424" s="4">
        <v>7</v>
      </c>
      <c r="B424" s="4">
        <v>709</v>
      </c>
      <c r="C424" s="16" t="str">
        <f t="shared" si="8"/>
        <v>(7,709),</v>
      </c>
    </row>
    <row r="425" spans="1:3" ht="20.149999999999999" customHeight="1" x14ac:dyDescent="0.35">
      <c r="A425" s="4">
        <v>7</v>
      </c>
      <c r="B425" s="4">
        <v>710</v>
      </c>
      <c r="C425" s="16" t="str">
        <f t="shared" si="8"/>
        <v>(7,710),</v>
      </c>
    </row>
    <row r="426" spans="1:3" ht="20.149999999999999" customHeight="1" x14ac:dyDescent="0.35">
      <c r="A426" s="4">
        <v>7</v>
      </c>
      <c r="B426" s="4">
        <v>711</v>
      </c>
      <c r="C426" s="16" t="str">
        <f t="shared" si="8"/>
        <v>(7,711),</v>
      </c>
    </row>
    <row r="427" spans="1:3" ht="20.149999999999999" customHeight="1" x14ac:dyDescent="0.35">
      <c r="A427" s="4">
        <v>7</v>
      </c>
      <c r="B427" s="4">
        <v>712</v>
      </c>
      <c r="C427" s="16" t="str">
        <f t="shared" si="8"/>
        <v>(7,712),</v>
      </c>
    </row>
    <row r="428" spans="1:3" ht="20.149999999999999" customHeight="1" x14ac:dyDescent="0.35">
      <c r="A428" s="4">
        <v>7</v>
      </c>
      <c r="B428" s="4">
        <v>713</v>
      </c>
      <c r="C428" s="16" t="str">
        <f t="shared" si="8"/>
        <v>(7,713),</v>
      </c>
    </row>
    <row r="429" spans="1:3" ht="20.149999999999999" customHeight="1" x14ac:dyDescent="0.35">
      <c r="A429" s="4">
        <v>7</v>
      </c>
      <c r="B429" s="4">
        <v>714</v>
      </c>
      <c r="C429" s="16" t="str">
        <f t="shared" si="8"/>
        <v>(7,714),</v>
      </c>
    </row>
    <row r="430" spans="1:3" ht="20.149999999999999" customHeight="1" x14ac:dyDescent="0.35">
      <c r="A430" s="4">
        <v>7</v>
      </c>
      <c r="B430" s="4">
        <v>715</v>
      </c>
      <c r="C430" s="16" t="str">
        <f t="shared" si="8"/>
        <v>(7,715),</v>
      </c>
    </row>
    <row r="431" spans="1:3" ht="20.149999999999999" customHeight="1" x14ac:dyDescent="0.35">
      <c r="A431" s="4">
        <v>7</v>
      </c>
      <c r="B431" s="4">
        <v>716</v>
      </c>
      <c r="C431" s="16" t="str">
        <f t="shared" si="8"/>
        <v>(7,716),</v>
      </c>
    </row>
    <row r="432" spans="1:3" ht="20.149999999999999" customHeight="1" x14ac:dyDescent="0.35">
      <c r="A432" s="4">
        <v>7</v>
      </c>
      <c r="B432" s="4">
        <v>717</v>
      </c>
      <c r="C432" s="16" t="str">
        <f t="shared" si="8"/>
        <v>(7,717),</v>
      </c>
    </row>
    <row r="433" spans="1:3" ht="20.149999999999999" customHeight="1" x14ac:dyDescent="0.35">
      <c r="A433" s="4">
        <v>7</v>
      </c>
      <c r="B433" s="4">
        <v>718</v>
      </c>
      <c r="C433" s="16" t="str">
        <f t="shared" si="8"/>
        <v>(7,718),</v>
      </c>
    </row>
    <row r="434" spans="1:3" ht="20.149999999999999" customHeight="1" x14ac:dyDescent="0.35">
      <c r="A434" s="4">
        <v>7</v>
      </c>
      <c r="B434" s="4">
        <v>719</v>
      </c>
      <c r="C434" s="16" t="str">
        <f t="shared" si="8"/>
        <v>(7,719),</v>
      </c>
    </row>
    <row r="435" spans="1:3" ht="20.149999999999999" customHeight="1" x14ac:dyDescent="0.35">
      <c r="A435" s="4">
        <v>7</v>
      </c>
      <c r="B435" s="4">
        <v>720</v>
      </c>
      <c r="C435" s="16" t="str">
        <f t="shared" si="8"/>
        <v>(7,720),</v>
      </c>
    </row>
    <row r="436" spans="1:3" ht="20.149999999999999" customHeight="1" x14ac:dyDescent="0.35">
      <c r="A436" s="4">
        <v>4</v>
      </c>
      <c r="B436" s="4">
        <v>721</v>
      </c>
      <c r="C436" s="16" t="str">
        <f t="shared" si="8"/>
        <v>(4,721),</v>
      </c>
    </row>
    <row r="437" spans="1:3" ht="20.149999999999999" customHeight="1" x14ac:dyDescent="0.35">
      <c r="A437" s="4">
        <v>4</v>
      </c>
      <c r="B437" s="4">
        <v>722</v>
      </c>
      <c r="C437" s="16" t="str">
        <f t="shared" si="8"/>
        <v>(4,722),</v>
      </c>
    </row>
    <row r="438" spans="1:3" ht="20.149999999999999" customHeight="1" x14ac:dyDescent="0.35">
      <c r="A438" s="4">
        <v>4</v>
      </c>
      <c r="B438" s="4">
        <v>723</v>
      </c>
      <c r="C438" s="16" t="str">
        <f t="shared" si="8"/>
        <v>(4,723),</v>
      </c>
    </row>
    <row r="439" spans="1:3" ht="20.149999999999999" customHeight="1" x14ac:dyDescent="0.35">
      <c r="A439" s="4">
        <v>4</v>
      </c>
      <c r="B439" s="4">
        <v>724</v>
      </c>
      <c r="C439" s="16" t="str">
        <f t="shared" si="8"/>
        <v>(4,724),</v>
      </c>
    </row>
    <row r="440" spans="1:3" ht="20.149999999999999" customHeight="1" x14ac:dyDescent="0.35">
      <c r="A440" s="4">
        <v>4</v>
      </c>
      <c r="B440" s="4">
        <v>725</v>
      </c>
      <c r="C440" s="16" t="str">
        <f t="shared" si="8"/>
        <v>(4,725),</v>
      </c>
    </row>
    <row r="441" spans="1:3" ht="20.149999999999999" customHeight="1" x14ac:dyDescent="0.35">
      <c r="A441" s="4">
        <v>4</v>
      </c>
      <c r="B441" s="4">
        <v>726</v>
      </c>
      <c r="C441" s="16" t="str">
        <f t="shared" si="8"/>
        <v>(4,726),</v>
      </c>
    </row>
    <row r="442" spans="1:3" ht="20.149999999999999" customHeight="1" x14ac:dyDescent="0.35">
      <c r="A442" s="4">
        <v>4</v>
      </c>
      <c r="B442" s="4">
        <v>727</v>
      </c>
      <c r="C442" s="16" t="str">
        <f t="shared" si="8"/>
        <v>(4,727),</v>
      </c>
    </row>
    <row r="443" spans="1:3" ht="20.149999999999999" customHeight="1" x14ac:dyDescent="0.35">
      <c r="A443" s="4">
        <v>4</v>
      </c>
      <c r="B443" s="4">
        <v>728</v>
      </c>
      <c r="C443" s="16" t="str">
        <f t="shared" si="8"/>
        <v>(4,728),</v>
      </c>
    </row>
    <row r="444" spans="1:3" ht="20.149999999999999" customHeight="1" x14ac:dyDescent="0.35">
      <c r="A444" s="4">
        <v>4</v>
      </c>
      <c r="B444" s="4">
        <v>729</v>
      </c>
      <c r="C444" s="16" t="str">
        <f t="shared" si="8"/>
        <v>(4,729),</v>
      </c>
    </row>
    <row r="445" spans="1:3" ht="20.149999999999999" customHeight="1" x14ac:dyDescent="0.35">
      <c r="A445" s="4">
        <v>4</v>
      </c>
      <c r="B445" s="4">
        <v>730</v>
      </c>
      <c r="C445" s="16" t="str">
        <f t="shared" si="8"/>
        <v>(4,730),</v>
      </c>
    </row>
    <row r="446" spans="1:3" ht="20.149999999999999" customHeight="1" x14ac:dyDescent="0.35">
      <c r="A446" s="4">
        <v>4</v>
      </c>
      <c r="B446" s="4">
        <v>731</v>
      </c>
      <c r="C446" s="16" t="str">
        <f t="shared" si="8"/>
        <v>(4,731),</v>
      </c>
    </row>
    <row r="447" spans="1:3" ht="20.149999999999999" customHeight="1" x14ac:dyDescent="0.35">
      <c r="A447" s="4">
        <v>4</v>
      </c>
      <c r="B447" s="4">
        <v>732</v>
      </c>
      <c r="C447" s="16" t="str">
        <f t="shared" si="8"/>
        <v>(4,732),</v>
      </c>
    </row>
    <row r="448" spans="1:3" ht="20.149999999999999" customHeight="1" x14ac:dyDescent="0.35">
      <c r="A448" s="4">
        <v>4</v>
      </c>
      <c r="B448" s="4">
        <v>733</v>
      </c>
      <c r="C448" s="16" t="str">
        <f t="shared" si="8"/>
        <v>(4,733),</v>
      </c>
    </row>
    <row r="449" spans="1:3" ht="20.149999999999999" customHeight="1" x14ac:dyDescent="0.35">
      <c r="A449" s="4">
        <v>4</v>
      </c>
      <c r="B449" s="4">
        <v>734</v>
      </c>
      <c r="C449" s="16" t="str">
        <f t="shared" si="8"/>
        <v>(4,734),</v>
      </c>
    </row>
    <row r="450" spans="1:3" ht="20.149999999999999" customHeight="1" x14ac:dyDescent="0.35">
      <c r="A450" s="4">
        <v>4</v>
      </c>
      <c r="B450" s="4">
        <v>735</v>
      </c>
      <c r="C450" s="16" t="str">
        <f t="shared" si="8"/>
        <v>(4,735),</v>
      </c>
    </row>
    <row r="451" spans="1:3" ht="20.149999999999999" customHeight="1" x14ac:dyDescent="0.35">
      <c r="A451" s="4">
        <v>4</v>
      </c>
      <c r="B451" s="4">
        <v>736</v>
      </c>
      <c r="C451" s="16" t="str">
        <f t="shared" si="8"/>
        <v>(4,736),</v>
      </c>
    </row>
    <row r="452" spans="1:3" ht="20.149999999999999" customHeight="1" x14ac:dyDescent="0.35">
      <c r="A452" s="4">
        <v>4</v>
      </c>
      <c r="B452" s="4">
        <v>737</v>
      </c>
      <c r="C452" s="16" t="str">
        <f t="shared" si="8"/>
        <v>(4,737),</v>
      </c>
    </row>
    <row r="453" spans="1:3" ht="20.149999999999999" customHeight="1" x14ac:dyDescent="0.35">
      <c r="A453" s="4">
        <v>4</v>
      </c>
      <c r="B453" s="4">
        <v>738</v>
      </c>
      <c r="C453" s="16" t="str">
        <f t="shared" si="8"/>
        <v>(4,738),</v>
      </c>
    </row>
    <row r="454" spans="1:3" ht="20.149999999999999" customHeight="1" x14ac:dyDescent="0.35">
      <c r="A454" s="4">
        <v>4</v>
      </c>
      <c r="B454" s="4">
        <v>739</v>
      </c>
      <c r="C454" s="16" t="str">
        <f t="shared" si="8"/>
        <v>(4,739),</v>
      </c>
    </row>
    <row r="455" spans="1:3" ht="20.149999999999999" customHeight="1" x14ac:dyDescent="0.35">
      <c r="A455" s="4">
        <v>4</v>
      </c>
      <c r="B455" s="4">
        <v>740</v>
      </c>
      <c r="C455" s="16" t="str">
        <f t="shared" si="8"/>
        <v>(4,740),</v>
      </c>
    </row>
    <row r="456" spans="1:3" ht="20.149999999999999" customHeight="1" x14ac:dyDescent="0.35">
      <c r="A456" s="4">
        <v>4</v>
      </c>
      <c r="B456" s="4">
        <v>741</v>
      </c>
      <c r="C456" s="16" t="str">
        <f t="shared" si="8"/>
        <v>(4,741),</v>
      </c>
    </row>
    <row r="457" spans="1:3" ht="20.149999999999999" customHeight="1" x14ac:dyDescent="0.35">
      <c r="A457" s="4">
        <v>4</v>
      </c>
      <c r="B457" s="4">
        <v>742</v>
      </c>
      <c r="C457" s="16" t="str">
        <f t="shared" si="8"/>
        <v>(4,742),</v>
      </c>
    </row>
    <row r="458" spans="1:3" ht="20.149999999999999" customHeight="1" x14ac:dyDescent="0.35">
      <c r="A458" s="4">
        <v>4</v>
      </c>
      <c r="B458" s="4">
        <v>743</v>
      </c>
      <c r="C458" s="16" t="str">
        <f t="shared" si="8"/>
        <v>(4,743),</v>
      </c>
    </row>
    <row r="459" spans="1:3" ht="20.149999999999999" customHeight="1" x14ac:dyDescent="0.35">
      <c r="A459" s="4">
        <v>4</v>
      </c>
      <c r="B459" s="4">
        <v>744</v>
      </c>
      <c r="C459" s="16" t="str">
        <f t="shared" si="8"/>
        <v>(4,744),</v>
      </c>
    </row>
    <row r="460" spans="1:3" ht="20.149999999999999" customHeight="1" x14ac:dyDescent="0.35">
      <c r="A460" s="4">
        <v>11</v>
      </c>
      <c r="B460" s="4">
        <v>745</v>
      </c>
      <c r="C460" s="16" t="str">
        <f t="shared" si="8"/>
        <v>(11,745),</v>
      </c>
    </row>
    <row r="461" spans="1:3" ht="20.149999999999999" customHeight="1" x14ac:dyDescent="0.35">
      <c r="A461" s="4">
        <v>11</v>
      </c>
      <c r="B461" s="4">
        <v>746</v>
      </c>
      <c r="C461" s="16" t="str">
        <f t="shared" si="8"/>
        <v>(11,746),</v>
      </c>
    </row>
    <row r="462" spans="1:3" ht="20.149999999999999" customHeight="1" x14ac:dyDescent="0.35">
      <c r="A462" s="4">
        <v>11</v>
      </c>
      <c r="B462" s="4">
        <v>747</v>
      </c>
      <c r="C462" s="16" t="str">
        <f t="shared" si="8"/>
        <v>(11,747),</v>
      </c>
    </row>
    <row r="463" spans="1:3" ht="20.149999999999999" customHeight="1" x14ac:dyDescent="0.35">
      <c r="A463" s="4">
        <v>11</v>
      </c>
      <c r="B463" s="4">
        <v>748</v>
      </c>
      <c r="C463" s="16" t="str">
        <f t="shared" si="8"/>
        <v>(11,748),</v>
      </c>
    </row>
    <row r="464" spans="1:3" ht="20.149999999999999" customHeight="1" x14ac:dyDescent="0.35">
      <c r="A464" s="4">
        <v>11</v>
      </c>
      <c r="B464" s="4">
        <v>749</v>
      </c>
      <c r="C464" s="16" t="str">
        <f t="shared" si="8"/>
        <v>(11,749),</v>
      </c>
    </row>
    <row r="465" spans="1:3" ht="20.149999999999999" customHeight="1" x14ac:dyDescent="0.35">
      <c r="A465" s="4">
        <v>11</v>
      </c>
      <c r="B465" s="4">
        <v>750</v>
      </c>
      <c r="C465" s="16" t="str">
        <f t="shared" si="8"/>
        <v>(11,750),</v>
      </c>
    </row>
    <row r="466" spans="1:3" ht="20.149999999999999" customHeight="1" x14ac:dyDescent="0.35">
      <c r="A466" s="4">
        <v>11</v>
      </c>
      <c r="B466" s="4">
        <v>751</v>
      </c>
      <c r="C466" s="16" t="str">
        <f t="shared" si="8"/>
        <v>(11,751),</v>
      </c>
    </row>
    <row r="467" spans="1:3" ht="20.149999999999999" customHeight="1" x14ac:dyDescent="0.35">
      <c r="A467" s="4">
        <v>11</v>
      </c>
      <c r="B467" s="4">
        <v>752</v>
      </c>
      <c r="C467" s="16" t="str">
        <f t="shared" si="8"/>
        <v>(11,752),</v>
      </c>
    </row>
    <row r="468" spans="1:3" ht="20.149999999999999" customHeight="1" x14ac:dyDescent="0.35">
      <c r="A468" s="4">
        <v>11</v>
      </c>
      <c r="B468" s="4">
        <v>753</v>
      </c>
      <c r="C468" s="16" t="str">
        <f t="shared" si="8"/>
        <v>(11,753),</v>
      </c>
    </row>
    <row r="469" spans="1:3" ht="20.149999999999999" customHeight="1" x14ac:dyDescent="0.35">
      <c r="A469" s="4">
        <v>11</v>
      </c>
      <c r="B469" s="4">
        <v>754</v>
      </c>
      <c r="C469" s="16" t="str">
        <f t="shared" si="8"/>
        <v>(11,754),</v>
      </c>
    </row>
    <row r="470" spans="1:3" ht="20.149999999999999" customHeight="1" x14ac:dyDescent="0.35">
      <c r="A470" s="4">
        <v>11</v>
      </c>
      <c r="B470" s="4">
        <v>755</v>
      </c>
      <c r="C470" s="16" t="str">
        <f t="shared" si="8"/>
        <v>(11,755),</v>
      </c>
    </row>
    <row r="471" spans="1:3" ht="20.149999999999999" customHeight="1" x14ac:dyDescent="0.35">
      <c r="A471" s="4">
        <v>11</v>
      </c>
      <c r="B471" s="4">
        <v>756</v>
      </c>
      <c r="C471" s="16" t="str">
        <f t="shared" ref="C471:C474" si="9">CONCATENATE("(",A471,",",B471,"),")</f>
        <v>(11,756),</v>
      </c>
    </row>
    <row r="472" spans="1:3" ht="20.149999999999999" customHeight="1" x14ac:dyDescent="0.35">
      <c r="A472" s="4">
        <v>11</v>
      </c>
      <c r="B472" s="4">
        <v>757</v>
      </c>
      <c r="C472" s="16" t="str">
        <f t="shared" si="9"/>
        <v>(11,757),</v>
      </c>
    </row>
    <row r="473" spans="1:3" ht="20.149999999999999" customHeight="1" x14ac:dyDescent="0.35">
      <c r="A473" s="4">
        <v>11</v>
      </c>
      <c r="B473" s="4">
        <v>758</v>
      </c>
      <c r="C473" s="16" t="str">
        <f t="shared" si="9"/>
        <v>(11,758),</v>
      </c>
    </row>
    <row r="474" spans="1:3" ht="20.149999999999999" customHeight="1" x14ac:dyDescent="0.35">
      <c r="A474" s="4">
        <v>11</v>
      </c>
      <c r="B474" s="4">
        <v>759</v>
      </c>
      <c r="C474" s="16" t="str">
        <f t="shared" si="9"/>
        <v>(11,759),</v>
      </c>
    </row>
  </sheetData>
  <autoFilter ref="A2:B62" xr:uid="{00000000-0009-0000-0000-000006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0000"/>
  </sheetPr>
  <dimension ref="A1:F474"/>
  <sheetViews>
    <sheetView topLeftCell="A446" workbookViewId="0">
      <selection activeCell="B3" sqref="B3:B474"/>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4572</v>
      </c>
      <c r="C1" s="1" t="s">
        <v>5266</v>
      </c>
      <c r="D1" s="1" t="s">
        <v>5786</v>
      </c>
      <c r="E1" s="1" t="s">
        <v>5787</v>
      </c>
      <c r="F1" s="1" t="s">
        <v>5600</v>
      </c>
    </row>
    <row r="2" spans="1:6" ht="20.149999999999999" customHeight="1" x14ac:dyDescent="0.35">
      <c r="A2" s="1" t="s">
        <v>44</v>
      </c>
      <c r="B2" s="1" t="s">
        <v>41</v>
      </c>
      <c r="C2" s="1" t="s">
        <v>6095</v>
      </c>
      <c r="D2" s="1" t="s">
        <v>43</v>
      </c>
      <c r="E2" s="1" t="s">
        <v>53</v>
      </c>
      <c r="F2" s="1" t="s">
        <v>6096</v>
      </c>
    </row>
    <row r="3" spans="1:6" ht="20.149999999999999" customHeight="1" x14ac:dyDescent="0.35">
      <c r="A3" s="3">
        <v>1</v>
      </c>
      <c r="B3" s="4" t="str">
        <f>CONCATENATE(D3,":",E3)</f>
        <v>PARAMETER:MANAGE</v>
      </c>
      <c r="C3" s="4" t="str">
        <f t="shared" ref="C3:C34" si="0">CONCATENATE(LOWER(D3)," management")</f>
        <v>parameter management</v>
      </c>
      <c r="D3" s="4" t="s">
        <v>6371</v>
      </c>
      <c r="E3" s="5" t="s">
        <v>6421</v>
      </c>
      <c r="F3" s="16" t="str">
        <f t="shared" ref="F3:F66" si="1">CONCATENATE("(",A3,",'",B3,"','",C3,"','",D3,"','",E3,"'),")</f>
        <v>(1,'PARAMETER:MANAGE','parameter management','PARAMETER','MANAGE'),</v>
      </c>
    </row>
    <row r="4" spans="1:6" ht="20.149999999999999" customHeight="1" x14ac:dyDescent="0.35">
      <c r="A4" s="3">
        <v>2</v>
      </c>
      <c r="B4" s="4" t="str">
        <f t="shared" ref="B4:B67" si="2">CONCATENATE(D4,":",E4)</f>
        <v>FILE:MANAGE</v>
      </c>
      <c r="C4" s="4" t="str">
        <f t="shared" si="0"/>
        <v>file management</v>
      </c>
      <c r="D4" s="4" t="s">
        <v>6372</v>
      </c>
      <c r="E4" s="5" t="s">
        <v>6421</v>
      </c>
      <c r="F4" s="16" t="str">
        <f t="shared" si="1"/>
        <v>(2,'FILE:MANAGE','file management','FILE','MANAGE'),</v>
      </c>
    </row>
    <row r="5" spans="1:6" ht="20.149999999999999" customHeight="1" x14ac:dyDescent="0.35">
      <c r="A5" s="3">
        <v>3</v>
      </c>
      <c r="B5" s="4" t="str">
        <f t="shared" si="2"/>
        <v>GROUP:MANAGE</v>
      </c>
      <c r="C5" s="4" t="str">
        <f t="shared" si="0"/>
        <v>group management</v>
      </c>
      <c r="D5" s="4" t="s">
        <v>5748</v>
      </c>
      <c r="E5" s="5" t="s">
        <v>6421</v>
      </c>
      <c r="F5" s="16" t="str">
        <f t="shared" si="1"/>
        <v>(3,'GROUP:MANAGE','group management','GROUP','MANAGE'),</v>
      </c>
    </row>
    <row r="6" spans="1:6" ht="20.149999999999999" customHeight="1" x14ac:dyDescent="0.35">
      <c r="A6" s="3">
        <v>4</v>
      </c>
      <c r="B6" s="4" t="str">
        <f t="shared" si="2"/>
        <v>USER:MANAGE</v>
      </c>
      <c r="C6" s="4" t="str">
        <f t="shared" si="0"/>
        <v>user management</v>
      </c>
      <c r="D6" s="4" t="s">
        <v>5749</v>
      </c>
      <c r="E6" s="5" t="s">
        <v>6421</v>
      </c>
      <c r="F6" s="16" t="str">
        <f t="shared" si="1"/>
        <v>(4,'USER:MANAGE','user management','USER','MANAGE'),</v>
      </c>
    </row>
    <row r="7" spans="1:6" ht="20.149999999999999" customHeight="1" x14ac:dyDescent="0.35">
      <c r="A7" s="3">
        <v>5</v>
      </c>
      <c r="B7" s="4" t="str">
        <f t="shared" si="2"/>
        <v>ROLE:MANAGE</v>
      </c>
      <c r="C7" s="4" t="str">
        <f t="shared" si="0"/>
        <v>role management</v>
      </c>
      <c r="D7" s="4" t="s">
        <v>5750</v>
      </c>
      <c r="E7" s="5" t="s">
        <v>6421</v>
      </c>
      <c r="F7" s="16" t="str">
        <f t="shared" si="1"/>
        <v>(5,'ROLE:MANAGE','role management','ROLE','MANAGE'),</v>
      </c>
    </row>
    <row r="8" spans="1:6" ht="20.149999999999999" customHeight="1" x14ac:dyDescent="0.35">
      <c r="A8" s="3">
        <v>6</v>
      </c>
      <c r="B8" s="4" t="str">
        <f t="shared" si="2"/>
        <v>PERMISSION:MANAGE</v>
      </c>
      <c r="C8" s="4" t="str">
        <f t="shared" si="0"/>
        <v>permission management</v>
      </c>
      <c r="D8" s="4" t="s">
        <v>5751</v>
      </c>
      <c r="E8" s="5" t="s">
        <v>6421</v>
      </c>
      <c r="F8" s="16" t="str">
        <f t="shared" si="1"/>
        <v>(6,'PERMISSION:MANAGE','permission management','PERMISSION','MANAGE'),</v>
      </c>
    </row>
    <row r="9" spans="1:6" ht="20.149999999999999" customHeight="1" x14ac:dyDescent="0.35">
      <c r="A9" s="3">
        <v>7</v>
      </c>
      <c r="B9" s="4" t="str">
        <f t="shared" si="2"/>
        <v>AUTHORITY:MANAGE</v>
      </c>
      <c r="C9" s="4" t="str">
        <f t="shared" si="0"/>
        <v>authority management</v>
      </c>
      <c r="D9" s="4" t="s">
        <v>5752</v>
      </c>
      <c r="E9" s="5" t="s">
        <v>6421</v>
      </c>
      <c r="F9" s="16" t="str">
        <f t="shared" si="1"/>
        <v>(7,'AUTHORITY:MANAGE','authority management','AUTHORITY','MANAGE'),</v>
      </c>
    </row>
    <row r="10" spans="1:6" ht="20.149999999999999" customHeight="1" x14ac:dyDescent="0.35">
      <c r="A10" s="3">
        <v>8</v>
      </c>
      <c r="B10" s="4" t="str">
        <f t="shared" si="2"/>
        <v>AUDIT:MANAGE</v>
      </c>
      <c r="C10" s="4" t="str">
        <f t="shared" si="0"/>
        <v>audit management</v>
      </c>
      <c r="D10" s="4" t="s">
        <v>5753</v>
      </c>
      <c r="E10" s="5" t="s">
        <v>6421</v>
      </c>
      <c r="F10" s="16" t="str">
        <f t="shared" si="1"/>
        <v>(8,'AUDIT:MANAGE','audit management','AUDIT','MANAGE'),</v>
      </c>
    </row>
    <row r="11" spans="1:6" ht="20.149999999999999" customHeight="1" x14ac:dyDescent="0.35">
      <c r="A11" s="3">
        <v>9</v>
      </c>
      <c r="B11" s="4" t="str">
        <f t="shared" si="2"/>
        <v>STRUCTURE_TYPE:MANAGE</v>
      </c>
      <c r="C11" s="4" t="str">
        <f t="shared" si="0"/>
        <v>structure_type management</v>
      </c>
      <c r="D11" s="4" t="s">
        <v>5758</v>
      </c>
      <c r="E11" s="5" t="s">
        <v>6421</v>
      </c>
      <c r="F11" s="16" t="str">
        <f t="shared" si="1"/>
        <v>(9,'STRUCTURE_TYPE:MANAGE','structure_type management','STRUCTURE_TYPE','MANAGE'),</v>
      </c>
    </row>
    <row r="12" spans="1:6" ht="20.149999999999999" customHeight="1" x14ac:dyDescent="0.35">
      <c r="A12" s="3">
        <v>10</v>
      </c>
      <c r="B12" s="4" t="str">
        <f t="shared" si="2"/>
        <v>ZONE:MANAGE</v>
      </c>
      <c r="C12" s="4" t="str">
        <f t="shared" si="0"/>
        <v>zone management</v>
      </c>
      <c r="D12" s="4" t="s">
        <v>5770</v>
      </c>
      <c r="E12" s="5" t="s">
        <v>6421</v>
      </c>
      <c r="F12" s="16" t="str">
        <f t="shared" si="1"/>
        <v>(10,'ZONE:MANAGE','zone management','ZONE','MANAGE'),</v>
      </c>
    </row>
    <row r="13" spans="1:6" ht="20.149999999999999" customHeight="1" x14ac:dyDescent="0.35">
      <c r="A13" s="3">
        <v>11</v>
      </c>
      <c r="B13" s="4" t="str">
        <f t="shared" si="2"/>
        <v>COUNTRY:MANAGE</v>
      </c>
      <c r="C13" s="4" t="str">
        <f t="shared" si="0"/>
        <v>country management</v>
      </c>
      <c r="D13" s="4" t="s">
        <v>5755</v>
      </c>
      <c r="E13" s="5" t="s">
        <v>6421</v>
      </c>
      <c r="F13" s="16" t="str">
        <f t="shared" si="1"/>
        <v>(11,'COUNTRY:MANAGE','country management','COUNTRY','MANAGE'),</v>
      </c>
    </row>
    <row r="14" spans="1:6" ht="20.149999999999999" customHeight="1" x14ac:dyDescent="0.35">
      <c r="A14" s="3">
        <v>12</v>
      </c>
      <c r="B14" s="4" t="str">
        <f t="shared" si="2"/>
        <v>STATE:MANAGE</v>
      </c>
      <c r="C14" s="4" t="str">
        <f t="shared" si="0"/>
        <v>state management</v>
      </c>
      <c r="D14" s="4" t="s">
        <v>5756</v>
      </c>
      <c r="E14" s="5" t="s">
        <v>6421</v>
      </c>
      <c r="F14" s="16" t="str">
        <f t="shared" si="1"/>
        <v>(12,'STATE:MANAGE','state management','STATE','MANAGE'),</v>
      </c>
    </row>
    <row r="15" spans="1:6" ht="20.149999999999999" customHeight="1" x14ac:dyDescent="0.35">
      <c r="A15" s="3">
        <v>13</v>
      </c>
      <c r="B15" s="4" t="str">
        <f t="shared" si="2"/>
        <v>DISTRICT:MANAGE</v>
      </c>
      <c r="C15" s="4" t="str">
        <f t="shared" si="0"/>
        <v>district management</v>
      </c>
      <c r="D15" s="4" t="s">
        <v>5790</v>
      </c>
      <c r="E15" s="5" t="s">
        <v>6421</v>
      </c>
      <c r="F15" s="16" t="str">
        <f t="shared" si="1"/>
        <v>(13,'DISTRICT:MANAGE','district management','DISTRICT','MANAGE'),</v>
      </c>
    </row>
    <row r="16" spans="1:6" ht="20.149999999999999" customHeight="1" x14ac:dyDescent="0.35">
      <c r="A16" s="3">
        <v>14</v>
      </c>
      <c r="B16" s="4" t="str">
        <f t="shared" si="2"/>
        <v>LOCALITY:MANAGE</v>
      </c>
      <c r="C16" s="4" t="str">
        <f t="shared" si="0"/>
        <v>locality management</v>
      </c>
      <c r="D16" s="4" t="s">
        <v>5757</v>
      </c>
      <c r="E16" s="5" t="s">
        <v>6421</v>
      </c>
      <c r="F16" s="16" t="str">
        <f t="shared" si="1"/>
        <v>(14,'LOCALITY:MANAGE','locality management','LOCALITY','MANAGE'),</v>
      </c>
    </row>
    <row r="17" spans="1:6" ht="20.149999999999999" customHeight="1" x14ac:dyDescent="0.35">
      <c r="A17" s="3">
        <v>15</v>
      </c>
      <c r="B17" s="4" t="str">
        <f t="shared" si="2"/>
        <v>LOCATION:MANAGE</v>
      </c>
      <c r="C17" s="4" t="str">
        <f t="shared" si="0"/>
        <v>location management</v>
      </c>
      <c r="D17" s="4" t="s">
        <v>5771</v>
      </c>
      <c r="E17" s="5" t="s">
        <v>6421</v>
      </c>
      <c r="F17" s="16" t="str">
        <f t="shared" si="1"/>
        <v>(15,'LOCATION:MANAGE','location management','LOCATION','MANAGE'),</v>
      </c>
    </row>
    <row r="18" spans="1:6" ht="20.149999999999999" customHeight="1" x14ac:dyDescent="0.35">
      <c r="A18" s="3">
        <v>16</v>
      </c>
      <c r="B18" s="4" t="str">
        <f t="shared" si="2"/>
        <v>COORDINATE:MANAGE</v>
      </c>
      <c r="C18" s="4" t="str">
        <f t="shared" si="0"/>
        <v>coordinate management</v>
      </c>
      <c r="D18" s="4" t="s">
        <v>6373</v>
      </c>
      <c r="E18" s="5" t="s">
        <v>6421</v>
      </c>
      <c r="F18" s="16" t="str">
        <f t="shared" si="1"/>
        <v>(16,'COORDINATE:MANAGE','coordinate management','COORDINATE','MANAGE'),</v>
      </c>
    </row>
    <row r="19" spans="1:6" ht="20.149999999999999" customHeight="1" x14ac:dyDescent="0.35">
      <c r="A19" s="3">
        <v>17</v>
      </c>
      <c r="B19" s="4" t="str">
        <f t="shared" si="2"/>
        <v>STRUCTURE:MANAGE</v>
      </c>
      <c r="C19" s="4" t="str">
        <f t="shared" si="0"/>
        <v>structure management</v>
      </c>
      <c r="D19" s="4" t="s">
        <v>5759</v>
      </c>
      <c r="E19" s="5" t="s">
        <v>6421</v>
      </c>
      <c r="F19" s="16" t="str">
        <f t="shared" si="1"/>
        <v>(17,'STRUCTURE:MANAGE','structure management','STRUCTURE','MANAGE'),</v>
      </c>
    </row>
    <row r="20" spans="1:6" ht="20.149999999999999" customHeight="1" x14ac:dyDescent="0.35">
      <c r="A20" s="3">
        <v>18</v>
      </c>
      <c r="B20" s="4" t="str">
        <f t="shared" si="2"/>
        <v>JOB:MANAGE</v>
      </c>
      <c r="C20" s="4" t="str">
        <f t="shared" si="0"/>
        <v>job management</v>
      </c>
      <c r="D20" s="4" t="s">
        <v>5760</v>
      </c>
      <c r="E20" s="5" t="s">
        <v>6421</v>
      </c>
      <c r="F20" s="16" t="str">
        <f t="shared" si="1"/>
        <v>(18,'JOB:MANAGE','job management','JOB','MANAGE'),</v>
      </c>
    </row>
    <row r="21" spans="1:6" ht="20.149999999999999" customHeight="1" x14ac:dyDescent="0.35">
      <c r="A21" s="3">
        <v>19</v>
      </c>
      <c r="B21" s="4" t="str">
        <f t="shared" si="2"/>
        <v>PERSON:MANAGE</v>
      </c>
      <c r="C21" s="4" t="str">
        <f t="shared" si="0"/>
        <v>person management</v>
      </c>
      <c r="D21" s="4" t="s">
        <v>5761</v>
      </c>
      <c r="E21" s="5" t="s">
        <v>6421</v>
      </c>
      <c r="F21" s="16" t="str">
        <f t="shared" si="1"/>
        <v>(19,'PERSON:MANAGE','person management','PERSON','MANAGE'),</v>
      </c>
    </row>
    <row r="22" spans="1:6" ht="20.149999999999999" customHeight="1" x14ac:dyDescent="0.35">
      <c r="A22" s="3">
        <v>20</v>
      </c>
      <c r="B22" s="4" t="str">
        <f t="shared" si="2"/>
        <v>EMPLOYEE:MANAGE</v>
      </c>
      <c r="C22" s="4" t="str">
        <f t="shared" si="0"/>
        <v>employee management</v>
      </c>
      <c r="D22" s="4" t="s">
        <v>5762</v>
      </c>
      <c r="E22" s="5" t="s">
        <v>6421</v>
      </c>
      <c r="F22" s="16" t="str">
        <f t="shared" si="1"/>
        <v>(20,'EMPLOYEE:MANAGE','employee management','EMPLOYEE','MANAGE'),</v>
      </c>
    </row>
    <row r="23" spans="1:6" ht="20.149999999999999" customHeight="1" x14ac:dyDescent="0.35">
      <c r="A23" s="3">
        <v>21</v>
      </c>
      <c r="B23" s="4" t="str">
        <f t="shared" si="2"/>
        <v>COMPANY_TYPE:MANAGE</v>
      </c>
      <c r="C23" s="4" t="str">
        <f t="shared" si="0"/>
        <v>company_type management</v>
      </c>
      <c r="D23" s="4" t="s">
        <v>5763</v>
      </c>
      <c r="E23" s="5" t="s">
        <v>6421</v>
      </c>
      <c r="F23" s="16" t="str">
        <f t="shared" si="1"/>
        <v>(21,'COMPANY_TYPE:MANAGE','company_type management','COMPANY_TYPE','MANAGE'),</v>
      </c>
    </row>
    <row r="24" spans="1:6" ht="20.149999999999999" customHeight="1" x14ac:dyDescent="0.35">
      <c r="A24" s="3">
        <v>22</v>
      </c>
      <c r="B24" s="4" t="str">
        <f t="shared" si="2"/>
        <v>PARTNER_TYPE:MANAGE</v>
      </c>
      <c r="C24" s="4" t="str">
        <f t="shared" si="0"/>
        <v>partner_type management</v>
      </c>
      <c r="D24" s="4" t="s">
        <v>5764</v>
      </c>
      <c r="E24" s="5" t="s">
        <v>6421</v>
      </c>
      <c r="F24" s="16" t="str">
        <f t="shared" si="1"/>
        <v>(22,'PARTNER_TYPE:MANAGE','partner_type management','PARTNER_TYPE','MANAGE'),</v>
      </c>
    </row>
    <row r="25" spans="1:6" ht="20.149999999999999" customHeight="1" x14ac:dyDescent="0.35">
      <c r="A25" s="3">
        <v>23</v>
      </c>
      <c r="B25" s="4" t="str">
        <f t="shared" si="2"/>
        <v>VENDOR_TYPE:MANAGE</v>
      </c>
      <c r="C25" s="4" t="str">
        <f t="shared" si="0"/>
        <v>vendor_type management</v>
      </c>
      <c r="D25" s="4" t="s">
        <v>5765</v>
      </c>
      <c r="E25" s="5" t="s">
        <v>6421</v>
      </c>
      <c r="F25" s="16" t="str">
        <f t="shared" si="1"/>
        <v>(23,'VENDOR_TYPE:MANAGE','vendor_type management','VENDOR_TYPE','MANAGE'),</v>
      </c>
    </row>
    <row r="26" spans="1:6" ht="20.149999999999999" customHeight="1" x14ac:dyDescent="0.35">
      <c r="A26" s="3">
        <v>24</v>
      </c>
      <c r="B26" s="4" t="str">
        <f t="shared" si="2"/>
        <v>FACILITY_TYPE:MANAGE</v>
      </c>
      <c r="C26" s="4" t="str">
        <f t="shared" si="0"/>
        <v>facility_type management</v>
      </c>
      <c r="D26" s="4" t="s">
        <v>5766</v>
      </c>
      <c r="E26" s="5" t="s">
        <v>6421</v>
      </c>
      <c r="F26" s="16" t="str">
        <f t="shared" si="1"/>
        <v>(24,'FACILITY_TYPE:MANAGE','facility_type management','FACILITY_TYPE','MANAGE'),</v>
      </c>
    </row>
    <row r="27" spans="1:6" ht="20.149999999999999" customHeight="1" x14ac:dyDescent="0.35">
      <c r="A27" s="3">
        <v>25</v>
      </c>
      <c r="B27" s="4" t="str">
        <f t="shared" si="2"/>
        <v>STATION_TYPE:MANAGE</v>
      </c>
      <c r="C27" s="4" t="str">
        <f t="shared" si="0"/>
        <v>station_type management</v>
      </c>
      <c r="D27" s="4" t="s">
        <v>5767</v>
      </c>
      <c r="E27" s="5" t="s">
        <v>6421</v>
      </c>
      <c r="F27" s="16" t="str">
        <f t="shared" si="1"/>
        <v>(25,'STATION_TYPE:MANAGE','station_type management','STATION_TYPE','MANAGE'),</v>
      </c>
    </row>
    <row r="28" spans="1:6" ht="20.149999999999999" customHeight="1" x14ac:dyDescent="0.35">
      <c r="A28" s="3">
        <v>26</v>
      </c>
      <c r="B28" s="4" t="str">
        <f t="shared" si="2"/>
        <v>TERMINAL_TYPE:MANAGE</v>
      </c>
      <c r="C28" s="4" t="str">
        <f t="shared" si="0"/>
        <v>terminal_type management</v>
      </c>
      <c r="D28" s="4" t="s">
        <v>5768</v>
      </c>
      <c r="E28" s="5" t="s">
        <v>6421</v>
      </c>
      <c r="F28" s="16" t="str">
        <f t="shared" si="1"/>
        <v>(26,'TERMINAL_TYPE:MANAGE','terminal_type management','TERMINAL_TYPE','MANAGE'),</v>
      </c>
    </row>
    <row r="29" spans="1:6" ht="20.149999999999999" customHeight="1" x14ac:dyDescent="0.35">
      <c r="A29" s="3">
        <v>27</v>
      </c>
      <c r="B29" s="4" t="str">
        <f t="shared" si="2"/>
        <v>PROCESSING_PLANT_TYPE:MANAGE</v>
      </c>
      <c r="C29" s="4" t="str">
        <f t="shared" si="0"/>
        <v>processing_plant_type management</v>
      </c>
      <c r="D29" s="4" t="s">
        <v>5791</v>
      </c>
      <c r="E29" s="5" t="s">
        <v>6421</v>
      </c>
      <c r="F29" s="16" t="str">
        <f t="shared" si="1"/>
        <v>(27,'PROCESSING_PLANT_TYPE:MANAGE','processing_plant_type management','PROCESSING_PLANT_TYPE','MANAGE'),</v>
      </c>
    </row>
    <row r="30" spans="1:6" ht="20.149999999999999" customHeight="1" x14ac:dyDescent="0.35">
      <c r="A30" s="3">
        <v>28</v>
      </c>
      <c r="B30" s="4" t="str">
        <f t="shared" si="2"/>
        <v>PRODUCTION_FIELD_TYPE:MANAGE</v>
      </c>
      <c r="C30" s="4" t="str">
        <f t="shared" si="0"/>
        <v>production_field_type management</v>
      </c>
      <c r="D30" s="4" t="s">
        <v>5792</v>
      </c>
      <c r="E30" s="5" t="s">
        <v>6421</v>
      </c>
      <c r="F30" s="16" t="str">
        <f t="shared" si="1"/>
        <v>(28,'PRODUCTION_FIELD_TYPE:MANAGE','production_field_type management','PRODUCTION_FIELD_TYPE','MANAGE'),</v>
      </c>
    </row>
    <row r="31" spans="1:6" ht="20.149999999999999" customHeight="1" x14ac:dyDescent="0.35">
      <c r="A31" s="3">
        <v>29</v>
      </c>
      <c r="B31" s="4" t="str">
        <f t="shared" si="2"/>
        <v>EQUIPMENT_TYPE:MANAGE</v>
      </c>
      <c r="C31" s="4" t="str">
        <f t="shared" si="0"/>
        <v>equipment_type management</v>
      </c>
      <c r="D31" s="4" t="s">
        <v>5769</v>
      </c>
      <c r="E31" s="5" t="s">
        <v>6421</v>
      </c>
      <c r="F31" s="16" t="str">
        <f t="shared" si="1"/>
        <v>(29,'EQUIPMENT_TYPE:MANAGE','equipment_type management','EQUIPMENT_TYPE','MANAGE'),</v>
      </c>
    </row>
    <row r="32" spans="1:6" ht="20.149999999999999" customHeight="1" x14ac:dyDescent="0.35">
      <c r="A32" s="3">
        <v>30</v>
      </c>
      <c r="B32" s="4" t="str">
        <f t="shared" si="2"/>
        <v>PRODUCT:MANAGE</v>
      </c>
      <c r="C32" s="4" t="str">
        <f t="shared" si="0"/>
        <v>product management</v>
      </c>
      <c r="D32" s="4" t="s">
        <v>5772</v>
      </c>
      <c r="E32" s="5" t="s">
        <v>6421</v>
      </c>
      <c r="F32" s="16" t="str">
        <f t="shared" si="1"/>
        <v>(30,'PRODUCT:MANAGE','product management','PRODUCT','MANAGE'),</v>
      </c>
    </row>
    <row r="33" spans="1:6" ht="20.149999999999999" customHeight="1" x14ac:dyDescent="0.35">
      <c r="A33" s="3">
        <v>31</v>
      </c>
      <c r="B33" s="4" t="str">
        <f t="shared" si="2"/>
        <v>OPERATIONAL_STATUS:MANAGE</v>
      </c>
      <c r="C33" s="4" t="str">
        <f t="shared" si="0"/>
        <v>operational_status management</v>
      </c>
      <c r="D33" s="4" t="s">
        <v>5773</v>
      </c>
      <c r="E33" s="5" t="s">
        <v>6421</v>
      </c>
      <c r="F33" s="16" t="str">
        <f t="shared" si="1"/>
        <v>(31,'OPERATIONAL_STATUS:MANAGE','operational_status management','OPERATIONAL_STATUS','MANAGE'),</v>
      </c>
    </row>
    <row r="34" spans="1:6" ht="20.149999999999999" customHeight="1" x14ac:dyDescent="0.35">
      <c r="A34" s="3">
        <v>32</v>
      </c>
      <c r="B34" s="4" t="str">
        <f t="shared" si="2"/>
        <v>ALLOY:MANAGE</v>
      </c>
      <c r="C34" s="4" t="str">
        <f t="shared" si="0"/>
        <v>alloy management</v>
      </c>
      <c r="D34" s="4" t="s">
        <v>5774</v>
      </c>
      <c r="E34" s="5" t="s">
        <v>6421</v>
      </c>
      <c r="F34" s="16" t="str">
        <f t="shared" si="1"/>
        <v>(32,'ALLOY:MANAGE','alloy management','ALLOY','MANAGE'),</v>
      </c>
    </row>
    <row r="35" spans="1:6" ht="20.149999999999999" customHeight="1" x14ac:dyDescent="0.35">
      <c r="A35" s="3">
        <v>33</v>
      </c>
      <c r="B35" s="4" t="str">
        <f t="shared" si="2"/>
        <v>PARTNER:MANAGE</v>
      </c>
      <c r="C35" s="4" t="str">
        <f t="shared" ref="C35:C61" si="3">CONCATENATE(LOWER(D35)," management")</f>
        <v>partner management</v>
      </c>
      <c r="D35" s="4" t="s">
        <v>5775</v>
      </c>
      <c r="E35" s="5" t="s">
        <v>6421</v>
      </c>
      <c r="F35" s="16" t="str">
        <f t="shared" si="1"/>
        <v>(33,'PARTNER:MANAGE','partner management','PARTNER','MANAGE'),</v>
      </c>
    </row>
    <row r="36" spans="1:6" ht="20.149999999999999" customHeight="1" x14ac:dyDescent="0.35">
      <c r="A36" s="3">
        <v>34</v>
      </c>
      <c r="B36" s="4" t="str">
        <f t="shared" si="2"/>
        <v>VENDOR:MANAGE</v>
      </c>
      <c r="C36" s="4" t="str">
        <f t="shared" si="3"/>
        <v>vendor management</v>
      </c>
      <c r="D36" s="4" t="s">
        <v>5776</v>
      </c>
      <c r="E36" s="5" t="s">
        <v>6421</v>
      </c>
      <c r="F36" s="16" t="str">
        <f t="shared" si="1"/>
        <v>(34,'VENDOR:MANAGE','vendor management','VENDOR','MANAGE'),</v>
      </c>
    </row>
    <row r="37" spans="1:6" ht="20.149999999999999" customHeight="1" x14ac:dyDescent="0.35">
      <c r="A37" s="3">
        <v>35</v>
      </c>
      <c r="B37" s="4" t="str">
        <f t="shared" si="2"/>
        <v>INFRASTRUCTURE:MANAGE</v>
      </c>
      <c r="C37" s="4" t="str">
        <f t="shared" si="3"/>
        <v>infrastructure management</v>
      </c>
      <c r="D37" s="4" t="s">
        <v>5777</v>
      </c>
      <c r="E37" s="5" t="s">
        <v>6421</v>
      </c>
      <c r="F37" s="16" t="str">
        <f t="shared" si="1"/>
        <v>(35,'INFRASTRUCTURE:MANAGE','infrastructure management','INFRASTRUCTURE','MANAGE'),</v>
      </c>
    </row>
    <row r="38" spans="1:6" ht="20.149999999999999" customHeight="1" x14ac:dyDescent="0.35">
      <c r="A38" s="3">
        <v>36</v>
      </c>
      <c r="B38" s="4" t="str">
        <f t="shared" si="2"/>
        <v>FACILITY:MANAGE</v>
      </c>
      <c r="C38" s="4" t="str">
        <f t="shared" si="3"/>
        <v>facility management</v>
      </c>
      <c r="D38" s="4" t="s">
        <v>5778</v>
      </c>
      <c r="E38" s="5" t="s">
        <v>6421</v>
      </c>
      <c r="F38" s="16" t="str">
        <f t="shared" si="1"/>
        <v>(36,'FACILITY:MANAGE','facility management','FACILITY','MANAGE'),</v>
      </c>
    </row>
    <row r="39" spans="1:6" ht="20.149999999999999" customHeight="1" x14ac:dyDescent="0.35">
      <c r="A39" s="3">
        <v>37</v>
      </c>
      <c r="B39" s="4" t="str">
        <f t="shared" si="2"/>
        <v>PIPELINE_SYSTEM:MANAGE</v>
      </c>
      <c r="C39" s="4" t="str">
        <f t="shared" si="3"/>
        <v>pipeline_system management</v>
      </c>
      <c r="D39" s="4" t="s">
        <v>5779</v>
      </c>
      <c r="E39" s="5" t="s">
        <v>6421</v>
      </c>
      <c r="F39" s="16" t="str">
        <f t="shared" si="1"/>
        <v>(37,'PIPELINE_SYSTEM:MANAGE','pipeline_system management','PIPELINE_SYSTEM','MANAGE'),</v>
      </c>
    </row>
    <row r="40" spans="1:6" ht="20.149999999999999" customHeight="1" x14ac:dyDescent="0.35">
      <c r="A40" s="3">
        <v>38</v>
      </c>
      <c r="B40" s="4" t="str">
        <f t="shared" si="2"/>
        <v>PIPELINE:MANAGE</v>
      </c>
      <c r="C40" s="4" t="str">
        <f t="shared" si="3"/>
        <v>pipeline management</v>
      </c>
      <c r="D40" s="4" t="s">
        <v>5780</v>
      </c>
      <c r="E40" s="5" t="s">
        <v>6421</v>
      </c>
      <c r="F40" s="16" t="str">
        <f t="shared" si="1"/>
        <v>(38,'PIPELINE:MANAGE','pipeline management','PIPELINE','MANAGE'),</v>
      </c>
    </row>
    <row r="41" spans="1:6" ht="20.149999999999999" customHeight="1" x14ac:dyDescent="0.35">
      <c r="A41" s="3">
        <v>39</v>
      </c>
      <c r="B41" s="4" t="str">
        <f t="shared" si="2"/>
        <v>PIPELINE_SEGMENT:MANAGE</v>
      </c>
      <c r="C41" s="4" t="str">
        <f t="shared" si="3"/>
        <v>pipeline_segment management</v>
      </c>
      <c r="D41" s="4" t="s">
        <v>5781</v>
      </c>
      <c r="E41" s="5" t="s">
        <v>6421</v>
      </c>
      <c r="F41" s="16" t="str">
        <f t="shared" si="1"/>
        <v>(39,'PIPELINE_SEGMENT:MANAGE','pipeline_segment management','PIPELINE_SEGMENT','MANAGE'),</v>
      </c>
    </row>
    <row r="42" spans="1:6" ht="20.149999999999999" customHeight="1" x14ac:dyDescent="0.35">
      <c r="A42" s="3">
        <v>40</v>
      </c>
      <c r="B42" s="4" t="str">
        <f t="shared" si="2"/>
        <v>STATION:MANAGE</v>
      </c>
      <c r="C42" s="4" t="str">
        <f t="shared" si="3"/>
        <v>station management</v>
      </c>
      <c r="D42" s="4" t="s">
        <v>5782</v>
      </c>
      <c r="E42" s="5" t="s">
        <v>6421</v>
      </c>
      <c r="F42" s="16" t="str">
        <f t="shared" si="1"/>
        <v>(40,'STATION:MANAGE','station management','STATION','MANAGE'),</v>
      </c>
    </row>
    <row r="43" spans="1:6" ht="20.149999999999999" customHeight="1" x14ac:dyDescent="0.35">
      <c r="A43" s="3">
        <v>41</v>
      </c>
      <c r="B43" s="4" t="str">
        <f t="shared" si="2"/>
        <v>TERMINAL:MANAGE</v>
      </c>
      <c r="C43" s="4" t="str">
        <f t="shared" si="3"/>
        <v>terminal management</v>
      </c>
      <c r="D43" s="4" t="s">
        <v>5783</v>
      </c>
      <c r="E43" s="5" t="s">
        <v>6421</v>
      </c>
      <c r="F43" s="16" t="str">
        <f t="shared" si="1"/>
        <v>(41,'TERMINAL:MANAGE','terminal management','TERMINAL','MANAGE'),</v>
      </c>
    </row>
    <row r="44" spans="1:6" ht="20.149999999999999" customHeight="1" x14ac:dyDescent="0.35">
      <c r="A44" s="3">
        <v>42</v>
      </c>
      <c r="B44" s="4" t="str">
        <f t="shared" si="2"/>
        <v>PROCESSING_PLANT:MANAGE</v>
      </c>
      <c r="C44" s="4" t="str">
        <f t="shared" si="3"/>
        <v>processing_plant management</v>
      </c>
      <c r="D44" s="4" t="s">
        <v>5793</v>
      </c>
      <c r="E44" s="5" t="s">
        <v>6421</v>
      </c>
      <c r="F44" s="16" t="str">
        <f t="shared" si="1"/>
        <v>(42,'PROCESSING_PLANT:MANAGE','processing_plant management','PROCESSING_PLANT','MANAGE'),</v>
      </c>
    </row>
    <row r="45" spans="1:6" ht="20.149999999999999" customHeight="1" x14ac:dyDescent="0.35">
      <c r="A45" s="3">
        <v>43</v>
      </c>
      <c r="B45" s="4" t="str">
        <f t="shared" si="2"/>
        <v>PRODUCTION_FIELD:MANAGE</v>
      </c>
      <c r="C45" s="4" t="str">
        <f t="shared" si="3"/>
        <v>production_field management</v>
      </c>
      <c r="D45" s="4" t="s">
        <v>5794</v>
      </c>
      <c r="E45" s="5" t="s">
        <v>6421</v>
      </c>
      <c r="F45" s="16" t="str">
        <f t="shared" si="1"/>
        <v>(43,'PRODUCTION_FIELD:MANAGE','production_field management','PRODUCTION_FIELD','MANAGE'),</v>
      </c>
    </row>
    <row r="46" spans="1:6" ht="20.149999999999999" customHeight="1" x14ac:dyDescent="0.35">
      <c r="A46" s="3">
        <v>44</v>
      </c>
      <c r="B46" s="4" t="str">
        <f t="shared" si="2"/>
        <v>EQUIPMENT:MANAGE</v>
      </c>
      <c r="C46" s="4" t="str">
        <f t="shared" si="3"/>
        <v>equipment management</v>
      </c>
      <c r="D46" s="4" t="s">
        <v>5784</v>
      </c>
      <c r="E46" s="5" t="s">
        <v>6421</v>
      </c>
      <c r="F46" s="16" t="str">
        <f t="shared" si="1"/>
        <v>(44,'EQUIPMENT:MANAGE','equipment management','EQUIPMENT','MANAGE'),</v>
      </c>
    </row>
    <row r="47" spans="1:6" ht="20.149999999999999" customHeight="1" x14ac:dyDescent="0.35">
      <c r="A47" s="3">
        <v>45</v>
      </c>
      <c r="B47" s="4" t="str">
        <f t="shared" si="2"/>
        <v>EVENT_TYPE:MANAGE</v>
      </c>
      <c r="C47" s="4" t="str">
        <f t="shared" si="3"/>
        <v>event_type management</v>
      </c>
      <c r="D47" s="4" t="s">
        <v>6375</v>
      </c>
      <c r="E47" s="5" t="s">
        <v>6421</v>
      </c>
      <c r="F47" s="16" t="str">
        <f t="shared" si="1"/>
        <v>(45,'EVENT_TYPE:MANAGE','event_type management','EVENT_TYPE','MANAGE'),</v>
      </c>
    </row>
    <row r="48" spans="1:6" ht="20.149999999999999" customHeight="1" x14ac:dyDescent="0.35">
      <c r="A48" s="3">
        <v>46</v>
      </c>
      <c r="B48" s="4" t="str">
        <f t="shared" si="2"/>
        <v>OPERATION_TYPE:MANAGE</v>
      </c>
      <c r="C48" s="4" t="str">
        <f t="shared" si="3"/>
        <v>operation_type management</v>
      </c>
      <c r="D48" s="4" t="s">
        <v>6374</v>
      </c>
      <c r="E48" s="5" t="s">
        <v>6421</v>
      </c>
      <c r="F48" s="16" t="str">
        <f t="shared" si="1"/>
        <v>(46,'OPERATION_TYPE:MANAGE','operation_type management','OPERATION_TYPE','MANAGE'),</v>
      </c>
    </row>
    <row r="49" spans="1:6" ht="20.149999999999999" customHeight="1" x14ac:dyDescent="0.35">
      <c r="A49" s="3">
        <v>47</v>
      </c>
      <c r="B49" s="4" t="str">
        <f t="shared" si="2"/>
        <v>EVENT_STATUS:MANAGE</v>
      </c>
      <c r="C49" s="4" t="str">
        <f t="shared" si="3"/>
        <v>event_status management</v>
      </c>
      <c r="D49" s="4" t="s">
        <v>6378</v>
      </c>
      <c r="E49" s="5" t="s">
        <v>6421</v>
      </c>
      <c r="F49" s="16" t="str">
        <f t="shared" si="1"/>
        <v>(47,'EVENT_STATUS:MANAGE','event_status management','EVENT_STATUS','MANAGE'),</v>
      </c>
    </row>
    <row r="50" spans="1:6" ht="20.149999999999999" customHeight="1" x14ac:dyDescent="0.35">
      <c r="A50" s="3">
        <v>48</v>
      </c>
      <c r="B50" s="4" t="str">
        <f t="shared" si="2"/>
        <v>ALERT_STATUS:MANAGE</v>
      </c>
      <c r="C50" s="4" t="str">
        <f t="shared" si="3"/>
        <v>alert_status management</v>
      </c>
      <c r="D50" s="4" t="s">
        <v>6376</v>
      </c>
      <c r="E50" s="45" t="s">
        <v>6421</v>
      </c>
      <c r="F50" s="16" t="str">
        <f t="shared" si="1"/>
        <v>(48,'ALERT_STATUS:MANAGE','alert_status management','ALERT_STATUS','MANAGE'),</v>
      </c>
    </row>
    <row r="51" spans="1:6" ht="20.149999999999999" customHeight="1" x14ac:dyDescent="0.35">
      <c r="A51" s="3">
        <v>49</v>
      </c>
      <c r="B51" s="4" t="str">
        <f t="shared" si="2"/>
        <v>SEVERITY:MANAGE</v>
      </c>
      <c r="C51" s="4" t="str">
        <f t="shared" si="3"/>
        <v>severity management</v>
      </c>
      <c r="D51" s="4" t="s">
        <v>6380</v>
      </c>
      <c r="E51" s="5" t="s">
        <v>6421</v>
      </c>
      <c r="F51" s="16" t="str">
        <f t="shared" si="1"/>
        <v>(49,'SEVERITY:MANAGE','severity management','SEVERITY','MANAGE'),</v>
      </c>
    </row>
    <row r="52" spans="1:6" ht="20.149999999999999" customHeight="1" x14ac:dyDescent="0.35">
      <c r="A52" s="3">
        <v>50</v>
      </c>
      <c r="B52" s="4" t="str">
        <f t="shared" si="2"/>
        <v>DATA_SOURCE:MANAGE</v>
      </c>
      <c r="C52" s="4" t="str">
        <f t="shared" si="3"/>
        <v>data_source management</v>
      </c>
      <c r="D52" s="4" t="s">
        <v>6377</v>
      </c>
      <c r="E52" s="5" t="s">
        <v>6421</v>
      </c>
      <c r="F52" s="16" t="str">
        <f t="shared" si="1"/>
        <v>(50,'DATA_SOURCE:MANAGE','data_source management','DATA_SOURCE','MANAGE'),</v>
      </c>
    </row>
    <row r="53" spans="1:6" ht="20.149999999999999" customHeight="1" x14ac:dyDescent="0.35">
      <c r="A53" s="3">
        <v>51</v>
      </c>
      <c r="B53" s="4" t="str">
        <f t="shared" si="2"/>
        <v>QUALITY_FLAG:MANAGE</v>
      </c>
      <c r="C53" s="4" t="str">
        <f t="shared" si="3"/>
        <v>quality_flag management</v>
      </c>
      <c r="D53" s="4" t="s">
        <v>6379</v>
      </c>
      <c r="E53" s="5" t="s">
        <v>6421</v>
      </c>
      <c r="F53" s="16" t="str">
        <f t="shared" si="1"/>
        <v>(51,'QUALITY_FLAG:MANAGE','quality_flag management','QUALITY_FLAG','MANAGE'),</v>
      </c>
    </row>
    <row r="54" spans="1:6" ht="20.149999999999999" customHeight="1" x14ac:dyDescent="0.35">
      <c r="A54" s="3">
        <v>52</v>
      </c>
      <c r="B54" s="4" t="str">
        <f t="shared" si="2"/>
        <v>VALIDATION_STATUS:MANAGE</v>
      </c>
      <c r="C54" s="4" t="str">
        <f t="shared" si="3"/>
        <v>validation_status management</v>
      </c>
      <c r="D54" s="4" t="s">
        <v>6381</v>
      </c>
      <c r="E54" s="5" t="s">
        <v>6421</v>
      </c>
      <c r="F54" s="16" t="str">
        <f t="shared" si="1"/>
        <v>(52,'VALIDATION_STATUS:MANAGE','validation_status management','VALIDATION_STATUS','MANAGE'),</v>
      </c>
    </row>
    <row r="55" spans="1:6" ht="20.149999999999999" customHeight="1" x14ac:dyDescent="0.35">
      <c r="A55" s="3">
        <v>53</v>
      </c>
      <c r="B55" s="4" t="str">
        <f t="shared" si="2"/>
        <v>READING_SLOT:MANAGE</v>
      </c>
      <c r="C55" s="4" t="str">
        <f t="shared" si="3"/>
        <v>reading_slot management</v>
      </c>
      <c r="D55" s="4" t="s">
        <v>6382</v>
      </c>
      <c r="E55" s="5" t="s">
        <v>6421</v>
      </c>
      <c r="F55" s="16" t="str">
        <f t="shared" si="1"/>
        <v>(53,'READING_SLOT:MANAGE','reading_slot management','READING_SLOT','MANAGE'),</v>
      </c>
    </row>
    <row r="56" spans="1:6" ht="20.149999999999999" customHeight="1" x14ac:dyDescent="0.35">
      <c r="A56" s="3">
        <v>54</v>
      </c>
      <c r="B56" s="4" t="str">
        <f t="shared" si="2"/>
        <v>FLOW_OPERATION:MANAGE</v>
      </c>
      <c r="C56" s="4" t="str">
        <f t="shared" si="3"/>
        <v>flow_operation management</v>
      </c>
      <c r="D56" s="4" t="s">
        <v>6383</v>
      </c>
      <c r="E56" s="5" t="s">
        <v>6421</v>
      </c>
      <c r="F56" s="16" t="str">
        <f t="shared" si="1"/>
        <v>(54,'FLOW_OPERATION:MANAGE','flow_operation management','FLOW_OPERATION','MANAGE'),</v>
      </c>
    </row>
    <row r="57" spans="1:6" ht="20.149999999999999" customHeight="1" x14ac:dyDescent="0.35">
      <c r="A57" s="3">
        <v>55</v>
      </c>
      <c r="B57" s="4" t="str">
        <f t="shared" si="2"/>
        <v>FLOW_FORECAST:MANAGE</v>
      </c>
      <c r="C57" s="4" t="str">
        <f t="shared" si="3"/>
        <v>flow_forecast management</v>
      </c>
      <c r="D57" s="4" t="s">
        <v>6384</v>
      </c>
      <c r="E57" s="5" t="s">
        <v>6421</v>
      </c>
      <c r="F57" s="16" t="str">
        <f t="shared" si="1"/>
        <v>(55,'FLOW_FORECAST:MANAGE','flow_forecast management','FLOW_FORECAST','MANAGE'),</v>
      </c>
    </row>
    <row r="58" spans="1:6" ht="20.149999999999999" customHeight="1" x14ac:dyDescent="0.35">
      <c r="A58" s="3">
        <v>56</v>
      </c>
      <c r="B58" s="4" t="str">
        <f t="shared" si="2"/>
        <v>FLOW_READING:MANAGE</v>
      </c>
      <c r="C58" s="4" t="str">
        <f t="shared" si="3"/>
        <v>flow_reading management</v>
      </c>
      <c r="D58" s="4" t="s">
        <v>6385</v>
      </c>
      <c r="E58" s="5" t="s">
        <v>6421</v>
      </c>
      <c r="F58" s="16" t="str">
        <f t="shared" si="1"/>
        <v>(56,'FLOW_READING:MANAGE','flow_reading management','FLOW_READING','MANAGE'),</v>
      </c>
    </row>
    <row r="59" spans="1:6" ht="20.149999999999999" customHeight="1" x14ac:dyDescent="0.35">
      <c r="A59" s="3">
        <v>57</v>
      </c>
      <c r="B59" s="4" t="str">
        <f t="shared" si="2"/>
        <v>FLOW_EVENT:MANAGE</v>
      </c>
      <c r="C59" s="4" t="str">
        <f t="shared" si="3"/>
        <v>flow_event management</v>
      </c>
      <c r="D59" s="4" t="s">
        <v>6388</v>
      </c>
      <c r="E59" s="5" t="s">
        <v>6421</v>
      </c>
      <c r="F59" s="16" t="str">
        <f t="shared" si="1"/>
        <v>(57,'FLOW_EVENT:MANAGE','flow_event management','FLOW_EVENT','MANAGE'),</v>
      </c>
    </row>
    <row r="60" spans="1:6" ht="20.149999999999999" customHeight="1" x14ac:dyDescent="0.35">
      <c r="A60" s="3">
        <v>58</v>
      </c>
      <c r="B60" s="4" t="str">
        <f t="shared" si="2"/>
        <v>FLOW_ALERT:MANAGE</v>
      </c>
      <c r="C60" s="4" t="str">
        <f t="shared" si="3"/>
        <v>flow_alert management</v>
      </c>
      <c r="D60" s="4" t="s">
        <v>6387</v>
      </c>
      <c r="E60" s="5" t="s">
        <v>6421</v>
      </c>
      <c r="F60" s="16" t="str">
        <f t="shared" si="1"/>
        <v>(58,'FLOW_ALERT:MANAGE','flow_alert management','FLOW_ALERT','MANAGE'),</v>
      </c>
    </row>
    <row r="61" spans="1:6" ht="20.149999999999999" customHeight="1" x14ac:dyDescent="0.35">
      <c r="A61" s="3">
        <v>59</v>
      </c>
      <c r="B61" s="4" t="str">
        <f t="shared" si="2"/>
        <v>FLOW_THRESHOLD:MANAGE</v>
      </c>
      <c r="C61" s="4" t="str">
        <f t="shared" si="3"/>
        <v>flow_threshold management</v>
      </c>
      <c r="D61" s="4" t="s">
        <v>6386</v>
      </c>
      <c r="E61" s="5" t="s">
        <v>6421</v>
      </c>
      <c r="F61" s="16" t="str">
        <f t="shared" si="1"/>
        <v>(59,'FLOW_THRESHOLD:MANAGE','flow_threshold management','FLOW_THRESHOLD','MANAGE'),</v>
      </c>
    </row>
    <row r="62" spans="1:6" ht="20.149999999999999" customHeight="1" x14ac:dyDescent="0.35">
      <c r="A62" s="3">
        <v>101</v>
      </c>
      <c r="B62" s="4" t="str">
        <f t="shared" si="2"/>
        <v>PARAMETER:EXECUTE</v>
      </c>
      <c r="C62" s="4" t="str">
        <f t="shared" ref="C62:C93" si="4">CONCATENATE(LOWER(D62)," execution")</f>
        <v>parameter execution</v>
      </c>
      <c r="D62" s="4" t="s">
        <v>6371</v>
      </c>
      <c r="E62" s="5" t="s">
        <v>6422</v>
      </c>
      <c r="F62" s="16" t="str">
        <f t="shared" si="1"/>
        <v>(101,'PARAMETER:EXECUTE','parameter execution','PARAMETER','EXECUTE'),</v>
      </c>
    </row>
    <row r="63" spans="1:6" ht="20.149999999999999" customHeight="1" x14ac:dyDescent="0.35">
      <c r="A63" s="3">
        <v>102</v>
      </c>
      <c r="B63" s="4" t="str">
        <f t="shared" si="2"/>
        <v>FILE:EXECUTE</v>
      </c>
      <c r="C63" s="4" t="str">
        <f t="shared" si="4"/>
        <v>file execution</v>
      </c>
      <c r="D63" s="4" t="s">
        <v>6372</v>
      </c>
      <c r="E63" s="5" t="s">
        <v>6422</v>
      </c>
      <c r="F63" s="16" t="str">
        <f t="shared" si="1"/>
        <v>(102,'FILE:EXECUTE','file execution','FILE','EXECUTE'),</v>
      </c>
    </row>
    <row r="64" spans="1:6" ht="20.149999999999999" customHeight="1" x14ac:dyDescent="0.35">
      <c r="A64" s="3">
        <v>103</v>
      </c>
      <c r="B64" s="4" t="str">
        <f t="shared" si="2"/>
        <v>GROUP:EXECUTE</v>
      </c>
      <c r="C64" s="4" t="str">
        <f t="shared" si="4"/>
        <v>group execution</v>
      </c>
      <c r="D64" s="4" t="s">
        <v>5748</v>
      </c>
      <c r="E64" s="5" t="s">
        <v>6422</v>
      </c>
      <c r="F64" s="16" t="str">
        <f t="shared" si="1"/>
        <v>(103,'GROUP:EXECUTE','group execution','GROUP','EXECUTE'),</v>
      </c>
    </row>
    <row r="65" spans="1:6" ht="20.149999999999999" customHeight="1" x14ac:dyDescent="0.35">
      <c r="A65" s="3">
        <v>104</v>
      </c>
      <c r="B65" s="4" t="str">
        <f t="shared" si="2"/>
        <v>USER:EXECUTE</v>
      </c>
      <c r="C65" s="4" t="str">
        <f t="shared" si="4"/>
        <v>user execution</v>
      </c>
      <c r="D65" s="4" t="s">
        <v>5749</v>
      </c>
      <c r="E65" s="5" t="s">
        <v>6422</v>
      </c>
      <c r="F65" s="16" t="str">
        <f t="shared" si="1"/>
        <v>(104,'USER:EXECUTE','user execution','USER','EXECUTE'),</v>
      </c>
    </row>
    <row r="66" spans="1:6" ht="20.149999999999999" customHeight="1" x14ac:dyDescent="0.35">
      <c r="A66" s="3">
        <v>105</v>
      </c>
      <c r="B66" s="4" t="str">
        <f t="shared" si="2"/>
        <v>ROLE:EXECUTE</v>
      </c>
      <c r="C66" s="4" t="str">
        <f t="shared" si="4"/>
        <v>role execution</v>
      </c>
      <c r="D66" s="4" t="s">
        <v>5750</v>
      </c>
      <c r="E66" s="5" t="s">
        <v>6422</v>
      </c>
      <c r="F66" s="16" t="str">
        <f t="shared" si="1"/>
        <v>(105,'ROLE:EXECUTE','role execution','ROLE','EXECUTE'),</v>
      </c>
    </row>
    <row r="67" spans="1:6" ht="20.149999999999999" customHeight="1" x14ac:dyDescent="0.35">
      <c r="A67" s="3">
        <v>106</v>
      </c>
      <c r="B67" s="4" t="str">
        <f t="shared" si="2"/>
        <v>PERMISSION:EXECUTE</v>
      </c>
      <c r="C67" s="4" t="str">
        <f t="shared" si="4"/>
        <v>permission execution</v>
      </c>
      <c r="D67" s="4" t="s">
        <v>5751</v>
      </c>
      <c r="E67" s="5" t="s">
        <v>6422</v>
      </c>
      <c r="F67" s="16" t="str">
        <f t="shared" ref="F67:F130" si="5">CONCATENATE("(",A67,",'",B67,"','",C67,"','",D67,"','",E67,"'),")</f>
        <v>(106,'PERMISSION:EXECUTE','permission execution','PERMISSION','EXECUTE'),</v>
      </c>
    </row>
    <row r="68" spans="1:6" ht="20.149999999999999" customHeight="1" x14ac:dyDescent="0.35">
      <c r="A68" s="3">
        <v>107</v>
      </c>
      <c r="B68" s="4" t="str">
        <f t="shared" ref="B68:B131" si="6">CONCATENATE(D68,":",E68)</f>
        <v>AUTHORITY:EXECUTE</v>
      </c>
      <c r="C68" s="4" t="str">
        <f t="shared" si="4"/>
        <v>authority execution</v>
      </c>
      <c r="D68" s="4" t="s">
        <v>5752</v>
      </c>
      <c r="E68" s="5" t="s">
        <v>6422</v>
      </c>
      <c r="F68" s="16" t="str">
        <f t="shared" si="5"/>
        <v>(107,'AUTHORITY:EXECUTE','authority execution','AUTHORITY','EXECUTE'),</v>
      </c>
    </row>
    <row r="69" spans="1:6" ht="20.149999999999999" customHeight="1" x14ac:dyDescent="0.35">
      <c r="A69" s="3">
        <v>108</v>
      </c>
      <c r="B69" s="4" t="str">
        <f t="shared" si="6"/>
        <v>AUDIT:EXECUTE</v>
      </c>
      <c r="C69" s="4" t="str">
        <f t="shared" si="4"/>
        <v>audit execution</v>
      </c>
      <c r="D69" s="4" t="s">
        <v>5753</v>
      </c>
      <c r="E69" s="5" t="s">
        <v>6422</v>
      </c>
      <c r="F69" s="16" t="str">
        <f t="shared" si="5"/>
        <v>(108,'AUDIT:EXECUTE','audit execution','AUDIT','EXECUTE'),</v>
      </c>
    </row>
    <row r="70" spans="1:6" ht="20.149999999999999" customHeight="1" x14ac:dyDescent="0.35">
      <c r="A70" s="3">
        <v>109</v>
      </c>
      <c r="B70" s="4" t="str">
        <f t="shared" si="6"/>
        <v>STRUCTURE_TYPE:EXECUTE</v>
      </c>
      <c r="C70" s="4" t="str">
        <f t="shared" si="4"/>
        <v>structure_type execution</v>
      </c>
      <c r="D70" s="4" t="s">
        <v>5758</v>
      </c>
      <c r="E70" s="5" t="s">
        <v>6422</v>
      </c>
      <c r="F70" s="16" t="str">
        <f t="shared" si="5"/>
        <v>(109,'STRUCTURE_TYPE:EXECUTE','structure_type execution','STRUCTURE_TYPE','EXECUTE'),</v>
      </c>
    </row>
    <row r="71" spans="1:6" ht="20.149999999999999" customHeight="1" x14ac:dyDescent="0.35">
      <c r="A71" s="3">
        <v>110</v>
      </c>
      <c r="B71" s="4" t="str">
        <f t="shared" si="6"/>
        <v>ZONE:EXECUTE</v>
      </c>
      <c r="C71" s="4" t="str">
        <f t="shared" si="4"/>
        <v>zone execution</v>
      </c>
      <c r="D71" s="4" t="s">
        <v>5770</v>
      </c>
      <c r="E71" s="5" t="s">
        <v>6422</v>
      </c>
      <c r="F71" s="16" t="str">
        <f t="shared" si="5"/>
        <v>(110,'ZONE:EXECUTE','zone execution','ZONE','EXECUTE'),</v>
      </c>
    </row>
    <row r="72" spans="1:6" ht="20.149999999999999" customHeight="1" x14ac:dyDescent="0.35">
      <c r="A72" s="3">
        <v>111</v>
      </c>
      <c r="B72" s="4" t="str">
        <f t="shared" si="6"/>
        <v>COUNTRY:EXECUTE</v>
      </c>
      <c r="C72" s="4" t="str">
        <f t="shared" si="4"/>
        <v>country execution</v>
      </c>
      <c r="D72" s="4" t="s">
        <v>5755</v>
      </c>
      <c r="E72" s="5" t="s">
        <v>6422</v>
      </c>
      <c r="F72" s="16" t="str">
        <f t="shared" si="5"/>
        <v>(111,'COUNTRY:EXECUTE','country execution','COUNTRY','EXECUTE'),</v>
      </c>
    </row>
    <row r="73" spans="1:6" ht="20.149999999999999" customHeight="1" x14ac:dyDescent="0.35">
      <c r="A73" s="3">
        <v>112</v>
      </c>
      <c r="B73" s="4" t="str">
        <f t="shared" si="6"/>
        <v>STATE:EXECUTE</v>
      </c>
      <c r="C73" s="4" t="str">
        <f t="shared" si="4"/>
        <v>state execution</v>
      </c>
      <c r="D73" s="4" t="s">
        <v>5756</v>
      </c>
      <c r="E73" s="5" t="s">
        <v>6422</v>
      </c>
      <c r="F73" s="16" t="str">
        <f t="shared" si="5"/>
        <v>(112,'STATE:EXECUTE','state execution','STATE','EXECUTE'),</v>
      </c>
    </row>
    <row r="74" spans="1:6" ht="20.149999999999999" customHeight="1" x14ac:dyDescent="0.35">
      <c r="A74" s="3">
        <v>113</v>
      </c>
      <c r="B74" s="4" t="str">
        <f t="shared" si="6"/>
        <v>DISTRICT:EXECUTE</v>
      </c>
      <c r="C74" s="4" t="str">
        <f t="shared" si="4"/>
        <v>district execution</v>
      </c>
      <c r="D74" s="4" t="s">
        <v>5790</v>
      </c>
      <c r="E74" s="5" t="s">
        <v>6422</v>
      </c>
      <c r="F74" s="16" t="str">
        <f t="shared" si="5"/>
        <v>(113,'DISTRICT:EXECUTE','district execution','DISTRICT','EXECUTE'),</v>
      </c>
    </row>
    <row r="75" spans="1:6" ht="20.149999999999999" customHeight="1" x14ac:dyDescent="0.35">
      <c r="A75" s="3">
        <v>114</v>
      </c>
      <c r="B75" s="4" t="str">
        <f t="shared" si="6"/>
        <v>LOCALITY:EXECUTE</v>
      </c>
      <c r="C75" s="4" t="str">
        <f t="shared" si="4"/>
        <v>locality execution</v>
      </c>
      <c r="D75" s="4" t="s">
        <v>5757</v>
      </c>
      <c r="E75" s="5" t="s">
        <v>6422</v>
      </c>
      <c r="F75" s="16" t="str">
        <f t="shared" si="5"/>
        <v>(114,'LOCALITY:EXECUTE','locality execution','LOCALITY','EXECUTE'),</v>
      </c>
    </row>
    <row r="76" spans="1:6" ht="20.149999999999999" customHeight="1" x14ac:dyDescent="0.35">
      <c r="A76" s="3">
        <v>115</v>
      </c>
      <c r="B76" s="4" t="str">
        <f t="shared" si="6"/>
        <v>LOCATION:EXECUTE</v>
      </c>
      <c r="C76" s="4" t="str">
        <f t="shared" si="4"/>
        <v>location execution</v>
      </c>
      <c r="D76" s="4" t="s">
        <v>5771</v>
      </c>
      <c r="E76" s="5" t="s">
        <v>6422</v>
      </c>
      <c r="F76" s="16" t="str">
        <f t="shared" si="5"/>
        <v>(115,'LOCATION:EXECUTE','location execution','LOCATION','EXECUTE'),</v>
      </c>
    </row>
    <row r="77" spans="1:6" ht="20.149999999999999" customHeight="1" x14ac:dyDescent="0.35">
      <c r="A77" s="3">
        <v>116</v>
      </c>
      <c r="B77" s="4" t="str">
        <f t="shared" si="6"/>
        <v>COORDINATE:EXECUTE</v>
      </c>
      <c r="C77" s="4" t="str">
        <f t="shared" si="4"/>
        <v>coordinate execution</v>
      </c>
      <c r="D77" s="4" t="s">
        <v>6373</v>
      </c>
      <c r="E77" s="5" t="s">
        <v>6422</v>
      </c>
      <c r="F77" s="16" t="str">
        <f t="shared" si="5"/>
        <v>(116,'COORDINATE:EXECUTE','coordinate execution','COORDINATE','EXECUTE'),</v>
      </c>
    </row>
    <row r="78" spans="1:6" ht="20.149999999999999" customHeight="1" x14ac:dyDescent="0.35">
      <c r="A78" s="3">
        <v>117</v>
      </c>
      <c r="B78" s="4" t="str">
        <f t="shared" si="6"/>
        <v>STRUCTURE:EXECUTE</v>
      </c>
      <c r="C78" s="4" t="str">
        <f t="shared" si="4"/>
        <v>structure execution</v>
      </c>
      <c r="D78" s="4" t="s">
        <v>5759</v>
      </c>
      <c r="E78" s="5" t="s">
        <v>6422</v>
      </c>
      <c r="F78" s="16" t="str">
        <f t="shared" si="5"/>
        <v>(117,'STRUCTURE:EXECUTE','structure execution','STRUCTURE','EXECUTE'),</v>
      </c>
    </row>
    <row r="79" spans="1:6" ht="20.149999999999999" customHeight="1" x14ac:dyDescent="0.35">
      <c r="A79" s="3">
        <v>118</v>
      </c>
      <c r="B79" s="4" t="str">
        <f t="shared" si="6"/>
        <v>JOB:EXECUTE</v>
      </c>
      <c r="C79" s="4" t="str">
        <f t="shared" si="4"/>
        <v>job execution</v>
      </c>
      <c r="D79" s="4" t="s">
        <v>5760</v>
      </c>
      <c r="E79" s="5" t="s">
        <v>6422</v>
      </c>
      <c r="F79" s="16" t="str">
        <f t="shared" si="5"/>
        <v>(118,'JOB:EXECUTE','job execution','JOB','EXECUTE'),</v>
      </c>
    </row>
    <row r="80" spans="1:6" ht="20.149999999999999" customHeight="1" x14ac:dyDescent="0.35">
      <c r="A80" s="3">
        <v>119</v>
      </c>
      <c r="B80" s="4" t="str">
        <f t="shared" si="6"/>
        <v>PERSON:EXECUTE</v>
      </c>
      <c r="C80" s="4" t="str">
        <f t="shared" si="4"/>
        <v>person execution</v>
      </c>
      <c r="D80" s="4" t="s">
        <v>5761</v>
      </c>
      <c r="E80" s="5" t="s">
        <v>6422</v>
      </c>
      <c r="F80" s="16" t="str">
        <f t="shared" si="5"/>
        <v>(119,'PERSON:EXECUTE','person execution','PERSON','EXECUTE'),</v>
      </c>
    </row>
    <row r="81" spans="1:6" ht="20.149999999999999" customHeight="1" x14ac:dyDescent="0.35">
      <c r="A81" s="3">
        <v>120</v>
      </c>
      <c r="B81" s="4" t="str">
        <f t="shared" si="6"/>
        <v>EMPLOYEE:EXECUTE</v>
      </c>
      <c r="C81" s="4" t="str">
        <f t="shared" si="4"/>
        <v>employee execution</v>
      </c>
      <c r="D81" s="4" t="s">
        <v>5762</v>
      </c>
      <c r="E81" s="5" t="s">
        <v>6422</v>
      </c>
      <c r="F81" s="16" t="str">
        <f t="shared" si="5"/>
        <v>(120,'EMPLOYEE:EXECUTE','employee execution','EMPLOYEE','EXECUTE'),</v>
      </c>
    </row>
    <row r="82" spans="1:6" ht="20.149999999999999" customHeight="1" x14ac:dyDescent="0.35">
      <c r="A82" s="3">
        <v>121</v>
      </c>
      <c r="B82" s="4" t="str">
        <f t="shared" si="6"/>
        <v>COMPANY_TYPE:EXECUTE</v>
      </c>
      <c r="C82" s="4" t="str">
        <f t="shared" si="4"/>
        <v>company_type execution</v>
      </c>
      <c r="D82" s="4" t="s">
        <v>5763</v>
      </c>
      <c r="E82" s="5" t="s">
        <v>6422</v>
      </c>
      <c r="F82" s="16" t="str">
        <f t="shared" si="5"/>
        <v>(121,'COMPANY_TYPE:EXECUTE','company_type execution','COMPANY_TYPE','EXECUTE'),</v>
      </c>
    </row>
    <row r="83" spans="1:6" ht="20.149999999999999" customHeight="1" x14ac:dyDescent="0.35">
      <c r="A83" s="3">
        <v>122</v>
      </c>
      <c r="B83" s="4" t="str">
        <f t="shared" si="6"/>
        <v>PARTNER_TYPE:EXECUTE</v>
      </c>
      <c r="C83" s="4" t="str">
        <f t="shared" si="4"/>
        <v>partner_type execution</v>
      </c>
      <c r="D83" s="4" t="s">
        <v>5764</v>
      </c>
      <c r="E83" s="5" t="s">
        <v>6422</v>
      </c>
      <c r="F83" s="16" t="str">
        <f t="shared" si="5"/>
        <v>(122,'PARTNER_TYPE:EXECUTE','partner_type execution','PARTNER_TYPE','EXECUTE'),</v>
      </c>
    </row>
    <row r="84" spans="1:6" ht="20.149999999999999" customHeight="1" x14ac:dyDescent="0.35">
      <c r="A84" s="3">
        <v>123</v>
      </c>
      <c r="B84" s="4" t="str">
        <f t="shared" si="6"/>
        <v>VENDOR_TYPE:EXECUTE</v>
      </c>
      <c r="C84" s="4" t="str">
        <f t="shared" si="4"/>
        <v>vendor_type execution</v>
      </c>
      <c r="D84" s="4" t="s">
        <v>5765</v>
      </c>
      <c r="E84" s="5" t="s">
        <v>6422</v>
      </c>
      <c r="F84" s="16" t="str">
        <f t="shared" si="5"/>
        <v>(123,'VENDOR_TYPE:EXECUTE','vendor_type execution','VENDOR_TYPE','EXECUTE'),</v>
      </c>
    </row>
    <row r="85" spans="1:6" ht="20.149999999999999" customHeight="1" x14ac:dyDescent="0.35">
      <c r="A85" s="3">
        <v>124</v>
      </c>
      <c r="B85" s="4" t="str">
        <f t="shared" si="6"/>
        <v>FACILITY_TYPE:EXECUTE</v>
      </c>
      <c r="C85" s="4" t="str">
        <f t="shared" si="4"/>
        <v>facility_type execution</v>
      </c>
      <c r="D85" s="4" t="s">
        <v>5766</v>
      </c>
      <c r="E85" s="5" t="s">
        <v>6422</v>
      </c>
      <c r="F85" s="16" t="str">
        <f t="shared" si="5"/>
        <v>(124,'FACILITY_TYPE:EXECUTE','facility_type execution','FACILITY_TYPE','EXECUTE'),</v>
      </c>
    </row>
    <row r="86" spans="1:6" ht="20.149999999999999" customHeight="1" x14ac:dyDescent="0.35">
      <c r="A86" s="3">
        <v>125</v>
      </c>
      <c r="B86" s="4" t="str">
        <f t="shared" si="6"/>
        <v>STATION_TYPE:EXECUTE</v>
      </c>
      <c r="C86" s="4" t="str">
        <f t="shared" si="4"/>
        <v>station_type execution</v>
      </c>
      <c r="D86" s="4" t="s">
        <v>5767</v>
      </c>
      <c r="E86" s="5" t="s">
        <v>6422</v>
      </c>
      <c r="F86" s="16" t="str">
        <f t="shared" si="5"/>
        <v>(125,'STATION_TYPE:EXECUTE','station_type execution','STATION_TYPE','EXECUTE'),</v>
      </c>
    </row>
    <row r="87" spans="1:6" ht="20.149999999999999" customHeight="1" x14ac:dyDescent="0.35">
      <c r="A87" s="3">
        <v>126</v>
      </c>
      <c r="B87" s="4" t="str">
        <f t="shared" si="6"/>
        <v>TERMINAL_TYPE:EXECUTE</v>
      </c>
      <c r="C87" s="4" t="str">
        <f t="shared" si="4"/>
        <v>terminal_type execution</v>
      </c>
      <c r="D87" s="4" t="s">
        <v>5768</v>
      </c>
      <c r="E87" s="5" t="s">
        <v>6422</v>
      </c>
      <c r="F87" s="16" t="str">
        <f t="shared" si="5"/>
        <v>(126,'TERMINAL_TYPE:EXECUTE','terminal_type execution','TERMINAL_TYPE','EXECUTE'),</v>
      </c>
    </row>
    <row r="88" spans="1:6" ht="20.149999999999999" customHeight="1" x14ac:dyDescent="0.35">
      <c r="A88" s="3">
        <v>127</v>
      </c>
      <c r="B88" s="4" t="str">
        <f t="shared" si="6"/>
        <v>PROCESSING_PLANT_TYPE:EXECUTE</v>
      </c>
      <c r="C88" s="4" t="str">
        <f t="shared" si="4"/>
        <v>processing_plant_type execution</v>
      </c>
      <c r="D88" s="4" t="s">
        <v>5791</v>
      </c>
      <c r="E88" s="5" t="s">
        <v>6422</v>
      </c>
      <c r="F88" s="16" t="str">
        <f t="shared" si="5"/>
        <v>(127,'PROCESSING_PLANT_TYPE:EXECUTE','processing_plant_type execution','PROCESSING_PLANT_TYPE','EXECUTE'),</v>
      </c>
    </row>
    <row r="89" spans="1:6" ht="20.149999999999999" customHeight="1" x14ac:dyDescent="0.35">
      <c r="A89" s="3">
        <v>128</v>
      </c>
      <c r="B89" s="4" t="str">
        <f t="shared" si="6"/>
        <v>PRODUCTION_FIELD_TYPE:EXECUTE</v>
      </c>
      <c r="C89" s="4" t="str">
        <f t="shared" si="4"/>
        <v>production_field_type execution</v>
      </c>
      <c r="D89" s="4" t="s">
        <v>5792</v>
      </c>
      <c r="E89" s="5" t="s">
        <v>6422</v>
      </c>
      <c r="F89" s="16" t="str">
        <f t="shared" si="5"/>
        <v>(128,'PRODUCTION_FIELD_TYPE:EXECUTE','production_field_type execution','PRODUCTION_FIELD_TYPE','EXECUTE'),</v>
      </c>
    </row>
    <row r="90" spans="1:6" ht="20.149999999999999" customHeight="1" x14ac:dyDescent="0.35">
      <c r="A90" s="3">
        <v>129</v>
      </c>
      <c r="B90" s="4" t="str">
        <f t="shared" si="6"/>
        <v>EQUIPMENT_TYPE:EXECUTE</v>
      </c>
      <c r="C90" s="4" t="str">
        <f t="shared" si="4"/>
        <v>equipment_type execution</v>
      </c>
      <c r="D90" s="4" t="s">
        <v>5769</v>
      </c>
      <c r="E90" s="5" t="s">
        <v>6422</v>
      </c>
      <c r="F90" s="16" t="str">
        <f t="shared" si="5"/>
        <v>(129,'EQUIPMENT_TYPE:EXECUTE','equipment_type execution','EQUIPMENT_TYPE','EXECUTE'),</v>
      </c>
    </row>
    <row r="91" spans="1:6" ht="20.149999999999999" customHeight="1" x14ac:dyDescent="0.35">
      <c r="A91" s="3">
        <v>130</v>
      </c>
      <c r="B91" s="4" t="str">
        <f t="shared" si="6"/>
        <v>PRODUCT:EXECUTE</v>
      </c>
      <c r="C91" s="4" t="str">
        <f t="shared" si="4"/>
        <v>product execution</v>
      </c>
      <c r="D91" s="4" t="s">
        <v>5772</v>
      </c>
      <c r="E91" s="5" t="s">
        <v>6422</v>
      </c>
      <c r="F91" s="16" t="str">
        <f t="shared" si="5"/>
        <v>(130,'PRODUCT:EXECUTE','product execution','PRODUCT','EXECUTE'),</v>
      </c>
    </row>
    <row r="92" spans="1:6" ht="20.149999999999999" customHeight="1" x14ac:dyDescent="0.35">
      <c r="A92" s="3">
        <v>131</v>
      </c>
      <c r="B92" s="4" t="str">
        <f t="shared" si="6"/>
        <v>OPERATIONAL_STATUS:EXECUTE</v>
      </c>
      <c r="C92" s="4" t="str">
        <f t="shared" si="4"/>
        <v>operational_status execution</v>
      </c>
      <c r="D92" s="4" t="s">
        <v>5773</v>
      </c>
      <c r="E92" s="5" t="s">
        <v>6422</v>
      </c>
      <c r="F92" s="16" t="str">
        <f t="shared" si="5"/>
        <v>(131,'OPERATIONAL_STATUS:EXECUTE','operational_status execution','OPERATIONAL_STATUS','EXECUTE'),</v>
      </c>
    </row>
    <row r="93" spans="1:6" ht="20.149999999999999" customHeight="1" x14ac:dyDescent="0.35">
      <c r="A93" s="3">
        <v>132</v>
      </c>
      <c r="B93" s="4" t="str">
        <f t="shared" si="6"/>
        <v>ALLOY:EXECUTE</v>
      </c>
      <c r="C93" s="4" t="str">
        <f t="shared" si="4"/>
        <v>alloy execution</v>
      </c>
      <c r="D93" s="4" t="s">
        <v>5774</v>
      </c>
      <c r="E93" s="5" t="s">
        <v>6422</v>
      </c>
      <c r="F93" s="16" t="str">
        <f t="shared" si="5"/>
        <v>(132,'ALLOY:EXECUTE','alloy execution','ALLOY','EXECUTE'),</v>
      </c>
    </row>
    <row r="94" spans="1:6" ht="20.149999999999999" customHeight="1" x14ac:dyDescent="0.35">
      <c r="A94" s="3">
        <v>133</v>
      </c>
      <c r="B94" s="4" t="str">
        <f t="shared" si="6"/>
        <v>PARTNER:EXECUTE</v>
      </c>
      <c r="C94" s="4" t="str">
        <f t="shared" ref="C94:C120" si="7">CONCATENATE(LOWER(D94)," execution")</f>
        <v>partner execution</v>
      </c>
      <c r="D94" s="4" t="s">
        <v>5775</v>
      </c>
      <c r="E94" s="5" t="s">
        <v>6422</v>
      </c>
      <c r="F94" s="16" t="str">
        <f t="shared" si="5"/>
        <v>(133,'PARTNER:EXECUTE','partner execution','PARTNER','EXECUTE'),</v>
      </c>
    </row>
    <row r="95" spans="1:6" ht="20.149999999999999" customHeight="1" x14ac:dyDescent="0.35">
      <c r="A95" s="3">
        <v>134</v>
      </c>
      <c r="B95" s="4" t="str">
        <f t="shared" si="6"/>
        <v>VENDOR:EXECUTE</v>
      </c>
      <c r="C95" s="4" t="str">
        <f t="shared" si="7"/>
        <v>vendor execution</v>
      </c>
      <c r="D95" s="4" t="s">
        <v>5776</v>
      </c>
      <c r="E95" s="5" t="s">
        <v>6422</v>
      </c>
      <c r="F95" s="16" t="str">
        <f t="shared" si="5"/>
        <v>(134,'VENDOR:EXECUTE','vendor execution','VENDOR','EXECUTE'),</v>
      </c>
    </row>
    <row r="96" spans="1:6" ht="20.149999999999999" customHeight="1" x14ac:dyDescent="0.35">
      <c r="A96" s="3">
        <v>135</v>
      </c>
      <c r="B96" s="4" t="str">
        <f t="shared" si="6"/>
        <v>INFRASTRUCTURE:EXECUTE</v>
      </c>
      <c r="C96" s="4" t="str">
        <f t="shared" si="7"/>
        <v>infrastructure execution</v>
      </c>
      <c r="D96" s="4" t="s">
        <v>5777</v>
      </c>
      <c r="E96" s="5" t="s">
        <v>6422</v>
      </c>
      <c r="F96" s="16" t="str">
        <f t="shared" si="5"/>
        <v>(135,'INFRASTRUCTURE:EXECUTE','infrastructure execution','INFRASTRUCTURE','EXECUTE'),</v>
      </c>
    </row>
    <row r="97" spans="1:6" ht="20.149999999999999" customHeight="1" x14ac:dyDescent="0.35">
      <c r="A97" s="3">
        <v>136</v>
      </c>
      <c r="B97" s="4" t="str">
        <f t="shared" si="6"/>
        <v>FACILITY:EXECUTE</v>
      </c>
      <c r="C97" s="4" t="str">
        <f t="shared" si="7"/>
        <v>facility execution</v>
      </c>
      <c r="D97" s="4" t="s">
        <v>5778</v>
      </c>
      <c r="E97" s="5" t="s">
        <v>6422</v>
      </c>
      <c r="F97" s="16" t="str">
        <f t="shared" si="5"/>
        <v>(136,'FACILITY:EXECUTE','facility execution','FACILITY','EXECUTE'),</v>
      </c>
    </row>
    <row r="98" spans="1:6" ht="20.149999999999999" customHeight="1" x14ac:dyDescent="0.35">
      <c r="A98" s="3">
        <v>137</v>
      </c>
      <c r="B98" s="4" t="str">
        <f t="shared" si="6"/>
        <v>PIPELINE_SYSTEM:EXECUTE</v>
      </c>
      <c r="C98" s="4" t="str">
        <f t="shared" si="7"/>
        <v>pipeline_system execution</v>
      </c>
      <c r="D98" s="4" t="s">
        <v>5779</v>
      </c>
      <c r="E98" s="5" t="s">
        <v>6422</v>
      </c>
      <c r="F98" s="16" t="str">
        <f t="shared" si="5"/>
        <v>(137,'PIPELINE_SYSTEM:EXECUTE','pipeline_system execution','PIPELINE_SYSTEM','EXECUTE'),</v>
      </c>
    </row>
    <row r="99" spans="1:6" ht="20.149999999999999" customHeight="1" x14ac:dyDescent="0.35">
      <c r="A99" s="3">
        <v>138</v>
      </c>
      <c r="B99" s="4" t="str">
        <f t="shared" si="6"/>
        <v>PIPELINE:EXECUTE</v>
      </c>
      <c r="C99" s="4" t="str">
        <f t="shared" si="7"/>
        <v>pipeline execution</v>
      </c>
      <c r="D99" s="4" t="s">
        <v>5780</v>
      </c>
      <c r="E99" s="5" t="s">
        <v>6422</v>
      </c>
      <c r="F99" s="16" t="str">
        <f t="shared" si="5"/>
        <v>(138,'PIPELINE:EXECUTE','pipeline execution','PIPELINE','EXECUTE'),</v>
      </c>
    </row>
    <row r="100" spans="1:6" ht="20.149999999999999" customHeight="1" x14ac:dyDescent="0.35">
      <c r="A100" s="3">
        <v>139</v>
      </c>
      <c r="B100" s="4" t="str">
        <f t="shared" si="6"/>
        <v>PIPELINE_SEGMENT:EXECUTE</v>
      </c>
      <c r="C100" s="4" t="str">
        <f t="shared" si="7"/>
        <v>pipeline_segment execution</v>
      </c>
      <c r="D100" s="4" t="s">
        <v>5781</v>
      </c>
      <c r="E100" s="5" t="s">
        <v>6422</v>
      </c>
      <c r="F100" s="16" t="str">
        <f t="shared" si="5"/>
        <v>(139,'PIPELINE_SEGMENT:EXECUTE','pipeline_segment execution','PIPELINE_SEGMENT','EXECUTE'),</v>
      </c>
    </row>
    <row r="101" spans="1:6" ht="20.149999999999999" customHeight="1" x14ac:dyDescent="0.35">
      <c r="A101" s="3">
        <v>140</v>
      </c>
      <c r="B101" s="4" t="str">
        <f t="shared" si="6"/>
        <v>STATION:EXECUTE</v>
      </c>
      <c r="C101" s="4" t="str">
        <f t="shared" si="7"/>
        <v>station execution</v>
      </c>
      <c r="D101" s="4" t="s">
        <v>5782</v>
      </c>
      <c r="E101" s="5" t="s">
        <v>6422</v>
      </c>
      <c r="F101" s="16" t="str">
        <f t="shared" si="5"/>
        <v>(140,'STATION:EXECUTE','station execution','STATION','EXECUTE'),</v>
      </c>
    </row>
    <row r="102" spans="1:6" ht="20.149999999999999" customHeight="1" x14ac:dyDescent="0.35">
      <c r="A102" s="3">
        <v>141</v>
      </c>
      <c r="B102" s="4" t="str">
        <f t="shared" si="6"/>
        <v>TERMINAL:EXECUTE</v>
      </c>
      <c r="C102" s="4" t="str">
        <f t="shared" si="7"/>
        <v>terminal execution</v>
      </c>
      <c r="D102" s="4" t="s">
        <v>5783</v>
      </c>
      <c r="E102" s="5" t="s">
        <v>6422</v>
      </c>
      <c r="F102" s="16" t="str">
        <f t="shared" si="5"/>
        <v>(141,'TERMINAL:EXECUTE','terminal execution','TERMINAL','EXECUTE'),</v>
      </c>
    </row>
    <row r="103" spans="1:6" ht="20.149999999999999" customHeight="1" x14ac:dyDescent="0.35">
      <c r="A103" s="3">
        <v>142</v>
      </c>
      <c r="B103" s="4" t="str">
        <f t="shared" si="6"/>
        <v>PROCESSING_PLANT:EXECUTE</v>
      </c>
      <c r="C103" s="4" t="str">
        <f t="shared" si="7"/>
        <v>processing_plant execution</v>
      </c>
      <c r="D103" s="4" t="s">
        <v>5793</v>
      </c>
      <c r="E103" s="5" t="s">
        <v>6422</v>
      </c>
      <c r="F103" s="16" t="str">
        <f t="shared" si="5"/>
        <v>(142,'PROCESSING_PLANT:EXECUTE','processing_plant execution','PROCESSING_PLANT','EXECUTE'),</v>
      </c>
    </row>
    <row r="104" spans="1:6" ht="20.149999999999999" customHeight="1" x14ac:dyDescent="0.35">
      <c r="A104" s="3">
        <v>143</v>
      </c>
      <c r="B104" s="4" t="str">
        <f t="shared" si="6"/>
        <v>PRODUCTION_FIELD:EXECUTE</v>
      </c>
      <c r="C104" s="4" t="str">
        <f t="shared" si="7"/>
        <v>production_field execution</v>
      </c>
      <c r="D104" s="4" t="s">
        <v>5794</v>
      </c>
      <c r="E104" s="5" t="s">
        <v>6422</v>
      </c>
      <c r="F104" s="16" t="str">
        <f t="shared" si="5"/>
        <v>(143,'PRODUCTION_FIELD:EXECUTE','production_field execution','PRODUCTION_FIELD','EXECUTE'),</v>
      </c>
    </row>
    <row r="105" spans="1:6" ht="20.149999999999999" customHeight="1" x14ac:dyDescent="0.35">
      <c r="A105" s="3">
        <v>144</v>
      </c>
      <c r="B105" s="4" t="str">
        <f t="shared" si="6"/>
        <v>EQUIPMENT:EXECUTE</v>
      </c>
      <c r="C105" s="4" t="str">
        <f t="shared" si="7"/>
        <v>equipment execution</v>
      </c>
      <c r="D105" s="4" t="s">
        <v>5784</v>
      </c>
      <c r="E105" s="5" t="s">
        <v>6422</v>
      </c>
      <c r="F105" s="16" t="str">
        <f t="shared" si="5"/>
        <v>(144,'EQUIPMENT:EXECUTE','equipment execution','EQUIPMENT','EXECUTE'),</v>
      </c>
    </row>
    <row r="106" spans="1:6" ht="20.149999999999999" customHeight="1" x14ac:dyDescent="0.35">
      <c r="A106" s="3">
        <v>145</v>
      </c>
      <c r="B106" s="4" t="str">
        <f t="shared" si="6"/>
        <v>EVENT_TYPE:EXECUTE</v>
      </c>
      <c r="C106" s="4" t="str">
        <f t="shared" si="7"/>
        <v>event_type execution</v>
      </c>
      <c r="D106" s="4" t="s">
        <v>6375</v>
      </c>
      <c r="E106" s="5" t="s">
        <v>6422</v>
      </c>
      <c r="F106" s="16" t="str">
        <f t="shared" si="5"/>
        <v>(145,'EVENT_TYPE:EXECUTE','event_type execution','EVENT_TYPE','EXECUTE'),</v>
      </c>
    </row>
    <row r="107" spans="1:6" ht="20.149999999999999" customHeight="1" x14ac:dyDescent="0.35">
      <c r="A107" s="3">
        <v>146</v>
      </c>
      <c r="B107" s="4" t="str">
        <f t="shared" si="6"/>
        <v>OPERATION_TYPE:EXECUTE</v>
      </c>
      <c r="C107" s="4" t="str">
        <f t="shared" si="7"/>
        <v>operation_type execution</v>
      </c>
      <c r="D107" s="4" t="s">
        <v>6374</v>
      </c>
      <c r="E107" s="5" t="s">
        <v>6422</v>
      </c>
      <c r="F107" s="16" t="str">
        <f t="shared" si="5"/>
        <v>(146,'OPERATION_TYPE:EXECUTE','operation_type execution','OPERATION_TYPE','EXECUTE'),</v>
      </c>
    </row>
    <row r="108" spans="1:6" ht="20.149999999999999" customHeight="1" x14ac:dyDescent="0.35">
      <c r="A108" s="3">
        <v>147</v>
      </c>
      <c r="B108" s="4" t="str">
        <f t="shared" si="6"/>
        <v>EVENT_STATUS:EXECUTE</v>
      </c>
      <c r="C108" s="4" t="str">
        <f t="shared" si="7"/>
        <v>event_status execution</v>
      </c>
      <c r="D108" s="4" t="s">
        <v>6378</v>
      </c>
      <c r="E108" s="5" t="s">
        <v>6422</v>
      </c>
      <c r="F108" s="16" t="str">
        <f t="shared" si="5"/>
        <v>(147,'EVENT_STATUS:EXECUTE','event_status execution','EVENT_STATUS','EXECUTE'),</v>
      </c>
    </row>
    <row r="109" spans="1:6" ht="20.149999999999999" customHeight="1" x14ac:dyDescent="0.35">
      <c r="A109" s="3">
        <v>148</v>
      </c>
      <c r="B109" s="4" t="str">
        <f t="shared" si="6"/>
        <v>ALERT_STATUS:EXECUTE</v>
      </c>
      <c r="C109" s="4" t="str">
        <f t="shared" si="7"/>
        <v>alert_status execution</v>
      </c>
      <c r="D109" s="4" t="s">
        <v>6376</v>
      </c>
      <c r="E109" s="45" t="s">
        <v>6422</v>
      </c>
      <c r="F109" s="16" t="str">
        <f t="shared" si="5"/>
        <v>(148,'ALERT_STATUS:EXECUTE','alert_status execution','ALERT_STATUS','EXECUTE'),</v>
      </c>
    </row>
    <row r="110" spans="1:6" ht="20.149999999999999" customHeight="1" x14ac:dyDescent="0.35">
      <c r="A110" s="3">
        <v>149</v>
      </c>
      <c r="B110" s="4" t="str">
        <f t="shared" si="6"/>
        <v>SEVERITY:EXECUTE</v>
      </c>
      <c r="C110" s="4" t="str">
        <f t="shared" si="7"/>
        <v>severity execution</v>
      </c>
      <c r="D110" s="4" t="s">
        <v>6380</v>
      </c>
      <c r="E110" s="5" t="s">
        <v>6422</v>
      </c>
      <c r="F110" s="16" t="str">
        <f t="shared" si="5"/>
        <v>(149,'SEVERITY:EXECUTE','severity execution','SEVERITY','EXECUTE'),</v>
      </c>
    </row>
    <row r="111" spans="1:6" ht="20.149999999999999" customHeight="1" x14ac:dyDescent="0.35">
      <c r="A111" s="3">
        <v>150</v>
      </c>
      <c r="B111" s="4" t="str">
        <f t="shared" si="6"/>
        <v>DATA_SOURCE:EXECUTE</v>
      </c>
      <c r="C111" s="4" t="str">
        <f t="shared" si="7"/>
        <v>data_source execution</v>
      </c>
      <c r="D111" s="4" t="s">
        <v>6377</v>
      </c>
      <c r="E111" s="5" t="s">
        <v>6422</v>
      </c>
      <c r="F111" s="16" t="str">
        <f t="shared" si="5"/>
        <v>(150,'DATA_SOURCE:EXECUTE','data_source execution','DATA_SOURCE','EXECUTE'),</v>
      </c>
    </row>
    <row r="112" spans="1:6" ht="20.149999999999999" customHeight="1" x14ac:dyDescent="0.35">
      <c r="A112" s="3">
        <v>151</v>
      </c>
      <c r="B112" s="4" t="str">
        <f t="shared" si="6"/>
        <v>QUALITY_FLAG:EXECUTE</v>
      </c>
      <c r="C112" s="4" t="str">
        <f t="shared" si="7"/>
        <v>quality_flag execution</v>
      </c>
      <c r="D112" s="4" t="s">
        <v>6379</v>
      </c>
      <c r="E112" s="5" t="s">
        <v>6422</v>
      </c>
      <c r="F112" s="16" t="str">
        <f t="shared" si="5"/>
        <v>(151,'QUALITY_FLAG:EXECUTE','quality_flag execution','QUALITY_FLAG','EXECUTE'),</v>
      </c>
    </row>
    <row r="113" spans="1:6" ht="20.149999999999999" customHeight="1" x14ac:dyDescent="0.35">
      <c r="A113" s="3">
        <v>152</v>
      </c>
      <c r="B113" s="4" t="str">
        <f t="shared" si="6"/>
        <v>VALIDATION_STATUS:EXECUTE</v>
      </c>
      <c r="C113" s="4" t="str">
        <f t="shared" si="7"/>
        <v>validation_status execution</v>
      </c>
      <c r="D113" s="4" t="s">
        <v>6381</v>
      </c>
      <c r="E113" s="5" t="s">
        <v>6422</v>
      </c>
      <c r="F113" s="16" t="str">
        <f t="shared" si="5"/>
        <v>(152,'VALIDATION_STATUS:EXECUTE','validation_status execution','VALIDATION_STATUS','EXECUTE'),</v>
      </c>
    </row>
    <row r="114" spans="1:6" ht="20.149999999999999" customHeight="1" x14ac:dyDescent="0.35">
      <c r="A114" s="3">
        <v>153</v>
      </c>
      <c r="B114" s="4" t="str">
        <f t="shared" si="6"/>
        <v>READING_SLOT:EXECUTE</v>
      </c>
      <c r="C114" s="4" t="str">
        <f t="shared" si="7"/>
        <v>reading_slot execution</v>
      </c>
      <c r="D114" s="4" t="s">
        <v>6382</v>
      </c>
      <c r="E114" s="5" t="s">
        <v>6422</v>
      </c>
      <c r="F114" s="16" t="str">
        <f t="shared" si="5"/>
        <v>(153,'READING_SLOT:EXECUTE','reading_slot execution','READING_SLOT','EXECUTE'),</v>
      </c>
    </row>
    <row r="115" spans="1:6" ht="20.149999999999999" customHeight="1" x14ac:dyDescent="0.35">
      <c r="A115" s="3">
        <v>154</v>
      </c>
      <c r="B115" s="4" t="str">
        <f t="shared" si="6"/>
        <v>FLOW_OPERATION:EXECUTE</v>
      </c>
      <c r="C115" s="4" t="str">
        <f t="shared" si="7"/>
        <v>flow_operation execution</v>
      </c>
      <c r="D115" s="4" t="s">
        <v>6383</v>
      </c>
      <c r="E115" s="5" t="s">
        <v>6422</v>
      </c>
      <c r="F115" s="16" t="str">
        <f t="shared" si="5"/>
        <v>(154,'FLOW_OPERATION:EXECUTE','flow_operation execution','FLOW_OPERATION','EXECUTE'),</v>
      </c>
    </row>
    <row r="116" spans="1:6" ht="20.149999999999999" customHeight="1" x14ac:dyDescent="0.35">
      <c r="A116" s="3">
        <v>155</v>
      </c>
      <c r="B116" s="4" t="str">
        <f t="shared" si="6"/>
        <v>FLOW_FORECAST:EXECUTE</v>
      </c>
      <c r="C116" s="4" t="str">
        <f t="shared" si="7"/>
        <v>flow_forecast execution</v>
      </c>
      <c r="D116" s="4" t="s">
        <v>6384</v>
      </c>
      <c r="E116" s="5" t="s">
        <v>6422</v>
      </c>
      <c r="F116" s="16" t="str">
        <f t="shared" si="5"/>
        <v>(155,'FLOW_FORECAST:EXECUTE','flow_forecast execution','FLOW_FORECAST','EXECUTE'),</v>
      </c>
    </row>
    <row r="117" spans="1:6" ht="20.149999999999999" customHeight="1" x14ac:dyDescent="0.35">
      <c r="A117" s="3">
        <v>156</v>
      </c>
      <c r="B117" s="4" t="str">
        <f t="shared" si="6"/>
        <v>FLOW_READING:EXECUTE</v>
      </c>
      <c r="C117" s="4" t="str">
        <f t="shared" si="7"/>
        <v>flow_reading execution</v>
      </c>
      <c r="D117" s="4" t="s">
        <v>6385</v>
      </c>
      <c r="E117" s="5" t="s">
        <v>6422</v>
      </c>
      <c r="F117" s="16" t="str">
        <f t="shared" si="5"/>
        <v>(156,'FLOW_READING:EXECUTE','flow_reading execution','FLOW_READING','EXECUTE'),</v>
      </c>
    </row>
    <row r="118" spans="1:6" ht="20.149999999999999" customHeight="1" x14ac:dyDescent="0.35">
      <c r="A118" s="3">
        <v>157</v>
      </c>
      <c r="B118" s="4" t="str">
        <f t="shared" si="6"/>
        <v>FLOW_EVENT:EXECUTE</v>
      </c>
      <c r="C118" s="4" t="str">
        <f t="shared" si="7"/>
        <v>flow_event execution</v>
      </c>
      <c r="D118" s="4" t="s">
        <v>6388</v>
      </c>
      <c r="E118" s="5" t="s">
        <v>6422</v>
      </c>
      <c r="F118" s="16" t="str">
        <f t="shared" si="5"/>
        <v>(157,'FLOW_EVENT:EXECUTE','flow_event execution','FLOW_EVENT','EXECUTE'),</v>
      </c>
    </row>
    <row r="119" spans="1:6" ht="20.149999999999999" customHeight="1" x14ac:dyDescent="0.35">
      <c r="A119" s="3">
        <v>158</v>
      </c>
      <c r="B119" s="4" t="str">
        <f t="shared" si="6"/>
        <v>FLOW_ALERT:EXECUTE</v>
      </c>
      <c r="C119" s="4" t="str">
        <f t="shared" si="7"/>
        <v>flow_alert execution</v>
      </c>
      <c r="D119" s="4" t="s">
        <v>6387</v>
      </c>
      <c r="E119" s="5" t="s">
        <v>6422</v>
      </c>
      <c r="F119" s="16" t="str">
        <f t="shared" si="5"/>
        <v>(158,'FLOW_ALERT:EXECUTE','flow_alert execution','FLOW_ALERT','EXECUTE'),</v>
      </c>
    </row>
    <row r="120" spans="1:6" ht="20.149999999999999" customHeight="1" x14ac:dyDescent="0.35">
      <c r="A120" s="3">
        <v>159</v>
      </c>
      <c r="B120" s="4" t="str">
        <f t="shared" si="6"/>
        <v>FLOW_THRESHOLD:EXECUTE</v>
      </c>
      <c r="C120" s="4" t="str">
        <f t="shared" si="7"/>
        <v>flow_threshold execution</v>
      </c>
      <c r="D120" s="4" t="s">
        <v>6386</v>
      </c>
      <c r="E120" s="5" t="s">
        <v>6422</v>
      </c>
      <c r="F120" s="16" t="str">
        <f t="shared" si="5"/>
        <v>(159,'FLOW_THRESHOLD:EXECUTE','flow_threshold execution','FLOW_THRESHOLD','EXECUTE'),</v>
      </c>
    </row>
    <row r="121" spans="1:6" ht="20.149999999999999" customHeight="1" x14ac:dyDescent="0.35">
      <c r="A121" s="3">
        <v>201</v>
      </c>
      <c r="B121" s="4" t="str">
        <f t="shared" si="6"/>
        <v>PARAMETER:APPROVE</v>
      </c>
      <c r="C121" s="4" t="str">
        <f t="shared" ref="C121:C152" si="8">CONCATENATE(LOWER(D121)," approval")</f>
        <v>parameter approval</v>
      </c>
      <c r="D121" s="4" t="s">
        <v>6371</v>
      </c>
      <c r="E121" s="5" t="s">
        <v>6423</v>
      </c>
      <c r="F121" s="16" t="str">
        <f t="shared" si="5"/>
        <v>(201,'PARAMETER:APPROVE','parameter approval','PARAMETER','APPROVE'),</v>
      </c>
    </row>
    <row r="122" spans="1:6" ht="20.149999999999999" customHeight="1" x14ac:dyDescent="0.35">
      <c r="A122" s="3">
        <v>202</v>
      </c>
      <c r="B122" s="4" t="str">
        <f t="shared" si="6"/>
        <v>FILE:APPROVE</v>
      </c>
      <c r="C122" s="4" t="str">
        <f t="shared" si="8"/>
        <v>file approval</v>
      </c>
      <c r="D122" s="4" t="s">
        <v>6372</v>
      </c>
      <c r="E122" s="5" t="s">
        <v>6423</v>
      </c>
      <c r="F122" s="16" t="str">
        <f t="shared" si="5"/>
        <v>(202,'FILE:APPROVE','file approval','FILE','APPROVE'),</v>
      </c>
    </row>
    <row r="123" spans="1:6" ht="20.149999999999999" customHeight="1" x14ac:dyDescent="0.35">
      <c r="A123" s="3">
        <v>203</v>
      </c>
      <c r="B123" s="4" t="str">
        <f t="shared" si="6"/>
        <v>GROUP:APPROVE</v>
      </c>
      <c r="C123" s="4" t="str">
        <f t="shared" si="8"/>
        <v>group approval</v>
      </c>
      <c r="D123" s="4" t="s">
        <v>5748</v>
      </c>
      <c r="E123" s="5" t="s">
        <v>6423</v>
      </c>
      <c r="F123" s="16" t="str">
        <f t="shared" si="5"/>
        <v>(203,'GROUP:APPROVE','group approval','GROUP','APPROVE'),</v>
      </c>
    </row>
    <row r="124" spans="1:6" ht="20.149999999999999" customHeight="1" x14ac:dyDescent="0.35">
      <c r="A124" s="3">
        <v>204</v>
      </c>
      <c r="B124" s="4" t="str">
        <f t="shared" si="6"/>
        <v>USER:APPROVE</v>
      </c>
      <c r="C124" s="4" t="str">
        <f t="shared" si="8"/>
        <v>user approval</v>
      </c>
      <c r="D124" s="4" t="s">
        <v>5749</v>
      </c>
      <c r="E124" s="5" t="s">
        <v>6423</v>
      </c>
      <c r="F124" s="16" t="str">
        <f t="shared" si="5"/>
        <v>(204,'USER:APPROVE','user approval','USER','APPROVE'),</v>
      </c>
    </row>
    <row r="125" spans="1:6" ht="20.149999999999999" customHeight="1" x14ac:dyDescent="0.35">
      <c r="A125" s="3">
        <v>205</v>
      </c>
      <c r="B125" s="4" t="str">
        <f t="shared" si="6"/>
        <v>ROLE:APPROVE</v>
      </c>
      <c r="C125" s="4" t="str">
        <f t="shared" si="8"/>
        <v>role approval</v>
      </c>
      <c r="D125" s="4" t="s">
        <v>5750</v>
      </c>
      <c r="E125" s="5" t="s">
        <v>6423</v>
      </c>
      <c r="F125" s="16" t="str">
        <f t="shared" si="5"/>
        <v>(205,'ROLE:APPROVE','role approval','ROLE','APPROVE'),</v>
      </c>
    </row>
    <row r="126" spans="1:6" ht="20.149999999999999" customHeight="1" x14ac:dyDescent="0.35">
      <c r="A126" s="3">
        <v>206</v>
      </c>
      <c r="B126" s="4" t="str">
        <f t="shared" si="6"/>
        <v>PERMISSION:APPROVE</v>
      </c>
      <c r="C126" s="4" t="str">
        <f t="shared" si="8"/>
        <v>permission approval</v>
      </c>
      <c r="D126" s="4" t="s">
        <v>5751</v>
      </c>
      <c r="E126" s="5" t="s">
        <v>6423</v>
      </c>
      <c r="F126" s="16" t="str">
        <f t="shared" si="5"/>
        <v>(206,'PERMISSION:APPROVE','permission approval','PERMISSION','APPROVE'),</v>
      </c>
    </row>
    <row r="127" spans="1:6" ht="20.149999999999999" customHeight="1" x14ac:dyDescent="0.35">
      <c r="A127" s="3">
        <v>207</v>
      </c>
      <c r="B127" s="4" t="str">
        <f t="shared" si="6"/>
        <v>AUTHORITY:APPROVE</v>
      </c>
      <c r="C127" s="4" t="str">
        <f t="shared" si="8"/>
        <v>authority approval</v>
      </c>
      <c r="D127" s="4" t="s">
        <v>5752</v>
      </c>
      <c r="E127" s="5" t="s">
        <v>6423</v>
      </c>
      <c r="F127" s="16" t="str">
        <f t="shared" si="5"/>
        <v>(207,'AUTHORITY:APPROVE','authority approval','AUTHORITY','APPROVE'),</v>
      </c>
    </row>
    <row r="128" spans="1:6" ht="20.149999999999999" customHeight="1" x14ac:dyDescent="0.35">
      <c r="A128" s="3">
        <v>208</v>
      </c>
      <c r="B128" s="4" t="str">
        <f t="shared" si="6"/>
        <v>AUDIT:APPROVE</v>
      </c>
      <c r="C128" s="4" t="str">
        <f t="shared" si="8"/>
        <v>audit approval</v>
      </c>
      <c r="D128" s="4" t="s">
        <v>5753</v>
      </c>
      <c r="E128" s="5" t="s">
        <v>6423</v>
      </c>
      <c r="F128" s="16" t="str">
        <f t="shared" si="5"/>
        <v>(208,'AUDIT:APPROVE','audit approval','AUDIT','APPROVE'),</v>
      </c>
    </row>
    <row r="129" spans="1:6" ht="20.149999999999999" customHeight="1" x14ac:dyDescent="0.35">
      <c r="A129" s="3">
        <v>209</v>
      </c>
      <c r="B129" s="4" t="str">
        <f t="shared" si="6"/>
        <v>STRUCTURE_TYPE:APPROVE</v>
      </c>
      <c r="C129" s="4" t="str">
        <f t="shared" si="8"/>
        <v>structure_type approval</v>
      </c>
      <c r="D129" s="4" t="s">
        <v>5758</v>
      </c>
      <c r="E129" s="5" t="s">
        <v>6423</v>
      </c>
      <c r="F129" s="16" t="str">
        <f t="shared" si="5"/>
        <v>(209,'STRUCTURE_TYPE:APPROVE','structure_type approval','STRUCTURE_TYPE','APPROVE'),</v>
      </c>
    </row>
    <row r="130" spans="1:6" ht="20.149999999999999" customHeight="1" x14ac:dyDescent="0.35">
      <c r="A130" s="3">
        <v>210</v>
      </c>
      <c r="B130" s="4" t="str">
        <f t="shared" si="6"/>
        <v>ZONE:APPROVE</v>
      </c>
      <c r="C130" s="4" t="str">
        <f t="shared" si="8"/>
        <v>zone approval</v>
      </c>
      <c r="D130" s="4" t="s">
        <v>5770</v>
      </c>
      <c r="E130" s="5" t="s">
        <v>6423</v>
      </c>
      <c r="F130" s="16" t="str">
        <f t="shared" si="5"/>
        <v>(210,'ZONE:APPROVE','zone approval','ZONE','APPROVE'),</v>
      </c>
    </row>
    <row r="131" spans="1:6" ht="20.149999999999999" customHeight="1" x14ac:dyDescent="0.35">
      <c r="A131" s="3">
        <v>211</v>
      </c>
      <c r="B131" s="4" t="str">
        <f t="shared" si="6"/>
        <v>COUNTRY:APPROVE</v>
      </c>
      <c r="C131" s="4" t="str">
        <f t="shared" si="8"/>
        <v>country approval</v>
      </c>
      <c r="D131" s="4" t="s">
        <v>5755</v>
      </c>
      <c r="E131" s="5" t="s">
        <v>6423</v>
      </c>
      <c r="F131" s="16" t="str">
        <f t="shared" ref="F131:F194" si="9">CONCATENATE("(",A131,",'",B131,"','",C131,"','",D131,"','",E131,"'),")</f>
        <v>(211,'COUNTRY:APPROVE','country approval','COUNTRY','APPROVE'),</v>
      </c>
    </row>
    <row r="132" spans="1:6" ht="20.149999999999999" customHeight="1" x14ac:dyDescent="0.35">
      <c r="A132" s="3">
        <v>212</v>
      </c>
      <c r="B132" s="4" t="str">
        <f t="shared" ref="B132:B190" si="10">CONCATENATE(D132,":",E132)</f>
        <v>STATE:APPROVE</v>
      </c>
      <c r="C132" s="4" t="str">
        <f t="shared" si="8"/>
        <v>state approval</v>
      </c>
      <c r="D132" s="4" t="s">
        <v>5756</v>
      </c>
      <c r="E132" s="5" t="s">
        <v>6423</v>
      </c>
      <c r="F132" s="16" t="str">
        <f t="shared" si="9"/>
        <v>(212,'STATE:APPROVE','state approval','STATE','APPROVE'),</v>
      </c>
    </row>
    <row r="133" spans="1:6" ht="20.149999999999999" customHeight="1" x14ac:dyDescent="0.35">
      <c r="A133" s="3">
        <v>213</v>
      </c>
      <c r="B133" s="4" t="str">
        <f t="shared" si="10"/>
        <v>DISTRICT:APPROVE</v>
      </c>
      <c r="C133" s="4" t="str">
        <f t="shared" si="8"/>
        <v>district approval</v>
      </c>
      <c r="D133" s="4" t="s">
        <v>5790</v>
      </c>
      <c r="E133" s="5" t="s">
        <v>6423</v>
      </c>
      <c r="F133" s="16" t="str">
        <f t="shared" si="9"/>
        <v>(213,'DISTRICT:APPROVE','district approval','DISTRICT','APPROVE'),</v>
      </c>
    </row>
    <row r="134" spans="1:6" ht="20.149999999999999" customHeight="1" x14ac:dyDescent="0.35">
      <c r="A134" s="3">
        <v>214</v>
      </c>
      <c r="B134" s="4" t="str">
        <f t="shared" si="10"/>
        <v>LOCALITY:APPROVE</v>
      </c>
      <c r="C134" s="4" t="str">
        <f t="shared" si="8"/>
        <v>locality approval</v>
      </c>
      <c r="D134" s="4" t="s">
        <v>5757</v>
      </c>
      <c r="E134" s="5" t="s">
        <v>6423</v>
      </c>
      <c r="F134" s="16" t="str">
        <f t="shared" si="9"/>
        <v>(214,'LOCALITY:APPROVE','locality approval','LOCALITY','APPROVE'),</v>
      </c>
    </row>
    <row r="135" spans="1:6" ht="20.149999999999999" customHeight="1" x14ac:dyDescent="0.35">
      <c r="A135" s="3">
        <v>215</v>
      </c>
      <c r="B135" s="4" t="str">
        <f t="shared" si="10"/>
        <v>LOCATION:APPROVE</v>
      </c>
      <c r="C135" s="4" t="str">
        <f t="shared" si="8"/>
        <v>location approval</v>
      </c>
      <c r="D135" s="4" t="s">
        <v>5771</v>
      </c>
      <c r="E135" s="5" t="s">
        <v>6423</v>
      </c>
      <c r="F135" s="16" t="str">
        <f t="shared" si="9"/>
        <v>(215,'LOCATION:APPROVE','location approval','LOCATION','APPROVE'),</v>
      </c>
    </row>
    <row r="136" spans="1:6" ht="20.149999999999999" customHeight="1" x14ac:dyDescent="0.35">
      <c r="A136" s="3">
        <v>216</v>
      </c>
      <c r="B136" s="4" t="str">
        <f t="shared" si="10"/>
        <v>COORDINATE:APPROVE</v>
      </c>
      <c r="C136" s="4" t="str">
        <f t="shared" si="8"/>
        <v>coordinate approval</v>
      </c>
      <c r="D136" s="4" t="s">
        <v>6373</v>
      </c>
      <c r="E136" s="5" t="s">
        <v>6423</v>
      </c>
      <c r="F136" s="16" t="str">
        <f t="shared" si="9"/>
        <v>(216,'COORDINATE:APPROVE','coordinate approval','COORDINATE','APPROVE'),</v>
      </c>
    </row>
    <row r="137" spans="1:6" ht="20.149999999999999" customHeight="1" x14ac:dyDescent="0.35">
      <c r="A137" s="3">
        <v>217</v>
      </c>
      <c r="B137" s="4" t="str">
        <f t="shared" si="10"/>
        <v>STRUCTURE:APPROVE</v>
      </c>
      <c r="C137" s="4" t="str">
        <f t="shared" si="8"/>
        <v>structure approval</v>
      </c>
      <c r="D137" s="4" t="s">
        <v>5759</v>
      </c>
      <c r="E137" s="5" t="s">
        <v>6423</v>
      </c>
      <c r="F137" s="16" t="str">
        <f t="shared" si="9"/>
        <v>(217,'STRUCTURE:APPROVE','structure approval','STRUCTURE','APPROVE'),</v>
      </c>
    </row>
    <row r="138" spans="1:6" ht="20.149999999999999" customHeight="1" x14ac:dyDescent="0.35">
      <c r="A138" s="3">
        <v>218</v>
      </c>
      <c r="B138" s="4" t="str">
        <f t="shared" si="10"/>
        <v>JOB:APPROVE</v>
      </c>
      <c r="C138" s="4" t="str">
        <f t="shared" si="8"/>
        <v>job approval</v>
      </c>
      <c r="D138" s="4" t="s">
        <v>5760</v>
      </c>
      <c r="E138" s="5" t="s">
        <v>6423</v>
      </c>
      <c r="F138" s="16" t="str">
        <f t="shared" si="9"/>
        <v>(218,'JOB:APPROVE','job approval','JOB','APPROVE'),</v>
      </c>
    </row>
    <row r="139" spans="1:6" ht="20.149999999999999" customHeight="1" x14ac:dyDescent="0.35">
      <c r="A139" s="3">
        <v>219</v>
      </c>
      <c r="B139" s="4" t="str">
        <f t="shared" si="10"/>
        <v>PERSON:APPROVE</v>
      </c>
      <c r="C139" s="4" t="str">
        <f t="shared" si="8"/>
        <v>person approval</v>
      </c>
      <c r="D139" s="4" t="s">
        <v>5761</v>
      </c>
      <c r="E139" s="5" t="s">
        <v>6423</v>
      </c>
      <c r="F139" s="16" t="str">
        <f t="shared" si="9"/>
        <v>(219,'PERSON:APPROVE','person approval','PERSON','APPROVE'),</v>
      </c>
    </row>
    <row r="140" spans="1:6" ht="20.149999999999999" customHeight="1" x14ac:dyDescent="0.35">
      <c r="A140" s="3">
        <v>220</v>
      </c>
      <c r="B140" s="4" t="str">
        <f t="shared" si="10"/>
        <v>EMPLOYEE:APPROVE</v>
      </c>
      <c r="C140" s="4" t="str">
        <f t="shared" si="8"/>
        <v>employee approval</v>
      </c>
      <c r="D140" s="4" t="s">
        <v>5762</v>
      </c>
      <c r="E140" s="5" t="s">
        <v>6423</v>
      </c>
      <c r="F140" s="16" t="str">
        <f t="shared" si="9"/>
        <v>(220,'EMPLOYEE:APPROVE','employee approval','EMPLOYEE','APPROVE'),</v>
      </c>
    </row>
    <row r="141" spans="1:6" ht="20.149999999999999" customHeight="1" x14ac:dyDescent="0.35">
      <c r="A141" s="3">
        <v>221</v>
      </c>
      <c r="B141" s="4" t="str">
        <f t="shared" si="10"/>
        <v>COMPANY_TYPE:APPROVE</v>
      </c>
      <c r="C141" s="4" t="str">
        <f t="shared" si="8"/>
        <v>company_type approval</v>
      </c>
      <c r="D141" s="4" t="s">
        <v>5763</v>
      </c>
      <c r="E141" s="5" t="s">
        <v>6423</v>
      </c>
      <c r="F141" s="16" t="str">
        <f t="shared" si="9"/>
        <v>(221,'COMPANY_TYPE:APPROVE','company_type approval','COMPANY_TYPE','APPROVE'),</v>
      </c>
    </row>
    <row r="142" spans="1:6" ht="20.149999999999999" customHeight="1" x14ac:dyDescent="0.35">
      <c r="A142" s="3">
        <v>222</v>
      </c>
      <c r="B142" s="4" t="str">
        <f t="shared" si="10"/>
        <v>PARTNER_TYPE:APPROVE</v>
      </c>
      <c r="C142" s="4" t="str">
        <f t="shared" si="8"/>
        <v>partner_type approval</v>
      </c>
      <c r="D142" s="4" t="s">
        <v>5764</v>
      </c>
      <c r="E142" s="5" t="s">
        <v>6423</v>
      </c>
      <c r="F142" s="16" t="str">
        <f t="shared" si="9"/>
        <v>(222,'PARTNER_TYPE:APPROVE','partner_type approval','PARTNER_TYPE','APPROVE'),</v>
      </c>
    </row>
    <row r="143" spans="1:6" ht="20.149999999999999" customHeight="1" x14ac:dyDescent="0.35">
      <c r="A143" s="3">
        <v>223</v>
      </c>
      <c r="B143" s="4" t="str">
        <f t="shared" si="10"/>
        <v>VENDOR_TYPE:APPROVE</v>
      </c>
      <c r="C143" s="4" t="str">
        <f t="shared" si="8"/>
        <v>vendor_type approval</v>
      </c>
      <c r="D143" s="4" t="s">
        <v>5765</v>
      </c>
      <c r="E143" s="5" t="s">
        <v>6423</v>
      </c>
      <c r="F143" s="16" t="str">
        <f t="shared" si="9"/>
        <v>(223,'VENDOR_TYPE:APPROVE','vendor_type approval','VENDOR_TYPE','APPROVE'),</v>
      </c>
    </row>
    <row r="144" spans="1:6" ht="20.149999999999999" customHeight="1" x14ac:dyDescent="0.35">
      <c r="A144" s="3">
        <v>224</v>
      </c>
      <c r="B144" s="4" t="str">
        <f t="shared" si="10"/>
        <v>FACILITY_TYPE:APPROVE</v>
      </c>
      <c r="C144" s="4" t="str">
        <f t="shared" si="8"/>
        <v>facility_type approval</v>
      </c>
      <c r="D144" s="4" t="s">
        <v>5766</v>
      </c>
      <c r="E144" s="5" t="s">
        <v>6423</v>
      </c>
      <c r="F144" s="16" t="str">
        <f t="shared" si="9"/>
        <v>(224,'FACILITY_TYPE:APPROVE','facility_type approval','FACILITY_TYPE','APPROVE'),</v>
      </c>
    </row>
    <row r="145" spans="1:6" ht="20.149999999999999" customHeight="1" x14ac:dyDescent="0.35">
      <c r="A145" s="3">
        <v>225</v>
      </c>
      <c r="B145" s="4" t="str">
        <f t="shared" si="10"/>
        <v>STATION_TYPE:APPROVE</v>
      </c>
      <c r="C145" s="4" t="str">
        <f t="shared" si="8"/>
        <v>station_type approval</v>
      </c>
      <c r="D145" s="4" t="s">
        <v>5767</v>
      </c>
      <c r="E145" s="5" t="s">
        <v>6423</v>
      </c>
      <c r="F145" s="16" t="str">
        <f t="shared" si="9"/>
        <v>(225,'STATION_TYPE:APPROVE','station_type approval','STATION_TYPE','APPROVE'),</v>
      </c>
    </row>
    <row r="146" spans="1:6" ht="20.149999999999999" customHeight="1" x14ac:dyDescent="0.35">
      <c r="A146" s="3">
        <v>226</v>
      </c>
      <c r="B146" s="4" t="str">
        <f t="shared" si="10"/>
        <v>TERMINAL_TYPE:APPROVE</v>
      </c>
      <c r="C146" s="4" t="str">
        <f t="shared" si="8"/>
        <v>terminal_type approval</v>
      </c>
      <c r="D146" s="4" t="s">
        <v>5768</v>
      </c>
      <c r="E146" s="5" t="s">
        <v>6423</v>
      </c>
      <c r="F146" s="16" t="str">
        <f t="shared" si="9"/>
        <v>(226,'TERMINAL_TYPE:APPROVE','terminal_type approval','TERMINAL_TYPE','APPROVE'),</v>
      </c>
    </row>
    <row r="147" spans="1:6" ht="20.149999999999999" customHeight="1" x14ac:dyDescent="0.35">
      <c r="A147" s="3">
        <v>227</v>
      </c>
      <c r="B147" s="4" t="str">
        <f t="shared" si="10"/>
        <v>PROCESSING_PLANT_TYPE:APPROVE</v>
      </c>
      <c r="C147" s="4" t="str">
        <f t="shared" si="8"/>
        <v>processing_plant_type approval</v>
      </c>
      <c r="D147" s="4" t="s">
        <v>5791</v>
      </c>
      <c r="E147" s="5" t="s">
        <v>6423</v>
      </c>
      <c r="F147" s="16" t="str">
        <f t="shared" si="9"/>
        <v>(227,'PROCESSING_PLANT_TYPE:APPROVE','processing_plant_type approval','PROCESSING_PLANT_TYPE','APPROVE'),</v>
      </c>
    </row>
    <row r="148" spans="1:6" ht="20.149999999999999" customHeight="1" x14ac:dyDescent="0.35">
      <c r="A148" s="3">
        <v>228</v>
      </c>
      <c r="B148" s="4" t="str">
        <f t="shared" si="10"/>
        <v>PRODUCTION_FIELD_TYPE:APPROVE</v>
      </c>
      <c r="C148" s="4" t="str">
        <f t="shared" si="8"/>
        <v>production_field_type approval</v>
      </c>
      <c r="D148" s="4" t="s">
        <v>5792</v>
      </c>
      <c r="E148" s="5" t="s">
        <v>6423</v>
      </c>
      <c r="F148" s="16" t="str">
        <f t="shared" si="9"/>
        <v>(228,'PRODUCTION_FIELD_TYPE:APPROVE','production_field_type approval','PRODUCTION_FIELD_TYPE','APPROVE'),</v>
      </c>
    </row>
    <row r="149" spans="1:6" ht="20.149999999999999" customHeight="1" x14ac:dyDescent="0.35">
      <c r="A149" s="3">
        <v>229</v>
      </c>
      <c r="B149" s="4" t="str">
        <f t="shared" si="10"/>
        <v>EQUIPMENT_TYPE:APPROVE</v>
      </c>
      <c r="C149" s="4" t="str">
        <f t="shared" si="8"/>
        <v>equipment_type approval</v>
      </c>
      <c r="D149" s="4" t="s">
        <v>5769</v>
      </c>
      <c r="E149" s="5" t="s">
        <v>6423</v>
      </c>
      <c r="F149" s="16" t="str">
        <f t="shared" si="9"/>
        <v>(229,'EQUIPMENT_TYPE:APPROVE','equipment_type approval','EQUIPMENT_TYPE','APPROVE'),</v>
      </c>
    </row>
    <row r="150" spans="1:6" ht="20.149999999999999" customHeight="1" x14ac:dyDescent="0.35">
      <c r="A150" s="3">
        <v>230</v>
      </c>
      <c r="B150" s="4" t="str">
        <f t="shared" si="10"/>
        <v>PRODUCT:APPROVE</v>
      </c>
      <c r="C150" s="4" t="str">
        <f t="shared" si="8"/>
        <v>product approval</v>
      </c>
      <c r="D150" s="4" t="s">
        <v>5772</v>
      </c>
      <c r="E150" s="5" t="s">
        <v>6423</v>
      </c>
      <c r="F150" s="16" t="str">
        <f t="shared" si="9"/>
        <v>(230,'PRODUCT:APPROVE','product approval','PRODUCT','APPROVE'),</v>
      </c>
    </row>
    <row r="151" spans="1:6" ht="20.149999999999999" customHeight="1" x14ac:dyDescent="0.35">
      <c r="A151" s="3">
        <v>231</v>
      </c>
      <c r="B151" s="4" t="str">
        <f t="shared" si="10"/>
        <v>OPERATIONAL_STATUS:APPROVE</v>
      </c>
      <c r="C151" s="4" t="str">
        <f t="shared" si="8"/>
        <v>operational_status approval</v>
      </c>
      <c r="D151" s="4" t="s">
        <v>5773</v>
      </c>
      <c r="E151" s="5" t="s">
        <v>6423</v>
      </c>
      <c r="F151" s="16" t="str">
        <f t="shared" si="9"/>
        <v>(231,'OPERATIONAL_STATUS:APPROVE','operational_status approval','OPERATIONAL_STATUS','APPROVE'),</v>
      </c>
    </row>
    <row r="152" spans="1:6" ht="20.149999999999999" customHeight="1" x14ac:dyDescent="0.35">
      <c r="A152" s="3">
        <v>232</v>
      </c>
      <c r="B152" s="4" t="str">
        <f t="shared" si="10"/>
        <v>ALLOY:APPROVE</v>
      </c>
      <c r="C152" s="4" t="str">
        <f t="shared" si="8"/>
        <v>alloy approval</v>
      </c>
      <c r="D152" s="4" t="s">
        <v>5774</v>
      </c>
      <c r="E152" s="5" t="s">
        <v>6423</v>
      </c>
      <c r="F152" s="16" t="str">
        <f t="shared" si="9"/>
        <v>(232,'ALLOY:APPROVE','alloy approval','ALLOY','APPROVE'),</v>
      </c>
    </row>
    <row r="153" spans="1:6" ht="20.149999999999999" customHeight="1" x14ac:dyDescent="0.35">
      <c r="A153" s="3">
        <v>233</v>
      </c>
      <c r="B153" s="4" t="str">
        <f t="shared" si="10"/>
        <v>PARTNER:APPROVE</v>
      </c>
      <c r="C153" s="4" t="str">
        <f t="shared" ref="C153:C179" si="11">CONCATENATE(LOWER(D153)," approval")</f>
        <v>partner approval</v>
      </c>
      <c r="D153" s="4" t="s">
        <v>5775</v>
      </c>
      <c r="E153" s="5" t="s">
        <v>6423</v>
      </c>
      <c r="F153" s="16" t="str">
        <f t="shared" si="9"/>
        <v>(233,'PARTNER:APPROVE','partner approval','PARTNER','APPROVE'),</v>
      </c>
    </row>
    <row r="154" spans="1:6" ht="20.149999999999999" customHeight="1" x14ac:dyDescent="0.35">
      <c r="A154" s="3">
        <v>234</v>
      </c>
      <c r="B154" s="4" t="str">
        <f t="shared" si="10"/>
        <v>VENDOR:APPROVE</v>
      </c>
      <c r="C154" s="4" t="str">
        <f t="shared" si="11"/>
        <v>vendor approval</v>
      </c>
      <c r="D154" s="4" t="s">
        <v>5776</v>
      </c>
      <c r="E154" s="5" t="s">
        <v>6423</v>
      </c>
      <c r="F154" s="16" t="str">
        <f t="shared" si="9"/>
        <v>(234,'VENDOR:APPROVE','vendor approval','VENDOR','APPROVE'),</v>
      </c>
    </row>
    <row r="155" spans="1:6" ht="20.149999999999999" customHeight="1" x14ac:dyDescent="0.35">
      <c r="A155" s="3">
        <v>235</v>
      </c>
      <c r="B155" s="4" t="str">
        <f t="shared" si="10"/>
        <v>INFRASTRUCTURE:APPROVE</v>
      </c>
      <c r="C155" s="4" t="str">
        <f t="shared" si="11"/>
        <v>infrastructure approval</v>
      </c>
      <c r="D155" s="4" t="s">
        <v>5777</v>
      </c>
      <c r="E155" s="5" t="s">
        <v>6423</v>
      </c>
      <c r="F155" s="16" t="str">
        <f t="shared" si="9"/>
        <v>(235,'INFRASTRUCTURE:APPROVE','infrastructure approval','INFRASTRUCTURE','APPROVE'),</v>
      </c>
    </row>
    <row r="156" spans="1:6" ht="20.149999999999999" customHeight="1" x14ac:dyDescent="0.35">
      <c r="A156" s="3">
        <v>236</v>
      </c>
      <c r="B156" s="4" t="str">
        <f t="shared" si="10"/>
        <v>FACILITY:APPROVE</v>
      </c>
      <c r="C156" s="4" t="str">
        <f t="shared" si="11"/>
        <v>facility approval</v>
      </c>
      <c r="D156" s="4" t="s">
        <v>5778</v>
      </c>
      <c r="E156" s="5" t="s">
        <v>6423</v>
      </c>
      <c r="F156" s="16" t="str">
        <f t="shared" si="9"/>
        <v>(236,'FACILITY:APPROVE','facility approval','FACILITY','APPROVE'),</v>
      </c>
    </row>
    <row r="157" spans="1:6" ht="20.149999999999999" customHeight="1" x14ac:dyDescent="0.35">
      <c r="A157" s="3">
        <v>237</v>
      </c>
      <c r="B157" s="4" t="str">
        <f t="shared" si="10"/>
        <v>PIPELINE_SYSTEM:APPROVE</v>
      </c>
      <c r="C157" s="4" t="str">
        <f t="shared" si="11"/>
        <v>pipeline_system approval</v>
      </c>
      <c r="D157" s="4" t="s">
        <v>5779</v>
      </c>
      <c r="E157" s="5" t="s">
        <v>6423</v>
      </c>
      <c r="F157" s="16" t="str">
        <f t="shared" si="9"/>
        <v>(237,'PIPELINE_SYSTEM:APPROVE','pipeline_system approval','PIPELINE_SYSTEM','APPROVE'),</v>
      </c>
    </row>
    <row r="158" spans="1:6" ht="20.149999999999999" customHeight="1" x14ac:dyDescent="0.35">
      <c r="A158" s="3">
        <v>238</v>
      </c>
      <c r="B158" s="4" t="str">
        <f t="shared" si="10"/>
        <v>PIPELINE:APPROVE</v>
      </c>
      <c r="C158" s="4" t="str">
        <f t="shared" si="11"/>
        <v>pipeline approval</v>
      </c>
      <c r="D158" s="4" t="s">
        <v>5780</v>
      </c>
      <c r="E158" s="5" t="s">
        <v>6423</v>
      </c>
      <c r="F158" s="16" t="str">
        <f t="shared" si="9"/>
        <v>(238,'PIPELINE:APPROVE','pipeline approval','PIPELINE','APPROVE'),</v>
      </c>
    </row>
    <row r="159" spans="1:6" ht="20.149999999999999" customHeight="1" x14ac:dyDescent="0.35">
      <c r="A159" s="3">
        <v>239</v>
      </c>
      <c r="B159" s="4" t="str">
        <f t="shared" si="10"/>
        <v>PIPELINE_SEGMENT:APPROVE</v>
      </c>
      <c r="C159" s="4" t="str">
        <f t="shared" si="11"/>
        <v>pipeline_segment approval</v>
      </c>
      <c r="D159" s="4" t="s">
        <v>5781</v>
      </c>
      <c r="E159" s="5" t="s">
        <v>6423</v>
      </c>
      <c r="F159" s="16" t="str">
        <f t="shared" si="9"/>
        <v>(239,'PIPELINE_SEGMENT:APPROVE','pipeline_segment approval','PIPELINE_SEGMENT','APPROVE'),</v>
      </c>
    </row>
    <row r="160" spans="1:6" ht="20.149999999999999" customHeight="1" x14ac:dyDescent="0.35">
      <c r="A160" s="3">
        <v>240</v>
      </c>
      <c r="B160" s="4" t="str">
        <f t="shared" si="10"/>
        <v>STATION:APPROVE</v>
      </c>
      <c r="C160" s="4" t="str">
        <f t="shared" si="11"/>
        <v>station approval</v>
      </c>
      <c r="D160" s="4" t="s">
        <v>5782</v>
      </c>
      <c r="E160" s="5" t="s">
        <v>6423</v>
      </c>
      <c r="F160" s="16" t="str">
        <f t="shared" si="9"/>
        <v>(240,'STATION:APPROVE','station approval','STATION','APPROVE'),</v>
      </c>
    </row>
    <row r="161" spans="1:6" ht="20.149999999999999" customHeight="1" x14ac:dyDescent="0.35">
      <c r="A161" s="3">
        <v>241</v>
      </c>
      <c r="B161" s="4" t="str">
        <f t="shared" si="10"/>
        <v>TERMINAL:APPROVE</v>
      </c>
      <c r="C161" s="4" t="str">
        <f t="shared" si="11"/>
        <v>terminal approval</v>
      </c>
      <c r="D161" s="4" t="s">
        <v>5783</v>
      </c>
      <c r="E161" s="5" t="s">
        <v>6423</v>
      </c>
      <c r="F161" s="16" t="str">
        <f t="shared" si="9"/>
        <v>(241,'TERMINAL:APPROVE','terminal approval','TERMINAL','APPROVE'),</v>
      </c>
    </row>
    <row r="162" spans="1:6" ht="20.149999999999999" customHeight="1" x14ac:dyDescent="0.35">
      <c r="A162" s="3">
        <v>242</v>
      </c>
      <c r="B162" s="4" t="str">
        <f t="shared" si="10"/>
        <v>PROCESSING_PLANT:APPROVE</v>
      </c>
      <c r="C162" s="4" t="str">
        <f t="shared" si="11"/>
        <v>processing_plant approval</v>
      </c>
      <c r="D162" s="4" t="s">
        <v>5793</v>
      </c>
      <c r="E162" s="5" t="s">
        <v>6423</v>
      </c>
      <c r="F162" s="16" t="str">
        <f t="shared" si="9"/>
        <v>(242,'PROCESSING_PLANT:APPROVE','processing_plant approval','PROCESSING_PLANT','APPROVE'),</v>
      </c>
    </row>
    <row r="163" spans="1:6" ht="20.149999999999999" customHeight="1" x14ac:dyDescent="0.35">
      <c r="A163" s="3">
        <v>243</v>
      </c>
      <c r="B163" s="4" t="str">
        <f t="shared" si="10"/>
        <v>PRODUCTION_FIELD:APPROVE</v>
      </c>
      <c r="C163" s="4" t="str">
        <f t="shared" si="11"/>
        <v>production_field approval</v>
      </c>
      <c r="D163" s="4" t="s">
        <v>5794</v>
      </c>
      <c r="E163" s="5" t="s">
        <v>6423</v>
      </c>
      <c r="F163" s="16" t="str">
        <f t="shared" si="9"/>
        <v>(243,'PRODUCTION_FIELD:APPROVE','production_field approval','PRODUCTION_FIELD','APPROVE'),</v>
      </c>
    </row>
    <row r="164" spans="1:6" ht="20.149999999999999" customHeight="1" x14ac:dyDescent="0.35">
      <c r="A164" s="3">
        <v>244</v>
      </c>
      <c r="B164" s="4" t="str">
        <f t="shared" si="10"/>
        <v>EQUIPMENT:APPROVE</v>
      </c>
      <c r="C164" s="4" t="str">
        <f t="shared" si="11"/>
        <v>equipment approval</v>
      </c>
      <c r="D164" s="4" t="s">
        <v>5784</v>
      </c>
      <c r="E164" s="5" t="s">
        <v>6423</v>
      </c>
      <c r="F164" s="16" t="str">
        <f t="shared" si="9"/>
        <v>(244,'EQUIPMENT:APPROVE','equipment approval','EQUIPMENT','APPROVE'),</v>
      </c>
    </row>
    <row r="165" spans="1:6" ht="20.149999999999999" customHeight="1" x14ac:dyDescent="0.35">
      <c r="A165" s="3">
        <v>245</v>
      </c>
      <c r="B165" s="4" t="str">
        <f t="shared" si="10"/>
        <v>EVENT_TYPE:APPROVE</v>
      </c>
      <c r="C165" s="4" t="str">
        <f t="shared" si="11"/>
        <v>event_type approval</v>
      </c>
      <c r="D165" s="4" t="s">
        <v>6375</v>
      </c>
      <c r="E165" s="5" t="s">
        <v>6423</v>
      </c>
      <c r="F165" s="16" t="str">
        <f t="shared" si="9"/>
        <v>(245,'EVENT_TYPE:APPROVE','event_type approval','EVENT_TYPE','APPROVE'),</v>
      </c>
    </row>
    <row r="166" spans="1:6" ht="20.149999999999999" customHeight="1" x14ac:dyDescent="0.35">
      <c r="A166" s="3">
        <v>246</v>
      </c>
      <c r="B166" s="4" t="str">
        <f t="shared" si="10"/>
        <v>OPERATION_TYPE:APPROVE</v>
      </c>
      <c r="C166" s="4" t="str">
        <f t="shared" si="11"/>
        <v>operation_type approval</v>
      </c>
      <c r="D166" s="4" t="s">
        <v>6374</v>
      </c>
      <c r="E166" s="5" t="s">
        <v>6423</v>
      </c>
      <c r="F166" s="16" t="str">
        <f t="shared" si="9"/>
        <v>(246,'OPERATION_TYPE:APPROVE','operation_type approval','OPERATION_TYPE','APPROVE'),</v>
      </c>
    </row>
    <row r="167" spans="1:6" ht="20.149999999999999" customHeight="1" x14ac:dyDescent="0.35">
      <c r="A167" s="3">
        <v>247</v>
      </c>
      <c r="B167" s="4" t="str">
        <f t="shared" si="10"/>
        <v>EVENT_STATUS:APPROVE</v>
      </c>
      <c r="C167" s="4" t="str">
        <f t="shared" si="11"/>
        <v>event_status approval</v>
      </c>
      <c r="D167" s="4" t="s">
        <v>6378</v>
      </c>
      <c r="E167" s="5" t="s">
        <v>6423</v>
      </c>
      <c r="F167" s="16" t="str">
        <f t="shared" si="9"/>
        <v>(247,'EVENT_STATUS:APPROVE','event_status approval','EVENT_STATUS','APPROVE'),</v>
      </c>
    </row>
    <row r="168" spans="1:6" ht="20.149999999999999" customHeight="1" x14ac:dyDescent="0.35">
      <c r="A168" s="3">
        <v>248</v>
      </c>
      <c r="B168" s="4" t="str">
        <f t="shared" si="10"/>
        <v>ALERT_STATUS:APPROVE</v>
      </c>
      <c r="C168" s="4" t="str">
        <f t="shared" si="11"/>
        <v>alert_status approval</v>
      </c>
      <c r="D168" s="4" t="s">
        <v>6376</v>
      </c>
      <c r="E168" s="45" t="s">
        <v>6423</v>
      </c>
      <c r="F168" s="16" t="str">
        <f t="shared" si="9"/>
        <v>(248,'ALERT_STATUS:APPROVE','alert_status approval','ALERT_STATUS','APPROVE'),</v>
      </c>
    </row>
    <row r="169" spans="1:6" ht="20.149999999999999" customHeight="1" x14ac:dyDescent="0.35">
      <c r="A169" s="3">
        <v>249</v>
      </c>
      <c r="B169" s="4" t="str">
        <f t="shared" si="10"/>
        <v>SEVERITY:APPROVE</v>
      </c>
      <c r="C169" s="4" t="str">
        <f t="shared" si="11"/>
        <v>severity approval</v>
      </c>
      <c r="D169" s="4" t="s">
        <v>6380</v>
      </c>
      <c r="E169" s="5" t="s">
        <v>6423</v>
      </c>
      <c r="F169" s="16" t="str">
        <f t="shared" si="9"/>
        <v>(249,'SEVERITY:APPROVE','severity approval','SEVERITY','APPROVE'),</v>
      </c>
    </row>
    <row r="170" spans="1:6" ht="20.149999999999999" customHeight="1" x14ac:dyDescent="0.35">
      <c r="A170" s="3">
        <v>250</v>
      </c>
      <c r="B170" s="4" t="str">
        <f t="shared" si="10"/>
        <v>DATA_SOURCE:APPROVE</v>
      </c>
      <c r="C170" s="4" t="str">
        <f t="shared" si="11"/>
        <v>data_source approval</v>
      </c>
      <c r="D170" s="4" t="s">
        <v>6377</v>
      </c>
      <c r="E170" s="5" t="s">
        <v>6423</v>
      </c>
      <c r="F170" s="16" t="str">
        <f t="shared" si="9"/>
        <v>(250,'DATA_SOURCE:APPROVE','data_source approval','DATA_SOURCE','APPROVE'),</v>
      </c>
    </row>
    <row r="171" spans="1:6" ht="20.149999999999999" customHeight="1" x14ac:dyDescent="0.35">
      <c r="A171" s="3">
        <v>251</v>
      </c>
      <c r="B171" s="4" t="str">
        <f t="shared" si="10"/>
        <v>QUALITY_FLAG:APPROVE</v>
      </c>
      <c r="C171" s="4" t="str">
        <f t="shared" si="11"/>
        <v>quality_flag approval</v>
      </c>
      <c r="D171" s="4" t="s">
        <v>6379</v>
      </c>
      <c r="E171" s="5" t="s">
        <v>6423</v>
      </c>
      <c r="F171" s="16" t="str">
        <f t="shared" si="9"/>
        <v>(251,'QUALITY_FLAG:APPROVE','quality_flag approval','QUALITY_FLAG','APPROVE'),</v>
      </c>
    </row>
    <row r="172" spans="1:6" ht="20.149999999999999" customHeight="1" x14ac:dyDescent="0.35">
      <c r="A172" s="3">
        <v>252</v>
      </c>
      <c r="B172" s="4" t="str">
        <f t="shared" si="10"/>
        <v>VALIDATION_STATUS:APPROVE</v>
      </c>
      <c r="C172" s="4" t="str">
        <f t="shared" si="11"/>
        <v>validation_status approval</v>
      </c>
      <c r="D172" s="4" t="s">
        <v>6381</v>
      </c>
      <c r="E172" s="5" t="s">
        <v>6423</v>
      </c>
      <c r="F172" s="16" t="str">
        <f t="shared" si="9"/>
        <v>(252,'VALIDATION_STATUS:APPROVE','validation_status approval','VALIDATION_STATUS','APPROVE'),</v>
      </c>
    </row>
    <row r="173" spans="1:6" ht="20.149999999999999" customHeight="1" x14ac:dyDescent="0.35">
      <c r="A173" s="3">
        <v>253</v>
      </c>
      <c r="B173" s="4" t="str">
        <f t="shared" si="10"/>
        <v>READING_SLOT:APPROVE</v>
      </c>
      <c r="C173" s="4" t="str">
        <f t="shared" si="11"/>
        <v>reading_slot approval</v>
      </c>
      <c r="D173" s="4" t="s">
        <v>6382</v>
      </c>
      <c r="E173" s="5" t="s">
        <v>6423</v>
      </c>
      <c r="F173" s="16" t="str">
        <f t="shared" si="9"/>
        <v>(253,'READING_SLOT:APPROVE','reading_slot approval','READING_SLOT','APPROVE'),</v>
      </c>
    </row>
    <row r="174" spans="1:6" ht="20.149999999999999" customHeight="1" x14ac:dyDescent="0.35">
      <c r="A174" s="3">
        <v>254</v>
      </c>
      <c r="B174" s="4" t="str">
        <f t="shared" si="10"/>
        <v>FLOW_OPERATION:APPROVE</v>
      </c>
      <c r="C174" s="4" t="str">
        <f t="shared" si="11"/>
        <v>flow_operation approval</v>
      </c>
      <c r="D174" s="4" t="s">
        <v>6383</v>
      </c>
      <c r="E174" s="5" t="s">
        <v>6423</v>
      </c>
      <c r="F174" s="16" t="str">
        <f t="shared" si="9"/>
        <v>(254,'FLOW_OPERATION:APPROVE','flow_operation approval','FLOW_OPERATION','APPROVE'),</v>
      </c>
    </row>
    <row r="175" spans="1:6" ht="20.149999999999999" customHeight="1" x14ac:dyDescent="0.35">
      <c r="A175" s="3">
        <v>255</v>
      </c>
      <c r="B175" s="4" t="str">
        <f t="shared" si="10"/>
        <v>FLOW_FORECAST:APPROVE</v>
      </c>
      <c r="C175" s="4" t="str">
        <f t="shared" si="11"/>
        <v>flow_forecast approval</v>
      </c>
      <c r="D175" s="4" t="s">
        <v>6384</v>
      </c>
      <c r="E175" s="5" t="s">
        <v>6423</v>
      </c>
      <c r="F175" s="16" t="str">
        <f t="shared" si="9"/>
        <v>(255,'FLOW_FORECAST:APPROVE','flow_forecast approval','FLOW_FORECAST','APPROVE'),</v>
      </c>
    </row>
    <row r="176" spans="1:6" ht="20.149999999999999" customHeight="1" x14ac:dyDescent="0.35">
      <c r="A176" s="3">
        <v>256</v>
      </c>
      <c r="B176" s="4" t="str">
        <f t="shared" si="10"/>
        <v>FLOW_READING:APPROVE</v>
      </c>
      <c r="C176" s="4" t="str">
        <f t="shared" si="11"/>
        <v>flow_reading approval</v>
      </c>
      <c r="D176" s="4" t="s">
        <v>6385</v>
      </c>
      <c r="E176" s="5" t="s">
        <v>6423</v>
      </c>
      <c r="F176" s="16" t="str">
        <f t="shared" si="9"/>
        <v>(256,'FLOW_READING:APPROVE','flow_reading approval','FLOW_READING','APPROVE'),</v>
      </c>
    </row>
    <row r="177" spans="1:6" ht="20.149999999999999" customHeight="1" x14ac:dyDescent="0.35">
      <c r="A177" s="3">
        <v>257</v>
      </c>
      <c r="B177" s="4" t="str">
        <f t="shared" si="10"/>
        <v>FLOW_EVENT:APPROVE</v>
      </c>
      <c r="C177" s="4" t="str">
        <f t="shared" si="11"/>
        <v>flow_event approval</v>
      </c>
      <c r="D177" s="4" t="s">
        <v>6388</v>
      </c>
      <c r="E177" s="5" t="s">
        <v>6423</v>
      </c>
      <c r="F177" s="16" t="str">
        <f t="shared" si="9"/>
        <v>(257,'FLOW_EVENT:APPROVE','flow_event approval','FLOW_EVENT','APPROVE'),</v>
      </c>
    </row>
    <row r="178" spans="1:6" ht="20.149999999999999" customHeight="1" x14ac:dyDescent="0.35">
      <c r="A178" s="3">
        <v>258</v>
      </c>
      <c r="B178" s="4" t="str">
        <f t="shared" si="10"/>
        <v>FLOW_ALERT:APPROVE</v>
      </c>
      <c r="C178" s="4" t="str">
        <f t="shared" si="11"/>
        <v>flow_alert approval</v>
      </c>
      <c r="D178" s="4" t="s">
        <v>6387</v>
      </c>
      <c r="E178" s="5" t="s">
        <v>6423</v>
      </c>
      <c r="F178" s="16" t="str">
        <f t="shared" si="9"/>
        <v>(258,'FLOW_ALERT:APPROVE','flow_alert approval','FLOW_ALERT','APPROVE'),</v>
      </c>
    </row>
    <row r="179" spans="1:6" ht="20.149999999999999" customHeight="1" x14ac:dyDescent="0.35">
      <c r="A179" s="3">
        <v>259</v>
      </c>
      <c r="B179" s="4" t="str">
        <f t="shared" si="10"/>
        <v>FLOW_THRESHOLD:APPROVE</v>
      </c>
      <c r="C179" s="4" t="str">
        <f t="shared" si="11"/>
        <v>flow_threshold approval</v>
      </c>
      <c r="D179" s="4" t="s">
        <v>6386</v>
      </c>
      <c r="E179" s="5" t="s">
        <v>6423</v>
      </c>
      <c r="F179" s="16" t="str">
        <f t="shared" si="9"/>
        <v>(259,'FLOW_THRESHOLD:APPROVE','flow_threshold approval','FLOW_THRESHOLD','APPROVE'),</v>
      </c>
    </row>
    <row r="180" spans="1:6" ht="20.149999999999999" customHeight="1" x14ac:dyDescent="0.35">
      <c r="A180" s="3">
        <v>301</v>
      </c>
      <c r="B180" s="4" t="str">
        <f t="shared" si="10"/>
        <v>PARAMETER:DELETE</v>
      </c>
      <c r="C180" s="4" t="str">
        <f t="shared" ref="C180:C211" si="12">CONCATENATE(LOWER(D180)," delete")</f>
        <v>parameter delete</v>
      </c>
      <c r="D180" s="4" t="s">
        <v>6371</v>
      </c>
      <c r="E180" s="5" t="s">
        <v>6424</v>
      </c>
      <c r="F180" s="16" t="str">
        <f t="shared" si="9"/>
        <v>(301,'PARAMETER:DELETE','parameter delete','PARAMETER','DELETE'),</v>
      </c>
    </row>
    <row r="181" spans="1:6" ht="20.149999999999999" customHeight="1" x14ac:dyDescent="0.35">
      <c r="A181" s="3">
        <v>302</v>
      </c>
      <c r="B181" s="4" t="str">
        <f t="shared" si="10"/>
        <v>FILE:DELETE</v>
      </c>
      <c r="C181" s="4" t="str">
        <f t="shared" si="12"/>
        <v>file delete</v>
      </c>
      <c r="D181" s="4" t="s">
        <v>6372</v>
      </c>
      <c r="E181" s="5" t="s">
        <v>6424</v>
      </c>
      <c r="F181" s="16" t="str">
        <f t="shared" si="9"/>
        <v>(302,'FILE:DELETE','file delete','FILE','DELETE'),</v>
      </c>
    </row>
    <row r="182" spans="1:6" ht="20.149999999999999" customHeight="1" x14ac:dyDescent="0.35">
      <c r="A182" s="3">
        <v>303</v>
      </c>
      <c r="B182" s="4" t="str">
        <f t="shared" si="10"/>
        <v>GROUP:DELETE</v>
      </c>
      <c r="C182" s="4" t="str">
        <f t="shared" si="12"/>
        <v>group delete</v>
      </c>
      <c r="D182" s="4" t="s">
        <v>5748</v>
      </c>
      <c r="E182" s="5" t="s">
        <v>6424</v>
      </c>
      <c r="F182" s="16" t="str">
        <f t="shared" si="9"/>
        <v>(303,'GROUP:DELETE','group delete','GROUP','DELETE'),</v>
      </c>
    </row>
    <row r="183" spans="1:6" ht="20.149999999999999" customHeight="1" x14ac:dyDescent="0.35">
      <c r="A183" s="3">
        <v>304</v>
      </c>
      <c r="B183" s="4" t="str">
        <f t="shared" si="10"/>
        <v>USER:DELETE</v>
      </c>
      <c r="C183" s="4" t="str">
        <f t="shared" si="12"/>
        <v>user delete</v>
      </c>
      <c r="D183" s="4" t="s">
        <v>5749</v>
      </c>
      <c r="E183" s="5" t="s">
        <v>6424</v>
      </c>
      <c r="F183" s="16" t="str">
        <f t="shared" si="9"/>
        <v>(304,'USER:DELETE','user delete','USER','DELETE'),</v>
      </c>
    </row>
    <row r="184" spans="1:6" ht="20.149999999999999" customHeight="1" x14ac:dyDescent="0.35">
      <c r="A184" s="3">
        <v>305</v>
      </c>
      <c r="B184" s="4" t="str">
        <f t="shared" si="10"/>
        <v>ROLE:DELETE</v>
      </c>
      <c r="C184" s="4" t="str">
        <f t="shared" si="12"/>
        <v>role delete</v>
      </c>
      <c r="D184" s="4" t="s">
        <v>5750</v>
      </c>
      <c r="E184" s="5" t="s">
        <v>6424</v>
      </c>
      <c r="F184" s="16" t="str">
        <f t="shared" si="9"/>
        <v>(305,'ROLE:DELETE','role delete','ROLE','DELETE'),</v>
      </c>
    </row>
    <row r="185" spans="1:6" ht="20.149999999999999" customHeight="1" x14ac:dyDescent="0.35">
      <c r="A185" s="3">
        <v>306</v>
      </c>
      <c r="B185" s="4" t="str">
        <f t="shared" si="10"/>
        <v>PERMISSION:DELETE</v>
      </c>
      <c r="C185" s="4" t="str">
        <f t="shared" si="12"/>
        <v>permission delete</v>
      </c>
      <c r="D185" s="4" t="s">
        <v>5751</v>
      </c>
      <c r="E185" s="5" t="s">
        <v>6424</v>
      </c>
      <c r="F185" s="16" t="str">
        <f t="shared" si="9"/>
        <v>(306,'PERMISSION:DELETE','permission delete','PERMISSION','DELETE'),</v>
      </c>
    </row>
    <row r="186" spans="1:6" ht="20.149999999999999" customHeight="1" x14ac:dyDescent="0.35">
      <c r="A186" s="3">
        <v>307</v>
      </c>
      <c r="B186" s="4" t="str">
        <f t="shared" si="10"/>
        <v>AUTHORITY:DELETE</v>
      </c>
      <c r="C186" s="4" t="str">
        <f t="shared" si="12"/>
        <v>authority delete</v>
      </c>
      <c r="D186" s="4" t="s">
        <v>5752</v>
      </c>
      <c r="E186" s="5" t="s">
        <v>6424</v>
      </c>
      <c r="F186" s="16" t="str">
        <f t="shared" si="9"/>
        <v>(307,'AUTHORITY:DELETE','authority delete','AUTHORITY','DELETE'),</v>
      </c>
    </row>
    <row r="187" spans="1:6" ht="20.149999999999999" customHeight="1" x14ac:dyDescent="0.35">
      <c r="A187" s="3">
        <v>308</v>
      </c>
      <c r="B187" s="4" t="str">
        <f t="shared" si="10"/>
        <v>AUDIT:DELETE</v>
      </c>
      <c r="C187" s="4" t="str">
        <f t="shared" si="12"/>
        <v>audit delete</v>
      </c>
      <c r="D187" s="4" t="s">
        <v>5753</v>
      </c>
      <c r="E187" s="5" t="s">
        <v>6424</v>
      </c>
      <c r="F187" s="16" t="str">
        <f t="shared" si="9"/>
        <v>(308,'AUDIT:DELETE','audit delete','AUDIT','DELETE'),</v>
      </c>
    </row>
    <row r="188" spans="1:6" ht="20.149999999999999" customHeight="1" x14ac:dyDescent="0.35">
      <c r="A188" s="3">
        <v>309</v>
      </c>
      <c r="B188" s="4" t="str">
        <f t="shared" si="10"/>
        <v>STRUCTURE_TYPE:DELETE</v>
      </c>
      <c r="C188" s="4" t="str">
        <f t="shared" si="12"/>
        <v>structure_type delete</v>
      </c>
      <c r="D188" s="4" t="s">
        <v>5758</v>
      </c>
      <c r="E188" s="5" t="s">
        <v>6424</v>
      </c>
      <c r="F188" s="16" t="str">
        <f t="shared" si="9"/>
        <v>(309,'STRUCTURE_TYPE:DELETE','structure_type delete','STRUCTURE_TYPE','DELETE'),</v>
      </c>
    </row>
    <row r="189" spans="1:6" ht="20.149999999999999" customHeight="1" x14ac:dyDescent="0.35">
      <c r="A189" s="3">
        <v>310</v>
      </c>
      <c r="B189" s="4" t="str">
        <f t="shared" si="10"/>
        <v>ZONE:DELETE</v>
      </c>
      <c r="C189" s="4" t="str">
        <f t="shared" si="12"/>
        <v>zone delete</v>
      </c>
      <c r="D189" s="4" t="s">
        <v>5770</v>
      </c>
      <c r="E189" s="5" t="s">
        <v>6424</v>
      </c>
      <c r="F189" s="16" t="str">
        <f t="shared" si="9"/>
        <v>(310,'ZONE:DELETE','zone delete','ZONE','DELETE'),</v>
      </c>
    </row>
    <row r="190" spans="1:6" ht="20.149999999999999" customHeight="1" x14ac:dyDescent="0.35">
      <c r="A190" s="3">
        <v>311</v>
      </c>
      <c r="B190" s="4" t="str">
        <f t="shared" si="10"/>
        <v>COUNTRY:DELETE</v>
      </c>
      <c r="C190" s="4" t="str">
        <f t="shared" si="12"/>
        <v>country delete</v>
      </c>
      <c r="D190" s="4" t="s">
        <v>5755</v>
      </c>
      <c r="E190" s="5" t="s">
        <v>6424</v>
      </c>
      <c r="F190" s="16" t="str">
        <f t="shared" si="9"/>
        <v>(311,'COUNTRY:DELETE','country delete','COUNTRY','DELETE'),</v>
      </c>
    </row>
    <row r="191" spans="1:6" ht="20.149999999999999" customHeight="1" x14ac:dyDescent="0.35">
      <c r="A191" s="3">
        <v>312</v>
      </c>
      <c r="B191" s="4" t="str">
        <f t="shared" ref="B191:B249" si="13">CONCATENATE(D191,":",E191)</f>
        <v>STATE:DELETE</v>
      </c>
      <c r="C191" s="4" t="str">
        <f t="shared" si="12"/>
        <v>state delete</v>
      </c>
      <c r="D191" s="4" t="s">
        <v>5756</v>
      </c>
      <c r="E191" s="5" t="s">
        <v>6424</v>
      </c>
      <c r="F191" s="16" t="str">
        <f t="shared" si="9"/>
        <v>(312,'STATE:DELETE','state delete','STATE','DELETE'),</v>
      </c>
    </row>
    <row r="192" spans="1:6" ht="20.149999999999999" customHeight="1" x14ac:dyDescent="0.35">
      <c r="A192" s="3">
        <v>313</v>
      </c>
      <c r="B192" s="4" t="str">
        <f t="shared" si="13"/>
        <v>DISTRICT:DELETE</v>
      </c>
      <c r="C192" s="4" t="str">
        <f t="shared" si="12"/>
        <v>district delete</v>
      </c>
      <c r="D192" s="4" t="s">
        <v>5790</v>
      </c>
      <c r="E192" s="5" t="s">
        <v>6424</v>
      </c>
      <c r="F192" s="16" t="str">
        <f t="shared" si="9"/>
        <v>(313,'DISTRICT:DELETE','district delete','DISTRICT','DELETE'),</v>
      </c>
    </row>
    <row r="193" spans="1:6" ht="20.149999999999999" customHeight="1" x14ac:dyDescent="0.35">
      <c r="A193" s="3">
        <v>314</v>
      </c>
      <c r="B193" s="4" t="str">
        <f t="shared" si="13"/>
        <v>LOCALITY:DELETE</v>
      </c>
      <c r="C193" s="4" t="str">
        <f t="shared" si="12"/>
        <v>locality delete</v>
      </c>
      <c r="D193" s="4" t="s">
        <v>5757</v>
      </c>
      <c r="E193" s="5" t="s">
        <v>6424</v>
      </c>
      <c r="F193" s="16" t="str">
        <f t="shared" si="9"/>
        <v>(314,'LOCALITY:DELETE','locality delete','LOCALITY','DELETE'),</v>
      </c>
    </row>
    <row r="194" spans="1:6" ht="20.149999999999999" customHeight="1" x14ac:dyDescent="0.35">
      <c r="A194" s="3">
        <v>315</v>
      </c>
      <c r="B194" s="4" t="str">
        <f t="shared" si="13"/>
        <v>LOCATION:DELETE</v>
      </c>
      <c r="C194" s="4" t="str">
        <f t="shared" si="12"/>
        <v>location delete</v>
      </c>
      <c r="D194" s="4" t="s">
        <v>5771</v>
      </c>
      <c r="E194" s="5" t="s">
        <v>6424</v>
      </c>
      <c r="F194" s="16" t="str">
        <f t="shared" si="9"/>
        <v>(315,'LOCATION:DELETE','location delete','LOCATION','DELETE'),</v>
      </c>
    </row>
    <row r="195" spans="1:6" ht="20.149999999999999" customHeight="1" x14ac:dyDescent="0.35">
      <c r="A195" s="3">
        <v>316</v>
      </c>
      <c r="B195" s="4" t="str">
        <f t="shared" si="13"/>
        <v>COORDINATE:DELETE</v>
      </c>
      <c r="C195" s="4" t="str">
        <f t="shared" si="12"/>
        <v>coordinate delete</v>
      </c>
      <c r="D195" s="4" t="s">
        <v>6373</v>
      </c>
      <c r="E195" s="5" t="s">
        <v>6424</v>
      </c>
      <c r="F195" s="16" t="str">
        <f t="shared" ref="F195:F258" si="14">CONCATENATE("(",A195,",'",B195,"','",C195,"','",D195,"','",E195,"'),")</f>
        <v>(316,'COORDINATE:DELETE','coordinate delete','COORDINATE','DELETE'),</v>
      </c>
    </row>
    <row r="196" spans="1:6" ht="20.149999999999999" customHeight="1" x14ac:dyDescent="0.35">
      <c r="A196" s="3">
        <v>317</v>
      </c>
      <c r="B196" s="4" t="str">
        <f t="shared" si="13"/>
        <v>STRUCTURE:DELETE</v>
      </c>
      <c r="C196" s="4" t="str">
        <f t="shared" si="12"/>
        <v>structure delete</v>
      </c>
      <c r="D196" s="4" t="s">
        <v>5759</v>
      </c>
      <c r="E196" s="5" t="s">
        <v>6424</v>
      </c>
      <c r="F196" s="16" t="str">
        <f t="shared" si="14"/>
        <v>(317,'STRUCTURE:DELETE','structure delete','STRUCTURE','DELETE'),</v>
      </c>
    </row>
    <row r="197" spans="1:6" ht="20.149999999999999" customHeight="1" x14ac:dyDescent="0.35">
      <c r="A197" s="3">
        <v>318</v>
      </c>
      <c r="B197" s="4" t="str">
        <f t="shared" si="13"/>
        <v>JOB:DELETE</v>
      </c>
      <c r="C197" s="4" t="str">
        <f t="shared" si="12"/>
        <v>job delete</v>
      </c>
      <c r="D197" s="4" t="s">
        <v>5760</v>
      </c>
      <c r="E197" s="5" t="s">
        <v>6424</v>
      </c>
      <c r="F197" s="16" t="str">
        <f t="shared" si="14"/>
        <v>(318,'JOB:DELETE','job delete','JOB','DELETE'),</v>
      </c>
    </row>
    <row r="198" spans="1:6" ht="20.149999999999999" customHeight="1" x14ac:dyDescent="0.35">
      <c r="A198" s="3">
        <v>319</v>
      </c>
      <c r="B198" s="4" t="str">
        <f t="shared" si="13"/>
        <v>PERSON:DELETE</v>
      </c>
      <c r="C198" s="4" t="str">
        <f t="shared" si="12"/>
        <v>person delete</v>
      </c>
      <c r="D198" s="4" t="s">
        <v>5761</v>
      </c>
      <c r="E198" s="5" t="s">
        <v>6424</v>
      </c>
      <c r="F198" s="16" t="str">
        <f t="shared" si="14"/>
        <v>(319,'PERSON:DELETE','person delete','PERSON','DELETE'),</v>
      </c>
    </row>
    <row r="199" spans="1:6" ht="20.149999999999999" customHeight="1" x14ac:dyDescent="0.35">
      <c r="A199" s="3">
        <v>320</v>
      </c>
      <c r="B199" s="4" t="str">
        <f t="shared" si="13"/>
        <v>EMPLOYEE:DELETE</v>
      </c>
      <c r="C199" s="4" t="str">
        <f t="shared" si="12"/>
        <v>employee delete</v>
      </c>
      <c r="D199" s="4" t="s">
        <v>5762</v>
      </c>
      <c r="E199" s="5" t="s">
        <v>6424</v>
      </c>
      <c r="F199" s="16" t="str">
        <f t="shared" si="14"/>
        <v>(320,'EMPLOYEE:DELETE','employee delete','EMPLOYEE','DELETE'),</v>
      </c>
    </row>
    <row r="200" spans="1:6" ht="20.149999999999999" customHeight="1" x14ac:dyDescent="0.35">
      <c r="A200" s="3">
        <v>321</v>
      </c>
      <c r="B200" s="4" t="str">
        <f t="shared" si="13"/>
        <v>COMPANY_TYPE:DELETE</v>
      </c>
      <c r="C200" s="4" t="str">
        <f t="shared" si="12"/>
        <v>company_type delete</v>
      </c>
      <c r="D200" s="4" t="s">
        <v>5763</v>
      </c>
      <c r="E200" s="5" t="s">
        <v>6424</v>
      </c>
      <c r="F200" s="16" t="str">
        <f t="shared" si="14"/>
        <v>(321,'COMPANY_TYPE:DELETE','company_type delete','COMPANY_TYPE','DELETE'),</v>
      </c>
    </row>
    <row r="201" spans="1:6" ht="20.149999999999999" customHeight="1" x14ac:dyDescent="0.35">
      <c r="A201" s="3">
        <v>322</v>
      </c>
      <c r="B201" s="4" t="str">
        <f t="shared" si="13"/>
        <v>PARTNER_TYPE:DELETE</v>
      </c>
      <c r="C201" s="4" t="str">
        <f t="shared" si="12"/>
        <v>partner_type delete</v>
      </c>
      <c r="D201" s="4" t="s">
        <v>5764</v>
      </c>
      <c r="E201" s="5" t="s">
        <v>6424</v>
      </c>
      <c r="F201" s="16" t="str">
        <f t="shared" si="14"/>
        <v>(322,'PARTNER_TYPE:DELETE','partner_type delete','PARTNER_TYPE','DELETE'),</v>
      </c>
    </row>
    <row r="202" spans="1:6" ht="20.149999999999999" customHeight="1" x14ac:dyDescent="0.35">
      <c r="A202" s="3">
        <v>323</v>
      </c>
      <c r="B202" s="4" t="str">
        <f t="shared" si="13"/>
        <v>VENDOR_TYPE:DELETE</v>
      </c>
      <c r="C202" s="4" t="str">
        <f t="shared" si="12"/>
        <v>vendor_type delete</v>
      </c>
      <c r="D202" s="4" t="s">
        <v>5765</v>
      </c>
      <c r="E202" s="5" t="s">
        <v>6424</v>
      </c>
      <c r="F202" s="16" t="str">
        <f t="shared" si="14"/>
        <v>(323,'VENDOR_TYPE:DELETE','vendor_type delete','VENDOR_TYPE','DELETE'),</v>
      </c>
    </row>
    <row r="203" spans="1:6" ht="20.149999999999999" customHeight="1" x14ac:dyDescent="0.35">
      <c r="A203" s="3">
        <v>324</v>
      </c>
      <c r="B203" s="4" t="str">
        <f t="shared" si="13"/>
        <v>FACILITY_TYPE:DELETE</v>
      </c>
      <c r="C203" s="4" t="str">
        <f t="shared" si="12"/>
        <v>facility_type delete</v>
      </c>
      <c r="D203" s="4" t="s">
        <v>5766</v>
      </c>
      <c r="E203" s="5" t="s">
        <v>6424</v>
      </c>
      <c r="F203" s="16" t="str">
        <f t="shared" si="14"/>
        <v>(324,'FACILITY_TYPE:DELETE','facility_type delete','FACILITY_TYPE','DELETE'),</v>
      </c>
    </row>
    <row r="204" spans="1:6" ht="20.149999999999999" customHeight="1" x14ac:dyDescent="0.35">
      <c r="A204" s="3">
        <v>325</v>
      </c>
      <c r="B204" s="4" t="str">
        <f t="shared" si="13"/>
        <v>STATION_TYPE:DELETE</v>
      </c>
      <c r="C204" s="4" t="str">
        <f t="shared" si="12"/>
        <v>station_type delete</v>
      </c>
      <c r="D204" s="4" t="s">
        <v>5767</v>
      </c>
      <c r="E204" s="5" t="s">
        <v>6424</v>
      </c>
      <c r="F204" s="16" t="str">
        <f t="shared" si="14"/>
        <v>(325,'STATION_TYPE:DELETE','station_type delete','STATION_TYPE','DELETE'),</v>
      </c>
    </row>
    <row r="205" spans="1:6" ht="20.149999999999999" customHeight="1" x14ac:dyDescent="0.35">
      <c r="A205" s="3">
        <v>326</v>
      </c>
      <c r="B205" s="4" t="str">
        <f t="shared" si="13"/>
        <v>TERMINAL_TYPE:DELETE</v>
      </c>
      <c r="C205" s="4" t="str">
        <f t="shared" si="12"/>
        <v>terminal_type delete</v>
      </c>
      <c r="D205" s="4" t="s">
        <v>5768</v>
      </c>
      <c r="E205" s="5" t="s">
        <v>6424</v>
      </c>
      <c r="F205" s="16" t="str">
        <f t="shared" si="14"/>
        <v>(326,'TERMINAL_TYPE:DELETE','terminal_type delete','TERMINAL_TYPE','DELETE'),</v>
      </c>
    </row>
    <row r="206" spans="1:6" ht="20.149999999999999" customHeight="1" x14ac:dyDescent="0.35">
      <c r="A206" s="3">
        <v>327</v>
      </c>
      <c r="B206" s="4" t="str">
        <f t="shared" si="13"/>
        <v>PROCESSING_PLANT_TYPE:DELETE</v>
      </c>
      <c r="C206" s="4" t="str">
        <f t="shared" si="12"/>
        <v>processing_plant_type delete</v>
      </c>
      <c r="D206" s="4" t="s">
        <v>5791</v>
      </c>
      <c r="E206" s="5" t="s">
        <v>6424</v>
      </c>
      <c r="F206" s="16" t="str">
        <f t="shared" si="14"/>
        <v>(327,'PROCESSING_PLANT_TYPE:DELETE','processing_plant_type delete','PROCESSING_PLANT_TYPE','DELETE'),</v>
      </c>
    </row>
    <row r="207" spans="1:6" ht="20.149999999999999" customHeight="1" x14ac:dyDescent="0.35">
      <c r="A207" s="3">
        <v>328</v>
      </c>
      <c r="B207" s="4" t="str">
        <f t="shared" si="13"/>
        <v>PRODUCTION_FIELD_TYPE:DELETE</v>
      </c>
      <c r="C207" s="4" t="str">
        <f t="shared" si="12"/>
        <v>production_field_type delete</v>
      </c>
      <c r="D207" s="4" t="s">
        <v>5792</v>
      </c>
      <c r="E207" s="5" t="s">
        <v>6424</v>
      </c>
      <c r="F207" s="16" t="str">
        <f t="shared" si="14"/>
        <v>(328,'PRODUCTION_FIELD_TYPE:DELETE','production_field_type delete','PRODUCTION_FIELD_TYPE','DELETE'),</v>
      </c>
    </row>
    <row r="208" spans="1:6" ht="20.149999999999999" customHeight="1" x14ac:dyDescent="0.35">
      <c r="A208" s="3">
        <v>329</v>
      </c>
      <c r="B208" s="4" t="str">
        <f t="shared" si="13"/>
        <v>EQUIPMENT_TYPE:DELETE</v>
      </c>
      <c r="C208" s="4" t="str">
        <f t="shared" si="12"/>
        <v>equipment_type delete</v>
      </c>
      <c r="D208" s="4" t="s">
        <v>5769</v>
      </c>
      <c r="E208" s="5" t="s">
        <v>6424</v>
      </c>
      <c r="F208" s="16" t="str">
        <f t="shared" si="14"/>
        <v>(329,'EQUIPMENT_TYPE:DELETE','equipment_type delete','EQUIPMENT_TYPE','DELETE'),</v>
      </c>
    </row>
    <row r="209" spans="1:6" ht="20.149999999999999" customHeight="1" x14ac:dyDescent="0.35">
      <c r="A209" s="3">
        <v>330</v>
      </c>
      <c r="B209" s="4" t="str">
        <f t="shared" si="13"/>
        <v>PRODUCT:DELETE</v>
      </c>
      <c r="C209" s="4" t="str">
        <f t="shared" si="12"/>
        <v>product delete</v>
      </c>
      <c r="D209" s="4" t="s">
        <v>5772</v>
      </c>
      <c r="E209" s="5" t="s">
        <v>6424</v>
      </c>
      <c r="F209" s="16" t="str">
        <f t="shared" si="14"/>
        <v>(330,'PRODUCT:DELETE','product delete','PRODUCT','DELETE'),</v>
      </c>
    </row>
    <row r="210" spans="1:6" ht="20.149999999999999" customHeight="1" x14ac:dyDescent="0.35">
      <c r="A210" s="3">
        <v>331</v>
      </c>
      <c r="B210" s="4" t="str">
        <f t="shared" si="13"/>
        <v>OPERATIONAL_STATUS:DELETE</v>
      </c>
      <c r="C210" s="4" t="str">
        <f t="shared" si="12"/>
        <v>operational_status delete</v>
      </c>
      <c r="D210" s="4" t="s">
        <v>5773</v>
      </c>
      <c r="E210" s="5" t="s">
        <v>6424</v>
      </c>
      <c r="F210" s="16" t="str">
        <f t="shared" si="14"/>
        <v>(331,'OPERATIONAL_STATUS:DELETE','operational_status delete','OPERATIONAL_STATUS','DELETE'),</v>
      </c>
    </row>
    <row r="211" spans="1:6" ht="20.149999999999999" customHeight="1" x14ac:dyDescent="0.35">
      <c r="A211" s="3">
        <v>332</v>
      </c>
      <c r="B211" s="4" t="str">
        <f t="shared" si="13"/>
        <v>ALLOY:DELETE</v>
      </c>
      <c r="C211" s="4" t="str">
        <f t="shared" si="12"/>
        <v>alloy delete</v>
      </c>
      <c r="D211" s="4" t="s">
        <v>5774</v>
      </c>
      <c r="E211" s="5" t="s">
        <v>6424</v>
      </c>
      <c r="F211" s="16" t="str">
        <f t="shared" si="14"/>
        <v>(332,'ALLOY:DELETE','alloy delete','ALLOY','DELETE'),</v>
      </c>
    </row>
    <row r="212" spans="1:6" ht="20.149999999999999" customHeight="1" x14ac:dyDescent="0.35">
      <c r="A212" s="3">
        <v>333</v>
      </c>
      <c r="B212" s="4" t="str">
        <f t="shared" si="13"/>
        <v>PARTNER:DELETE</v>
      </c>
      <c r="C212" s="4" t="str">
        <f t="shared" ref="C212:C238" si="15">CONCATENATE(LOWER(D212)," delete")</f>
        <v>partner delete</v>
      </c>
      <c r="D212" s="4" t="s">
        <v>5775</v>
      </c>
      <c r="E212" s="5" t="s">
        <v>6424</v>
      </c>
      <c r="F212" s="16" t="str">
        <f t="shared" si="14"/>
        <v>(333,'PARTNER:DELETE','partner delete','PARTNER','DELETE'),</v>
      </c>
    </row>
    <row r="213" spans="1:6" ht="20.149999999999999" customHeight="1" x14ac:dyDescent="0.35">
      <c r="A213" s="3">
        <v>334</v>
      </c>
      <c r="B213" s="4" t="str">
        <f t="shared" si="13"/>
        <v>VENDOR:DELETE</v>
      </c>
      <c r="C213" s="4" t="str">
        <f t="shared" si="15"/>
        <v>vendor delete</v>
      </c>
      <c r="D213" s="4" t="s">
        <v>5776</v>
      </c>
      <c r="E213" s="5" t="s">
        <v>6424</v>
      </c>
      <c r="F213" s="16" t="str">
        <f t="shared" si="14"/>
        <v>(334,'VENDOR:DELETE','vendor delete','VENDOR','DELETE'),</v>
      </c>
    </row>
    <row r="214" spans="1:6" ht="20.149999999999999" customHeight="1" x14ac:dyDescent="0.35">
      <c r="A214" s="3">
        <v>335</v>
      </c>
      <c r="B214" s="4" t="str">
        <f t="shared" si="13"/>
        <v>INFRASTRUCTURE:DELETE</v>
      </c>
      <c r="C214" s="4" t="str">
        <f t="shared" si="15"/>
        <v>infrastructure delete</v>
      </c>
      <c r="D214" s="4" t="s">
        <v>5777</v>
      </c>
      <c r="E214" s="5" t="s">
        <v>6424</v>
      </c>
      <c r="F214" s="16" t="str">
        <f t="shared" si="14"/>
        <v>(335,'INFRASTRUCTURE:DELETE','infrastructure delete','INFRASTRUCTURE','DELETE'),</v>
      </c>
    </row>
    <row r="215" spans="1:6" ht="20.149999999999999" customHeight="1" x14ac:dyDescent="0.35">
      <c r="A215" s="3">
        <v>336</v>
      </c>
      <c r="B215" s="4" t="str">
        <f t="shared" si="13"/>
        <v>FACILITY:DELETE</v>
      </c>
      <c r="C215" s="4" t="str">
        <f t="shared" si="15"/>
        <v>facility delete</v>
      </c>
      <c r="D215" s="4" t="s">
        <v>5778</v>
      </c>
      <c r="E215" s="5" t="s">
        <v>6424</v>
      </c>
      <c r="F215" s="16" t="str">
        <f t="shared" si="14"/>
        <v>(336,'FACILITY:DELETE','facility delete','FACILITY','DELETE'),</v>
      </c>
    </row>
    <row r="216" spans="1:6" ht="20.149999999999999" customHeight="1" x14ac:dyDescent="0.35">
      <c r="A216" s="3">
        <v>337</v>
      </c>
      <c r="B216" s="4" t="str">
        <f t="shared" si="13"/>
        <v>PIPELINE_SYSTEM:DELETE</v>
      </c>
      <c r="C216" s="4" t="str">
        <f t="shared" si="15"/>
        <v>pipeline_system delete</v>
      </c>
      <c r="D216" s="4" t="s">
        <v>5779</v>
      </c>
      <c r="E216" s="5" t="s">
        <v>6424</v>
      </c>
      <c r="F216" s="16" t="str">
        <f t="shared" si="14"/>
        <v>(337,'PIPELINE_SYSTEM:DELETE','pipeline_system delete','PIPELINE_SYSTEM','DELETE'),</v>
      </c>
    </row>
    <row r="217" spans="1:6" ht="20.149999999999999" customHeight="1" x14ac:dyDescent="0.35">
      <c r="A217" s="3">
        <v>338</v>
      </c>
      <c r="B217" s="4" t="str">
        <f t="shared" si="13"/>
        <v>PIPELINE:DELETE</v>
      </c>
      <c r="C217" s="4" t="str">
        <f t="shared" si="15"/>
        <v>pipeline delete</v>
      </c>
      <c r="D217" s="4" t="s">
        <v>5780</v>
      </c>
      <c r="E217" s="5" t="s">
        <v>6424</v>
      </c>
      <c r="F217" s="16" t="str">
        <f t="shared" si="14"/>
        <v>(338,'PIPELINE:DELETE','pipeline delete','PIPELINE','DELETE'),</v>
      </c>
    </row>
    <row r="218" spans="1:6" ht="20.149999999999999" customHeight="1" x14ac:dyDescent="0.35">
      <c r="A218" s="3">
        <v>339</v>
      </c>
      <c r="B218" s="4" t="str">
        <f t="shared" si="13"/>
        <v>PIPELINE_SEGMENT:DELETE</v>
      </c>
      <c r="C218" s="4" t="str">
        <f t="shared" si="15"/>
        <v>pipeline_segment delete</v>
      </c>
      <c r="D218" s="4" t="s">
        <v>5781</v>
      </c>
      <c r="E218" s="5" t="s">
        <v>6424</v>
      </c>
      <c r="F218" s="16" t="str">
        <f t="shared" si="14"/>
        <v>(339,'PIPELINE_SEGMENT:DELETE','pipeline_segment delete','PIPELINE_SEGMENT','DELETE'),</v>
      </c>
    </row>
    <row r="219" spans="1:6" ht="20.149999999999999" customHeight="1" x14ac:dyDescent="0.35">
      <c r="A219" s="3">
        <v>340</v>
      </c>
      <c r="B219" s="4" t="str">
        <f t="shared" si="13"/>
        <v>STATION:DELETE</v>
      </c>
      <c r="C219" s="4" t="str">
        <f t="shared" si="15"/>
        <v>station delete</v>
      </c>
      <c r="D219" s="4" t="s">
        <v>5782</v>
      </c>
      <c r="E219" s="5" t="s">
        <v>6424</v>
      </c>
      <c r="F219" s="16" t="str">
        <f t="shared" si="14"/>
        <v>(340,'STATION:DELETE','station delete','STATION','DELETE'),</v>
      </c>
    </row>
    <row r="220" spans="1:6" ht="20.149999999999999" customHeight="1" x14ac:dyDescent="0.35">
      <c r="A220" s="3">
        <v>341</v>
      </c>
      <c r="B220" s="4" t="str">
        <f t="shared" si="13"/>
        <v>TERMINAL:DELETE</v>
      </c>
      <c r="C220" s="4" t="str">
        <f t="shared" si="15"/>
        <v>terminal delete</v>
      </c>
      <c r="D220" s="4" t="s">
        <v>5783</v>
      </c>
      <c r="E220" s="5" t="s">
        <v>6424</v>
      </c>
      <c r="F220" s="16" t="str">
        <f t="shared" si="14"/>
        <v>(341,'TERMINAL:DELETE','terminal delete','TERMINAL','DELETE'),</v>
      </c>
    </row>
    <row r="221" spans="1:6" ht="20.149999999999999" customHeight="1" x14ac:dyDescent="0.35">
      <c r="A221" s="3">
        <v>342</v>
      </c>
      <c r="B221" s="4" t="str">
        <f t="shared" si="13"/>
        <v>PROCESSING_PLANT:DELETE</v>
      </c>
      <c r="C221" s="4" t="str">
        <f t="shared" si="15"/>
        <v>processing_plant delete</v>
      </c>
      <c r="D221" s="4" t="s">
        <v>5793</v>
      </c>
      <c r="E221" s="5" t="s">
        <v>6424</v>
      </c>
      <c r="F221" s="16" t="str">
        <f t="shared" si="14"/>
        <v>(342,'PROCESSING_PLANT:DELETE','processing_plant delete','PROCESSING_PLANT','DELETE'),</v>
      </c>
    </row>
    <row r="222" spans="1:6" ht="20.149999999999999" customHeight="1" x14ac:dyDescent="0.35">
      <c r="A222" s="3">
        <v>343</v>
      </c>
      <c r="B222" s="4" t="str">
        <f t="shared" si="13"/>
        <v>PRODUCTION_FIELD:DELETE</v>
      </c>
      <c r="C222" s="4" t="str">
        <f t="shared" si="15"/>
        <v>production_field delete</v>
      </c>
      <c r="D222" s="4" t="s">
        <v>5794</v>
      </c>
      <c r="E222" s="5" t="s">
        <v>6424</v>
      </c>
      <c r="F222" s="16" t="str">
        <f t="shared" si="14"/>
        <v>(343,'PRODUCTION_FIELD:DELETE','production_field delete','PRODUCTION_FIELD','DELETE'),</v>
      </c>
    </row>
    <row r="223" spans="1:6" ht="20.149999999999999" customHeight="1" x14ac:dyDescent="0.35">
      <c r="A223" s="3">
        <v>344</v>
      </c>
      <c r="B223" s="4" t="str">
        <f t="shared" si="13"/>
        <v>EQUIPMENT:DELETE</v>
      </c>
      <c r="C223" s="4" t="str">
        <f t="shared" si="15"/>
        <v>equipment delete</v>
      </c>
      <c r="D223" s="4" t="s">
        <v>5784</v>
      </c>
      <c r="E223" s="5" t="s">
        <v>6424</v>
      </c>
      <c r="F223" s="16" t="str">
        <f t="shared" si="14"/>
        <v>(344,'EQUIPMENT:DELETE','equipment delete','EQUIPMENT','DELETE'),</v>
      </c>
    </row>
    <row r="224" spans="1:6" ht="20.149999999999999" customHeight="1" x14ac:dyDescent="0.35">
      <c r="A224" s="3">
        <v>345</v>
      </c>
      <c r="B224" s="4" t="str">
        <f t="shared" si="13"/>
        <v>EVENT_TYPE:DELETE</v>
      </c>
      <c r="C224" s="4" t="str">
        <f t="shared" si="15"/>
        <v>event_type delete</v>
      </c>
      <c r="D224" s="4" t="s">
        <v>6375</v>
      </c>
      <c r="E224" s="5" t="s">
        <v>6424</v>
      </c>
      <c r="F224" s="16" t="str">
        <f t="shared" si="14"/>
        <v>(345,'EVENT_TYPE:DELETE','event_type delete','EVENT_TYPE','DELETE'),</v>
      </c>
    </row>
    <row r="225" spans="1:6" ht="20.149999999999999" customHeight="1" x14ac:dyDescent="0.35">
      <c r="A225" s="3">
        <v>346</v>
      </c>
      <c r="B225" s="4" t="str">
        <f t="shared" si="13"/>
        <v>OPERATION_TYPE:DELETE</v>
      </c>
      <c r="C225" s="4" t="str">
        <f t="shared" si="15"/>
        <v>operation_type delete</v>
      </c>
      <c r="D225" s="4" t="s">
        <v>6374</v>
      </c>
      <c r="E225" s="5" t="s">
        <v>6424</v>
      </c>
      <c r="F225" s="16" t="str">
        <f t="shared" si="14"/>
        <v>(346,'OPERATION_TYPE:DELETE','operation_type delete','OPERATION_TYPE','DELETE'),</v>
      </c>
    </row>
    <row r="226" spans="1:6" ht="20.149999999999999" customHeight="1" x14ac:dyDescent="0.35">
      <c r="A226" s="3">
        <v>347</v>
      </c>
      <c r="B226" s="4" t="str">
        <f t="shared" si="13"/>
        <v>EVENT_STATUS:DELETE</v>
      </c>
      <c r="C226" s="4" t="str">
        <f t="shared" si="15"/>
        <v>event_status delete</v>
      </c>
      <c r="D226" s="4" t="s">
        <v>6378</v>
      </c>
      <c r="E226" s="5" t="s">
        <v>6424</v>
      </c>
      <c r="F226" s="16" t="str">
        <f t="shared" si="14"/>
        <v>(347,'EVENT_STATUS:DELETE','event_status delete','EVENT_STATUS','DELETE'),</v>
      </c>
    </row>
    <row r="227" spans="1:6" ht="20.149999999999999" customHeight="1" x14ac:dyDescent="0.35">
      <c r="A227" s="3">
        <v>348</v>
      </c>
      <c r="B227" s="4" t="str">
        <f t="shared" si="13"/>
        <v>ALERT_STATUS:DELETE</v>
      </c>
      <c r="C227" s="4" t="str">
        <f t="shared" si="15"/>
        <v>alert_status delete</v>
      </c>
      <c r="D227" s="4" t="s">
        <v>6376</v>
      </c>
      <c r="E227" s="45" t="s">
        <v>6424</v>
      </c>
      <c r="F227" s="16" t="str">
        <f t="shared" si="14"/>
        <v>(348,'ALERT_STATUS:DELETE','alert_status delete','ALERT_STATUS','DELETE'),</v>
      </c>
    </row>
    <row r="228" spans="1:6" ht="20.149999999999999" customHeight="1" x14ac:dyDescent="0.35">
      <c r="A228" s="3">
        <v>349</v>
      </c>
      <c r="B228" s="4" t="str">
        <f t="shared" si="13"/>
        <v>SEVERITY:DELETE</v>
      </c>
      <c r="C228" s="4" t="str">
        <f t="shared" si="15"/>
        <v>severity delete</v>
      </c>
      <c r="D228" s="4" t="s">
        <v>6380</v>
      </c>
      <c r="E228" s="5" t="s">
        <v>6424</v>
      </c>
      <c r="F228" s="16" t="str">
        <f t="shared" si="14"/>
        <v>(349,'SEVERITY:DELETE','severity delete','SEVERITY','DELETE'),</v>
      </c>
    </row>
    <row r="229" spans="1:6" ht="20.149999999999999" customHeight="1" x14ac:dyDescent="0.35">
      <c r="A229" s="3">
        <v>350</v>
      </c>
      <c r="B229" s="4" t="str">
        <f t="shared" si="13"/>
        <v>DATA_SOURCE:DELETE</v>
      </c>
      <c r="C229" s="4" t="str">
        <f t="shared" si="15"/>
        <v>data_source delete</v>
      </c>
      <c r="D229" s="4" t="s">
        <v>6377</v>
      </c>
      <c r="E229" s="5" t="s">
        <v>6424</v>
      </c>
      <c r="F229" s="16" t="str">
        <f t="shared" si="14"/>
        <v>(350,'DATA_SOURCE:DELETE','data_source delete','DATA_SOURCE','DELETE'),</v>
      </c>
    </row>
    <row r="230" spans="1:6" ht="20.149999999999999" customHeight="1" x14ac:dyDescent="0.35">
      <c r="A230" s="3">
        <v>351</v>
      </c>
      <c r="B230" s="4" t="str">
        <f t="shared" si="13"/>
        <v>QUALITY_FLAG:DELETE</v>
      </c>
      <c r="C230" s="4" t="str">
        <f t="shared" si="15"/>
        <v>quality_flag delete</v>
      </c>
      <c r="D230" s="4" t="s">
        <v>6379</v>
      </c>
      <c r="E230" s="5" t="s">
        <v>6424</v>
      </c>
      <c r="F230" s="16" t="str">
        <f t="shared" si="14"/>
        <v>(351,'QUALITY_FLAG:DELETE','quality_flag delete','QUALITY_FLAG','DELETE'),</v>
      </c>
    </row>
    <row r="231" spans="1:6" ht="20.149999999999999" customHeight="1" x14ac:dyDescent="0.35">
      <c r="A231" s="3">
        <v>352</v>
      </c>
      <c r="B231" s="4" t="str">
        <f t="shared" si="13"/>
        <v>VALIDATION_STATUS:DELETE</v>
      </c>
      <c r="C231" s="4" t="str">
        <f t="shared" si="15"/>
        <v>validation_status delete</v>
      </c>
      <c r="D231" s="4" t="s">
        <v>6381</v>
      </c>
      <c r="E231" s="5" t="s">
        <v>6424</v>
      </c>
      <c r="F231" s="16" t="str">
        <f t="shared" si="14"/>
        <v>(352,'VALIDATION_STATUS:DELETE','validation_status delete','VALIDATION_STATUS','DELETE'),</v>
      </c>
    </row>
    <row r="232" spans="1:6" ht="20.149999999999999" customHeight="1" x14ac:dyDescent="0.35">
      <c r="A232" s="3">
        <v>353</v>
      </c>
      <c r="B232" s="4" t="str">
        <f t="shared" si="13"/>
        <v>READING_SLOT:DELETE</v>
      </c>
      <c r="C232" s="4" t="str">
        <f t="shared" si="15"/>
        <v>reading_slot delete</v>
      </c>
      <c r="D232" s="4" t="s">
        <v>6382</v>
      </c>
      <c r="E232" s="5" t="s">
        <v>6424</v>
      </c>
      <c r="F232" s="16" t="str">
        <f t="shared" si="14"/>
        <v>(353,'READING_SLOT:DELETE','reading_slot delete','READING_SLOT','DELETE'),</v>
      </c>
    </row>
    <row r="233" spans="1:6" ht="20.149999999999999" customHeight="1" x14ac:dyDescent="0.35">
      <c r="A233" s="3">
        <v>354</v>
      </c>
      <c r="B233" s="4" t="str">
        <f t="shared" si="13"/>
        <v>FLOW_OPERATION:DELETE</v>
      </c>
      <c r="C233" s="4" t="str">
        <f t="shared" si="15"/>
        <v>flow_operation delete</v>
      </c>
      <c r="D233" s="4" t="s">
        <v>6383</v>
      </c>
      <c r="E233" s="5" t="s">
        <v>6424</v>
      </c>
      <c r="F233" s="16" t="str">
        <f t="shared" si="14"/>
        <v>(354,'FLOW_OPERATION:DELETE','flow_operation delete','FLOW_OPERATION','DELETE'),</v>
      </c>
    </row>
    <row r="234" spans="1:6" ht="20.149999999999999" customHeight="1" x14ac:dyDescent="0.35">
      <c r="A234" s="3">
        <v>355</v>
      </c>
      <c r="B234" s="4" t="str">
        <f t="shared" si="13"/>
        <v>FLOW_FORECAST:DELETE</v>
      </c>
      <c r="C234" s="4" t="str">
        <f t="shared" si="15"/>
        <v>flow_forecast delete</v>
      </c>
      <c r="D234" s="4" t="s">
        <v>6384</v>
      </c>
      <c r="E234" s="5" t="s">
        <v>6424</v>
      </c>
      <c r="F234" s="16" t="str">
        <f t="shared" si="14"/>
        <v>(355,'FLOW_FORECAST:DELETE','flow_forecast delete','FLOW_FORECAST','DELETE'),</v>
      </c>
    </row>
    <row r="235" spans="1:6" ht="20.149999999999999" customHeight="1" x14ac:dyDescent="0.35">
      <c r="A235" s="3">
        <v>356</v>
      </c>
      <c r="B235" s="4" t="str">
        <f t="shared" si="13"/>
        <v>FLOW_READING:DELETE</v>
      </c>
      <c r="C235" s="4" t="str">
        <f t="shared" si="15"/>
        <v>flow_reading delete</v>
      </c>
      <c r="D235" s="4" t="s">
        <v>6385</v>
      </c>
      <c r="E235" s="5" t="s">
        <v>6424</v>
      </c>
      <c r="F235" s="16" t="str">
        <f t="shared" si="14"/>
        <v>(356,'FLOW_READING:DELETE','flow_reading delete','FLOW_READING','DELETE'),</v>
      </c>
    </row>
    <row r="236" spans="1:6" ht="20.149999999999999" customHeight="1" x14ac:dyDescent="0.35">
      <c r="A236" s="3">
        <v>357</v>
      </c>
      <c r="B236" s="4" t="str">
        <f t="shared" si="13"/>
        <v>FLOW_EVENT:DELETE</v>
      </c>
      <c r="C236" s="4" t="str">
        <f t="shared" si="15"/>
        <v>flow_event delete</v>
      </c>
      <c r="D236" s="4" t="s">
        <v>6388</v>
      </c>
      <c r="E236" s="5" t="s">
        <v>6424</v>
      </c>
      <c r="F236" s="16" t="str">
        <f t="shared" si="14"/>
        <v>(357,'FLOW_EVENT:DELETE','flow_event delete','FLOW_EVENT','DELETE'),</v>
      </c>
    </row>
    <row r="237" spans="1:6" ht="20.149999999999999" customHeight="1" x14ac:dyDescent="0.35">
      <c r="A237" s="3">
        <v>358</v>
      </c>
      <c r="B237" s="4" t="str">
        <f t="shared" si="13"/>
        <v>FLOW_ALERT:DELETE</v>
      </c>
      <c r="C237" s="4" t="str">
        <f t="shared" si="15"/>
        <v>flow_alert delete</v>
      </c>
      <c r="D237" s="4" t="s">
        <v>6387</v>
      </c>
      <c r="E237" s="5" t="s">
        <v>6424</v>
      </c>
      <c r="F237" s="16" t="str">
        <f t="shared" si="14"/>
        <v>(358,'FLOW_ALERT:DELETE','flow_alert delete','FLOW_ALERT','DELETE'),</v>
      </c>
    </row>
    <row r="238" spans="1:6" ht="20.149999999999999" customHeight="1" x14ac:dyDescent="0.35">
      <c r="A238" s="3">
        <v>359</v>
      </c>
      <c r="B238" s="4" t="str">
        <f t="shared" si="13"/>
        <v>FLOW_THRESHOLD:DELETE</v>
      </c>
      <c r="C238" s="4" t="str">
        <f t="shared" si="15"/>
        <v>flow_threshold delete</v>
      </c>
      <c r="D238" s="4" t="s">
        <v>6386</v>
      </c>
      <c r="E238" s="5" t="s">
        <v>6424</v>
      </c>
      <c r="F238" s="16" t="str">
        <f t="shared" si="14"/>
        <v>(359,'FLOW_THRESHOLD:DELETE','flow_threshold delete','FLOW_THRESHOLD','DELETE'),</v>
      </c>
    </row>
    <row r="239" spans="1:6" ht="20.149999999999999" customHeight="1" x14ac:dyDescent="0.35">
      <c r="A239" s="3">
        <v>401</v>
      </c>
      <c r="B239" s="4" t="str">
        <f t="shared" si="13"/>
        <v>PARAMETER:UPDATE</v>
      </c>
      <c r="C239" s="4" t="str">
        <f t="shared" ref="C239:C270" si="16">CONCATENATE(LOWER(D239)," updating")</f>
        <v>parameter updating</v>
      </c>
      <c r="D239" s="4" t="s">
        <v>6371</v>
      </c>
      <c r="E239" s="5" t="s">
        <v>6425</v>
      </c>
      <c r="F239" s="16" t="str">
        <f t="shared" si="14"/>
        <v>(401,'PARAMETER:UPDATE','parameter updating','PARAMETER','UPDATE'),</v>
      </c>
    </row>
    <row r="240" spans="1:6" ht="20.149999999999999" customHeight="1" x14ac:dyDescent="0.35">
      <c r="A240" s="3">
        <v>402</v>
      </c>
      <c r="B240" s="4" t="str">
        <f t="shared" si="13"/>
        <v>FILE:UPDATE</v>
      </c>
      <c r="C240" s="4" t="str">
        <f t="shared" si="16"/>
        <v>file updating</v>
      </c>
      <c r="D240" s="4" t="s">
        <v>6372</v>
      </c>
      <c r="E240" s="5" t="s">
        <v>6425</v>
      </c>
      <c r="F240" s="16" t="str">
        <f t="shared" si="14"/>
        <v>(402,'FILE:UPDATE','file updating','FILE','UPDATE'),</v>
      </c>
    </row>
    <row r="241" spans="1:6" ht="20.149999999999999" customHeight="1" x14ac:dyDescent="0.35">
      <c r="A241" s="3">
        <v>403</v>
      </c>
      <c r="B241" s="4" t="str">
        <f t="shared" si="13"/>
        <v>GROUP:UPDATE</v>
      </c>
      <c r="C241" s="4" t="str">
        <f t="shared" si="16"/>
        <v>group updating</v>
      </c>
      <c r="D241" s="4" t="s">
        <v>5748</v>
      </c>
      <c r="E241" s="5" t="s">
        <v>6425</v>
      </c>
      <c r="F241" s="16" t="str">
        <f t="shared" si="14"/>
        <v>(403,'GROUP:UPDATE','group updating','GROUP','UPDATE'),</v>
      </c>
    </row>
    <row r="242" spans="1:6" ht="20.149999999999999" customHeight="1" x14ac:dyDescent="0.35">
      <c r="A242" s="3">
        <v>404</v>
      </c>
      <c r="B242" s="4" t="str">
        <f t="shared" si="13"/>
        <v>USER:UPDATE</v>
      </c>
      <c r="C242" s="4" t="str">
        <f t="shared" si="16"/>
        <v>user updating</v>
      </c>
      <c r="D242" s="4" t="s">
        <v>5749</v>
      </c>
      <c r="E242" s="5" t="s">
        <v>6425</v>
      </c>
      <c r="F242" s="16" t="str">
        <f t="shared" si="14"/>
        <v>(404,'USER:UPDATE','user updating','USER','UPDATE'),</v>
      </c>
    </row>
    <row r="243" spans="1:6" ht="20.149999999999999" customHeight="1" x14ac:dyDescent="0.35">
      <c r="A243" s="3">
        <v>405</v>
      </c>
      <c r="B243" s="4" t="str">
        <f t="shared" si="13"/>
        <v>ROLE:UPDATE</v>
      </c>
      <c r="C243" s="4" t="str">
        <f t="shared" si="16"/>
        <v>role updating</v>
      </c>
      <c r="D243" s="4" t="s">
        <v>5750</v>
      </c>
      <c r="E243" s="5" t="s">
        <v>6425</v>
      </c>
      <c r="F243" s="16" t="str">
        <f t="shared" si="14"/>
        <v>(405,'ROLE:UPDATE','role updating','ROLE','UPDATE'),</v>
      </c>
    </row>
    <row r="244" spans="1:6" ht="20.149999999999999" customHeight="1" x14ac:dyDescent="0.35">
      <c r="A244" s="3">
        <v>406</v>
      </c>
      <c r="B244" s="4" t="str">
        <f t="shared" si="13"/>
        <v>PERMISSION:UPDATE</v>
      </c>
      <c r="C244" s="4" t="str">
        <f t="shared" si="16"/>
        <v>permission updating</v>
      </c>
      <c r="D244" s="4" t="s">
        <v>5751</v>
      </c>
      <c r="E244" s="5" t="s">
        <v>6425</v>
      </c>
      <c r="F244" s="16" t="str">
        <f t="shared" si="14"/>
        <v>(406,'PERMISSION:UPDATE','permission updating','PERMISSION','UPDATE'),</v>
      </c>
    </row>
    <row r="245" spans="1:6" ht="20.149999999999999" customHeight="1" x14ac:dyDescent="0.35">
      <c r="A245" s="3">
        <v>407</v>
      </c>
      <c r="B245" s="4" t="str">
        <f t="shared" si="13"/>
        <v>AUTHORITY:UPDATE</v>
      </c>
      <c r="C245" s="4" t="str">
        <f t="shared" si="16"/>
        <v>authority updating</v>
      </c>
      <c r="D245" s="4" t="s">
        <v>5752</v>
      </c>
      <c r="E245" s="5" t="s">
        <v>6425</v>
      </c>
      <c r="F245" s="16" t="str">
        <f t="shared" si="14"/>
        <v>(407,'AUTHORITY:UPDATE','authority updating','AUTHORITY','UPDATE'),</v>
      </c>
    </row>
    <row r="246" spans="1:6" ht="20.149999999999999" customHeight="1" x14ac:dyDescent="0.35">
      <c r="A246" s="3">
        <v>408</v>
      </c>
      <c r="B246" s="4" t="str">
        <f t="shared" si="13"/>
        <v>AUDIT:UPDATE</v>
      </c>
      <c r="C246" s="4" t="str">
        <f t="shared" si="16"/>
        <v>audit updating</v>
      </c>
      <c r="D246" s="4" t="s">
        <v>5753</v>
      </c>
      <c r="E246" s="5" t="s">
        <v>6425</v>
      </c>
      <c r="F246" s="16" t="str">
        <f t="shared" si="14"/>
        <v>(408,'AUDIT:UPDATE','audit updating','AUDIT','UPDATE'),</v>
      </c>
    </row>
    <row r="247" spans="1:6" ht="20.149999999999999" customHeight="1" x14ac:dyDescent="0.35">
      <c r="A247" s="3">
        <v>409</v>
      </c>
      <c r="B247" s="4" t="str">
        <f t="shared" si="13"/>
        <v>STRUCTURE_TYPE:UPDATE</v>
      </c>
      <c r="C247" s="4" t="str">
        <f t="shared" si="16"/>
        <v>structure_type updating</v>
      </c>
      <c r="D247" s="4" t="s">
        <v>5758</v>
      </c>
      <c r="E247" s="5" t="s">
        <v>6425</v>
      </c>
      <c r="F247" s="16" t="str">
        <f t="shared" si="14"/>
        <v>(409,'STRUCTURE_TYPE:UPDATE','structure_type updating','STRUCTURE_TYPE','UPDATE'),</v>
      </c>
    </row>
    <row r="248" spans="1:6" ht="20.149999999999999" customHeight="1" x14ac:dyDescent="0.35">
      <c r="A248" s="3">
        <v>410</v>
      </c>
      <c r="B248" s="4" t="str">
        <f t="shared" si="13"/>
        <v>ZONE:UPDATE</v>
      </c>
      <c r="C248" s="4" t="str">
        <f t="shared" si="16"/>
        <v>zone updating</v>
      </c>
      <c r="D248" s="4" t="s">
        <v>5770</v>
      </c>
      <c r="E248" s="5" t="s">
        <v>6425</v>
      </c>
      <c r="F248" s="16" t="str">
        <f t="shared" si="14"/>
        <v>(410,'ZONE:UPDATE','zone updating','ZONE','UPDATE'),</v>
      </c>
    </row>
    <row r="249" spans="1:6" ht="20.149999999999999" customHeight="1" x14ac:dyDescent="0.35">
      <c r="A249" s="3">
        <v>411</v>
      </c>
      <c r="B249" s="4" t="str">
        <f t="shared" si="13"/>
        <v>COUNTRY:UPDATE</v>
      </c>
      <c r="C249" s="4" t="str">
        <f t="shared" si="16"/>
        <v>country updating</v>
      </c>
      <c r="D249" s="4" t="s">
        <v>5755</v>
      </c>
      <c r="E249" s="5" t="s">
        <v>6425</v>
      </c>
      <c r="F249" s="16" t="str">
        <f t="shared" si="14"/>
        <v>(411,'COUNTRY:UPDATE','country updating','COUNTRY','UPDATE'),</v>
      </c>
    </row>
    <row r="250" spans="1:6" ht="20.149999999999999" customHeight="1" x14ac:dyDescent="0.35">
      <c r="A250" s="3">
        <v>412</v>
      </c>
      <c r="B250" s="4" t="str">
        <f t="shared" ref="B250:B308" si="17">CONCATENATE(D250,":",E250)</f>
        <v>STATE:UPDATE</v>
      </c>
      <c r="C250" s="4" t="str">
        <f t="shared" si="16"/>
        <v>state updating</v>
      </c>
      <c r="D250" s="4" t="s">
        <v>5756</v>
      </c>
      <c r="E250" s="5" t="s">
        <v>6425</v>
      </c>
      <c r="F250" s="16" t="str">
        <f t="shared" si="14"/>
        <v>(412,'STATE:UPDATE','state updating','STATE','UPDATE'),</v>
      </c>
    </row>
    <row r="251" spans="1:6" ht="20.149999999999999" customHeight="1" x14ac:dyDescent="0.35">
      <c r="A251" s="3">
        <v>413</v>
      </c>
      <c r="B251" s="4" t="str">
        <f t="shared" si="17"/>
        <v>DISTRICT:UPDATE</v>
      </c>
      <c r="C251" s="4" t="str">
        <f t="shared" si="16"/>
        <v>district updating</v>
      </c>
      <c r="D251" s="4" t="s">
        <v>5790</v>
      </c>
      <c r="E251" s="5" t="s">
        <v>6425</v>
      </c>
      <c r="F251" s="16" t="str">
        <f t="shared" si="14"/>
        <v>(413,'DISTRICT:UPDATE','district updating','DISTRICT','UPDATE'),</v>
      </c>
    </row>
    <row r="252" spans="1:6" ht="20.149999999999999" customHeight="1" x14ac:dyDescent="0.35">
      <c r="A252" s="3">
        <v>414</v>
      </c>
      <c r="B252" s="4" t="str">
        <f t="shared" si="17"/>
        <v>LOCALITY:UPDATE</v>
      </c>
      <c r="C252" s="4" t="str">
        <f t="shared" si="16"/>
        <v>locality updating</v>
      </c>
      <c r="D252" s="4" t="s">
        <v>5757</v>
      </c>
      <c r="E252" s="5" t="s">
        <v>6425</v>
      </c>
      <c r="F252" s="16" t="str">
        <f t="shared" si="14"/>
        <v>(414,'LOCALITY:UPDATE','locality updating','LOCALITY','UPDATE'),</v>
      </c>
    </row>
    <row r="253" spans="1:6" ht="20.149999999999999" customHeight="1" x14ac:dyDescent="0.35">
      <c r="A253" s="3">
        <v>415</v>
      </c>
      <c r="B253" s="4" t="str">
        <f t="shared" si="17"/>
        <v>LOCATION:UPDATE</v>
      </c>
      <c r="C253" s="4" t="str">
        <f t="shared" si="16"/>
        <v>location updating</v>
      </c>
      <c r="D253" s="4" t="s">
        <v>5771</v>
      </c>
      <c r="E253" s="5" t="s">
        <v>6425</v>
      </c>
      <c r="F253" s="16" t="str">
        <f t="shared" si="14"/>
        <v>(415,'LOCATION:UPDATE','location updating','LOCATION','UPDATE'),</v>
      </c>
    </row>
    <row r="254" spans="1:6" ht="20.149999999999999" customHeight="1" x14ac:dyDescent="0.35">
      <c r="A254" s="3">
        <v>416</v>
      </c>
      <c r="B254" s="4" t="str">
        <f t="shared" si="17"/>
        <v>COORDINATE:UPDATE</v>
      </c>
      <c r="C254" s="4" t="str">
        <f t="shared" si="16"/>
        <v>coordinate updating</v>
      </c>
      <c r="D254" s="4" t="s">
        <v>6373</v>
      </c>
      <c r="E254" s="5" t="s">
        <v>6425</v>
      </c>
      <c r="F254" s="16" t="str">
        <f t="shared" si="14"/>
        <v>(416,'COORDINATE:UPDATE','coordinate updating','COORDINATE','UPDATE'),</v>
      </c>
    </row>
    <row r="255" spans="1:6" ht="20.149999999999999" customHeight="1" x14ac:dyDescent="0.35">
      <c r="A255" s="3">
        <v>417</v>
      </c>
      <c r="B255" s="4" t="str">
        <f t="shared" si="17"/>
        <v>STRUCTURE:UPDATE</v>
      </c>
      <c r="C255" s="4" t="str">
        <f t="shared" si="16"/>
        <v>structure updating</v>
      </c>
      <c r="D255" s="4" t="s">
        <v>5759</v>
      </c>
      <c r="E255" s="5" t="s">
        <v>6425</v>
      </c>
      <c r="F255" s="16" t="str">
        <f t="shared" si="14"/>
        <v>(417,'STRUCTURE:UPDATE','structure updating','STRUCTURE','UPDATE'),</v>
      </c>
    </row>
    <row r="256" spans="1:6" ht="20.149999999999999" customHeight="1" x14ac:dyDescent="0.35">
      <c r="A256" s="3">
        <v>418</v>
      </c>
      <c r="B256" s="4" t="str">
        <f t="shared" si="17"/>
        <v>JOB:UPDATE</v>
      </c>
      <c r="C256" s="4" t="str">
        <f t="shared" si="16"/>
        <v>job updating</v>
      </c>
      <c r="D256" s="4" t="s">
        <v>5760</v>
      </c>
      <c r="E256" s="5" t="s">
        <v>6425</v>
      </c>
      <c r="F256" s="16" t="str">
        <f t="shared" si="14"/>
        <v>(418,'JOB:UPDATE','job updating','JOB','UPDATE'),</v>
      </c>
    </row>
    <row r="257" spans="1:6" ht="20.149999999999999" customHeight="1" x14ac:dyDescent="0.35">
      <c r="A257" s="3">
        <v>419</v>
      </c>
      <c r="B257" s="4" t="str">
        <f t="shared" si="17"/>
        <v>PERSON:UPDATE</v>
      </c>
      <c r="C257" s="4" t="str">
        <f t="shared" si="16"/>
        <v>person updating</v>
      </c>
      <c r="D257" s="4" t="s">
        <v>5761</v>
      </c>
      <c r="E257" s="5" t="s">
        <v>6425</v>
      </c>
      <c r="F257" s="16" t="str">
        <f t="shared" si="14"/>
        <v>(419,'PERSON:UPDATE','person updating','PERSON','UPDATE'),</v>
      </c>
    </row>
    <row r="258" spans="1:6" ht="20.149999999999999" customHeight="1" x14ac:dyDescent="0.35">
      <c r="A258" s="3">
        <v>420</v>
      </c>
      <c r="B258" s="4" t="str">
        <f t="shared" si="17"/>
        <v>EMPLOYEE:UPDATE</v>
      </c>
      <c r="C258" s="4" t="str">
        <f t="shared" si="16"/>
        <v>employee updating</v>
      </c>
      <c r="D258" s="4" t="s">
        <v>5762</v>
      </c>
      <c r="E258" s="5" t="s">
        <v>6425</v>
      </c>
      <c r="F258" s="16" t="str">
        <f t="shared" si="14"/>
        <v>(420,'EMPLOYEE:UPDATE','employee updating','EMPLOYEE','UPDATE'),</v>
      </c>
    </row>
    <row r="259" spans="1:6" ht="20.149999999999999" customHeight="1" x14ac:dyDescent="0.35">
      <c r="A259" s="3">
        <v>421</v>
      </c>
      <c r="B259" s="4" t="str">
        <f t="shared" si="17"/>
        <v>COMPANY_TYPE:UPDATE</v>
      </c>
      <c r="C259" s="4" t="str">
        <f t="shared" si="16"/>
        <v>company_type updating</v>
      </c>
      <c r="D259" s="4" t="s">
        <v>5763</v>
      </c>
      <c r="E259" s="5" t="s">
        <v>6425</v>
      </c>
      <c r="F259" s="16" t="str">
        <f t="shared" ref="F259:F322" si="18">CONCATENATE("(",A259,",'",B259,"','",C259,"','",D259,"','",E259,"'),")</f>
        <v>(421,'COMPANY_TYPE:UPDATE','company_type updating','COMPANY_TYPE','UPDATE'),</v>
      </c>
    </row>
    <row r="260" spans="1:6" ht="20.149999999999999" customHeight="1" x14ac:dyDescent="0.35">
      <c r="A260" s="3">
        <v>422</v>
      </c>
      <c r="B260" s="4" t="str">
        <f t="shared" si="17"/>
        <v>PARTNER_TYPE:UPDATE</v>
      </c>
      <c r="C260" s="4" t="str">
        <f t="shared" si="16"/>
        <v>partner_type updating</v>
      </c>
      <c r="D260" s="4" t="s">
        <v>5764</v>
      </c>
      <c r="E260" s="5" t="s">
        <v>6425</v>
      </c>
      <c r="F260" s="16" t="str">
        <f t="shared" si="18"/>
        <v>(422,'PARTNER_TYPE:UPDATE','partner_type updating','PARTNER_TYPE','UPDATE'),</v>
      </c>
    </row>
    <row r="261" spans="1:6" ht="20.149999999999999" customHeight="1" x14ac:dyDescent="0.35">
      <c r="A261" s="3">
        <v>423</v>
      </c>
      <c r="B261" s="4" t="str">
        <f t="shared" si="17"/>
        <v>VENDOR_TYPE:UPDATE</v>
      </c>
      <c r="C261" s="4" t="str">
        <f t="shared" si="16"/>
        <v>vendor_type updating</v>
      </c>
      <c r="D261" s="4" t="s">
        <v>5765</v>
      </c>
      <c r="E261" s="5" t="s">
        <v>6425</v>
      </c>
      <c r="F261" s="16" t="str">
        <f t="shared" si="18"/>
        <v>(423,'VENDOR_TYPE:UPDATE','vendor_type updating','VENDOR_TYPE','UPDATE'),</v>
      </c>
    </row>
    <row r="262" spans="1:6" ht="20.149999999999999" customHeight="1" x14ac:dyDescent="0.35">
      <c r="A262" s="3">
        <v>424</v>
      </c>
      <c r="B262" s="4" t="str">
        <f t="shared" si="17"/>
        <v>FACILITY_TYPE:UPDATE</v>
      </c>
      <c r="C262" s="4" t="str">
        <f t="shared" si="16"/>
        <v>facility_type updating</v>
      </c>
      <c r="D262" s="4" t="s">
        <v>5766</v>
      </c>
      <c r="E262" s="5" t="s">
        <v>6425</v>
      </c>
      <c r="F262" s="16" t="str">
        <f t="shared" si="18"/>
        <v>(424,'FACILITY_TYPE:UPDATE','facility_type updating','FACILITY_TYPE','UPDATE'),</v>
      </c>
    </row>
    <row r="263" spans="1:6" ht="20.149999999999999" customHeight="1" x14ac:dyDescent="0.35">
      <c r="A263" s="3">
        <v>425</v>
      </c>
      <c r="B263" s="4" t="str">
        <f t="shared" si="17"/>
        <v>STATION_TYPE:UPDATE</v>
      </c>
      <c r="C263" s="4" t="str">
        <f t="shared" si="16"/>
        <v>station_type updating</v>
      </c>
      <c r="D263" s="4" t="s">
        <v>5767</v>
      </c>
      <c r="E263" s="5" t="s">
        <v>6425</v>
      </c>
      <c r="F263" s="16" t="str">
        <f t="shared" si="18"/>
        <v>(425,'STATION_TYPE:UPDATE','station_type updating','STATION_TYPE','UPDATE'),</v>
      </c>
    </row>
    <row r="264" spans="1:6" ht="20.149999999999999" customHeight="1" x14ac:dyDescent="0.35">
      <c r="A264" s="3">
        <v>426</v>
      </c>
      <c r="B264" s="4" t="str">
        <f t="shared" si="17"/>
        <v>TERMINAL_TYPE:UPDATE</v>
      </c>
      <c r="C264" s="4" t="str">
        <f t="shared" si="16"/>
        <v>terminal_type updating</v>
      </c>
      <c r="D264" s="4" t="s">
        <v>5768</v>
      </c>
      <c r="E264" s="5" t="s">
        <v>6425</v>
      </c>
      <c r="F264" s="16" t="str">
        <f t="shared" si="18"/>
        <v>(426,'TERMINAL_TYPE:UPDATE','terminal_type updating','TERMINAL_TYPE','UPDATE'),</v>
      </c>
    </row>
    <row r="265" spans="1:6" ht="20.149999999999999" customHeight="1" x14ac:dyDescent="0.35">
      <c r="A265" s="3">
        <v>427</v>
      </c>
      <c r="B265" s="4" t="str">
        <f t="shared" si="17"/>
        <v>PROCESSING_PLANT_TYPE:UPDATE</v>
      </c>
      <c r="C265" s="4" t="str">
        <f t="shared" si="16"/>
        <v>processing_plant_type updating</v>
      </c>
      <c r="D265" s="4" t="s">
        <v>5791</v>
      </c>
      <c r="E265" s="5" t="s">
        <v>6425</v>
      </c>
      <c r="F265" s="16" t="str">
        <f t="shared" si="18"/>
        <v>(427,'PROCESSING_PLANT_TYPE:UPDATE','processing_plant_type updating','PROCESSING_PLANT_TYPE','UPDATE'),</v>
      </c>
    </row>
    <row r="266" spans="1:6" ht="20.149999999999999" customHeight="1" x14ac:dyDescent="0.35">
      <c r="A266" s="3">
        <v>428</v>
      </c>
      <c r="B266" s="4" t="str">
        <f t="shared" si="17"/>
        <v>PRODUCTION_FIELD_TYPE:UPDATE</v>
      </c>
      <c r="C266" s="4" t="str">
        <f t="shared" si="16"/>
        <v>production_field_type updating</v>
      </c>
      <c r="D266" s="4" t="s">
        <v>5792</v>
      </c>
      <c r="E266" s="5" t="s">
        <v>6425</v>
      </c>
      <c r="F266" s="16" t="str">
        <f t="shared" si="18"/>
        <v>(428,'PRODUCTION_FIELD_TYPE:UPDATE','production_field_type updating','PRODUCTION_FIELD_TYPE','UPDATE'),</v>
      </c>
    </row>
    <row r="267" spans="1:6" ht="20.149999999999999" customHeight="1" x14ac:dyDescent="0.35">
      <c r="A267" s="3">
        <v>429</v>
      </c>
      <c r="B267" s="4" t="str">
        <f t="shared" si="17"/>
        <v>EQUIPMENT_TYPE:UPDATE</v>
      </c>
      <c r="C267" s="4" t="str">
        <f t="shared" si="16"/>
        <v>equipment_type updating</v>
      </c>
      <c r="D267" s="4" t="s">
        <v>5769</v>
      </c>
      <c r="E267" s="5" t="s">
        <v>6425</v>
      </c>
      <c r="F267" s="16" t="str">
        <f t="shared" si="18"/>
        <v>(429,'EQUIPMENT_TYPE:UPDATE','equipment_type updating','EQUIPMENT_TYPE','UPDATE'),</v>
      </c>
    </row>
    <row r="268" spans="1:6" ht="20.149999999999999" customHeight="1" x14ac:dyDescent="0.35">
      <c r="A268" s="3">
        <v>430</v>
      </c>
      <c r="B268" s="4" t="str">
        <f t="shared" si="17"/>
        <v>PRODUCT:UPDATE</v>
      </c>
      <c r="C268" s="4" t="str">
        <f t="shared" si="16"/>
        <v>product updating</v>
      </c>
      <c r="D268" s="4" t="s">
        <v>5772</v>
      </c>
      <c r="E268" s="5" t="s">
        <v>6425</v>
      </c>
      <c r="F268" s="16" t="str">
        <f t="shared" si="18"/>
        <v>(430,'PRODUCT:UPDATE','product updating','PRODUCT','UPDATE'),</v>
      </c>
    </row>
    <row r="269" spans="1:6" ht="20.149999999999999" customHeight="1" x14ac:dyDescent="0.35">
      <c r="A269" s="3">
        <v>431</v>
      </c>
      <c r="B269" s="4" t="str">
        <f t="shared" si="17"/>
        <v>OPERATIONAL_STATUS:UPDATE</v>
      </c>
      <c r="C269" s="4" t="str">
        <f t="shared" si="16"/>
        <v>operational_status updating</v>
      </c>
      <c r="D269" s="4" t="s">
        <v>5773</v>
      </c>
      <c r="E269" s="5" t="s">
        <v>6425</v>
      </c>
      <c r="F269" s="16" t="str">
        <f t="shared" si="18"/>
        <v>(431,'OPERATIONAL_STATUS:UPDATE','operational_status updating','OPERATIONAL_STATUS','UPDATE'),</v>
      </c>
    </row>
    <row r="270" spans="1:6" ht="20.149999999999999" customHeight="1" x14ac:dyDescent="0.35">
      <c r="A270" s="3">
        <v>432</v>
      </c>
      <c r="B270" s="4" t="str">
        <f t="shared" si="17"/>
        <v>ALLOY:UPDATE</v>
      </c>
      <c r="C270" s="4" t="str">
        <f t="shared" si="16"/>
        <v>alloy updating</v>
      </c>
      <c r="D270" s="4" t="s">
        <v>5774</v>
      </c>
      <c r="E270" s="5" t="s">
        <v>6425</v>
      </c>
      <c r="F270" s="16" t="str">
        <f t="shared" si="18"/>
        <v>(432,'ALLOY:UPDATE','alloy updating','ALLOY','UPDATE'),</v>
      </c>
    </row>
    <row r="271" spans="1:6" ht="20.149999999999999" customHeight="1" x14ac:dyDescent="0.35">
      <c r="A271" s="3">
        <v>433</v>
      </c>
      <c r="B271" s="4" t="str">
        <f t="shared" si="17"/>
        <v>PARTNER:UPDATE</v>
      </c>
      <c r="C271" s="4" t="str">
        <f t="shared" ref="C271:C297" si="19">CONCATENATE(LOWER(D271)," updating")</f>
        <v>partner updating</v>
      </c>
      <c r="D271" s="4" t="s">
        <v>5775</v>
      </c>
      <c r="E271" s="5" t="s">
        <v>6425</v>
      </c>
      <c r="F271" s="16" t="str">
        <f t="shared" si="18"/>
        <v>(433,'PARTNER:UPDATE','partner updating','PARTNER','UPDATE'),</v>
      </c>
    </row>
    <row r="272" spans="1:6" ht="20.149999999999999" customHeight="1" x14ac:dyDescent="0.35">
      <c r="A272" s="3">
        <v>434</v>
      </c>
      <c r="B272" s="4" t="str">
        <f t="shared" si="17"/>
        <v>VENDOR:UPDATE</v>
      </c>
      <c r="C272" s="4" t="str">
        <f t="shared" si="19"/>
        <v>vendor updating</v>
      </c>
      <c r="D272" s="4" t="s">
        <v>5776</v>
      </c>
      <c r="E272" s="5" t="s">
        <v>6425</v>
      </c>
      <c r="F272" s="16" t="str">
        <f t="shared" si="18"/>
        <v>(434,'VENDOR:UPDATE','vendor updating','VENDOR','UPDATE'),</v>
      </c>
    </row>
    <row r="273" spans="1:6" ht="20.149999999999999" customHeight="1" x14ac:dyDescent="0.35">
      <c r="A273" s="3">
        <v>435</v>
      </c>
      <c r="B273" s="4" t="str">
        <f t="shared" si="17"/>
        <v>INFRASTRUCTURE:UPDATE</v>
      </c>
      <c r="C273" s="4" t="str">
        <f t="shared" si="19"/>
        <v>infrastructure updating</v>
      </c>
      <c r="D273" s="4" t="s">
        <v>5777</v>
      </c>
      <c r="E273" s="5" t="s">
        <v>6425</v>
      </c>
      <c r="F273" s="16" t="str">
        <f t="shared" si="18"/>
        <v>(435,'INFRASTRUCTURE:UPDATE','infrastructure updating','INFRASTRUCTURE','UPDATE'),</v>
      </c>
    </row>
    <row r="274" spans="1:6" ht="20.149999999999999" customHeight="1" x14ac:dyDescent="0.35">
      <c r="A274" s="3">
        <v>436</v>
      </c>
      <c r="B274" s="4" t="str">
        <f t="shared" si="17"/>
        <v>FACILITY:UPDATE</v>
      </c>
      <c r="C274" s="4" t="str">
        <f t="shared" si="19"/>
        <v>facility updating</v>
      </c>
      <c r="D274" s="4" t="s">
        <v>5778</v>
      </c>
      <c r="E274" s="5" t="s">
        <v>6425</v>
      </c>
      <c r="F274" s="16" t="str">
        <f t="shared" si="18"/>
        <v>(436,'FACILITY:UPDATE','facility updating','FACILITY','UPDATE'),</v>
      </c>
    </row>
    <row r="275" spans="1:6" ht="20.149999999999999" customHeight="1" x14ac:dyDescent="0.35">
      <c r="A275" s="3">
        <v>437</v>
      </c>
      <c r="B275" s="4" t="str">
        <f t="shared" si="17"/>
        <v>PIPELINE_SYSTEM:UPDATE</v>
      </c>
      <c r="C275" s="4" t="str">
        <f t="shared" si="19"/>
        <v>pipeline_system updating</v>
      </c>
      <c r="D275" s="4" t="s">
        <v>5779</v>
      </c>
      <c r="E275" s="5" t="s">
        <v>6425</v>
      </c>
      <c r="F275" s="16" t="str">
        <f t="shared" si="18"/>
        <v>(437,'PIPELINE_SYSTEM:UPDATE','pipeline_system updating','PIPELINE_SYSTEM','UPDATE'),</v>
      </c>
    </row>
    <row r="276" spans="1:6" ht="20.149999999999999" customHeight="1" x14ac:dyDescent="0.35">
      <c r="A276" s="3">
        <v>438</v>
      </c>
      <c r="B276" s="4" t="str">
        <f t="shared" si="17"/>
        <v>PIPELINE:UPDATE</v>
      </c>
      <c r="C276" s="4" t="str">
        <f t="shared" si="19"/>
        <v>pipeline updating</v>
      </c>
      <c r="D276" s="4" t="s">
        <v>5780</v>
      </c>
      <c r="E276" s="5" t="s">
        <v>6425</v>
      </c>
      <c r="F276" s="16" t="str">
        <f t="shared" si="18"/>
        <v>(438,'PIPELINE:UPDATE','pipeline updating','PIPELINE','UPDATE'),</v>
      </c>
    </row>
    <row r="277" spans="1:6" ht="20.149999999999999" customHeight="1" x14ac:dyDescent="0.35">
      <c r="A277" s="3">
        <v>439</v>
      </c>
      <c r="B277" s="4" t="str">
        <f t="shared" si="17"/>
        <v>PIPELINE_SEGMENT:UPDATE</v>
      </c>
      <c r="C277" s="4" t="str">
        <f t="shared" si="19"/>
        <v>pipeline_segment updating</v>
      </c>
      <c r="D277" s="4" t="s">
        <v>5781</v>
      </c>
      <c r="E277" s="5" t="s">
        <v>6425</v>
      </c>
      <c r="F277" s="16" t="str">
        <f t="shared" si="18"/>
        <v>(439,'PIPELINE_SEGMENT:UPDATE','pipeline_segment updating','PIPELINE_SEGMENT','UPDATE'),</v>
      </c>
    </row>
    <row r="278" spans="1:6" ht="20.149999999999999" customHeight="1" x14ac:dyDescent="0.35">
      <c r="A278" s="3">
        <v>440</v>
      </c>
      <c r="B278" s="4" t="str">
        <f t="shared" si="17"/>
        <v>STATION:UPDATE</v>
      </c>
      <c r="C278" s="4" t="str">
        <f t="shared" si="19"/>
        <v>station updating</v>
      </c>
      <c r="D278" s="4" t="s">
        <v>5782</v>
      </c>
      <c r="E278" s="5" t="s">
        <v>6425</v>
      </c>
      <c r="F278" s="16" t="str">
        <f t="shared" si="18"/>
        <v>(440,'STATION:UPDATE','station updating','STATION','UPDATE'),</v>
      </c>
    </row>
    <row r="279" spans="1:6" ht="20.149999999999999" customHeight="1" x14ac:dyDescent="0.35">
      <c r="A279" s="3">
        <v>441</v>
      </c>
      <c r="B279" s="4" t="str">
        <f t="shared" si="17"/>
        <v>TERMINAL:UPDATE</v>
      </c>
      <c r="C279" s="4" t="str">
        <f t="shared" si="19"/>
        <v>terminal updating</v>
      </c>
      <c r="D279" s="4" t="s">
        <v>5783</v>
      </c>
      <c r="E279" s="5" t="s">
        <v>6425</v>
      </c>
      <c r="F279" s="16" t="str">
        <f t="shared" si="18"/>
        <v>(441,'TERMINAL:UPDATE','terminal updating','TERMINAL','UPDATE'),</v>
      </c>
    </row>
    <row r="280" spans="1:6" ht="20.149999999999999" customHeight="1" x14ac:dyDescent="0.35">
      <c r="A280" s="3">
        <v>442</v>
      </c>
      <c r="B280" s="4" t="str">
        <f t="shared" si="17"/>
        <v>PROCESSING_PLANT:UPDATE</v>
      </c>
      <c r="C280" s="4" t="str">
        <f t="shared" si="19"/>
        <v>processing_plant updating</v>
      </c>
      <c r="D280" s="4" t="s">
        <v>5793</v>
      </c>
      <c r="E280" s="5" t="s">
        <v>6425</v>
      </c>
      <c r="F280" s="16" t="str">
        <f t="shared" si="18"/>
        <v>(442,'PROCESSING_PLANT:UPDATE','processing_plant updating','PROCESSING_PLANT','UPDATE'),</v>
      </c>
    </row>
    <row r="281" spans="1:6" ht="20.149999999999999" customHeight="1" x14ac:dyDescent="0.35">
      <c r="A281" s="3">
        <v>443</v>
      </c>
      <c r="B281" s="4" t="str">
        <f t="shared" si="17"/>
        <v>PRODUCTION_FIELD:UPDATE</v>
      </c>
      <c r="C281" s="4" t="str">
        <f t="shared" si="19"/>
        <v>production_field updating</v>
      </c>
      <c r="D281" s="4" t="s">
        <v>5794</v>
      </c>
      <c r="E281" s="5" t="s">
        <v>6425</v>
      </c>
      <c r="F281" s="16" t="str">
        <f t="shared" si="18"/>
        <v>(443,'PRODUCTION_FIELD:UPDATE','production_field updating','PRODUCTION_FIELD','UPDATE'),</v>
      </c>
    </row>
    <row r="282" spans="1:6" ht="20.149999999999999" customHeight="1" x14ac:dyDescent="0.35">
      <c r="A282" s="3">
        <v>444</v>
      </c>
      <c r="B282" s="4" t="str">
        <f t="shared" si="17"/>
        <v>EQUIPMENT:UPDATE</v>
      </c>
      <c r="C282" s="4" t="str">
        <f t="shared" si="19"/>
        <v>equipment updating</v>
      </c>
      <c r="D282" s="4" t="s">
        <v>5784</v>
      </c>
      <c r="E282" s="5" t="s">
        <v>6425</v>
      </c>
      <c r="F282" s="16" t="str">
        <f t="shared" si="18"/>
        <v>(444,'EQUIPMENT:UPDATE','equipment updating','EQUIPMENT','UPDATE'),</v>
      </c>
    </row>
    <row r="283" spans="1:6" ht="20.149999999999999" customHeight="1" x14ac:dyDescent="0.35">
      <c r="A283" s="3">
        <v>445</v>
      </c>
      <c r="B283" s="4" t="str">
        <f t="shared" si="17"/>
        <v>EVENT_TYPE:UPDATE</v>
      </c>
      <c r="C283" s="4" t="str">
        <f t="shared" si="19"/>
        <v>event_type updating</v>
      </c>
      <c r="D283" s="4" t="s">
        <v>6375</v>
      </c>
      <c r="E283" s="5" t="s">
        <v>6425</v>
      </c>
      <c r="F283" s="16" t="str">
        <f t="shared" si="18"/>
        <v>(445,'EVENT_TYPE:UPDATE','event_type updating','EVENT_TYPE','UPDATE'),</v>
      </c>
    </row>
    <row r="284" spans="1:6" ht="20.149999999999999" customHeight="1" x14ac:dyDescent="0.35">
      <c r="A284" s="3">
        <v>446</v>
      </c>
      <c r="B284" s="4" t="str">
        <f t="shared" si="17"/>
        <v>OPERATION_TYPE:UPDATE</v>
      </c>
      <c r="C284" s="4" t="str">
        <f t="shared" si="19"/>
        <v>operation_type updating</v>
      </c>
      <c r="D284" s="4" t="s">
        <v>6374</v>
      </c>
      <c r="E284" s="5" t="s">
        <v>6425</v>
      </c>
      <c r="F284" s="16" t="str">
        <f t="shared" si="18"/>
        <v>(446,'OPERATION_TYPE:UPDATE','operation_type updating','OPERATION_TYPE','UPDATE'),</v>
      </c>
    </row>
    <row r="285" spans="1:6" ht="20.149999999999999" customHeight="1" x14ac:dyDescent="0.35">
      <c r="A285" s="3">
        <v>447</v>
      </c>
      <c r="B285" s="4" t="str">
        <f t="shared" si="17"/>
        <v>EVENT_STATUS:UPDATE</v>
      </c>
      <c r="C285" s="4" t="str">
        <f t="shared" si="19"/>
        <v>event_status updating</v>
      </c>
      <c r="D285" s="4" t="s">
        <v>6378</v>
      </c>
      <c r="E285" s="5" t="s">
        <v>6425</v>
      </c>
      <c r="F285" s="16" t="str">
        <f t="shared" si="18"/>
        <v>(447,'EVENT_STATUS:UPDATE','event_status updating','EVENT_STATUS','UPDATE'),</v>
      </c>
    </row>
    <row r="286" spans="1:6" ht="20.149999999999999" customHeight="1" x14ac:dyDescent="0.35">
      <c r="A286" s="3">
        <v>448</v>
      </c>
      <c r="B286" s="4" t="str">
        <f t="shared" si="17"/>
        <v>ALERT_STATUS:UPDATE</v>
      </c>
      <c r="C286" s="4" t="str">
        <f t="shared" si="19"/>
        <v>alert_status updating</v>
      </c>
      <c r="D286" s="4" t="s">
        <v>6376</v>
      </c>
      <c r="E286" s="45" t="s">
        <v>6425</v>
      </c>
      <c r="F286" s="16" t="str">
        <f t="shared" si="18"/>
        <v>(448,'ALERT_STATUS:UPDATE','alert_status updating','ALERT_STATUS','UPDATE'),</v>
      </c>
    </row>
    <row r="287" spans="1:6" ht="20.149999999999999" customHeight="1" x14ac:dyDescent="0.35">
      <c r="A287" s="3">
        <v>449</v>
      </c>
      <c r="B287" s="4" t="str">
        <f t="shared" si="17"/>
        <v>SEVERITY:UPDATE</v>
      </c>
      <c r="C287" s="4" t="str">
        <f t="shared" si="19"/>
        <v>severity updating</v>
      </c>
      <c r="D287" s="4" t="s">
        <v>6380</v>
      </c>
      <c r="E287" s="5" t="s">
        <v>6425</v>
      </c>
      <c r="F287" s="16" t="str">
        <f t="shared" si="18"/>
        <v>(449,'SEVERITY:UPDATE','severity updating','SEVERITY','UPDATE'),</v>
      </c>
    </row>
    <row r="288" spans="1:6" ht="20.149999999999999" customHeight="1" x14ac:dyDescent="0.35">
      <c r="A288" s="3">
        <v>450</v>
      </c>
      <c r="B288" s="4" t="str">
        <f t="shared" si="17"/>
        <v>DATA_SOURCE:UPDATE</v>
      </c>
      <c r="C288" s="4" t="str">
        <f t="shared" si="19"/>
        <v>data_source updating</v>
      </c>
      <c r="D288" s="4" t="s">
        <v>6377</v>
      </c>
      <c r="E288" s="5" t="s">
        <v>6425</v>
      </c>
      <c r="F288" s="16" t="str">
        <f t="shared" si="18"/>
        <v>(450,'DATA_SOURCE:UPDATE','data_source updating','DATA_SOURCE','UPDATE'),</v>
      </c>
    </row>
    <row r="289" spans="1:6" ht="20.149999999999999" customHeight="1" x14ac:dyDescent="0.35">
      <c r="A289" s="3">
        <v>451</v>
      </c>
      <c r="B289" s="4" t="str">
        <f t="shared" si="17"/>
        <v>QUALITY_FLAG:UPDATE</v>
      </c>
      <c r="C289" s="4" t="str">
        <f t="shared" si="19"/>
        <v>quality_flag updating</v>
      </c>
      <c r="D289" s="4" t="s">
        <v>6379</v>
      </c>
      <c r="E289" s="5" t="s">
        <v>6425</v>
      </c>
      <c r="F289" s="16" t="str">
        <f t="shared" si="18"/>
        <v>(451,'QUALITY_FLAG:UPDATE','quality_flag updating','QUALITY_FLAG','UPDATE'),</v>
      </c>
    </row>
    <row r="290" spans="1:6" ht="20.149999999999999" customHeight="1" x14ac:dyDescent="0.35">
      <c r="A290" s="3">
        <v>452</v>
      </c>
      <c r="B290" s="4" t="str">
        <f t="shared" si="17"/>
        <v>VALIDATION_STATUS:UPDATE</v>
      </c>
      <c r="C290" s="4" t="str">
        <f t="shared" si="19"/>
        <v>validation_status updating</v>
      </c>
      <c r="D290" s="4" t="s">
        <v>6381</v>
      </c>
      <c r="E290" s="5" t="s">
        <v>6425</v>
      </c>
      <c r="F290" s="16" t="str">
        <f t="shared" si="18"/>
        <v>(452,'VALIDATION_STATUS:UPDATE','validation_status updating','VALIDATION_STATUS','UPDATE'),</v>
      </c>
    </row>
    <row r="291" spans="1:6" ht="20.149999999999999" customHeight="1" x14ac:dyDescent="0.35">
      <c r="A291" s="3">
        <v>453</v>
      </c>
      <c r="B291" s="4" t="str">
        <f t="shared" si="17"/>
        <v>READING_SLOT:UPDATE</v>
      </c>
      <c r="C291" s="4" t="str">
        <f t="shared" si="19"/>
        <v>reading_slot updating</v>
      </c>
      <c r="D291" s="4" t="s">
        <v>6382</v>
      </c>
      <c r="E291" s="5" t="s">
        <v>6425</v>
      </c>
      <c r="F291" s="16" t="str">
        <f t="shared" si="18"/>
        <v>(453,'READING_SLOT:UPDATE','reading_slot updating','READING_SLOT','UPDATE'),</v>
      </c>
    </row>
    <row r="292" spans="1:6" ht="20.149999999999999" customHeight="1" x14ac:dyDescent="0.35">
      <c r="A292" s="3">
        <v>454</v>
      </c>
      <c r="B292" s="4" t="str">
        <f t="shared" si="17"/>
        <v>FLOW_OPERATION:UPDATE</v>
      </c>
      <c r="C292" s="4" t="str">
        <f t="shared" si="19"/>
        <v>flow_operation updating</v>
      </c>
      <c r="D292" s="4" t="s">
        <v>6383</v>
      </c>
      <c r="E292" s="5" t="s">
        <v>6425</v>
      </c>
      <c r="F292" s="16" t="str">
        <f t="shared" si="18"/>
        <v>(454,'FLOW_OPERATION:UPDATE','flow_operation updating','FLOW_OPERATION','UPDATE'),</v>
      </c>
    </row>
    <row r="293" spans="1:6" ht="20.149999999999999" customHeight="1" x14ac:dyDescent="0.35">
      <c r="A293" s="3">
        <v>455</v>
      </c>
      <c r="B293" s="4" t="str">
        <f t="shared" si="17"/>
        <v>FLOW_FORECAST:UPDATE</v>
      </c>
      <c r="C293" s="4" t="str">
        <f t="shared" si="19"/>
        <v>flow_forecast updating</v>
      </c>
      <c r="D293" s="4" t="s">
        <v>6384</v>
      </c>
      <c r="E293" s="5" t="s">
        <v>6425</v>
      </c>
      <c r="F293" s="16" t="str">
        <f t="shared" si="18"/>
        <v>(455,'FLOW_FORECAST:UPDATE','flow_forecast updating','FLOW_FORECAST','UPDATE'),</v>
      </c>
    </row>
    <row r="294" spans="1:6" ht="20.149999999999999" customHeight="1" x14ac:dyDescent="0.35">
      <c r="A294" s="3">
        <v>456</v>
      </c>
      <c r="B294" s="4" t="str">
        <f t="shared" si="17"/>
        <v>FLOW_READING:UPDATE</v>
      </c>
      <c r="C294" s="4" t="str">
        <f t="shared" si="19"/>
        <v>flow_reading updating</v>
      </c>
      <c r="D294" s="4" t="s">
        <v>6385</v>
      </c>
      <c r="E294" s="5" t="s">
        <v>6425</v>
      </c>
      <c r="F294" s="16" t="str">
        <f t="shared" si="18"/>
        <v>(456,'FLOW_READING:UPDATE','flow_reading updating','FLOW_READING','UPDATE'),</v>
      </c>
    </row>
    <row r="295" spans="1:6" ht="20.149999999999999" customHeight="1" x14ac:dyDescent="0.35">
      <c r="A295" s="3">
        <v>457</v>
      </c>
      <c r="B295" s="4" t="str">
        <f t="shared" si="17"/>
        <v>FLOW_EVENT:UPDATE</v>
      </c>
      <c r="C295" s="4" t="str">
        <f t="shared" si="19"/>
        <v>flow_event updating</v>
      </c>
      <c r="D295" s="4" t="s">
        <v>6388</v>
      </c>
      <c r="E295" s="5" t="s">
        <v>6425</v>
      </c>
      <c r="F295" s="16" t="str">
        <f t="shared" si="18"/>
        <v>(457,'FLOW_EVENT:UPDATE','flow_event updating','FLOW_EVENT','UPDATE'),</v>
      </c>
    </row>
    <row r="296" spans="1:6" ht="20.149999999999999" customHeight="1" x14ac:dyDescent="0.35">
      <c r="A296" s="3">
        <v>458</v>
      </c>
      <c r="B296" s="4" t="str">
        <f t="shared" si="17"/>
        <v>FLOW_ALERT:UPDATE</v>
      </c>
      <c r="C296" s="4" t="str">
        <f t="shared" si="19"/>
        <v>flow_alert updating</v>
      </c>
      <c r="D296" s="4" t="s">
        <v>6387</v>
      </c>
      <c r="E296" s="5" t="s">
        <v>6425</v>
      </c>
      <c r="F296" s="16" t="str">
        <f t="shared" si="18"/>
        <v>(458,'FLOW_ALERT:UPDATE','flow_alert updating','FLOW_ALERT','UPDATE'),</v>
      </c>
    </row>
    <row r="297" spans="1:6" ht="20.149999999999999" customHeight="1" x14ac:dyDescent="0.35">
      <c r="A297" s="3">
        <v>459</v>
      </c>
      <c r="B297" s="4" t="str">
        <f t="shared" si="17"/>
        <v>FLOW_THRESHOLD:UPDATE</v>
      </c>
      <c r="C297" s="4" t="str">
        <f t="shared" si="19"/>
        <v>flow_threshold updating</v>
      </c>
      <c r="D297" s="4" t="s">
        <v>6386</v>
      </c>
      <c r="E297" s="5" t="s">
        <v>6425</v>
      </c>
      <c r="F297" s="16" t="str">
        <f t="shared" si="18"/>
        <v>(459,'FLOW_THRESHOLD:UPDATE','flow_threshold updating','FLOW_THRESHOLD','UPDATE'),</v>
      </c>
    </row>
    <row r="298" spans="1:6" ht="20.149999999999999" customHeight="1" x14ac:dyDescent="0.35">
      <c r="A298" s="3">
        <v>501</v>
      </c>
      <c r="B298" s="4" t="str">
        <f t="shared" si="17"/>
        <v>PARAMETER:CREATE</v>
      </c>
      <c r="C298" s="4" t="str">
        <f t="shared" ref="C298:C329" si="20">CONCATENATE(LOWER(D298)," creation")</f>
        <v>parameter creation</v>
      </c>
      <c r="D298" s="4" t="s">
        <v>6371</v>
      </c>
      <c r="E298" s="5" t="s">
        <v>6426</v>
      </c>
      <c r="F298" s="16" t="str">
        <f t="shared" si="18"/>
        <v>(501,'PARAMETER:CREATE','parameter creation','PARAMETER','CREATE'),</v>
      </c>
    </row>
    <row r="299" spans="1:6" ht="20.149999999999999" customHeight="1" x14ac:dyDescent="0.35">
      <c r="A299" s="3">
        <v>502</v>
      </c>
      <c r="B299" s="4" t="str">
        <f t="shared" si="17"/>
        <v>FILE:CREATE</v>
      </c>
      <c r="C299" s="4" t="str">
        <f t="shared" si="20"/>
        <v>file creation</v>
      </c>
      <c r="D299" s="4" t="s">
        <v>6372</v>
      </c>
      <c r="E299" s="5" t="s">
        <v>6426</v>
      </c>
      <c r="F299" s="16" t="str">
        <f t="shared" si="18"/>
        <v>(502,'FILE:CREATE','file creation','FILE','CREATE'),</v>
      </c>
    </row>
    <row r="300" spans="1:6" ht="20.149999999999999" customHeight="1" x14ac:dyDescent="0.35">
      <c r="A300" s="3">
        <v>503</v>
      </c>
      <c r="B300" s="4" t="str">
        <f t="shared" si="17"/>
        <v>GROUP:CREATE</v>
      </c>
      <c r="C300" s="4" t="str">
        <f t="shared" si="20"/>
        <v>group creation</v>
      </c>
      <c r="D300" s="4" t="s">
        <v>5748</v>
      </c>
      <c r="E300" s="5" t="s">
        <v>6426</v>
      </c>
      <c r="F300" s="16" t="str">
        <f t="shared" si="18"/>
        <v>(503,'GROUP:CREATE','group creation','GROUP','CREATE'),</v>
      </c>
    </row>
    <row r="301" spans="1:6" ht="20.149999999999999" customHeight="1" x14ac:dyDescent="0.35">
      <c r="A301" s="3">
        <v>504</v>
      </c>
      <c r="B301" s="4" t="str">
        <f t="shared" si="17"/>
        <v>USER:CREATE</v>
      </c>
      <c r="C301" s="4" t="str">
        <f t="shared" si="20"/>
        <v>user creation</v>
      </c>
      <c r="D301" s="4" t="s">
        <v>5749</v>
      </c>
      <c r="E301" s="5" t="s">
        <v>6426</v>
      </c>
      <c r="F301" s="16" t="str">
        <f t="shared" si="18"/>
        <v>(504,'USER:CREATE','user creation','USER','CREATE'),</v>
      </c>
    </row>
    <row r="302" spans="1:6" ht="20.149999999999999" customHeight="1" x14ac:dyDescent="0.35">
      <c r="A302" s="3">
        <v>505</v>
      </c>
      <c r="B302" s="4" t="str">
        <f t="shared" si="17"/>
        <v>ROLE:CREATE</v>
      </c>
      <c r="C302" s="4" t="str">
        <f t="shared" si="20"/>
        <v>role creation</v>
      </c>
      <c r="D302" s="4" t="s">
        <v>5750</v>
      </c>
      <c r="E302" s="5" t="s">
        <v>6426</v>
      </c>
      <c r="F302" s="16" t="str">
        <f t="shared" si="18"/>
        <v>(505,'ROLE:CREATE','role creation','ROLE','CREATE'),</v>
      </c>
    </row>
    <row r="303" spans="1:6" ht="20.149999999999999" customHeight="1" x14ac:dyDescent="0.35">
      <c r="A303" s="3">
        <v>506</v>
      </c>
      <c r="B303" s="4" t="str">
        <f t="shared" si="17"/>
        <v>PERMISSION:CREATE</v>
      </c>
      <c r="C303" s="4" t="str">
        <f t="shared" si="20"/>
        <v>permission creation</v>
      </c>
      <c r="D303" s="4" t="s">
        <v>5751</v>
      </c>
      <c r="E303" s="5" t="s">
        <v>6426</v>
      </c>
      <c r="F303" s="16" t="str">
        <f t="shared" si="18"/>
        <v>(506,'PERMISSION:CREATE','permission creation','PERMISSION','CREATE'),</v>
      </c>
    </row>
    <row r="304" spans="1:6" ht="20.149999999999999" customHeight="1" x14ac:dyDescent="0.35">
      <c r="A304" s="3">
        <v>507</v>
      </c>
      <c r="B304" s="4" t="str">
        <f t="shared" si="17"/>
        <v>AUTHORITY:CREATE</v>
      </c>
      <c r="C304" s="4" t="str">
        <f t="shared" si="20"/>
        <v>authority creation</v>
      </c>
      <c r="D304" s="4" t="s">
        <v>5752</v>
      </c>
      <c r="E304" s="5" t="s">
        <v>6426</v>
      </c>
      <c r="F304" s="16" t="str">
        <f t="shared" si="18"/>
        <v>(507,'AUTHORITY:CREATE','authority creation','AUTHORITY','CREATE'),</v>
      </c>
    </row>
    <row r="305" spans="1:6" ht="20.149999999999999" customHeight="1" x14ac:dyDescent="0.35">
      <c r="A305" s="3">
        <v>508</v>
      </c>
      <c r="B305" s="4" t="str">
        <f t="shared" si="17"/>
        <v>AUDIT:CREATE</v>
      </c>
      <c r="C305" s="4" t="str">
        <f t="shared" si="20"/>
        <v>audit creation</v>
      </c>
      <c r="D305" s="4" t="s">
        <v>5753</v>
      </c>
      <c r="E305" s="5" t="s">
        <v>6426</v>
      </c>
      <c r="F305" s="16" t="str">
        <f t="shared" si="18"/>
        <v>(508,'AUDIT:CREATE','audit creation','AUDIT','CREATE'),</v>
      </c>
    </row>
    <row r="306" spans="1:6" ht="20.149999999999999" customHeight="1" x14ac:dyDescent="0.35">
      <c r="A306" s="3">
        <v>509</v>
      </c>
      <c r="B306" s="4" t="str">
        <f t="shared" si="17"/>
        <v>STRUCTURE_TYPE:CREATE</v>
      </c>
      <c r="C306" s="4" t="str">
        <f t="shared" si="20"/>
        <v>structure_type creation</v>
      </c>
      <c r="D306" s="4" t="s">
        <v>5758</v>
      </c>
      <c r="E306" s="5" t="s">
        <v>6426</v>
      </c>
      <c r="F306" s="16" t="str">
        <f t="shared" si="18"/>
        <v>(509,'STRUCTURE_TYPE:CREATE','structure_type creation','STRUCTURE_TYPE','CREATE'),</v>
      </c>
    </row>
    <row r="307" spans="1:6" ht="20.149999999999999" customHeight="1" x14ac:dyDescent="0.35">
      <c r="A307" s="3">
        <v>510</v>
      </c>
      <c r="B307" s="4" t="str">
        <f t="shared" si="17"/>
        <v>ZONE:CREATE</v>
      </c>
      <c r="C307" s="4" t="str">
        <f t="shared" si="20"/>
        <v>zone creation</v>
      </c>
      <c r="D307" s="4" t="s">
        <v>5770</v>
      </c>
      <c r="E307" s="5" t="s">
        <v>6426</v>
      </c>
      <c r="F307" s="16" t="str">
        <f t="shared" si="18"/>
        <v>(510,'ZONE:CREATE','zone creation','ZONE','CREATE'),</v>
      </c>
    </row>
    <row r="308" spans="1:6" ht="20.149999999999999" customHeight="1" x14ac:dyDescent="0.35">
      <c r="A308" s="3">
        <v>511</v>
      </c>
      <c r="B308" s="4" t="str">
        <f t="shared" si="17"/>
        <v>COUNTRY:CREATE</v>
      </c>
      <c r="C308" s="4" t="str">
        <f t="shared" si="20"/>
        <v>country creation</v>
      </c>
      <c r="D308" s="4" t="s">
        <v>5755</v>
      </c>
      <c r="E308" s="5" t="s">
        <v>6426</v>
      </c>
      <c r="F308" s="16" t="str">
        <f t="shared" si="18"/>
        <v>(511,'COUNTRY:CREATE','country creation','COUNTRY','CREATE'),</v>
      </c>
    </row>
    <row r="309" spans="1:6" ht="20.149999999999999" customHeight="1" x14ac:dyDescent="0.35">
      <c r="A309" s="3">
        <v>512</v>
      </c>
      <c r="B309" s="4" t="str">
        <f t="shared" ref="B309:B367" si="21">CONCATENATE(D309,":",E309)</f>
        <v>STATE:CREATE</v>
      </c>
      <c r="C309" s="4" t="str">
        <f t="shared" si="20"/>
        <v>state creation</v>
      </c>
      <c r="D309" s="4" t="s">
        <v>5756</v>
      </c>
      <c r="E309" s="5" t="s">
        <v>6426</v>
      </c>
      <c r="F309" s="16" t="str">
        <f t="shared" si="18"/>
        <v>(512,'STATE:CREATE','state creation','STATE','CREATE'),</v>
      </c>
    </row>
    <row r="310" spans="1:6" ht="20.149999999999999" customHeight="1" x14ac:dyDescent="0.35">
      <c r="A310" s="3">
        <v>513</v>
      </c>
      <c r="B310" s="4" t="str">
        <f t="shared" si="21"/>
        <v>DISTRICT:CREATE</v>
      </c>
      <c r="C310" s="4" t="str">
        <f t="shared" si="20"/>
        <v>district creation</v>
      </c>
      <c r="D310" s="4" t="s">
        <v>5790</v>
      </c>
      <c r="E310" s="5" t="s">
        <v>6426</v>
      </c>
      <c r="F310" s="16" t="str">
        <f t="shared" si="18"/>
        <v>(513,'DISTRICT:CREATE','district creation','DISTRICT','CREATE'),</v>
      </c>
    </row>
    <row r="311" spans="1:6" ht="20.149999999999999" customHeight="1" x14ac:dyDescent="0.35">
      <c r="A311" s="3">
        <v>514</v>
      </c>
      <c r="B311" s="4" t="str">
        <f t="shared" si="21"/>
        <v>LOCALITY:CREATE</v>
      </c>
      <c r="C311" s="4" t="str">
        <f t="shared" si="20"/>
        <v>locality creation</v>
      </c>
      <c r="D311" s="4" t="s">
        <v>5757</v>
      </c>
      <c r="E311" s="5" t="s">
        <v>6426</v>
      </c>
      <c r="F311" s="16" t="str">
        <f t="shared" si="18"/>
        <v>(514,'LOCALITY:CREATE','locality creation','LOCALITY','CREATE'),</v>
      </c>
    </row>
    <row r="312" spans="1:6" ht="20.149999999999999" customHeight="1" x14ac:dyDescent="0.35">
      <c r="A312" s="3">
        <v>515</v>
      </c>
      <c r="B312" s="4" t="str">
        <f t="shared" si="21"/>
        <v>LOCATION:CREATE</v>
      </c>
      <c r="C312" s="4" t="str">
        <f t="shared" si="20"/>
        <v>location creation</v>
      </c>
      <c r="D312" s="4" t="s">
        <v>5771</v>
      </c>
      <c r="E312" s="5" t="s">
        <v>6426</v>
      </c>
      <c r="F312" s="16" t="str">
        <f t="shared" si="18"/>
        <v>(515,'LOCATION:CREATE','location creation','LOCATION','CREATE'),</v>
      </c>
    </row>
    <row r="313" spans="1:6" ht="20.149999999999999" customHeight="1" x14ac:dyDescent="0.35">
      <c r="A313" s="3">
        <v>516</v>
      </c>
      <c r="B313" s="4" t="str">
        <f t="shared" si="21"/>
        <v>COORDINATE:CREATE</v>
      </c>
      <c r="C313" s="4" t="str">
        <f t="shared" si="20"/>
        <v>coordinate creation</v>
      </c>
      <c r="D313" s="4" t="s">
        <v>6373</v>
      </c>
      <c r="E313" s="5" t="s">
        <v>6426</v>
      </c>
      <c r="F313" s="16" t="str">
        <f t="shared" si="18"/>
        <v>(516,'COORDINATE:CREATE','coordinate creation','COORDINATE','CREATE'),</v>
      </c>
    </row>
    <row r="314" spans="1:6" ht="20.149999999999999" customHeight="1" x14ac:dyDescent="0.35">
      <c r="A314" s="3">
        <v>517</v>
      </c>
      <c r="B314" s="4" t="str">
        <f t="shared" si="21"/>
        <v>STRUCTURE:CREATE</v>
      </c>
      <c r="C314" s="4" t="str">
        <f t="shared" si="20"/>
        <v>structure creation</v>
      </c>
      <c r="D314" s="4" t="s">
        <v>5759</v>
      </c>
      <c r="E314" s="5" t="s">
        <v>6426</v>
      </c>
      <c r="F314" s="16" t="str">
        <f t="shared" si="18"/>
        <v>(517,'STRUCTURE:CREATE','structure creation','STRUCTURE','CREATE'),</v>
      </c>
    </row>
    <row r="315" spans="1:6" ht="20.149999999999999" customHeight="1" x14ac:dyDescent="0.35">
      <c r="A315" s="3">
        <v>518</v>
      </c>
      <c r="B315" s="4" t="str">
        <f t="shared" si="21"/>
        <v>JOB:CREATE</v>
      </c>
      <c r="C315" s="4" t="str">
        <f t="shared" si="20"/>
        <v>job creation</v>
      </c>
      <c r="D315" s="4" t="s">
        <v>5760</v>
      </c>
      <c r="E315" s="5" t="s">
        <v>6426</v>
      </c>
      <c r="F315" s="16" t="str">
        <f t="shared" si="18"/>
        <v>(518,'JOB:CREATE','job creation','JOB','CREATE'),</v>
      </c>
    </row>
    <row r="316" spans="1:6" ht="20.149999999999999" customHeight="1" x14ac:dyDescent="0.35">
      <c r="A316" s="3">
        <v>519</v>
      </c>
      <c r="B316" s="4" t="str">
        <f t="shared" si="21"/>
        <v>PERSON:CREATE</v>
      </c>
      <c r="C316" s="4" t="str">
        <f t="shared" si="20"/>
        <v>person creation</v>
      </c>
      <c r="D316" s="4" t="s">
        <v>5761</v>
      </c>
      <c r="E316" s="5" t="s">
        <v>6426</v>
      </c>
      <c r="F316" s="16" t="str">
        <f t="shared" si="18"/>
        <v>(519,'PERSON:CREATE','person creation','PERSON','CREATE'),</v>
      </c>
    </row>
    <row r="317" spans="1:6" ht="20.149999999999999" customHeight="1" x14ac:dyDescent="0.35">
      <c r="A317" s="3">
        <v>520</v>
      </c>
      <c r="B317" s="4" t="str">
        <f t="shared" si="21"/>
        <v>EMPLOYEE:CREATE</v>
      </c>
      <c r="C317" s="4" t="str">
        <f t="shared" si="20"/>
        <v>employee creation</v>
      </c>
      <c r="D317" s="4" t="s">
        <v>5762</v>
      </c>
      <c r="E317" s="5" t="s">
        <v>6426</v>
      </c>
      <c r="F317" s="16" t="str">
        <f t="shared" si="18"/>
        <v>(520,'EMPLOYEE:CREATE','employee creation','EMPLOYEE','CREATE'),</v>
      </c>
    </row>
    <row r="318" spans="1:6" ht="20.149999999999999" customHeight="1" x14ac:dyDescent="0.35">
      <c r="A318" s="3">
        <v>521</v>
      </c>
      <c r="B318" s="4" t="str">
        <f t="shared" si="21"/>
        <v>COMPANY_TYPE:CREATE</v>
      </c>
      <c r="C318" s="4" t="str">
        <f t="shared" si="20"/>
        <v>company_type creation</v>
      </c>
      <c r="D318" s="4" t="s">
        <v>5763</v>
      </c>
      <c r="E318" s="5" t="s">
        <v>6426</v>
      </c>
      <c r="F318" s="16" t="str">
        <f t="shared" si="18"/>
        <v>(521,'COMPANY_TYPE:CREATE','company_type creation','COMPANY_TYPE','CREATE'),</v>
      </c>
    </row>
    <row r="319" spans="1:6" ht="20.149999999999999" customHeight="1" x14ac:dyDescent="0.35">
      <c r="A319" s="3">
        <v>522</v>
      </c>
      <c r="B319" s="4" t="str">
        <f t="shared" si="21"/>
        <v>PARTNER_TYPE:CREATE</v>
      </c>
      <c r="C319" s="4" t="str">
        <f t="shared" si="20"/>
        <v>partner_type creation</v>
      </c>
      <c r="D319" s="4" t="s">
        <v>5764</v>
      </c>
      <c r="E319" s="5" t="s">
        <v>6426</v>
      </c>
      <c r="F319" s="16" t="str">
        <f t="shared" si="18"/>
        <v>(522,'PARTNER_TYPE:CREATE','partner_type creation','PARTNER_TYPE','CREATE'),</v>
      </c>
    </row>
    <row r="320" spans="1:6" ht="20.149999999999999" customHeight="1" x14ac:dyDescent="0.35">
      <c r="A320" s="3">
        <v>523</v>
      </c>
      <c r="B320" s="4" t="str">
        <f t="shared" si="21"/>
        <v>VENDOR_TYPE:CREATE</v>
      </c>
      <c r="C320" s="4" t="str">
        <f t="shared" si="20"/>
        <v>vendor_type creation</v>
      </c>
      <c r="D320" s="4" t="s">
        <v>5765</v>
      </c>
      <c r="E320" s="5" t="s">
        <v>6426</v>
      </c>
      <c r="F320" s="16" t="str">
        <f t="shared" si="18"/>
        <v>(523,'VENDOR_TYPE:CREATE','vendor_type creation','VENDOR_TYPE','CREATE'),</v>
      </c>
    </row>
    <row r="321" spans="1:6" ht="20.149999999999999" customHeight="1" x14ac:dyDescent="0.35">
      <c r="A321" s="3">
        <v>524</v>
      </c>
      <c r="B321" s="4" t="str">
        <f t="shared" si="21"/>
        <v>FACILITY_TYPE:CREATE</v>
      </c>
      <c r="C321" s="4" t="str">
        <f t="shared" si="20"/>
        <v>facility_type creation</v>
      </c>
      <c r="D321" s="4" t="s">
        <v>5766</v>
      </c>
      <c r="E321" s="5" t="s">
        <v>6426</v>
      </c>
      <c r="F321" s="16" t="str">
        <f t="shared" si="18"/>
        <v>(524,'FACILITY_TYPE:CREATE','facility_type creation','FACILITY_TYPE','CREATE'),</v>
      </c>
    </row>
    <row r="322" spans="1:6" ht="20.149999999999999" customHeight="1" x14ac:dyDescent="0.35">
      <c r="A322" s="3">
        <v>525</v>
      </c>
      <c r="B322" s="4" t="str">
        <f t="shared" si="21"/>
        <v>STATION_TYPE:CREATE</v>
      </c>
      <c r="C322" s="4" t="str">
        <f t="shared" si="20"/>
        <v>station_type creation</v>
      </c>
      <c r="D322" s="4" t="s">
        <v>5767</v>
      </c>
      <c r="E322" s="5" t="s">
        <v>6426</v>
      </c>
      <c r="F322" s="16" t="str">
        <f t="shared" si="18"/>
        <v>(525,'STATION_TYPE:CREATE','station_type creation','STATION_TYPE','CREATE'),</v>
      </c>
    </row>
    <row r="323" spans="1:6" ht="20.149999999999999" customHeight="1" x14ac:dyDescent="0.35">
      <c r="A323" s="3">
        <v>526</v>
      </c>
      <c r="B323" s="4" t="str">
        <f t="shared" si="21"/>
        <v>TERMINAL_TYPE:CREATE</v>
      </c>
      <c r="C323" s="4" t="str">
        <f t="shared" si="20"/>
        <v>terminal_type creation</v>
      </c>
      <c r="D323" s="4" t="s">
        <v>5768</v>
      </c>
      <c r="E323" s="5" t="s">
        <v>6426</v>
      </c>
      <c r="F323" s="16" t="str">
        <f t="shared" ref="F323:F386" si="22">CONCATENATE("(",A323,",'",B323,"','",C323,"','",D323,"','",E323,"'),")</f>
        <v>(526,'TERMINAL_TYPE:CREATE','terminal_type creation','TERMINAL_TYPE','CREATE'),</v>
      </c>
    </row>
    <row r="324" spans="1:6" ht="20.149999999999999" customHeight="1" x14ac:dyDescent="0.35">
      <c r="A324" s="3">
        <v>527</v>
      </c>
      <c r="B324" s="4" t="str">
        <f t="shared" si="21"/>
        <v>PROCESSING_PLANT_TYPE:CREATE</v>
      </c>
      <c r="C324" s="4" t="str">
        <f t="shared" si="20"/>
        <v>processing_plant_type creation</v>
      </c>
      <c r="D324" s="4" t="s">
        <v>5791</v>
      </c>
      <c r="E324" s="5" t="s">
        <v>6426</v>
      </c>
      <c r="F324" s="16" t="str">
        <f t="shared" si="22"/>
        <v>(527,'PROCESSING_PLANT_TYPE:CREATE','processing_plant_type creation','PROCESSING_PLANT_TYPE','CREATE'),</v>
      </c>
    </row>
    <row r="325" spans="1:6" ht="20.149999999999999" customHeight="1" x14ac:dyDescent="0.35">
      <c r="A325" s="3">
        <v>528</v>
      </c>
      <c r="B325" s="4" t="str">
        <f t="shared" si="21"/>
        <v>PRODUCTION_FIELD_TYPE:CREATE</v>
      </c>
      <c r="C325" s="4" t="str">
        <f t="shared" si="20"/>
        <v>production_field_type creation</v>
      </c>
      <c r="D325" s="4" t="s">
        <v>5792</v>
      </c>
      <c r="E325" s="5" t="s">
        <v>6426</v>
      </c>
      <c r="F325" s="16" t="str">
        <f t="shared" si="22"/>
        <v>(528,'PRODUCTION_FIELD_TYPE:CREATE','production_field_type creation','PRODUCTION_FIELD_TYPE','CREATE'),</v>
      </c>
    </row>
    <row r="326" spans="1:6" ht="20.149999999999999" customHeight="1" x14ac:dyDescent="0.35">
      <c r="A326" s="3">
        <v>529</v>
      </c>
      <c r="B326" s="4" t="str">
        <f t="shared" si="21"/>
        <v>EQUIPMENT_TYPE:CREATE</v>
      </c>
      <c r="C326" s="4" t="str">
        <f t="shared" si="20"/>
        <v>equipment_type creation</v>
      </c>
      <c r="D326" s="4" t="s">
        <v>5769</v>
      </c>
      <c r="E326" s="5" t="s">
        <v>6426</v>
      </c>
      <c r="F326" s="16" t="str">
        <f t="shared" si="22"/>
        <v>(529,'EQUIPMENT_TYPE:CREATE','equipment_type creation','EQUIPMENT_TYPE','CREATE'),</v>
      </c>
    </row>
    <row r="327" spans="1:6" ht="20.149999999999999" customHeight="1" x14ac:dyDescent="0.35">
      <c r="A327" s="3">
        <v>530</v>
      </c>
      <c r="B327" s="4" t="str">
        <f t="shared" si="21"/>
        <v>PRODUCT:CREATE</v>
      </c>
      <c r="C327" s="4" t="str">
        <f t="shared" si="20"/>
        <v>product creation</v>
      </c>
      <c r="D327" s="4" t="s">
        <v>5772</v>
      </c>
      <c r="E327" s="5" t="s">
        <v>6426</v>
      </c>
      <c r="F327" s="16" t="str">
        <f t="shared" si="22"/>
        <v>(530,'PRODUCT:CREATE','product creation','PRODUCT','CREATE'),</v>
      </c>
    </row>
    <row r="328" spans="1:6" ht="20.149999999999999" customHeight="1" x14ac:dyDescent="0.35">
      <c r="A328" s="3">
        <v>531</v>
      </c>
      <c r="B328" s="4" t="str">
        <f t="shared" si="21"/>
        <v>OPERATIONAL_STATUS:CREATE</v>
      </c>
      <c r="C328" s="4" t="str">
        <f t="shared" si="20"/>
        <v>operational_status creation</v>
      </c>
      <c r="D328" s="4" t="s">
        <v>5773</v>
      </c>
      <c r="E328" s="5" t="s">
        <v>6426</v>
      </c>
      <c r="F328" s="16" t="str">
        <f t="shared" si="22"/>
        <v>(531,'OPERATIONAL_STATUS:CREATE','operational_status creation','OPERATIONAL_STATUS','CREATE'),</v>
      </c>
    </row>
    <row r="329" spans="1:6" ht="20.149999999999999" customHeight="1" x14ac:dyDescent="0.35">
      <c r="A329" s="3">
        <v>532</v>
      </c>
      <c r="B329" s="4" t="str">
        <f t="shared" si="21"/>
        <v>ALLOY:CREATE</v>
      </c>
      <c r="C329" s="4" t="str">
        <f t="shared" si="20"/>
        <v>alloy creation</v>
      </c>
      <c r="D329" s="4" t="s">
        <v>5774</v>
      </c>
      <c r="E329" s="5" t="s">
        <v>6426</v>
      </c>
      <c r="F329" s="16" t="str">
        <f t="shared" si="22"/>
        <v>(532,'ALLOY:CREATE','alloy creation','ALLOY','CREATE'),</v>
      </c>
    </row>
    <row r="330" spans="1:6" ht="20.149999999999999" customHeight="1" x14ac:dyDescent="0.35">
      <c r="A330" s="3">
        <v>533</v>
      </c>
      <c r="B330" s="4" t="str">
        <f t="shared" si="21"/>
        <v>PARTNER:CREATE</v>
      </c>
      <c r="C330" s="4" t="str">
        <f t="shared" ref="C330:C356" si="23">CONCATENATE(LOWER(D330)," creation")</f>
        <v>partner creation</v>
      </c>
      <c r="D330" s="4" t="s">
        <v>5775</v>
      </c>
      <c r="E330" s="5" t="s">
        <v>6426</v>
      </c>
      <c r="F330" s="16" t="str">
        <f t="shared" si="22"/>
        <v>(533,'PARTNER:CREATE','partner creation','PARTNER','CREATE'),</v>
      </c>
    </row>
    <row r="331" spans="1:6" ht="20.149999999999999" customHeight="1" x14ac:dyDescent="0.35">
      <c r="A331" s="3">
        <v>534</v>
      </c>
      <c r="B331" s="4" t="str">
        <f t="shared" si="21"/>
        <v>VENDOR:CREATE</v>
      </c>
      <c r="C331" s="4" t="str">
        <f t="shared" si="23"/>
        <v>vendor creation</v>
      </c>
      <c r="D331" s="4" t="s">
        <v>5776</v>
      </c>
      <c r="E331" s="5" t="s">
        <v>6426</v>
      </c>
      <c r="F331" s="16" t="str">
        <f t="shared" si="22"/>
        <v>(534,'VENDOR:CREATE','vendor creation','VENDOR','CREATE'),</v>
      </c>
    </row>
    <row r="332" spans="1:6" ht="20.149999999999999" customHeight="1" x14ac:dyDescent="0.35">
      <c r="A332" s="3">
        <v>535</v>
      </c>
      <c r="B332" s="4" t="str">
        <f t="shared" si="21"/>
        <v>INFRASTRUCTURE:CREATE</v>
      </c>
      <c r="C332" s="4" t="str">
        <f t="shared" si="23"/>
        <v>infrastructure creation</v>
      </c>
      <c r="D332" s="4" t="s">
        <v>5777</v>
      </c>
      <c r="E332" s="5" t="s">
        <v>6426</v>
      </c>
      <c r="F332" s="16" t="str">
        <f t="shared" si="22"/>
        <v>(535,'INFRASTRUCTURE:CREATE','infrastructure creation','INFRASTRUCTURE','CREATE'),</v>
      </c>
    </row>
    <row r="333" spans="1:6" ht="20.149999999999999" customHeight="1" x14ac:dyDescent="0.35">
      <c r="A333" s="3">
        <v>536</v>
      </c>
      <c r="B333" s="4" t="str">
        <f t="shared" si="21"/>
        <v>FACILITY:CREATE</v>
      </c>
      <c r="C333" s="4" t="str">
        <f t="shared" si="23"/>
        <v>facility creation</v>
      </c>
      <c r="D333" s="4" t="s">
        <v>5778</v>
      </c>
      <c r="E333" s="5" t="s">
        <v>6426</v>
      </c>
      <c r="F333" s="16" t="str">
        <f t="shared" si="22"/>
        <v>(536,'FACILITY:CREATE','facility creation','FACILITY','CREATE'),</v>
      </c>
    </row>
    <row r="334" spans="1:6" ht="20.149999999999999" customHeight="1" x14ac:dyDescent="0.35">
      <c r="A334" s="3">
        <v>537</v>
      </c>
      <c r="B334" s="4" t="str">
        <f t="shared" si="21"/>
        <v>PIPELINE_SYSTEM:CREATE</v>
      </c>
      <c r="C334" s="4" t="str">
        <f t="shared" si="23"/>
        <v>pipeline_system creation</v>
      </c>
      <c r="D334" s="4" t="s">
        <v>5779</v>
      </c>
      <c r="E334" s="5" t="s">
        <v>6426</v>
      </c>
      <c r="F334" s="16" t="str">
        <f t="shared" si="22"/>
        <v>(537,'PIPELINE_SYSTEM:CREATE','pipeline_system creation','PIPELINE_SYSTEM','CREATE'),</v>
      </c>
    </row>
    <row r="335" spans="1:6" ht="20.149999999999999" customHeight="1" x14ac:dyDescent="0.35">
      <c r="A335" s="3">
        <v>538</v>
      </c>
      <c r="B335" s="4" t="str">
        <f t="shared" si="21"/>
        <v>PIPELINE:CREATE</v>
      </c>
      <c r="C335" s="4" t="str">
        <f t="shared" si="23"/>
        <v>pipeline creation</v>
      </c>
      <c r="D335" s="4" t="s">
        <v>5780</v>
      </c>
      <c r="E335" s="5" t="s">
        <v>6426</v>
      </c>
      <c r="F335" s="16" t="str">
        <f t="shared" si="22"/>
        <v>(538,'PIPELINE:CREATE','pipeline creation','PIPELINE','CREATE'),</v>
      </c>
    </row>
    <row r="336" spans="1:6" ht="20.149999999999999" customHeight="1" x14ac:dyDescent="0.35">
      <c r="A336" s="3">
        <v>539</v>
      </c>
      <c r="B336" s="4" t="str">
        <f t="shared" si="21"/>
        <v>PIPELINE_SEGMENT:CREATE</v>
      </c>
      <c r="C336" s="4" t="str">
        <f t="shared" si="23"/>
        <v>pipeline_segment creation</v>
      </c>
      <c r="D336" s="4" t="s">
        <v>5781</v>
      </c>
      <c r="E336" s="5" t="s">
        <v>6426</v>
      </c>
      <c r="F336" s="16" t="str">
        <f t="shared" si="22"/>
        <v>(539,'PIPELINE_SEGMENT:CREATE','pipeline_segment creation','PIPELINE_SEGMENT','CREATE'),</v>
      </c>
    </row>
    <row r="337" spans="1:6" ht="20.149999999999999" customHeight="1" x14ac:dyDescent="0.35">
      <c r="A337" s="3">
        <v>540</v>
      </c>
      <c r="B337" s="4" t="str">
        <f t="shared" si="21"/>
        <v>STATION:CREATE</v>
      </c>
      <c r="C337" s="4" t="str">
        <f t="shared" si="23"/>
        <v>station creation</v>
      </c>
      <c r="D337" s="4" t="s">
        <v>5782</v>
      </c>
      <c r="E337" s="5" t="s">
        <v>6426</v>
      </c>
      <c r="F337" s="16" t="str">
        <f t="shared" si="22"/>
        <v>(540,'STATION:CREATE','station creation','STATION','CREATE'),</v>
      </c>
    </row>
    <row r="338" spans="1:6" ht="20.149999999999999" customHeight="1" x14ac:dyDescent="0.35">
      <c r="A338" s="3">
        <v>541</v>
      </c>
      <c r="B338" s="4" t="str">
        <f t="shared" si="21"/>
        <v>TERMINAL:CREATE</v>
      </c>
      <c r="C338" s="4" t="str">
        <f t="shared" si="23"/>
        <v>terminal creation</v>
      </c>
      <c r="D338" s="4" t="s">
        <v>5783</v>
      </c>
      <c r="E338" s="5" t="s">
        <v>6426</v>
      </c>
      <c r="F338" s="16" t="str">
        <f t="shared" si="22"/>
        <v>(541,'TERMINAL:CREATE','terminal creation','TERMINAL','CREATE'),</v>
      </c>
    </row>
    <row r="339" spans="1:6" ht="20.149999999999999" customHeight="1" x14ac:dyDescent="0.35">
      <c r="A339" s="3">
        <v>542</v>
      </c>
      <c r="B339" s="4" t="str">
        <f t="shared" si="21"/>
        <v>PROCESSING_PLANT:CREATE</v>
      </c>
      <c r="C339" s="4" t="str">
        <f t="shared" si="23"/>
        <v>processing_plant creation</v>
      </c>
      <c r="D339" s="4" t="s">
        <v>5793</v>
      </c>
      <c r="E339" s="5" t="s">
        <v>6426</v>
      </c>
      <c r="F339" s="16" t="str">
        <f t="shared" si="22"/>
        <v>(542,'PROCESSING_PLANT:CREATE','processing_plant creation','PROCESSING_PLANT','CREATE'),</v>
      </c>
    </row>
    <row r="340" spans="1:6" ht="20.149999999999999" customHeight="1" x14ac:dyDescent="0.35">
      <c r="A340" s="3">
        <v>543</v>
      </c>
      <c r="B340" s="4" t="str">
        <f t="shared" si="21"/>
        <v>PRODUCTION_FIELD:CREATE</v>
      </c>
      <c r="C340" s="4" t="str">
        <f t="shared" si="23"/>
        <v>production_field creation</v>
      </c>
      <c r="D340" s="4" t="s">
        <v>5794</v>
      </c>
      <c r="E340" s="5" t="s">
        <v>6426</v>
      </c>
      <c r="F340" s="16" t="str">
        <f t="shared" si="22"/>
        <v>(543,'PRODUCTION_FIELD:CREATE','production_field creation','PRODUCTION_FIELD','CREATE'),</v>
      </c>
    </row>
    <row r="341" spans="1:6" ht="20.149999999999999" customHeight="1" x14ac:dyDescent="0.35">
      <c r="A341" s="3">
        <v>544</v>
      </c>
      <c r="B341" s="4" t="str">
        <f t="shared" si="21"/>
        <v>EQUIPMENT:CREATE</v>
      </c>
      <c r="C341" s="4" t="str">
        <f t="shared" si="23"/>
        <v>equipment creation</v>
      </c>
      <c r="D341" s="4" t="s">
        <v>5784</v>
      </c>
      <c r="E341" s="5" t="s">
        <v>6426</v>
      </c>
      <c r="F341" s="16" t="str">
        <f t="shared" si="22"/>
        <v>(544,'EQUIPMENT:CREATE','equipment creation','EQUIPMENT','CREATE'),</v>
      </c>
    </row>
    <row r="342" spans="1:6" ht="20.149999999999999" customHeight="1" x14ac:dyDescent="0.35">
      <c r="A342" s="3">
        <v>545</v>
      </c>
      <c r="B342" s="4" t="str">
        <f t="shared" si="21"/>
        <v>EVENT_TYPE:CREATE</v>
      </c>
      <c r="C342" s="4" t="str">
        <f t="shared" si="23"/>
        <v>event_type creation</v>
      </c>
      <c r="D342" s="4" t="s">
        <v>6375</v>
      </c>
      <c r="E342" s="5" t="s">
        <v>6426</v>
      </c>
      <c r="F342" s="16" t="str">
        <f t="shared" si="22"/>
        <v>(545,'EVENT_TYPE:CREATE','event_type creation','EVENT_TYPE','CREATE'),</v>
      </c>
    </row>
    <row r="343" spans="1:6" ht="20.149999999999999" customHeight="1" x14ac:dyDescent="0.35">
      <c r="A343" s="3">
        <v>546</v>
      </c>
      <c r="B343" s="4" t="str">
        <f t="shared" si="21"/>
        <v>OPERATION_TYPE:CREATE</v>
      </c>
      <c r="C343" s="4" t="str">
        <f t="shared" si="23"/>
        <v>operation_type creation</v>
      </c>
      <c r="D343" s="4" t="s">
        <v>6374</v>
      </c>
      <c r="E343" s="5" t="s">
        <v>6426</v>
      </c>
      <c r="F343" s="16" t="str">
        <f t="shared" si="22"/>
        <v>(546,'OPERATION_TYPE:CREATE','operation_type creation','OPERATION_TYPE','CREATE'),</v>
      </c>
    </row>
    <row r="344" spans="1:6" ht="20.149999999999999" customHeight="1" x14ac:dyDescent="0.35">
      <c r="A344" s="3">
        <v>547</v>
      </c>
      <c r="B344" s="4" t="str">
        <f t="shared" si="21"/>
        <v>EVENT_STATUS:CREATE</v>
      </c>
      <c r="C344" s="4" t="str">
        <f t="shared" si="23"/>
        <v>event_status creation</v>
      </c>
      <c r="D344" s="4" t="s">
        <v>6378</v>
      </c>
      <c r="E344" s="5" t="s">
        <v>6426</v>
      </c>
      <c r="F344" s="16" t="str">
        <f t="shared" si="22"/>
        <v>(547,'EVENT_STATUS:CREATE','event_status creation','EVENT_STATUS','CREATE'),</v>
      </c>
    </row>
    <row r="345" spans="1:6" ht="20.149999999999999" customHeight="1" x14ac:dyDescent="0.35">
      <c r="A345" s="3">
        <v>548</v>
      </c>
      <c r="B345" s="4" t="str">
        <f t="shared" si="21"/>
        <v>ALERT_STATUS:CREATE</v>
      </c>
      <c r="C345" s="4" t="str">
        <f t="shared" si="23"/>
        <v>alert_status creation</v>
      </c>
      <c r="D345" s="4" t="s">
        <v>6376</v>
      </c>
      <c r="E345" s="45" t="s">
        <v>6426</v>
      </c>
      <c r="F345" s="16" t="str">
        <f t="shared" si="22"/>
        <v>(548,'ALERT_STATUS:CREATE','alert_status creation','ALERT_STATUS','CREATE'),</v>
      </c>
    </row>
    <row r="346" spans="1:6" ht="20.149999999999999" customHeight="1" x14ac:dyDescent="0.35">
      <c r="A346" s="3">
        <v>549</v>
      </c>
      <c r="B346" s="4" t="str">
        <f t="shared" si="21"/>
        <v>SEVERITY:CREATE</v>
      </c>
      <c r="C346" s="4" t="str">
        <f t="shared" si="23"/>
        <v>severity creation</v>
      </c>
      <c r="D346" s="4" t="s">
        <v>6380</v>
      </c>
      <c r="E346" s="5" t="s">
        <v>6426</v>
      </c>
      <c r="F346" s="16" t="str">
        <f t="shared" si="22"/>
        <v>(549,'SEVERITY:CREATE','severity creation','SEVERITY','CREATE'),</v>
      </c>
    </row>
    <row r="347" spans="1:6" ht="20.149999999999999" customHeight="1" x14ac:dyDescent="0.35">
      <c r="A347" s="3">
        <v>550</v>
      </c>
      <c r="B347" s="4" t="str">
        <f t="shared" si="21"/>
        <v>DATA_SOURCE:CREATE</v>
      </c>
      <c r="C347" s="4" t="str">
        <f t="shared" si="23"/>
        <v>data_source creation</v>
      </c>
      <c r="D347" s="4" t="s">
        <v>6377</v>
      </c>
      <c r="E347" s="5" t="s">
        <v>6426</v>
      </c>
      <c r="F347" s="16" t="str">
        <f t="shared" si="22"/>
        <v>(550,'DATA_SOURCE:CREATE','data_source creation','DATA_SOURCE','CREATE'),</v>
      </c>
    </row>
    <row r="348" spans="1:6" ht="20.149999999999999" customHeight="1" x14ac:dyDescent="0.35">
      <c r="A348" s="3">
        <v>551</v>
      </c>
      <c r="B348" s="4" t="str">
        <f t="shared" si="21"/>
        <v>QUALITY_FLAG:CREATE</v>
      </c>
      <c r="C348" s="4" t="str">
        <f t="shared" si="23"/>
        <v>quality_flag creation</v>
      </c>
      <c r="D348" s="4" t="s">
        <v>6379</v>
      </c>
      <c r="E348" s="5" t="s">
        <v>6426</v>
      </c>
      <c r="F348" s="16" t="str">
        <f t="shared" si="22"/>
        <v>(551,'QUALITY_FLAG:CREATE','quality_flag creation','QUALITY_FLAG','CREATE'),</v>
      </c>
    </row>
    <row r="349" spans="1:6" ht="20.149999999999999" customHeight="1" x14ac:dyDescent="0.35">
      <c r="A349" s="3">
        <v>552</v>
      </c>
      <c r="B349" s="4" t="str">
        <f t="shared" si="21"/>
        <v>VALIDATION_STATUS:CREATE</v>
      </c>
      <c r="C349" s="4" t="str">
        <f t="shared" si="23"/>
        <v>validation_status creation</v>
      </c>
      <c r="D349" s="4" t="s">
        <v>6381</v>
      </c>
      <c r="E349" s="5" t="s">
        <v>6426</v>
      </c>
      <c r="F349" s="16" t="str">
        <f t="shared" si="22"/>
        <v>(552,'VALIDATION_STATUS:CREATE','validation_status creation','VALIDATION_STATUS','CREATE'),</v>
      </c>
    </row>
    <row r="350" spans="1:6" ht="20.149999999999999" customHeight="1" x14ac:dyDescent="0.35">
      <c r="A350" s="3">
        <v>553</v>
      </c>
      <c r="B350" s="4" t="str">
        <f t="shared" si="21"/>
        <v>READING_SLOT:CREATE</v>
      </c>
      <c r="C350" s="4" t="str">
        <f t="shared" si="23"/>
        <v>reading_slot creation</v>
      </c>
      <c r="D350" s="4" t="s">
        <v>6382</v>
      </c>
      <c r="E350" s="5" t="s">
        <v>6426</v>
      </c>
      <c r="F350" s="16" t="str">
        <f t="shared" si="22"/>
        <v>(553,'READING_SLOT:CREATE','reading_slot creation','READING_SLOT','CREATE'),</v>
      </c>
    </row>
    <row r="351" spans="1:6" ht="20.149999999999999" customHeight="1" x14ac:dyDescent="0.35">
      <c r="A351" s="3">
        <v>554</v>
      </c>
      <c r="B351" s="4" t="str">
        <f t="shared" si="21"/>
        <v>FLOW_OPERATION:CREATE</v>
      </c>
      <c r="C351" s="4" t="str">
        <f t="shared" si="23"/>
        <v>flow_operation creation</v>
      </c>
      <c r="D351" s="4" t="s">
        <v>6383</v>
      </c>
      <c r="E351" s="5" t="s">
        <v>6426</v>
      </c>
      <c r="F351" s="16" t="str">
        <f t="shared" si="22"/>
        <v>(554,'FLOW_OPERATION:CREATE','flow_operation creation','FLOW_OPERATION','CREATE'),</v>
      </c>
    </row>
    <row r="352" spans="1:6" ht="20.149999999999999" customHeight="1" x14ac:dyDescent="0.35">
      <c r="A352" s="3">
        <v>555</v>
      </c>
      <c r="B352" s="4" t="str">
        <f t="shared" si="21"/>
        <v>FLOW_FORECAST:CREATE</v>
      </c>
      <c r="C352" s="4" t="str">
        <f t="shared" si="23"/>
        <v>flow_forecast creation</v>
      </c>
      <c r="D352" s="4" t="s">
        <v>6384</v>
      </c>
      <c r="E352" s="5" t="s">
        <v>6426</v>
      </c>
      <c r="F352" s="16" t="str">
        <f t="shared" si="22"/>
        <v>(555,'FLOW_FORECAST:CREATE','flow_forecast creation','FLOW_FORECAST','CREATE'),</v>
      </c>
    </row>
    <row r="353" spans="1:6" ht="20.149999999999999" customHeight="1" x14ac:dyDescent="0.35">
      <c r="A353" s="3">
        <v>556</v>
      </c>
      <c r="B353" s="4" t="str">
        <f t="shared" si="21"/>
        <v>FLOW_READING:CREATE</v>
      </c>
      <c r="C353" s="4" t="str">
        <f t="shared" si="23"/>
        <v>flow_reading creation</v>
      </c>
      <c r="D353" s="4" t="s">
        <v>6385</v>
      </c>
      <c r="E353" s="5" t="s">
        <v>6426</v>
      </c>
      <c r="F353" s="16" t="str">
        <f t="shared" si="22"/>
        <v>(556,'FLOW_READING:CREATE','flow_reading creation','FLOW_READING','CREATE'),</v>
      </c>
    </row>
    <row r="354" spans="1:6" ht="20.149999999999999" customHeight="1" x14ac:dyDescent="0.35">
      <c r="A354" s="3">
        <v>557</v>
      </c>
      <c r="B354" s="4" t="str">
        <f t="shared" si="21"/>
        <v>FLOW_EVENT:CREATE</v>
      </c>
      <c r="C354" s="4" t="str">
        <f t="shared" si="23"/>
        <v>flow_event creation</v>
      </c>
      <c r="D354" s="4" t="s">
        <v>6388</v>
      </c>
      <c r="E354" s="5" t="s">
        <v>6426</v>
      </c>
      <c r="F354" s="16" t="str">
        <f t="shared" si="22"/>
        <v>(557,'FLOW_EVENT:CREATE','flow_event creation','FLOW_EVENT','CREATE'),</v>
      </c>
    </row>
    <row r="355" spans="1:6" ht="20.149999999999999" customHeight="1" x14ac:dyDescent="0.35">
      <c r="A355" s="3">
        <v>558</v>
      </c>
      <c r="B355" s="4" t="str">
        <f t="shared" si="21"/>
        <v>FLOW_ALERT:CREATE</v>
      </c>
      <c r="C355" s="4" t="str">
        <f t="shared" si="23"/>
        <v>flow_alert creation</v>
      </c>
      <c r="D355" s="4" t="s">
        <v>6387</v>
      </c>
      <c r="E355" s="5" t="s">
        <v>6426</v>
      </c>
      <c r="F355" s="16" t="str">
        <f t="shared" si="22"/>
        <v>(558,'FLOW_ALERT:CREATE','flow_alert creation','FLOW_ALERT','CREATE'),</v>
      </c>
    </row>
    <row r="356" spans="1:6" ht="20.149999999999999" customHeight="1" x14ac:dyDescent="0.35">
      <c r="A356" s="3">
        <v>559</v>
      </c>
      <c r="B356" s="4" t="str">
        <f t="shared" si="21"/>
        <v>FLOW_THRESHOLD:CREATE</v>
      </c>
      <c r="C356" s="4" t="str">
        <f t="shared" si="23"/>
        <v>flow_threshold creation</v>
      </c>
      <c r="D356" s="4" t="s">
        <v>6386</v>
      </c>
      <c r="E356" s="5" t="s">
        <v>6426</v>
      </c>
      <c r="F356" s="16" t="str">
        <f t="shared" si="22"/>
        <v>(559,'FLOW_THRESHOLD:CREATE','flow_threshold creation','FLOW_THRESHOLD','CREATE'),</v>
      </c>
    </row>
    <row r="357" spans="1:6" ht="20.149999999999999" customHeight="1" x14ac:dyDescent="0.35">
      <c r="A357" s="3">
        <v>601</v>
      </c>
      <c r="B357" s="4" t="str">
        <f t="shared" si="21"/>
        <v>PARAMETER:WRITE</v>
      </c>
      <c r="C357" s="4" t="str">
        <f t="shared" ref="C357:C388" si="24">CONCATENATE(LOWER(D357)," editing")</f>
        <v>parameter editing</v>
      </c>
      <c r="D357" s="4" t="s">
        <v>6371</v>
      </c>
      <c r="E357" s="5" t="s">
        <v>6389</v>
      </c>
      <c r="F357" s="16" t="str">
        <f t="shared" si="22"/>
        <v>(601,'PARAMETER:WRITE','parameter editing','PARAMETER','WRITE'),</v>
      </c>
    </row>
    <row r="358" spans="1:6" ht="20.149999999999999" customHeight="1" x14ac:dyDescent="0.35">
      <c r="A358" s="3">
        <v>602</v>
      </c>
      <c r="B358" s="4" t="str">
        <f t="shared" si="21"/>
        <v>FILE:WRITE</v>
      </c>
      <c r="C358" s="4" t="str">
        <f t="shared" si="24"/>
        <v>file editing</v>
      </c>
      <c r="D358" s="4" t="s">
        <v>6372</v>
      </c>
      <c r="E358" s="5" t="s">
        <v>6389</v>
      </c>
      <c r="F358" s="16" t="str">
        <f t="shared" si="22"/>
        <v>(602,'FILE:WRITE','file editing','FILE','WRITE'),</v>
      </c>
    </row>
    <row r="359" spans="1:6" ht="20.149999999999999" customHeight="1" x14ac:dyDescent="0.35">
      <c r="A359" s="3">
        <v>603</v>
      </c>
      <c r="B359" s="4" t="str">
        <f t="shared" si="21"/>
        <v>GROUP:WRITE</v>
      </c>
      <c r="C359" s="4" t="str">
        <f t="shared" si="24"/>
        <v>group editing</v>
      </c>
      <c r="D359" s="4" t="s">
        <v>5748</v>
      </c>
      <c r="E359" s="5" t="s">
        <v>6389</v>
      </c>
      <c r="F359" s="16" t="str">
        <f t="shared" si="22"/>
        <v>(603,'GROUP:WRITE','group editing','GROUP','WRITE'),</v>
      </c>
    </row>
    <row r="360" spans="1:6" ht="20.149999999999999" customHeight="1" x14ac:dyDescent="0.35">
      <c r="A360" s="3">
        <v>604</v>
      </c>
      <c r="B360" s="4" t="str">
        <f t="shared" si="21"/>
        <v>USER:WRITE</v>
      </c>
      <c r="C360" s="4" t="str">
        <f t="shared" si="24"/>
        <v>user editing</v>
      </c>
      <c r="D360" s="4" t="s">
        <v>5749</v>
      </c>
      <c r="E360" s="5" t="s">
        <v>6389</v>
      </c>
      <c r="F360" s="16" t="str">
        <f t="shared" si="22"/>
        <v>(604,'USER:WRITE','user editing','USER','WRITE'),</v>
      </c>
    </row>
    <row r="361" spans="1:6" ht="20.149999999999999" customHeight="1" x14ac:dyDescent="0.35">
      <c r="A361" s="3">
        <v>605</v>
      </c>
      <c r="B361" s="4" t="str">
        <f t="shared" si="21"/>
        <v>ROLE:WRITE</v>
      </c>
      <c r="C361" s="4" t="str">
        <f t="shared" si="24"/>
        <v>role editing</v>
      </c>
      <c r="D361" s="4" t="s">
        <v>5750</v>
      </c>
      <c r="E361" s="5" t="s">
        <v>6389</v>
      </c>
      <c r="F361" s="16" t="str">
        <f t="shared" si="22"/>
        <v>(605,'ROLE:WRITE','role editing','ROLE','WRITE'),</v>
      </c>
    </row>
    <row r="362" spans="1:6" ht="20.149999999999999" customHeight="1" x14ac:dyDescent="0.35">
      <c r="A362" s="3">
        <v>606</v>
      </c>
      <c r="B362" s="4" t="str">
        <f t="shared" si="21"/>
        <v>PERMISSION:WRITE</v>
      </c>
      <c r="C362" s="4" t="str">
        <f t="shared" si="24"/>
        <v>permission editing</v>
      </c>
      <c r="D362" s="4" t="s">
        <v>5751</v>
      </c>
      <c r="E362" s="5" t="s">
        <v>6389</v>
      </c>
      <c r="F362" s="16" t="str">
        <f t="shared" si="22"/>
        <v>(606,'PERMISSION:WRITE','permission editing','PERMISSION','WRITE'),</v>
      </c>
    </row>
    <row r="363" spans="1:6" ht="20.149999999999999" customHeight="1" x14ac:dyDescent="0.35">
      <c r="A363" s="3">
        <v>607</v>
      </c>
      <c r="B363" s="4" t="str">
        <f t="shared" si="21"/>
        <v>AUTHORITY:WRITE</v>
      </c>
      <c r="C363" s="4" t="str">
        <f t="shared" si="24"/>
        <v>authority editing</v>
      </c>
      <c r="D363" s="4" t="s">
        <v>5752</v>
      </c>
      <c r="E363" s="5" t="s">
        <v>6389</v>
      </c>
      <c r="F363" s="16" t="str">
        <f t="shared" si="22"/>
        <v>(607,'AUTHORITY:WRITE','authority editing','AUTHORITY','WRITE'),</v>
      </c>
    </row>
    <row r="364" spans="1:6" ht="20.149999999999999" customHeight="1" x14ac:dyDescent="0.35">
      <c r="A364" s="3">
        <v>608</v>
      </c>
      <c r="B364" s="4" t="str">
        <f t="shared" si="21"/>
        <v>AUDIT:WRITE</v>
      </c>
      <c r="C364" s="4" t="str">
        <f t="shared" si="24"/>
        <v>audit editing</v>
      </c>
      <c r="D364" s="4" t="s">
        <v>5753</v>
      </c>
      <c r="E364" s="5" t="s">
        <v>6389</v>
      </c>
      <c r="F364" s="16" t="str">
        <f t="shared" si="22"/>
        <v>(608,'AUDIT:WRITE','audit editing','AUDIT','WRITE'),</v>
      </c>
    </row>
    <row r="365" spans="1:6" ht="20.149999999999999" customHeight="1" x14ac:dyDescent="0.35">
      <c r="A365" s="3">
        <v>609</v>
      </c>
      <c r="B365" s="4" t="str">
        <f t="shared" si="21"/>
        <v>STRUCTURE_TYPE:WRITE</v>
      </c>
      <c r="C365" s="4" t="str">
        <f t="shared" si="24"/>
        <v>structure_type editing</v>
      </c>
      <c r="D365" s="4" t="s">
        <v>5758</v>
      </c>
      <c r="E365" s="5" t="s">
        <v>6389</v>
      </c>
      <c r="F365" s="16" t="str">
        <f t="shared" si="22"/>
        <v>(609,'STRUCTURE_TYPE:WRITE','structure_type editing','STRUCTURE_TYPE','WRITE'),</v>
      </c>
    </row>
    <row r="366" spans="1:6" ht="20.149999999999999" customHeight="1" x14ac:dyDescent="0.35">
      <c r="A366" s="3">
        <v>610</v>
      </c>
      <c r="B366" s="4" t="str">
        <f t="shared" si="21"/>
        <v>ZONE:WRITE</v>
      </c>
      <c r="C366" s="4" t="str">
        <f t="shared" si="24"/>
        <v>zone editing</v>
      </c>
      <c r="D366" s="4" t="s">
        <v>5770</v>
      </c>
      <c r="E366" s="5" t="s">
        <v>6389</v>
      </c>
      <c r="F366" s="16" t="str">
        <f t="shared" si="22"/>
        <v>(610,'ZONE:WRITE','zone editing','ZONE','WRITE'),</v>
      </c>
    </row>
    <row r="367" spans="1:6" ht="20.149999999999999" customHeight="1" x14ac:dyDescent="0.35">
      <c r="A367" s="3">
        <v>611</v>
      </c>
      <c r="B367" s="4" t="str">
        <f t="shared" si="21"/>
        <v>COUNTRY:WRITE</v>
      </c>
      <c r="C367" s="4" t="str">
        <f t="shared" si="24"/>
        <v>country editing</v>
      </c>
      <c r="D367" s="4" t="s">
        <v>5755</v>
      </c>
      <c r="E367" s="5" t="s">
        <v>6389</v>
      </c>
      <c r="F367" s="16" t="str">
        <f t="shared" si="22"/>
        <v>(611,'COUNTRY:WRITE','country editing','COUNTRY','WRITE'),</v>
      </c>
    </row>
    <row r="368" spans="1:6" ht="20.149999999999999" customHeight="1" x14ac:dyDescent="0.35">
      <c r="A368" s="3">
        <v>612</v>
      </c>
      <c r="B368" s="4" t="str">
        <f t="shared" ref="B368:B426" si="25">CONCATENATE(D368,":",E368)</f>
        <v>STATE:WRITE</v>
      </c>
      <c r="C368" s="4" t="str">
        <f t="shared" si="24"/>
        <v>state editing</v>
      </c>
      <c r="D368" s="4" t="s">
        <v>5756</v>
      </c>
      <c r="E368" s="5" t="s">
        <v>6389</v>
      </c>
      <c r="F368" s="16" t="str">
        <f t="shared" si="22"/>
        <v>(612,'STATE:WRITE','state editing','STATE','WRITE'),</v>
      </c>
    </row>
    <row r="369" spans="1:6" ht="20.149999999999999" customHeight="1" x14ac:dyDescent="0.35">
      <c r="A369" s="3">
        <v>613</v>
      </c>
      <c r="B369" s="4" t="str">
        <f t="shared" si="25"/>
        <v>DISTRICT:WRITE</v>
      </c>
      <c r="C369" s="4" t="str">
        <f t="shared" si="24"/>
        <v>district editing</v>
      </c>
      <c r="D369" s="4" t="s">
        <v>5790</v>
      </c>
      <c r="E369" s="5" t="s">
        <v>6389</v>
      </c>
      <c r="F369" s="16" t="str">
        <f t="shared" si="22"/>
        <v>(613,'DISTRICT:WRITE','district editing','DISTRICT','WRITE'),</v>
      </c>
    </row>
    <row r="370" spans="1:6" ht="20.149999999999999" customHeight="1" x14ac:dyDescent="0.35">
      <c r="A370" s="3">
        <v>614</v>
      </c>
      <c r="B370" s="4" t="str">
        <f t="shared" si="25"/>
        <v>LOCALITY:WRITE</v>
      </c>
      <c r="C370" s="4" t="str">
        <f t="shared" si="24"/>
        <v>locality editing</v>
      </c>
      <c r="D370" s="4" t="s">
        <v>5757</v>
      </c>
      <c r="E370" s="5" t="s">
        <v>6389</v>
      </c>
      <c r="F370" s="16" t="str">
        <f t="shared" si="22"/>
        <v>(614,'LOCALITY:WRITE','locality editing','LOCALITY','WRITE'),</v>
      </c>
    </row>
    <row r="371" spans="1:6" ht="20.149999999999999" customHeight="1" x14ac:dyDescent="0.35">
      <c r="A371" s="3">
        <v>615</v>
      </c>
      <c r="B371" s="4" t="str">
        <f t="shared" si="25"/>
        <v>LOCATION:WRITE</v>
      </c>
      <c r="C371" s="4" t="str">
        <f t="shared" si="24"/>
        <v>location editing</v>
      </c>
      <c r="D371" s="4" t="s">
        <v>5771</v>
      </c>
      <c r="E371" s="5" t="s">
        <v>6389</v>
      </c>
      <c r="F371" s="16" t="str">
        <f t="shared" si="22"/>
        <v>(615,'LOCATION:WRITE','location editing','LOCATION','WRITE'),</v>
      </c>
    </row>
    <row r="372" spans="1:6" ht="20.149999999999999" customHeight="1" x14ac:dyDescent="0.35">
      <c r="A372" s="3">
        <v>616</v>
      </c>
      <c r="B372" s="4" t="str">
        <f t="shared" si="25"/>
        <v>COORDINATE:WRITE</v>
      </c>
      <c r="C372" s="4" t="str">
        <f t="shared" si="24"/>
        <v>coordinate editing</v>
      </c>
      <c r="D372" s="4" t="s">
        <v>6373</v>
      </c>
      <c r="E372" s="5" t="s">
        <v>6389</v>
      </c>
      <c r="F372" s="16" t="str">
        <f t="shared" si="22"/>
        <v>(616,'COORDINATE:WRITE','coordinate editing','COORDINATE','WRITE'),</v>
      </c>
    </row>
    <row r="373" spans="1:6" ht="20.149999999999999" customHeight="1" x14ac:dyDescent="0.35">
      <c r="A373" s="3">
        <v>617</v>
      </c>
      <c r="B373" s="4" t="str">
        <f t="shared" si="25"/>
        <v>STRUCTURE:WRITE</v>
      </c>
      <c r="C373" s="4" t="str">
        <f t="shared" si="24"/>
        <v>structure editing</v>
      </c>
      <c r="D373" s="4" t="s">
        <v>5759</v>
      </c>
      <c r="E373" s="5" t="s">
        <v>6389</v>
      </c>
      <c r="F373" s="16" t="str">
        <f t="shared" si="22"/>
        <v>(617,'STRUCTURE:WRITE','structure editing','STRUCTURE','WRITE'),</v>
      </c>
    </row>
    <row r="374" spans="1:6" ht="20.149999999999999" customHeight="1" x14ac:dyDescent="0.35">
      <c r="A374" s="3">
        <v>618</v>
      </c>
      <c r="B374" s="4" t="str">
        <f t="shared" si="25"/>
        <v>JOB:WRITE</v>
      </c>
      <c r="C374" s="4" t="str">
        <f t="shared" si="24"/>
        <v>job editing</v>
      </c>
      <c r="D374" s="4" t="s">
        <v>5760</v>
      </c>
      <c r="E374" s="5" t="s">
        <v>6389</v>
      </c>
      <c r="F374" s="16" t="str">
        <f t="shared" si="22"/>
        <v>(618,'JOB:WRITE','job editing','JOB','WRITE'),</v>
      </c>
    </row>
    <row r="375" spans="1:6" ht="20.149999999999999" customHeight="1" x14ac:dyDescent="0.35">
      <c r="A375" s="3">
        <v>619</v>
      </c>
      <c r="B375" s="4" t="str">
        <f t="shared" si="25"/>
        <v>PERSON:WRITE</v>
      </c>
      <c r="C375" s="4" t="str">
        <f t="shared" si="24"/>
        <v>person editing</v>
      </c>
      <c r="D375" s="4" t="s">
        <v>5761</v>
      </c>
      <c r="E375" s="5" t="s">
        <v>6389</v>
      </c>
      <c r="F375" s="16" t="str">
        <f t="shared" si="22"/>
        <v>(619,'PERSON:WRITE','person editing','PERSON','WRITE'),</v>
      </c>
    </row>
    <row r="376" spans="1:6" ht="20.149999999999999" customHeight="1" x14ac:dyDescent="0.35">
      <c r="A376" s="3">
        <v>620</v>
      </c>
      <c r="B376" s="4" t="str">
        <f t="shared" si="25"/>
        <v>EMPLOYEE:WRITE</v>
      </c>
      <c r="C376" s="4" t="str">
        <f t="shared" si="24"/>
        <v>employee editing</v>
      </c>
      <c r="D376" s="4" t="s">
        <v>5762</v>
      </c>
      <c r="E376" s="5" t="s">
        <v>6389</v>
      </c>
      <c r="F376" s="16" t="str">
        <f t="shared" si="22"/>
        <v>(620,'EMPLOYEE:WRITE','employee editing','EMPLOYEE','WRITE'),</v>
      </c>
    </row>
    <row r="377" spans="1:6" ht="20.149999999999999" customHeight="1" x14ac:dyDescent="0.35">
      <c r="A377" s="3">
        <v>621</v>
      </c>
      <c r="B377" s="4" t="str">
        <f t="shared" si="25"/>
        <v>COMPANY_TYPE:WRITE</v>
      </c>
      <c r="C377" s="4" t="str">
        <f t="shared" si="24"/>
        <v>company_type editing</v>
      </c>
      <c r="D377" s="4" t="s">
        <v>5763</v>
      </c>
      <c r="E377" s="5" t="s">
        <v>6389</v>
      </c>
      <c r="F377" s="16" t="str">
        <f t="shared" si="22"/>
        <v>(621,'COMPANY_TYPE:WRITE','company_type editing','COMPANY_TYPE','WRITE'),</v>
      </c>
    </row>
    <row r="378" spans="1:6" ht="20.149999999999999" customHeight="1" x14ac:dyDescent="0.35">
      <c r="A378" s="3">
        <v>622</v>
      </c>
      <c r="B378" s="4" t="str">
        <f t="shared" si="25"/>
        <v>PARTNER_TYPE:WRITE</v>
      </c>
      <c r="C378" s="4" t="str">
        <f t="shared" si="24"/>
        <v>partner_type editing</v>
      </c>
      <c r="D378" s="4" t="s">
        <v>5764</v>
      </c>
      <c r="E378" s="5" t="s">
        <v>6389</v>
      </c>
      <c r="F378" s="16" t="str">
        <f t="shared" si="22"/>
        <v>(622,'PARTNER_TYPE:WRITE','partner_type editing','PARTNER_TYPE','WRITE'),</v>
      </c>
    </row>
    <row r="379" spans="1:6" ht="20.149999999999999" customHeight="1" x14ac:dyDescent="0.35">
      <c r="A379" s="3">
        <v>623</v>
      </c>
      <c r="B379" s="4" t="str">
        <f t="shared" si="25"/>
        <v>VENDOR_TYPE:WRITE</v>
      </c>
      <c r="C379" s="4" t="str">
        <f t="shared" si="24"/>
        <v>vendor_type editing</v>
      </c>
      <c r="D379" s="4" t="s">
        <v>5765</v>
      </c>
      <c r="E379" s="5" t="s">
        <v>6389</v>
      </c>
      <c r="F379" s="16" t="str">
        <f t="shared" si="22"/>
        <v>(623,'VENDOR_TYPE:WRITE','vendor_type editing','VENDOR_TYPE','WRITE'),</v>
      </c>
    </row>
    <row r="380" spans="1:6" ht="20.149999999999999" customHeight="1" x14ac:dyDescent="0.35">
      <c r="A380" s="3">
        <v>624</v>
      </c>
      <c r="B380" s="4" t="str">
        <f t="shared" si="25"/>
        <v>FACILITY_TYPE:WRITE</v>
      </c>
      <c r="C380" s="4" t="str">
        <f t="shared" si="24"/>
        <v>facility_type editing</v>
      </c>
      <c r="D380" s="4" t="s">
        <v>5766</v>
      </c>
      <c r="E380" s="5" t="s">
        <v>6389</v>
      </c>
      <c r="F380" s="16" t="str">
        <f t="shared" si="22"/>
        <v>(624,'FACILITY_TYPE:WRITE','facility_type editing','FACILITY_TYPE','WRITE'),</v>
      </c>
    </row>
    <row r="381" spans="1:6" ht="20.149999999999999" customHeight="1" x14ac:dyDescent="0.35">
      <c r="A381" s="3">
        <v>625</v>
      </c>
      <c r="B381" s="4" t="str">
        <f t="shared" si="25"/>
        <v>STATION_TYPE:WRITE</v>
      </c>
      <c r="C381" s="4" t="str">
        <f t="shared" si="24"/>
        <v>station_type editing</v>
      </c>
      <c r="D381" s="4" t="s">
        <v>5767</v>
      </c>
      <c r="E381" s="5" t="s">
        <v>6389</v>
      </c>
      <c r="F381" s="16" t="str">
        <f t="shared" si="22"/>
        <v>(625,'STATION_TYPE:WRITE','station_type editing','STATION_TYPE','WRITE'),</v>
      </c>
    </row>
    <row r="382" spans="1:6" ht="20.149999999999999" customHeight="1" x14ac:dyDescent="0.35">
      <c r="A382" s="3">
        <v>626</v>
      </c>
      <c r="B382" s="4" t="str">
        <f t="shared" si="25"/>
        <v>TERMINAL_TYPE:WRITE</v>
      </c>
      <c r="C382" s="4" t="str">
        <f t="shared" si="24"/>
        <v>terminal_type editing</v>
      </c>
      <c r="D382" s="4" t="s">
        <v>5768</v>
      </c>
      <c r="E382" s="5" t="s">
        <v>6389</v>
      </c>
      <c r="F382" s="16" t="str">
        <f t="shared" si="22"/>
        <v>(626,'TERMINAL_TYPE:WRITE','terminal_type editing','TERMINAL_TYPE','WRITE'),</v>
      </c>
    </row>
    <row r="383" spans="1:6" ht="20.149999999999999" customHeight="1" x14ac:dyDescent="0.35">
      <c r="A383" s="3">
        <v>627</v>
      </c>
      <c r="B383" s="4" t="str">
        <f t="shared" si="25"/>
        <v>PROCESSING_PLANT_TYPE:WRITE</v>
      </c>
      <c r="C383" s="4" t="str">
        <f t="shared" si="24"/>
        <v>processing_plant_type editing</v>
      </c>
      <c r="D383" s="4" t="s">
        <v>5791</v>
      </c>
      <c r="E383" s="5" t="s">
        <v>6389</v>
      </c>
      <c r="F383" s="16" t="str">
        <f t="shared" si="22"/>
        <v>(627,'PROCESSING_PLANT_TYPE:WRITE','processing_plant_type editing','PROCESSING_PLANT_TYPE','WRITE'),</v>
      </c>
    </row>
    <row r="384" spans="1:6" ht="20.149999999999999" customHeight="1" x14ac:dyDescent="0.35">
      <c r="A384" s="3">
        <v>628</v>
      </c>
      <c r="B384" s="4" t="str">
        <f t="shared" si="25"/>
        <v>PRODUCTION_FIELD_TYPE:WRITE</v>
      </c>
      <c r="C384" s="4" t="str">
        <f t="shared" si="24"/>
        <v>production_field_type editing</v>
      </c>
      <c r="D384" s="4" t="s">
        <v>5792</v>
      </c>
      <c r="E384" s="5" t="s">
        <v>6389</v>
      </c>
      <c r="F384" s="16" t="str">
        <f t="shared" si="22"/>
        <v>(628,'PRODUCTION_FIELD_TYPE:WRITE','production_field_type editing','PRODUCTION_FIELD_TYPE','WRITE'),</v>
      </c>
    </row>
    <row r="385" spans="1:6" ht="20.149999999999999" customHeight="1" x14ac:dyDescent="0.35">
      <c r="A385" s="3">
        <v>629</v>
      </c>
      <c r="B385" s="4" t="str">
        <f t="shared" si="25"/>
        <v>EQUIPMENT_TYPE:WRITE</v>
      </c>
      <c r="C385" s="4" t="str">
        <f t="shared" si="24"/>
        <v>equipment_type editing</v>
      </c>
      <c r="D385" s="4" t="s">
        <v>5769</v>
      </c>
      <c r="E385" s="5" t="s">
        <v>6389</v>
      </c>
      <c r="F385" s="16" t="str">
        <f t="shared" si="22"/>
        <v>(629,'EQUIPMENT_TYPE:WRITE','equipment_type editing','EQUIPMENT_TYPE','WRITE'),</v>
      </c>
    </row>
    <row r="386" spans="1:6" ht="20.149999999999999" customHeight="1" x14ac:dyDescent="0.35">
      <c r="A386" s="3">
        <v>630</v>
      </c>
      <c r="B386" s="4" t="str">
        <f t="shared" si="25"/>
        <v>PRODUCT:WRITE</v>
      </c>
      <c r="C386" s="4" t="str">
        <f t="shared" si="24"/>
        <v>product editing</v>
      </c>
      <c r="D386" s="4" t="s">
        <v>5772</v>
      </c>
      <c r="E386" s="5" t="s">
        <v>6389</v>
      </c>
      <c r="F386" s="16" t="str">
        <f t="shared" si="22"/>
        <v>(630,'PRODUCT:WRITE','product editing','PRODUCT','WRITE'),</v>
      </c>
    </row>
    <row r="387" spans="1:6" ht="20.149999999999999" customHeight="1" x14ac:dyDescent="0.35">
      <c r="A387" s="3">
        <v>631</v>
      </c>
      <c r="B387" s="4" t="str">
        <f t="shared" si="25"/>
        <v>OPERATIONAL_STATUS:WRITE</v>
      </c>
      <c r="C387" s="4" t="str">
        <f t="shared" si="24"/>
        <v>operational_status editing</v>
      </c>
      <c r="D387" s="4" t="s">
        <v>5773</v>
      </c>
      <c r="E387" s="5" t="s">
        <v>6389</v>
      </c>
      <c r="F387" s="16" t="str">
        <f t="shared" ref="F387:F450" si="26">CONCATENATE("(",A387,",'",B387,"','",C387,"','",D387,"','",E387,"'),")</f>
        <v>(631,'OPERATIONAL_STATUS:WRITE','operational_status editing','OPERATIONAL_STATUS','WRITE'),</v>
      </c>
    </row>
    <row r="388" spans="1:6" ht="20.149999999999999" customHeight="1" x14ac:dyDescent="0.35">
      <c r="A388" s="3">
        <v>632</v>
      </c>
      <c r="B388" s="4" t="str">
        <f t="shared" si="25"/>
        <v>ALLOY:WRITE</v>
      </c>
      <c r="C388" s="4" t="str">
        <f t="shared" si="24"/>
        <v>alloy editing</v>
      </c>
      <c r="D388" s="4" t="s">
        <v>5774</v>
      </c>
      <c r="E388" s="5" t="s">
        <v>6389</v>
      </c>
      <c r="F388" s="16" t="str">
        <f t="shared" si="26"/>
        <v>(632,'ALLOY:WRITE','alloy editing','ALLOY','WRITE'),</v>
      </c>
    </row>
    <row r="389" spans="1:6" ht="20.149999999999999" customHeight="1" x14ac:dyDescent="0.35">
      <c r="A389" s="3">
        <v>633</v>
      </c>
      <c r="B389" s="4" t="str">
        <f t="shared" si="25"/>
        <v>PARTNER:WRITE</v>
      </c>
      <c r="C389" s="4" t="str">
        <f t="shared" ref="C389:C415" si="27">CONCATENATE(LOWER(D389)," editing")</f>
        <v>partner editing</v>
      </c>
      <c r="D389" s="4" t="s">
        <v>5775</v>
      </c>
      <c r="E389" s="5" t="s">
        <v>6389</v>
      </c>
      <c r="F389" s="16" t="str">
        <f t="shared" si="26"/>
        <v>(633,'PARTNER:WRITE','partner editing','PARTNER','WRITE'),</v>
      </c>
    </row>
    <row r="390" spans="1:6" ht="20.149999999999999" customHeight="1" x14ac:dyDescent="0.35">
      <c r="A390" s="3">
        <v>634</v>
      </c>
      <c r="B390" s="4" t="str">
        <f t="shared" si="25"/>
        <v>VENDOR:WRITE</v>
      </c>
      <c r="C390" s="4" t="str">
        <f t="shared" si="27"/>
        <v>vendor editing</v>
      </c>
      <c r="D390" s="4" t="s">
        <v>5776</v>
      </c>
      <c r="E390" s="5" t="s">
        <v>6389</v>
      </c>
      <c r="F390" s="16" t="str">
        <f t="shared" si="26"/>
        <v>(634,'VENDOR:WRITE','vendor editing','VENDOR','WRITE'),</v>
      </c>
    </row>
    <row r="391" spans="1:6" ht="20.149999999999999" customHeight="1" x14ac:dyDescent="0.35">
      <c r="A391" s="3">
        <v>635</v>
      </c>
      <c r="B391" s="4" t="str">
        <f t="shared" si="25"/>
        <v>INFRASTRUCTURE:WRITE</v>
      </c>
      <c r="C391" s="4" t="str">
        <f t="shared" si="27"/>
        <v>infrastructure editing</v>
      </c>
      <c r="D391" s="4" t="s">
        <v>5777</v>
      </c>
      <c r="E391" s="5" t="s">
        <v>6389</v>
      </c>
      <c r="F391" s="16" t="str">
        <f t="shared" si="26"/>
        <v>(635,'INFRASTRUCTURE:WRITE','infrastructure editing','INFRASTRUCTURE','WRITE'),</v>
      </c>
    </row>
    <row r="392" spans="1:6" ht="20.149999999999999" customHeight="1" x14ac:dyDescent="0.35">
      <c r="A392" s="3">
        <v>636</v>
      </c>
      <c r="B392" s="4" t="str">
        <f t="shared" si="25"/>
        <v>FACILITY:WRITE</v>
      </c>
      <c r="C392" s="4" t="str">
        <f t="shared" si="27"/>
        <v>facility editing</v>
      </c>
      <c r="D392" s="4" t="s">
        <v>5778</v>
      </c>
      <c r="E392" s="5" t="s">
        <v>6389</v>
      </c>
      <c r="F392" s="16" t="str">
        <f t="shared" si="26"/>
        <v>(636,'FACILITY:WRITE','facility editing','FACILITY','WRITE'),</v>
      </c>
    </row>
    <row r="393" spans="1:6" ht="20.149999999999999" customHeight="1" x14ac:dyDescent="0.35">
      <c r="A393" s="3">
        <v>637</v>
      </c>
      <c r="B393" s="4" t="str">
        <f t="shared" si="25"/>
        <v>PIPELINE_SYSTEM:WRITE</v>
      </c>
      <c r="C393" s="4" t="str">
        <f t="shared" si="27"/>
        <v>pipeline_system editing</v>
      </c>
      <c r="D393" s="4" t="s">
        <v>5779</v>
      </c>
      <c r="E393" s="5" t="s">
        <v>6389</v>
      </c>
      <c r="F393" s="16" t="str">
        <f t="shared" si="26"/>
        <v>(637,'PIPELINE_SYSTEM:WRITE','pipeline_system editing','PIPELINE_SYSTEM','WRITE'),</v>
      </c>
    </row>
    <row r="394" spans="1:6" ht="20.149999999999999" customHeight="1" x14ac:dyDescent="0.35">
      <c r="A394" s="3">
        <v>638</v>
      </c>
      <c r="B394" s="4" t="str">
        <f t="shared" si="25"/>
        <v>PIPELINE:WRITE</v>
      </c>
      <c r="C394" s="4" t="str">
        <f t="shared" si="27"/>
        <v>pipeline editing</v>
      </c>
      <c r="D394" s="4" t="s">
        <v>5780</v>
      </c>
      <c r="E394" s="5" t="s">
        <v>6389</v>
      </c>
      <c r="F394" s="16" t="str">
        <f t="shared" si="26"/>
        <v>(638,'PIPELINE:WRITE','pipeline editing','PIPELINE','WRITE'),</v>
      </c>
    </row>
    <row r="395" spans="1:6" ht="20.149999999999999" customHeight="1" x14ac:dyDescent="0.35">
      <c r="A395" s="3">
        <v>639</v>
      </c>
      <c r="B395" s="4" t="str">
        <f t="shared" si="25"/>
        <v>PIPELINE_SEGMENT:WRITE</v>
      </c>
      <c r="C395" s="4" t="str">
        <f t="shared" si="27"/>
        <v>pipeline_segment editing</v>
      </c>
      <c r="D395" s="4" t="s">
        <v>5781</v>
      </c>
      <c r="E395" s="5" t="s">
        <v>6389</v>
      </c>
      <c r="F395" s="16" t="str">
        <f t="shared" si="26"/>
        <v>(639,'PIPELINE_SEGMENT:WRITE','pipeline_segment editing','PIPELINE_SEGMENT','WRITE'),</v>
      </c>
    </row>
    <row r="396" spans="1:6" ht="20.149999999999999" customHeight="1" x14ac:dyDescent="0.35">
      <c r="A396" s="3">
        <v>640</v>
      </c>
      <c r="B396" s="4" t="str">
        <f t="shared" si="25"/>
        <v>STATION:WRITE</v>
      </c>
      <c r="C396" s="4" t="str">
        <f t="shared" si="27"/>
        <v>station editing</v>
      </c>
      <c r="D396" s="4" t="s">
        <v>5782</v>
      </c>
      <c r="E396" s="5" t="s">
        <v>6389</v>
      </c>
      <c r="F396" s="16" t="str">
        <f t="shared" si="26"/>
        <v>(640,'STATION:WRITE','station editing','STATION','WRITE'),</v>
      </c>
    </row>
    <row r="397" spans="1:6" ht="20.149999999999999" customHeight="1" x14ac:dyDescent="0.35">
      <c r="A397" s="3">
        <v>641</v>
      </c>
      <c r="B397" s="4" t="str">
        <f t="shared" si="25"/>
        <v>TERMINAL:WRITE</v>
      </c>
      <c r="C397" s="4" t="str">
        <f t="shared" si="27"/>
        <v>terminal editing</v>
      </c>
      <c r="D397" s="4" t="s">
        <v>5783</v>
      </c>
      <c r="E397" s="5" t="s">
        <v>6389</v>
      </c>
      <c r="F397" s="16" t="str">
        <f t="shared" si="26"/>
        <v>(641,'TERMINAL:WRITE','terminal editing','TERMINAL','WRITE'),</v>
      </c>
    </row>
    <row r="398" spans="1:6" ht="20.149999999999999" customHeight="1" x14ac:dyDescent="0.35">
      <c r="A398" s="3">
        <v>642</v>
      </c>
      <c r="B398" s="4" t="str">
        <f t="shared" si="25"/>
        <v>PROCESSING_PLANT:WRITE</v>
      </c>
      <c r="C398" s="4" t="str">
        <f t="shared" si="27"/>
        <v>processing_plant editing</v>
      </c>
      <c r="D398" s="4" t="s">
        <v>5793</v>
      </c>
      <c r="E398" s="5" t="s">
        <v>6389</v>
      </c>
      <c r="F398" s="16" t="str">
        <f t="shared" si="26"/>
        <v>(642,'PROCESSING_PLANT:WRITE','processing_plant editing','PROCESSING_PLANT','WRITE'),</v>
      </c>
    </row>
    <row r="399" spans="1:6" ht="20.149999999999999" customHeight="1" x14ac:dyDescent="0.35">
      <c r="A399" s="3">
        <v>643</v>
      </c>
      <c r="B399" s="4" t="str">
        <f t="shared" si="25"/>
        <v>PRODUCTION_FIELD:WRITE</v>
      </c>
      <c r="C399" s="4" t="str">
        <f t="shared" si="27"/>
        <v>production_field editing</v>
      </c>
      <c r="D399" s="4" t="s">
        <v>5794</v>
      </c>
      <c r="E399" s="5" t="s">
        <v>6389</v>
      </c>
      <c r="F399" s="16" t="str">
        <f t="shared" si="26"/>
        <v>(643,'PRODUCTION_FIELD:WRITE','production_field editing','PRODUCTION_FIELD','WRITE'),</v>
      </c>
    </row>
    <row r="400" spans="1:6" ht="20.149999999999999" customHeight="1" x14ac:dyDescent="0.35">
      <c r="A400" s="3">
        <v>644</v>
      </c>
      <c r="B400" s="4" t="str">
        <f t="shared" si="25"/>
        <v>EQUIPMENT:WRITE</v>
      </c>
      <c r="C400" s="4" t="str">
        <f t="shared" si="27"/>
        <v>equipment editing</v>
      </c>
      <c r="D400" s="4" t="s">
        <v>5784</v>
      </c>
      <c r="E400" s="5" t="s">
        <v>6389</v>
      </c>
      <c r="F400" s="16" t="str">
        <f t="shared" si="26"/>
        <v>(644,'EQUIPMENT:WRITE','equipment editing','EQUIPMENT','WRITE'),</v>
      </c>
    </row>
    <row r="401" spans="1:6" ht="20.149999999999999" customHeight="1" x14ac:dyDescent="0.35">
      <c r="A401" s="3">
        <v>645</v>
      </c>
      <c r="B401" s="4" t="str">
        <f t="shared" si="25"/>
        <v>EVENT_TYPE:WRITE</v>
      </c>
      <c r="C401" s="4" t="str">
        <f t="shared" si="27"/>
        <v>event_type editing</v>
      </c>
      <c r="D401" s="4" t="s">
        <v>6375</v>
      </c>
      <c r="E401" s="5" t="s">
        <v>6389</v>
      </c>
      <c r="F401" s="16" t="str">
        <f t="shared" si="26"/>
        <v>(645,'EVENT_TYPE:WRITE','event_type editing','EVENT_TYPE','WRITE'),</v>
      </c>
    </row>
    <row r="402" spans="1:6" ht="20.149999999999999" customHeight="1" x14ac:dyDescent="0.35">
      <c r="A402" s="3">
        <v>646</v>
      </c>
      <c r="B402" s="4" t="str">
        <f t="shared" si="25"/>
        <v>OPERATION_TYPE:WRITE</v>
      </c>
      <c r="C402" s="4" t="str">
        <f t="shared" si="27"/>
        <v>operation_type editing</v>
      </c>
      <c r="D402" s="4" t="s">
        <v>6374</v>
      </c>
      <c r="E402" s="5" t="s">
        <v>6389</v>
      </c>
      <c r="F402" s="16" t="str">
        <f t="shared" si="26"/>
        <v>(646,'OPERATION_TYPE:WRITE','operation_type editing','OPERATION_TYPE','WRITE'),</v>
      </c>
    </row>
    <row r="403" spans="1:6" ht="20.149999999999999" customHeight="1" x14ac:dyDescent="0.35">
      <c r="A403" s="3">
        <v>647</v>
      </c>
      <c r="B403" s="4" t="str">
        <f t="shared" si="25"/>
        <v>EVENT_STATUS:WRITE</v>
      </c>
      <c r="C403" s="4" t="str">
        <f t="shared" si="27"/>
        <v>event_status editing</v>
      </c>
      <c r="D403" s="4" t="s">
        <v>6378</v>
      </c>
      <c r="E403" s="5" t="s">
        <v>6389</v>
      </c>
      <c r="F403" s="16" t="str">
        <f t="shared" si="26"/>
        <v>(647,'EVENT_STATUS:WRITE','event_status editing','EVENT_STATUS','WRITE'),</v>
      </c>
    </row>
    <row r="404" spans="1:6" ht="20.149999999999999" customHeight="1" x14ac:dyDescent="0.35">
      <c r="A404" s="3">
        <v>648</v>
      </c>
      <c r="B404" s="4" t="str">
        <f t="shared" si="25"/>
        <v>ALERT_STATUS:WRITE</v>
      </c>
      <c r="C404" s="4" t="str">
        <f t="shared" si="27"/>
        <v>alert_status editing</v>
      </c>
      <c r="D404" s="4" t="s">
        <v>6376</v>
      </c>
      <c r="E404" s="45" t="s">
        <v>6389</v>
      </c>
      <c r="F404" s="16" t="str">
        <f t="shared" si="26"/>
        <v>(648,'ALERT_STATUS:WRITE','alert_status editing','ALERT_STATUS','WRITE'),</v>
      </c>
    </row>
    <row r="405" spans="1:6" ht="20.149999999999999" customHeight="1" x14ac:dyDescent="0.35">
      <c r="A405" s="3">
        <v>649</v>
      </c>
      <c r="B405" s="4" t="str">
        <f t="shared" si="25"/>
        <v>SEVERITY:WRITE</v>
      </c>
      <c r="C405" s="4" t="str">
        <f t="shared" si="27"/>
        <v>severity editing</v>
      </c>
      <c r="D405" s="4" t="s">
        <v>6380</v>
      </c>
      <c r="E405" s="5" t="s">
        <v>6389</v>
      </c>
      <c r="F405" s="16" t="str">
        <f t="shared" si="26"/>
        <v>(649,'SEVERITY:WRITE','severity editing','SEVERITY','WRITE'),</v>
      </c>
    </row>
    <row r="406" spans="1:6" ht="20.149999999999999" customHeight="1" x14ac:dyDescent="0.35">
      <c r="A406" s="3">
        <v>650</v>
      </c>
      <c r="B406" s="4" t="str">
        <f t="shared" si="25"/>
        <v>DATA_SOURCE:WRITE</v>
      </c>
      <c r="C406" s="4" t="str">
        <f t="shared" si="27"/>
        <v>data_source editing</v>
      </c>
      <c r="D406" s="4" t="s">
        <v>6377</v>
      </c>
      <c r="E406" s="5" t="s">
        <v>6389</v>
      </c>
      <c r="F406" s="16" t="str">
        <f t="shared" si="26"/>
        <v>(650,'DATA_SOURCE:WRITE','data_source editing','DATA_SOURCE','WRITE'),</v>
      </c>
    </row>
    <row r="407" spans="1:6" ht="20.149999999999999" customHeight="1" x14ac:dyDescent="0.35">
      <c r="A407" s="3">
        <v>651</v>
      </c>
      <c r="B407" s="4" t="str">
        <f t="shared" si="25"/>
        <v>QUALITY_FLAG:WRITE</v>
      </c>
      <c r="C407" s="4" t="str">
        <f t="shared" si="27"/>
        <v>quality_flag editing</v>
      </c>
      <c r="D407" s="4" t="s">
        <v>6379</v>
      </c>
      <c r="E407" s="5" t="s">
        <v>6389</v>
      </c>
      <c r="F407" s="16" t="str">
        <f t="shared" si="26"/>
        <v>(651,'QUALITY_FLAG:WRITE','quality_flag editing','QUALITY_FLAG','WRITE'),</v>
      </c>
    </row>
    <row r="408" spans="1:6" ht="20.149999999999999" customHeight="1" x14ac:dyDescent="0.35">
      <c r="A408" s="3">
        <v>652</v>
      </c>
      <c r="B408" s="4" t="str">
        <f t="shared" si="25"/>
        <v>VALIDATION_STATUS:WRITE</v>
      </c>
      <c r="C408" s="4" t="str">
        <f t="shared" si="27"/>
        <v>validation_status editing</v>
      </c>
      <c r="D408" s="4" t="s">
        <v>6381</v>
      </c>
      <c r="E408" s="5" t="s">
        <v>6389</v>
      </c>
      <c r="F408" s="16" t="str">
        <f t="shared" si="26"/>
        <v>(652,'VALIDATION_STATUS:WRITE','validation_status editing','VALIDATION_STATUS','WRITE'),</v>
      </c>
    </row>
    <row r="409" spans="1:6" ht="20.149999999999999" customHeight="1" x14ac:dyDescent="0.35">
      <c r="A409" s="3">
        <v>653</v>
      </c>
      <c r="B409" s="4" t="str">
        <f t="shared" si="25"/>
        <v>READING_SLOT:WRITE</v>
      </c>
      <c r="C409" s="4" t="str">
        <f t="shared" si="27"/>
        <v>reading_slot editing</v>
      </c>
      <c r="D409" s="4" t="s">
        <v>6382</v>
      </c>
      <c r="E409" s="5" t="s">
        <v>6389</v>
      </c>
      <c r="F409" s="16" t="str">
        <f t="shared" si="26"/>
        <v>(653,'READING_SLOT:WRITE','reading_slot editing','READING_SLOT','WRITE'),</v>
      </c>
    </row>
    <row r="410" spans="1:6" ht="20.149999999999999" customHeight="1" x14ac:dyDescent="0.35">
      <c r="A410" s="3">
        <v>654</v>
      </c>
      <c r="B410" s="4" t="str">
        <f t="shared" si="25"/>
        <v>FLOW_OPERATION:WRITE</v>
      </c>
      <c r="C410" s="4" t="str">
        <f t="shared" si="27"/>
        <v>flow_operation editing</v>
      </c>
      <c r="D410" s="4" t="s">
        <v>6383</v>
      </c>
      <c r="E410" s="5" t="s">
        <v>6389</v>
      </c>
      <c r="F410" s="16" t="str">
        <f t="shared" si="26"/>
        <v>(654,'FLOW_OPERATION:WRITE','flow_operation editing','FLOW_OPERATION','WRITE'),</v>
      </c>
    </row>
    <row r="411" spans="1:6" ht="20.149999999999999" customHeight="1" x14ac:dyDescent="0.35">
      <c r="A411" s="3">
        <v>655</v>
      </c>
      <c r="B411" s="4" t="str">
        <f t="shared" si="25"/>
        <v>FLOW_FORECAST:WRITE</v>
      </c>
      <c r="C411" s="4" t="str">
        <f t="shared" si="27"/>
        <v>flow_forecast editing</v>
      </c>
      <c r="D411" s="4" t="s">
        <v>6384</v>
      </c>
      <c r="E411" s="5" t="s">
        <v>6389</v>
      </c>
      <c r="F411" s="16" t="str">
        <f t="shared" si="26"/>
        <v>(655,'FLOW_FORECAST:WRITE','flow_forecast editing','FLOW_FORECAST','WRITE'),</v>
      </c>
    </row>
    <row r="412" spans="1:6" ht="20.149999999999999" customHeight="1" x14ac:dyDescent="0.35">
      <c r="A412" s="3">
        <v>656</v>
      </c>
      <c r="B412" s="4" t="str">
        <f t="shared" si="25"/>
        <v>FLOW_READING:WRITE</v>
      </c>
      <c r="C412" s="4" t="str">
        <f t="shared" si="27"/>
        <v>flow_reading editing</v>
      </c>
      <c r="D412" s="4" t="s">
        <v>6385</v>
      </c>
      <c r="E412" s="5" t="s">
        <v>6389</v>
      </c>
      <c r="F412" s="16" t="str">
        <f t="shared" si="26"/>
        <v>(656,'FLOW_READING:WRITE','flow_reading editing','FLOW_READING','WRITE'),</v>
      </c>
    </row>
    <row r="413" spans="1:6" ht="20.149999999999999" customHeight="1" x14ac:dyDescent="0.35">
      <c r="A413" s="3">
        <v>657</v>
      </c>
      <c r="B413" s="4" t="str">
        <f t="shared" si="25"/>
        <v>FLOW_EVENT:WRITE</v>
      </c>
      <c r="C413" s="4" t="str">
        <f t="shared" si="27"/>
        <v>flow_event editing</v>
      </c>
      <c r="D413" s="4" t="s">
        <v>6388</v>
      </c>
      <c r="E413" s="5" t="s">
        <v>6389</v>
      </c>
      <c r="F413" s="16" t="str">
        <f t="shared" si="26"/>
        <v>(657,'FLOW_EVENT:WRITE','flow_event editing','FLOW_EVENT','WRITE'),</v>
      </c>
    </row>
    <row r="414" spans="1:6" ht="20.149999999999999" customHeight="1" x14ac:dyDescent="0.35">
      <c r="A414" s="3">
        <v>658</v>
      </c>
      <c r="B414" s="4" t="str">
        <f t="shared" si="25"/>
        <v>FLOW_ALERT:WRITE</v>
      </c>
      <c r="C414" s="4" t="str">
        <f t="shared" si="27"/>
        <v>flow_alert editing</v>
      </c>
      <c r="D414" s="4" t="s">
        <v>6387</v>
      </c>
      <c r="E414" s="5" t="s">
        <v>6389</v>
      </c>
      <c r="F414" s="16" t="str">
        <f t="shared" si="26"/>
        <v>(658,'FLOW_ALERT:WRITE','flow_alert editing','FLOW_ALERT','WRITE'),</v>
      </c>
    </row>
    <row r="415" spans="1:6" ht="20.149999999999999" customHeight="1" x14ac:dyDescent="0.35">
      <c r="A415" s="3">
        <v>659</v>
      </c>
      <c r="B415" s="4" t="str">
        <f t="shared" si="25"/>
        <v>FLOW_THRESHOLD:WRITE</v>
      </c>
      <c r="C415" s="4" t="str">
        <f t="shared" si="27"/>
        <v>flow_threshold editing</v>
      </c>
      <c r="D415" s="4" t="s">
        <v>6386</v>
      </c>
      <c r="E415" s="5" t="s">
        <v>6389</v>
      </c>
      <c r="F415" s="16" t="str">
        <f t="shared" si="26"/>
        <v>(659,'FLOW_THRESHOLD:WRITE','flow_threshold editing','FLOW_THRESHOLD','WRITE'),</v>
      </c>
    </row>
    <row r="416" spans="1:6" ht="20.149999999999999" customHeight="1" x14ac:dyDescent="0.35">
      <c r="A416" s="3">
        <v>701</v>
      </c>
      <c r="B416" s="4" t="str">
        <f t="shared" si="25"/>
        <v>PARAMETER:READ</v>
      </c>
      <c r="C416" s="4" t="str">
        <f>CONCATENATE(LOWER(D416)," viewing")</f>
        <v>parameter viewing</v>
      </c>
      <c r="D416" s="4" t="s">
        <v>6371</v>
      </c>
      <c r="E416" s="5" t="s">
        <v>5785</v>
      </c>
      <c r="F416" s="16" t="str">
        <f t="shared" si="26"/>
        <v>(701,'PARAMETER:READ','parameter viewing','PARAMETER','READ'),</v>
      </c>
    </row>
    <row r="417" spans="1:6" ht="20.149999999999999" customHeight="1" x14ac:dyDescent="0.35">
      <c r="A417" s="3">
        <v>702</v>
      </c>
      <c r="B417" s="4" t="str">
        <f t="shared" si="25"/>
        <v>FILE:READ</v>
      </c>
      <c r="C417" s="4" t="str">
        <f t="shared" ref="C417:C421" si="28">CONCATENATE(LOWER(D417)," viewing")</f>
        <v>file viewing</v>
      </c>
      <c r="D417" s="4" t="s">
        <v>6372</v>
      </c>
      <c r="E417" s="5" t="s">
        <v>5785</v>
      </c>
      <c r="F417" s="16" t="str">
        <f t="shared" si="26"/>
        <v>(702,'FILE:READ','file viewing','FILE','READ'),</v>
      </c>
    </row>
    <row r="418" spans="1:6" ht="20.149999999999999" customHeight="1" x14ac:dyDescent="0.35">
      <c r="A418" s="3">
        <v>703</v>
      </c>
      <c r="B418" s="4" t="str">
        <f t="shared" si="25"/>
        <v>GROUP:READ</v>
      </c>
      <c r="C418" s="4" t="str">
        <f t="shared" si="28"/>
        <v>group viewing</v>
      </c>
      <c r="D418" s="4" t="s">
        <v>5748</v>
      </c>
      <c r="E418" s="5" t="s">
        <v>5785</v>
      </c>
      <c r="F418" s="16" t="str">
        <f t="shared" si="26"/>
        <v>(703,'GROUP:READ','group viewing','GROUP','READ'),</v>
      </c>
    </row>
    <row r="419" spans="1:6" ht="20.149999999999999" customHeight="1" x14ac:dyDescent="0.35">
      <c r="A419" s="3">
        <v>704</v>
      </c>
      <c r="B419" s="4" t="str">
        <f t="shared" si="25"/>
        <v>USER:READ</v>
      </c>
      <c r="C419" s="4" t="str">
        <f t="shared" si="28"/>
        <v>user viewing</v>
      </c>
      <c r="D419" s="4" t="s">
        <v>5749</v>
      </c>
      <c r="E419" s="5" t="s">
        <v>5785</v>
      </c>
      <c r="F419" s="16" t="str">
        <f t="shared" si="26"/>
        <v>(704,'USER:READ','user viewing','USER','READ'),</v>
      </c>
    </row>
    <row r="420" spans="1:6" ht="20.149999999999999" customHeight="1" x14ac:dyDescent="0.35">
      <c r="A420" s="3">
        <v>705</v>
      </c>
      <c r="B420" s="4" t="str">
        <f t="shared" si="25"/>
        <v>ROLE:READ</v>
      </c>
      <c r="C420" s="4" t="str">
        <f t="shared" si="28"/>
        <v>role viewing</v>
      </c>
      <c r="D420" s="4" t="s">
        <v>5750</v>
      </c>
      <c r="E420" s="5" t="s">
        <v>5785</v>
      </c>
      <c r="F420" s="16" t="str">
        <f t="shared" si="26"/>
        <v>(705,'ROLE:READ','role viewing','ROLE','READ'),</v>
      </c>
    </row>
    <row r="421" spans="1:6" ht="20.149999999999999" customHeight="1" x14ac:dyDescent="0.35">
      <c r="A421" s="3">
        <v>706</v>
      </c>
      <c r="B421" s="4" t="str">
        <f t="shared" si="25"/>
        <v>PERMISSION:READ</v>
      </c>
      <c r="C421" s="4" t="str">
        <f t="shared" si="28"/>
        <v>permission viewing</v>
      </c>
      <c r="D421" s="4" t="s">
        <v>5751</v>
      </c>
      <c r="E421" s="5" t="s">
        <v>5785</v>
      </c>
      <c r="F421" s="16" t="str">
        <f t="shared" si="26"/>
        <v>(706,'PERMISSION:READ','permission viewing','PERMISSION','READ'),</v>
      </c>
    </row>
    <row r="422" spans="1:6" ht="20.149999999999999" customHeight="1" x14ac:dyDescent="0.35">
      <c r="A422" s="3">
        <v>707</v>
      </c>
      <c r="B422" s="4" t="str">
        <f t="shared" si="25"/>
        <v>AUTHORITY:READ</v>
      </c>
      <c r="C422" s="4" t="str">
        <f t="shared" ref="C422:C474" si="29">CONCATENATE(LOWER(D422)," viewing")</f>
        <v>authority viewing</v>
      </c>
      <c r="D422" s="4" t="s">
        <v>5752</v>
      </c>
      <c r="E422" s="5" t="s">
        <v>5785</v>
      </c>
      <c r="F422" s="16" t="str">
        <f t="shared" si="26"/>
        <v>(707,'AUTHORITY:READ','authority viewing','AUTHORITY','READ'),</v>
      </c>
    </row>
    <row r="423" spans="1:6" ht="20.149999999999999" customHeight="1" x14ac:dyDescent="0.35">
      <c r="A423" s="3">
        <v>708</v>
      </c>
      <c r="B423" s="4" t="str">
        <f t="shared" si="25"/>
        <v>AUDIT:READ</v>
      </c>
      <c r="C423" s="4" t="str">
        <f t="shared" si="29"/>
        <v>audit viewing</v>
      </c>
      <c r="D423" s="4" t="s">
        <v>5753</v>
      </c>
      <c r="E423" s="5" t="s">
        <v>5785</v>
      </c>
      <c r="F423" s="16" t="str">
        <f t="shared" si="26"/>
        <v>(708,'AUDIT:READ','audit viewing','AUDIT','READ'),</v>
      </c>
    </row>
    <row r="424" spans="1:6" ht="20.149999999999999" customHeight="1" x14ac:dyDescent="0.35">
      <c r="A424" s="3">
        <v>709</v>
      </c>
      <c r="B424" s="4" t="str">
        <f t="shared" si="25"/>
        <v>STRUCTURE_TYPE:READ</v>
      </c>
      <c r="C424" s="4" t="str">
        <f t="shared" si="29"/>
        <v>structure_type viewing</v>
      </c>
      <c r="D424" s="4" t="s">
        <v>5758</v>
      </c>
      <c r="E424" s="5" t="s">
        <v>5785</v>
      </c>
      <c r="F424" s="16" t="str">
        <f t="shared" si="26"/>
        <v>(709,'STRUCTURE_TYPE:READ','structure_type viewing','STRUCTURE_TYPE','READ'),</v>
      </c>
    </row>
    <row r="425" spans="1:6" ht="20.149999999999999" customHeight="1" x14ac:dyDescent="0.35">
      <c r="A425" s="3">
        <v>710</v>
      </c>
      <c r="B425" s="4" t="str">
        <f t="shared" si="25"/>
        <v>ZONE:READ</v>
      </c>
      <c r="C425" s="4" t="str">
        <f t="shared" si="29"/>
        <v>zone viewing</v>
      </c>
      <c r="D425" s="4" t="s">
        <v>5770</v>
      </c>
      <c r="E425" s="5" t="s">
        <v>5785</v>
      </c>
      <c r="F425" s="16" t="str">
        <f t="shared" si="26"/>
        <v>(710,'ZONE:READ','zone viewing','ZONE','READ'),</v>
      </c>
    </row>
    <row r="426" spans="1:6" ht="20.149999999999999" customHeight="1" x14ac:dyDescent="0.35">
      <c r="A426" s="3">
        <v>711</v>
      </c>
      <c r="B426" s="4" t="str">
        <f t="shared" si="25"/>
        <v>COUNTRY:READ</v>
      </c>
      <c r="C426" s="4" t="str">
        <f t="shared" si="29"/>
        <v>country viewing</v>
      </c>
      <c r="D426" s="4" t="s">
        <v>5755</v>
      </c>
      <c r="E426" s="5" t="s">
        <v>5785</v>
      </c>
      <c r="F426" s="16" t="str">
        <f t="shared" si="26"/>
        <v>(711,'COUNTRY:READ','country viewing','COUNTRY','READ'),</v>
      </c>
    </row>
    <row r="427" spans="1:6" ht="20.149999999999999" customHeight="1" x14ac:dyDescent="0.35">
      <c r="A427" s="3">
        <v>712</v>
      </c>
      <c r="B427" s="4" t="str">
        <f t="shared" ref="B427:B474" si="30">CONCATENATE(D427,":",E427)</f>
        <v>STATE:READ</v>
      </c>
      <c r="C427" s="4" t="str">
        <f t="shared" si="29"/>
        <v>state viewing</v>
      </c>
      <c r="D427" s="4" t="s">
        <v>5756</v>
      </c>
      <c r="E427" s="5" t="s">
        <v>5785</v>
      </c>
      <c r="F427" s="16" t="str">
        <f t="shared" si="26"/>
        <v>(712,'STATE:READ','state viewing','STATE','READ'),</v>
      </c>
    </row>
    <row r="428" spans="1:6" ht="20.149999999999999" customHeight="1" x14ac:dyDescent="0.35">
      <c r="A428" s="3">
        <v>713</v>
      </c>
      <c r="B428" s="4" t="str">
        <f t="shared" si="30"/>
        <v>DISTRICT:READ</v>
      </c>
      <c r="C428" s="4" t="str">
        <f t="shared" si="29"/>
        <v>district viewing</v>
      </c>
      <c r="D428" s="4" t="s">
        <v>5790</v>
      </c>
      <c r="E428" s="5" t="s">
        <v>5785</v>
      </c>
      <c r="F428" s="16" t="str">
        <f t="shared" si="26"/>
        <v>(713,'DISTRICT:READ','district viewing','DISTRICT','READ'),</v>
      </c>
    </row>
    <row r="429" spans="1:6" ht="20.149999999999999" customHeight="1" x14ac:dyDescent="0.35">
      <c r="A429" s="3">
        <v>714</v>
      </c>
      <c r="B429" s="4" t="str">
        <f t="shared" si="30"/>
        <v>LOCALITY:READ</v>
      </c>
      <c r="C429" s="4" t="str">
        <f t="shared" si="29"/>
        <v>locality viewing</v>
      </c>
      <c r="D429" s="4" t="s">
        <v>5757</v>
      </c>
      <c r="E429" s="5" t="s">
        <v>5785</v>
      </c>
      <c r="F429" s="16" t="str">
        <f t="shared" si="26"/>
        <v>(714,'LOCALITY:READ','locality viewing','LOCALITY','READ'),</v>
      </c>
    </row>
    <row r="430" spans="1:6" ht="20.149999999999999" customHeight="1" x14ac:dyDescent="0.35">
      <c r="A430" s="3">
        <v>715</v>
      </c>
      <c r="B430" s="4" t="str">
        <f t="shared" si="30"/>
        <v>LOCATION:READ</v>
      </c>
      <c r="C430" s="4" t="str">
        <f t="shared" si="29"/>
        <v>location viewing</v>
      </c>
      <c r="D430" s="4" t="s">
        <v>5771</v>
      </c>
      <c r="E430" s="5" t="s">
        <v>5785</v>
      </c>
      <c r="F430" s="16" t="str">
        <f t="shared" si="26"/>
        <v>(715,'LOCATION:READ','location viewing','LOCATION','READ'),</v>
      </c>
    </row>
    <row r="431" spans="1:6" ht="20.149999999999999" customHeight="1" x14ac:dyDescent="0.35">
      <c r="A431" s="3">
        <v>716</v>
      </c>
      <c r="B431" s="4" t="str">
        <f t="shared" si="30"/>
        <v>COORDINATE:READ</v>
      </c>
      <c r="C431" s="4" t="str">
        <f t="shared" si="29"/>
        <v>coordinate viewing</v>
      </c>
      <c r="D431" s="4" t="s">
        <v>6373</v>
      </c>
      <c r="E431" s="5" t="s">
        <v>5785</v>
      </c>
      <c r="F431" s="16" t="str">
        <f t="shared" si="26"/>
        <v>(716,'COORDINATE:READ','coordinate viewing','COORDINATE','READ'),</v>
      </c>
    </row>
    <row r="432" spans="1:6" ht="20.149999999999999" customHeight="1" x14ac:dyDescent="0.35">
      <c r="A432" s="3">
        <v>717</v>
      </c>
      <c r="B432" s="4" t="str">
        <f t="shared" si="30"/>
        <v>STRUCTURE:READ</v>
      </c>
      <c r="C432" s="4" t="str">
        <f t="shared" si="29"/>
        <v>structure viewing</v>
      </c>
      <c r="D432" s="4" t="s">
        <v>5759</v>
      </c>
      <c r="E432" s="5" t="s">
        <v>5785</v>
      </c>
      <c r="F432" s="16" t="str">
        <f t="shared" si="26"/>
        <v>(717,'STRUCTURE:READ','structure viewing','STRUCTURE','READ'),</v>
      </c>
    </row>
    <row r="433" spans="1:6" ht="20.149999999999999" customHeight="1" x14ac:dyDescent="0.35">
      <c r="A433" s="3">
        <v>718</v>
      </c>
      <c r="B433" s="4" t="str">
        <f t="shared" si="30"/>
        <v>JOB:READ</v>
      </c>
      <c r="C433" s="4" t="str">
        <f t="shared" si="29"/>
        <v>job viewing</v>
      </c>
      <c r="D433" s="4" t="s">
        <v>5760</v>
      </c>
      <c r="E433" s="5" t="s">
        <v>5785</v>
      </c>
      <c r="F433" s="16" t="str">
        <f t="shared" si="26"/>
        <v>(718,'JOB:READ','job viewing','JOB','READ'),</v>
      </c>
    </row>
    <row r="434" spans="1:6" ht="20.149999999999999" customHeight="1" x14ac:dyDescent="0.35">
      <c r="A434" s="3">
        <v>719</v>
      </c>
      <c r="B434" s="4" t="str">
        <f t="shared" si="30"/>
        <v>PERSON:READ</v>
      </c>
      <c r="C434" s="4" t="str">
        <f t="shared" si="29"/>
        <v>person viewing</v>
      </c>
      <c r="D434" s="4" t="s">
        <v>5761</v>
      </c>
      <c r="E434" s="5" t="s">
        <v>5785</v>
      </c>
      <c r="F434" s="16" t="str">
        <f t="shared" si="26"/>
        <v>(719,'PERSON:READ','person viewing','PERSON','READ'),</v>
      </c>
    </row>
    <row r="435" spans="1:6" ht="20.149999999999999" customHeight="1" x14ac:dyDescent="0.35">
      <c r="A435" s="3">
        <v>720</v>
      </c>
      <c r="B435" s="4" t="str">
        <f t="shared" si="30"/>
        <v>EMPLOYEE:READ</v>
      </c>
      <c r="C435" s="4" t="str">
        <f t="shared" si="29"/>
        <v>employee viewing</v>
      </c>
      <c r="D435" s="4" t="s">
        <v>5762</v>
      </c>
      <c r="E435" s="5" t="s">
        <v>5785</v>
      </c>
      <c r="F435" s="16" t="str">
        <f t="shared" si="26"/>
        <v>(720,'EMPLOYEE:READ','employee viewing','EMPLOYEE','READ'),</v>
      </c>
    </row>
    <row r="436" spans="1:6" ht="20.149999999999999" customHeight="1" x14ac:dyDescent="0.35">
      <c r="A436" s="3">
        <v>721</v>
      </c>
      <c r="B436" s="4" t="str">
        <f t="shared" si="30"/>
        <v>COMPANY_TYPE:READ</v>
      </c>
      <c r="C436" s="4" t="str">
        <f t="shared" si="29"/>
        <v>company_type viewing</v>
      </c>
      <c r="D436" s="4" t="s">
        <v>5763</v>
      </c>
      <c r="E436" s="5" t="s">
        <v>5785</v>
      </c>
      <c r="F436" s="16" t="str">
        <f t="shared" si="26"/>
        <v>(721,'COMPANY_TYPE:READ','company_type viewing','COMPANY_TYPE','READ'),</v>
      </c>
    </row>
    <row r="437" spans="1:6" ht="20.149999999999999" customHeight="1" x14ac:dyDescent="0.35">
      <c r="A437" s="3">
        <v>722</v>
      </c>
      <c r="B437" s="4" t="str">
        <f t="shared" si="30"/>
        <v>PARTNER_TYPE:READ</v>
      </c>
      <c r="C437" s="4" t="str">
        <f t="shared" si="29"/>
        <v>partner_type viewing</v>
      </c>
      <c r="D437" s="4" t="s">
        <v>5764</v>
      </c>
      <c r="E437" s="5" t="s">
        <v>5785</v>
      </c>
      <c r="F437" s="16" t="str">
        <f t="shared" si="26"/>
        <v>(722,'PARTNER_TYPE:READ','partner_type viewing','PARTNER_TYPE','READ'),</v>
      </c>
    </row>
    <row r="438" spans="1:6" ht="20.149999999999999" customHeight="1" x14ac:dyDescent="0.35">
      <c r="A438" s="3">
        <v>723</v>
      </c>
      <c r="B438" s="4" t="str">
        <f t="shared" si="30"/>
        <v>VENDOR_TYPE:READ</v>
      </c>
      <c r="C438" s="4" t="str">
        <f t="shared" si="29"/>
        <v>vendor_type viewing</v>
      </c>
      <c r="D438" s="4" t="s">
        <v>5765</v>
      </c>
      <c r="E438" s="5" t="s">
        <v>5785</v>
      </c>
      <c r="F438" s="16" t="str">
        <f t="shared" si="26"/>
        <v>(723,'VENDOR_TYPE:READ','vendor_type viewing','VENDOR_TYPE','READ'),</v>
      </c>
    </row>
    <row r="439" spans="1:6" ht="20.149999999999999" customHeight="1" x14ac:dyDescent="0.35">
      <c r="A439" s="3">
        <v>724</v>
      </c>
      <c r="B439" s="4" t="str">
        <f t="shared" si="30"/>
        <v>FACILITY_TYPE:READ</v>
      </c>
      <c r="C439" s="4" t="str">
        <f t="shared" si="29"/>
        <v>facility_type viewing</v>
      </c>
      <c r="D439" s="4" t="s">
        <v>5766</v>
      </c>
      <c r="E439" s="5" t="s">
        <v>5785</v>
      </c>
      <c r="F439" s="16" t="str">
        <f t="shared" si="26"/>
        <v>(724,'FACILITY_TYPE:READ','facility_type viewing','FACILITY_TYPE','READ'),</v>
      </c>
    </row>
    <row r="440" spans="1:6" ht="20.149999999999999" customHeight="1" x14ac:dyDescent="0.35">
      <c r="A440" s="3">
        <v>725</v>
      </c>
      <c r="B440" s="4" t="str">
        <f t="shared" si="30"/>
        <v>STATION_TYPE:READ</v>
      </c>
      <c r="C440" s="4" t="str">
        <f t="shared" si="29"/>
        <v>station_type viewing</v>
      </c>
      <c r="D440" s="4" t="s">
        <v>5767</v>
      </c>
      <c r="E440" s="5" t="s">
        <v>5785</v>
      </c>
      <c r="F440" s="16" t="str">
        <f t="shared" si="26"/>
        <v>(725,'STATION_TYPE:READ','station_type viewing','STATION_TYPE','READ'),</v>
      </c>
    </row>
    <row r="441" spans="1:6" ht="20.149999999999999" customHeight="1" x14ac:dyDescent="0.35">
      <c r="A441" s="3">
        <v>726</v>
      </c>
      <c r="B441" s="4" t="str">
        <f t="shared" si="30"/>
        <v>TERMINAL_TYPE:READ</v>
      </c>
      <c r="C441" s="4" t="str">
        <f t="shared" si="29"/>
        <v>terminal_type viewing</v>
      </c>
      <c r="D441" s="4" t="s">
        <v>5768</v>
      </c>
      <c r="E441" s="5" t="s">
        <v>5785</v>
      </c>
      <c r="F441" s="16" t="str">
        <f t="shared" si="26"/>
        <v>(726,'TERMINAL_TYPE:READ','terminal_type viewing','TERMINAL_TYPE','READ'),</v>
      </c>
    </row>
    <row r="442" spans="1:6" ht="20.149999999999999" customHeight="1" x14ac:dyDescent="0.35">
      <c r="A442" s="3">
        <v>727</v>
      </c>
      <c r="B442" s="4" t="str">
        <f t="shared" si="30"/>
        <v>PROCESSING_PLANT_TYPE:READ</v>
      </c>
      <c r="C442" s="4" t="str">
        <f t="shared" si="29"/>
        <v>processing_plant_type viewing</v>
      </c>
      <c r="D442" s="4" t="s">
        <v>5791</v>
      </c>
      <c r="E442" s="5" t="s">
        <v>5785</v>
      </c>
      <c r="F442" s="16" t="str">
        <f t="shared" si="26"/>
        <v>(727,'PROCESSING_PLANT_TYPE:READ','processing_plant_type viewing','PROCESSING_PLANT_TYPE','READ'),</v>
      </c>
    </row>
    <row r="443" spans="1:6" ht="20.149999999999999" customHeight="1" x14ac:dyDescent="0.35">
      <c r="A443" s="3">
        <v>728</v>
      </c>
      <c r="B443" s="4" t="str">
        <f t="shared" si="30"/>
        <v>PRODUCTION_FIELD_TYPE:READ</v>
      </c>
      <c r="C443" s="4" t="str">
        <f t="shared" si="29"/>
        <v>production_field_type viewing</v>
      </c>
      <c r="D443" s="4" t="s">
        <v>5792</v>
      </c>
      <c r="E443" s="5" t="s">
        <v>5785</v>
      </c>
      <c r="F443" s="16" t="str">
        <f t="shared" si="26"/>
        <v>(728,'PRODUCTION_FIELD_TYPE:READ','production_field_type viewing','PRODUCTION_FIELD_TYPE','READ'),</v>
      </c>
    </row>
    <row r="444" spans="1:6" ht="20.149999999999999" customHeight="1" x14ac:dyDescent="0.35">
      <c r="A444" s="3">
        <v>729</v>
      </c>
      <c r="B444" s="4" t="str">
        <f t="shared" si="30"/>
        <v>EQUIPMENT_TYPE:READ</v>
      </c>
      <c r="C444" s="4" t="str">
        <f t="shared" si="29"/>
        <v>equipment_type viewing</v>
      </c>
      <c r="D444" s="4" t="s">
        <v>5769</v>
      </c>
      <c r="E444" s="5" t="s">
        <v>5785</v>
      </c>
      <c r="F444" s="16" t="str">
        <f t="shared" si="26"/>
        <v>(729,'EQUIPMENT_TYPE:READ','equipment_type viewing','EQUIPMENT_TYPE','READ'),</v>
      </c>
    </row>
    <row r="445" spans="1:6" ht="20.149999999999999" customHeight="1" x14ac:dyDescent="0.35">
      <c r="A445" s="3">
        <v>730</v>
      </c>
      <c r="B445" s="4" t="str">
        <f t="shared" si="30"/>
        <v>PRODUCT:READ</v>
      </c>
      <c r="C445" s="4" t="str">
        <f t="shared" si="29"/>
        <v>product viewing</v>
      </c>
      <c r="D445" s="4" t="s">
        <v>5772</v>
      </c>
      <c r="E445" s="5" t="s">
        <v>5785</v>
      </c>
      <c r="F445" s="16" t="str">
        <f t="shared" si="26"/>
        <v>(730,'PRODUCT:READ','product viewing','PRODUCT','READ'),</v>
      </c>
    </row>
    <row r="446" spans="1:6" ht="20.149999999999999" customHeight="1" x14ac:dyDescent="0.35">
      <c r="A446" s="3">
        <v>731</v>
      </c>
      <c r="B446" s="4" t="str">
        <f t="shared" si="30"/>
        <v>OPERATIONAL_STATUS:READ</v>
      </c>
      <c r="C446" s="4" t="str">
        <f t="shared" si="29"/>
        <v>operational_status viewing</v>
      </c>
      <c r="D446" s="4" t="s">
        <v>5773</v>
      </c>
      <c r="E446" s="5" t="s">
        <v>5785</v>
      </c>
      <c r="F446" s="16" t="str">
        <f t="shared" si="26"/>
        <v>(731,'OPERATIONAL_STATUS:READ','operational_status viewing','OPERATIONAL_STATUS','READ'),</v>
      </c>
    </row>
    <row r="447" spans="1:6" ht="20.149999999999999" customHeight="1" x14ac:dyDescent="0.35">
      <c r="A447" s="3">
        <v>732</v>
      </c>
      <c r="B447" s="4" t="str">
        <f t="shared" si="30"/>
        <v>ALLOY:READ</v>
      </c>
      <c r="C447" s="4" t="str">
        <f t="shared" si="29"/>
        <v>alloy viewing</v>
      </c>
      <c r="D447" s="4" t="s">
        <v>5774</v>
      </c>
      <c r="E447" s="5" t="s">
        <v>5785</v>
      </c>
      <c r="F447" s="16" t="str">
        <f t="shared" si="26"/>
        <v>(732,'ALLOY:READ','alloy viewing','ALLOY','READ'),</v>
      </c>
    </row>
    <row r="448" spans="1:6" ht="20.149999999999999" customHeight="1" x14ac:dyDescent="0.35">
      <c r="A448" s="3">
        <v>733</v>
      </c>
      <c r="B448" s="4" t="str">
        <f t="shared" si="30"/>
        <v>PARTNER:READ</v>
      </c>
      <c r="C448" s="4" t="str">
        <f t="shared" si="29"/>
        <v>partner viewing</v>
      </c>
      <c r="D448" s="4" t="s">
        <v>5775</v>
      </c>
      <c r="E448" s="5" t="s">
        <v>5785</v>
      </c>
      <c r="F448" s="16" t="str">
        <f t="shared" si="26"/>
        <v>(733,'PARTNER:READ','partner viewing','PARTNER','READ'),</v>
      </c>
    </row>
    <row r="449" spans="1:6" ht="20.149999999999999" customHeight="1" x14ac:dyDescent="0.35">
      <c r="A449" s="3">
        <v>734</v>
      </c>
      <c r="B449" s="4" t="str">
        <f t="shared" si="30"/>
        <v>VENDOR:READ</v>
      </c>
      <c r="C449" s="4" t="str">
        <f t="shared" si="29"/>
        <v>vendor viewing</v>
      </c>
      <c r="D449" s="4" t="s">
        <v>5776</v>
      </c>
      <c r="E449" s="5" t="s">
        <v>5785</v>
      </c>
      <c r="F449" s="16" t="str">
        <f t="shared" si="26"/>
        <v>(734,'VENDOR:READ','vendor viewing','VENDOR','READ'),</v>
      </c>
    </row>
    <row r="450" spans="1:6" ht="20.149999999999999" customHeight="1" x14ac:dyDescent="0.35">
      <c r="A450" s="3">
        <v>735</v>
      </c>
      <c r="B450" s="4" t="str">
        <f t="shared" si="30"/>
        <v>INFRASTRUCTURE:READ</v>
      </c>
      <c r="C450" s="4" t="str">
        <f t="shared" si="29"/>
        <v>infrastructure viewing</v>
      </c>
      <c r="D450" s="4" t="s">
        <v>5777</v>
      </c>
      <c r="E450" s="5" t="s">
        <v>5785</v>
      </c>
      <c r="F450" s="16" t="str">
        <f t="shared" si="26"/>
        <v>(735,'INFRASTRUCTURE:READ','infrastructure viewing','INFRASTRUCTURE','READ'),</v>
      </c>
    </row>
    <row r="451" spans="1:6" ht="20.149999999999999" customHeight="1" x14ac:dyDescent="0.35">
      <c r="A451" s="3">
        <v>736</v>
      </c>
      <c r="B451" s="4" t="str">
        <f t="shared" si="30"/>
        <v>FACILITY:READ</v>
      </c>
      <c r="C451" s="4" t="str">
        <f t="shared" si="29"/>
        <v>facility viewing</v>
      </c>
      <c r="D451" s="4" t="s">
        <v>5778</v>
      </c>
      <c r="E451" s="5" t="s">
        <v>5785</v>
      </c>
      <c r="F451" s="16" t="str">
        <f t="shared" ref="F451:F474" si="31">CONCATENATE("(",A451,",'",B451,"','",C451,"','",D451,"','",E451,"'),")</f>
        <v>(736,'FACILITY:READ','facility viewing','FACILITY','READ'),</v>
      </c>
    </row>
    <row r="452" spans="1:6" ht="20.149999999999999" customHeight="1" x14ac:dyDescent="0.35">
      <c r="A452" s="3">
        <v>737</v>
      </c>
      <c r="B452" s="4" t="str">
        <f t="shared" si="30"/>
        <v>PIPELINE_SYSTEM:READ</v>
      </c>
      <c r="C452" s="4" t="str">
        <f t="shared" si="29"/>
        <v>pipeline_system viewing</v>
      </c>
      <c r="D452" s="4" t="s">
        <v>5779</v>
      </c>
      <c r="E452" s="5" t="s">
        <v>5785</v>
      </c>
      <c r="F452" s="16" t="str">
        <f t="shared" si="31"/>
        <v>(737,'PIPELINE_SYSTEM:READ','pipeline_system viewing','PIPELINE_SYSTEM','READ'),</v>
      </c>
    </row>
    <row r="453" spans="1:6" ht="20.149999999999999" customHeight="1" x14ac:dyDescent="0.35">
      <c r="A453" s="3">
        <v>738</v>
      </c>
      <c r="B453" s="4" t="str">
        <f t="shared" si="30"/>
        <v>PIPELINE:READ</v>
      </c>
      <c r="C453" s="4" t="str">
        <f t="shared" si="29"/>
        <v>pipeline viewing</v>
      </c>
      <c r="D453" s="4" t="s">
        <v>5780</v>
      </c>
      <c r="E453" s="5" t="s">
        <v>5785</v>
      </c>
      <c r="F453" s="16" t="str">
        <f t="shared" si="31"/>
        <v>(738,'PIPELINE:READ','pipeline viewing','PIPELINE','READ'),</v>
      </c>
    </row>
    <row r="454" spans="1:6" ht="20.149999999999999" customHeight="1" x14ac:dyDescent="0.35">
      <c r="A454" s="3">
        <v>739</v>
      </c>
      <c r="B454" s="4" t="str">
        <f t="shared" si="30"/>
        <v>PIPELINE_SEGMENT:READ</v>
      </c>
      <c r="C454" s="4" t="str">
        <f t="shared" si="29"/>
        <v>pipeline_segment viewing</v>
      </c>
      <c r="D454" s="4" t="s">
        <v>5781</v>
      </c>
      <c r="E454" s="5" t="s">
        <v>5785</v>
      </c>
      <c r="F454" s="16" t="str">
        <f t="shared" si="31"/>
        <v>(739,'PIPELINE_SEGMENT:READ','pipeline_segment viewing','PIPELINE_SEGMENT','READ'),</v>
      </c>
    </row>
    <row r="455" spans="1:6" ht="20.149999999999999" customHeight="1" x14ac:dyDescent="0.35">
      <c r="A455" s="3">
        <v>740</v>
      </c>
      <c r="B455" s="4" t="str">
        <f t="shared" si="30"/>
        <v>STATION:READ</v>
      </c>
      <c r="C455" s="4" t="str">
        <f t="shared" si="29"/>
        <v>station viewing</v>
      </c>
      <c r="D455" s="4" t="s">
        <v>5782</v>
      </c>
      <c r="E455" s="5" t="s">
        <v>5785</v>
      </c>
      <c r="F455" s="16" t="str">
        <f t="shared" si="31"/>
        <v>(740,'STATION:READ','station viewing','STATION','READ'),</v>
      </c>
    </row>
    <row r="456" spans="1:6" ht="20.149999999999999" customHeight="1" x14ac:dyDescent="0.35">
      <c r="A456" s="3">
        <v>741</v>
      </c>
      <c r="B456" s="4" t="str">
        <f t="shared" si="30"/>
        <v>TERMINAL:READ</v>
      </c>
      <c r="C456" s="4" t="str">
        <f t="shared" si="29"/>
        <v>terminal viewing</v>
      </c>
      <c r="D456" s="4" t="s">
        <v>5783</v>
      </c>
      <c r="E456" s="5" t="s">
        <v>5785</v>
      </c>
      <c r="F456" s="16" t="str">
        <f t="shared" si="31"/>
        <v>(741,'TERMINAL:READ','terminal viewing','TERMINAL','READ'),</v>
      </c>
    </row>
    <row r="457" spans="1:6" ht="20.149999999999999" customHeight="1" x14ac:dyDescent="0.35">
      <c r="A457" s="3">
        <v>742</v>
      </c>
      <c r="B457" s="4" t="str">
        <f t="shared" si="30"/>
        <v>PROCESSING_PLANT:READ</v>
      </c>
      <c r="C457" s="4" t="str">
        <f t="shared" si="29"/>
        <v>processing_plant viewing</v>
      </c>
      <c r="D457" s="4" t="s">
        <v>5793</v>
      </c>
      <c r="E457" s="5" t="s">
        <v>5785</v>
      </c>
      <c r="F457" s="16" t="str">
        <f t="shared" si="31"/>
        <v>(742,'PROCESSING_PLANT:READ','processing_plant viewing','PROCESSING_PLANT','READ'),</v>
      </c>
    </row>
    <row r="458" spans="1:6" ht="20.149999999999999" customHeight="1" x14ac:dyDescent="0.35">
      <c r="A458" s="3">
        <v>743</v>
      </c>
      <c r="B458" s="4" t="str">
        <f t="shared" si="30"/>
        <v>PRODUCTION_FIELD:READ</v>
      </c>
      <c r="C458" s="4" t="str">
        <f t="shared" si="29"/>
        <v>production_field viewing</v>
      </c>
      <c r="D458" s="4" t="s">
        <v>5794</v>
      </c>
      <c r="E458" s="5" t="s">
        <v>5785</v>
      </c>
      <c r="F458" s="16" t="str">
        <f t="shared" si="31"/>
        <v>(743,'PRODUCTION_FIELD:READ','production_field viewing','PRODUCTION_FIELD','READ'),</v>
      </c>
    </row>
    <row r="459" spans="1:6" ht="20.149999999999999" customHeight="1" x14ac:dyDescent="0.35">
      <c r="A459" s="3">
        <v>744</v>
      </c>
      <c r="B459" s="4" t="str">
        <f t="shared" si="30"/>
        <v>EQUIPMENT:READ</v>
      </c>
      <c r="C459" s="4" t="str">
        <f t="shared" si="29"/>
        <v>equipment viewing</v>
      </c>
      <c r="D459" s="4" t="s">
        <v>5784</v>
      </c>
      <c r="E459" s="5" t="s">
        <v>5785</v>
      </c>
      <c r="F459" s="16" t="str">
        <f t="shared" si="31"/>
        <v>(744,'EQUIPMENT:READ','equipment viewing','EQUIPMENT','READ'),</v>
      </c>
    </row>
    <row r="460" spans="1:6" ht="20.149999999999999" customHeight="1" x14ac:dyDescent="0.35">
      <c r="A460" s="3">
        <v>745</v>
      </c>
      <c r="B460" s="4" t="str">
        <f t="shared" si="30"/>
        <v>EVENT_TYPE:READ</v>
      </c>
      <c r="C460" s="4" t="str">
        <f t="shared" si="29"/>
        <v>event_type viewing</v>
      </c>
      <c r="D460" s="4" t="s">
        <v>6375</v>
      </c>
      <c r="E460" s="5" t="s">
        <v>5785</v>
      </c>
      <c r="F460" s="16" t="str">
        <f t="shared" si="31"/>
        <v>(745,'EVENT_TYPE:READ','event_type viewing','EVENT_TYPE','READ'),</v>
      </c>
    </row>
    <row r="461" spans="1:6" ht="20.149999999999999" customHeight="1" x14ac:dyDescent="0.35">
      <c r="A461" s="3">
        <v>746</v>
      </c>
      <c r="B461" s="4" t="str">
        <f t="shared" si="30"/>
        <v>OPERATION_TYPE:READ</v>
      </c>
      <c r="C461" s="4" t="str">
        <f t="shared" si="29"/>
        <v>operation_type viewing</v>
      </c>
      <c r="D461" s="4" t="s">
        <v>6374</v>
      </c>
      <c r="E461" s="5" t="s">
        <v>5785</v>
      </c>
      <c r="F461" s="16" t="str">
        <f t="shared" si="31"/>
        <v>(746,'OPERATION_TYPE:READ','operation_type viewing','OPERATION_TYPE','READ'),</v>
      </c>
    </row>
    <row r="462" spans="1:6" ht="20.149999999999999" customHeight="1" x14ac:dyDescent="0.35">
      <c r="A462" s="3">
        <v>747</v>
      </c>
      <c r="B462" s="4" t="str">
        <f t="shared" si="30"/>
        <v>EVENT_STATUS:READ</v>
      </c>
      <c r="C462" s="4" t="str">
        <f t="shared" si="29"/>
        <v>event_status viewing</v>
      </c>
      <c r="D462" s="4" t="s">
        <v>6378</v>
      </c>
      <c r="E462" s="5" t="s">
        <v>5785</v>
      </c>
      <c r="F462" s="16" t="str">
        <f t="shared" si="31"/>
        <v>(747,'EVENT_STATUS:READ','event_status viewing','EVENT_STATUS','READ'),</v>
      </c>
    </row>
    <row r="463" spans="1:6" ht="20.149999999999999" customHeight="1" x14ac:dyDescent="0.35">
      <c r="A463" s="3">
        <v>748</v>
      </c>
      <c r="B463" s="4" t="str">
        <f t="shared" si="30"/>
        <v>ALERT_STATUS:READ</v>
      </c>
      <c r="C463" s="4" t="str">
        <f t="shared" si="29"/>
        <v>alert_status viewing</v>
      </c>
      <c r="D463" s="4" t="s">
        <v>6376</v>
      </c>
      <c r="E463" s="45" t="s">
        <v>5785</v>
      </c>
      <c r="F463" s="16" t="str">
        <f t="shared" si="31"/>
        <v>(748,'ALERT_STATUS:READ','alert_status viewing','ALERT_STATUS','READ'),</v>
      </c>
    </row>
    <row r="464" spans="1:6" ht="20.149999999999999" customHeight="1" x14ac:dyDescent="0.35">
      <c r="A464" s="3">
        <v>749</v>
      </c>
      <c r="B464" s="4" t="str">
        <f t="shared" si="30"/>
        <v>SEVERITY:READ</v>
      </c>
      <c r="C464" s="4" t="str">
        <f t="shared" si="29"/>
        <v>severity viewing</v>
      </c>
      <c r="D464" s="4" t="s">
        <v>6380</v>
      </c>
      <c r="E464" s="5" t="s">
        <v>5785</v>
      </c>
      <c r="F464" s="16" t="str">
        <f t="shared" si="31"/>
        <v>(749,'SEVERITY:READ','severity viewing','SEVERITY','READ'),</v>
      </c>
    </row>
    <row r="465" spans="1:6" ht="20.149999999999999" customHeight="1" x14ac:dyDescent="0.35">
      <c r="A465" s="3">
        <v>750</v>
      </c>
      <c r="B465" s="4" t="str">
        <f t="shared" si="30"/>
        <v>DATA_SOURCE:READ</v>
      </c>
      <c r="C465" s="4" t="str">
        <f t="shared" si="29"/>
        <v>data_source viewing</v>
      </c>
      <c r="D465" s="4" t="s">
        <v>6377</v>
      </c>
      <c r="E465" s="5" t="s">
        <v>5785</v>
      </c>
      <c r="F465" s="16" t="str">
        <f t="shared" si="31"/>
        <v>(750,'DATA_SOURCE:READ','data_source viewing','DATA_SOURCE','READ'),</v>
      </c>
    </row>
    <row r="466" spans="1:6" ht="20.149999999999999" customHeight="1" x14ac:dyDescent="0.35">
      <c r="A466" s="3">
        <v>751</v>
      </c>
      <c r="B466" s="4" t="str">
        <f t="shared" si="30"/>
        <v>QUALITY_FLAG:READ</v>
      </c>
      <c r="C466" s="4" t="str">
        <f t="shared" si="29"/>
        <v>quality_flag viewing</v>
      </c>
      <c r="D466" s="4" t="s">
        <v>6379</v>
      </c>
      <c r="E466" s="5" t="s">
        <v>5785</v>
      </c>
      <c r="F466" s="16" t="str">
        <f t="shared" si="31"/>
        <v>(751,'QUALITY_FLAG:READ','quality_flag viewing','QUALITY_FLAG','READ'),</v>
      </c>
    </row>
    <row r="467" spans="1:6" ht="20.149999999999999" customHeight="1" x14ac:dyDescent="0.35">
      <c r="A467" s="3">
        <v>752</v>
      </c>
      <c r="B467" s="4" t="str">
        <f t="shared" si="30"/>
        <v>VALIDATION_STATUS:READ</v>
      </c>
      <c r="C467" s="4" t="str">
        <f t="shared" si="29"/>
        <v>validation_status viewing</v>
      </c>
      <c r="D467" s="4" t="s">
        <v>6381</v>
      </c>
      <c r="E467" s="5" t="s">
        <v>5785</v>
      </c>
      <c r="F467" s="16" t="str">
        <f t="shared" si="31"/>
        <v>(752,'VALIDATION_STATUS:READ','validation_status viewing','VALIDATION_STATUS','READ'),</v>
      </c>
    </row>
    <row r="468" spans="1:6" ht="20.149999999999999" customHeight="1" x14ac:dyDescent="0.35">
      <c r="A468" s="3">
        <v>753</v>
      </c>
      <c r="B468" s="4" t="str">
        <f t="shared" si="30"/>
        <v>READING_SLOT:READ</v>
      </c>
      <c r="C468" s="4" t="str">
        <f t="shared" si="29"/>
        <v>reading_slot viewing</v>
      </c>
      <c r="D468" s="4" t="s">
        <v>6382</v>
      </c>
      <c r="E468" s="5" t="s">
        <v>5785</v>
      </c>
      <c r="F468" s="16" t="str">
        <f t="shared" si="31"/>
        <v>(753,'READING_SLOT:READ','reading_slot viewing','READING_SLOT','READ'),</v>
      </c>
    </row>
    <row r="469" spans="1:6" ht="20.149999999999999" customHeight="1" x14ac:dyDescent="0.35">
      <c r="A469" s="3">
        <v>754</v>
      </c>
      <c r="B469" s="4" t="str">
        <f t="shared" si="30"/>
        <v>FLOW_OPERATION:READ</v>
      </c>
      <c r="C469" s="4" t="str">
        <f t="shared" si="29"/>
        <v>flow_operation viewing</v>
      </c>
      <c r="D469" s="4" t="s">
        <v>6383</v>
      </c>
      <c r="E469" s="5" t="s">
        <v>5785</v>
      </c>
      <c r="F469" s="16" t="str">
        <f t="shared" si="31"/>
        <v>(754,'FLOW_OPERATION:READ','flow_operation viewing','FLOW_OPERATION','READ'),</v>
      </c>
    </row>
    <row r="470" spans="1:6" ht="20.149999999999999" customHeight="1" x14ac:dyDescent="0.35">
      <c r="A470" s="3">
        <v>755</v>
      </c>
      <c r="B470" s="4" t="str">
        <f t="shared" si="30"/>
        <v>FLOW_FORECAST:READ</v>
      </c>
      <c r="C470" s="4" t="str">
        <f t="shared" si="29"/>
        <v>flow_forecast viewing</v>
      </c>
      <c r="D470" s="4" t="s">
        <v>6384</v>
      </c>
      <c r="E470" s="5" t="s">
        <v>5785</v>
      </c>
      <c r="F470" s="16" t="str">
        <f t="shared" si="31"/>
        <v>(755,'FLOW_FORECAST:READ','flow_forecast viewing','FLOW_FORECAST','READ'),</v>
      </c>
    </row>
    <row r="471" spans="1:6" ht="20.149999999999999" customHeight="1" x14ac:dyDescent="0.35">
      <c r="A471" s="3">
        <v>756</v>
      </c>
      <c r="B471" s="4" t="str">
        <f t="shared" si="30"/>
        <v>FLOW_READING:READ</v>
      </c>
      <c r="C471" s="4" t="str">
        <f t="shared" si="29"/>
        <v>flow_reading viewing</v>
      </c>
      <c r="D471" s="4" t="s">
        <v>6385</v>
      </c>
      <c r="E471" s="5" t="s">
        <v>5785</v>
      </c>
      <c r="F471" s="16" t="str">
        <f t="shared" si="31"/>
        <v>(756,'FLOW_READING:READ','flow_reading viewing','FLOW_READING','READ'),</v>
      </c>
    </row>
    <row r="472" spans="1:6" ht="20.149999999999999" customHeight="1" x14ac:dyDescent="0.35">
      <c r="A472" s="3">
        <v>757</v>
      </c>
      <c r="B472" s="4" t="str">
        <f t="shared" si="30"/>
        <v>FLOW_EVENT:READ</v>
      </c>
      <c r="C472" s="4" t="str">
        <f t="shared" si="29"/>
        <v>flow_event viewing</v>
      </c>
      <c r="D472" s="4" t="s">
        <v>6388</v>
      </c>
      <c r="E472" s="5" t="s">
        <v>5785</v>
      </c>
      <c r="F472" s="16" t="str">
        <f t="shared" si="31"/>
        <v>(757,'FLOW_EVENT:READ','flow_event viewing','FLOW_EVENT','READ'),</v>
      </c>
    </row>
    <row r="473" spans="1:6" ht="20.149999999999999" customHeight="1" x14ac:dyDescent="0.35">
      <c r="A473" s="3">
        <v>758</v>
      </c>
      <c r="B473" s="4" t="str">
        <f t="shared" si="30"/>
        <v>FLOW_ALERT:READ</v>
      </c>
      <c r="C473" s="4" t="str">
        <f t="shared" si="29"/>
        <v>flow_alert viewing</v>
      </c>
      <c r="D473" s="4" t="s">
        <v>6387</v>
      </c>
      <c r="E473" s="5" t="s">
        <v>5785</v>
      </c>
      <c r="F473" s="16" t="str">
        <f t="shared" si="31"/>
        <v>(758,'FLOW_ALERT:READ','flow_alert viewing','FLOW_ALERT','READ'),</v>
      </c>
    </row>
    <row r="474" spans="1:6" ht="20.149999999999999" customHeight="1" x14ac:dyDescent="0.35">
      <c r="A474" s="3">
        <v>759</v>
      </c>
      <c r="B474" s="4" t="str">
        <f t="shared" si="30"/>
        <v>FLOW_THRESHOLD:READ</v>
      </c>
      <c r="C474" s="4" t="str">
        <f t="shared" si="29"/>
        <v>flow_threshold viewing</v>
      </c>
      <c r="D474" s="4" t="s">
        <v>6386</v>
      </c>
      <c r="E474" s="5" t="s">
        <v>5785</v>
      </c>
      <c r="F474" s="16" t="str">
        <f t="shared" si="31"/>
        <v>(759,'FLOW_THRESHOLD:READ','flow_threshold viewing','FLOW_THRESHOLD','READ'),</v>
      </c>
    </row>
  </sheetData>
  <autoFilter ref="A2:F474" xr:uid="{00000000-0009-0000-0000-000007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5266</v>
      </c>
      <c r="D1" s="1" t="s">
        <v>5786</v>
      </c>
      <c r="E1" s="1" t="s">
        <v>5600</v>
      </c>
    </row>
    <row r="2" spans="1:5" ht="20.149999999999999" customHeight="1" x14ac:dyDescent="0.35">
      <c r="A2" s="1" t="s">
        <v>44</v>
      </c>
      <c r="B2" s="1" t="s">
        <v>5795</v>
      </c>
      <c r="C2" s="1" t="s">
        <v>42</v>
      </c>
      <c r="D2" s="1" t="s">
        <v>43</v>
      </c>
      <c r="E2" s="1" t="s">
        <v>5845</v>
      </c>
    </row>
    <row r="3" spans="1:5" ht="20.149999999999999" customHeight="1" x14ac:dyDescent="0.35">
      <c r="A3" s="3">
        <v>1</v>
      </c>
      <c r="B3" s="4" t="s">
        <v>5797</v>
      </c>
      <c r="C3" s="4" t="s">
        <v>5796</v>
      </c>
      <c r="D3" s="4" t="s">
        <v>5798</v>
      </c>
      <c r="E3" s="16" t="str">
        <f>CONCATENATE("(",A3,",'",B3,"','",C3,"','",D3,"'),")</f>
        <v>(1,'SYSTEM','System Management','Core system operations and configuration'),</v>
      </c>
    </row>
    <row r="4" spans="1:5" ht="20.149999999999999" customHeight="1" x14ac:dyDescent="0.35">
      <c r="A4" s="3">
        <v>2</v>
      </c>
      <c r="B4" s="4" t="s">
        <v>5749</v>
      </c>
      <c r="C4" s="4" t="s">
        <v>5799</v>
      </c>
      <c r="D4" s="4" t="s">
        <v>5800</v>
      </c>
      <c r="E4" s="16" t="str">
        <f t="shared" ref="E4:E21" si="0">CONCATENATE("(",A4,",'",B4,"','",C4,"','",D4,"'),")</f>
        <v>(2,'USER','User Management','User account and profile management'),</v>
      </c>
    </row>
    <row r="5" spans="1:5" ht="20.149999999999999" customHeight="1" x14ac:dyDescent="0.35">
      <c r="A5" s="3">
        <v>3</v>
      </c>
      <c r="B5" s="4" t="s">
        <v>5750</v>
      </c>
      <c r="C5" s="4" t="s">
        <v>5801</v>
      </c>
      <c r="D5" s="4" t="s">
        <v>5802</v>
      </c>
      <c r="E5" s="16" t="str">
        <f t="shared" si="0"/>
        <v>(3,'ROLE','Role Management','Role definitions and assignments'),</v>
      </c>
    </row>
    <row r="6" spans="1:5" ht="20.149999999999999" customHeight="1" x14ac:dyDescent="0.35">
      <c r="A6" s="3">
        <v>4</v>
      </c>
      <c r="B6" s="4" t="s">
        <v>5751</v>
      </c>
      <c r="C6" s="4" t="s">
        <v>5803</v>
      </c>
      <c r="D6" s="4" t="s">
        <v>5804</v>
      </c>
      <c r="E6" s="16" t="str">
        <f t="shared" si="0"/>
        <v>(4,'PERMISSION','Permission Management','Permission and access control'),</v>
      </c>
    </row>
    <row r="7" spans="1:5" ht="20.149999999999999" customHeight="1" x14ac:dyDescent="0.35">
      <c r="A7" s="3">
        <v>5</v>
      </c>
      <c r="B7" s="4" t="s">
        <v>5748</v>
      </c>
      <c r="C7" s="4" t="s">
        <v>5805</v>
      </c>
      <c r="D7" s="4" t="s">
        <v>5806</v>
      </c>
      <c r="E7" s="16" t="str">
        <f t="shared" si="0"/>
        <v>(5,'GROUP','Group Management','User group organization'),</v>
      </c>
    </row>
    <row r="8" spans="1:5" ht="20.149999999999999" customHeight="1" x14ac:dyDescent="0.35">
      <c r="A8" s="3">
        <v>6</v>
      </c>
      <c r="B8" s="4" t="s">
        <v>5752</v>
      </c>
      <c r="C8" s="4" t="s">
        <v>5807</v>
      </c>
      <c r="D8" s="4" t="s">
        <v>5808</v>
      </c>
      <c r="E8" s="16" t="str">
        <f t="shared" si="0"/>
        <v>(6,'AUTHORITY','Authority Management','Authority category management'),</v>
      </c>
    </row>
    <row r="9" spans="1:5" ht="20.149999999999999" customHeight="1" x14ac:dyDescent="0.35">
      <c r="A9" s="3">
        <v>7</v>
      </c>
      <c r="B9" s="4" t="s">
        <v>5753</v>
      </c>
      <c r="C9" s="4" t="s">
        <v>5809</v>
      </c>
      <c r="D9" s="4" t="s">
        <v>5810</v>
      </c>
      <c r="E9" s="16" t="str">
        <f t="shared" si="0"/>
        <v>(7,'AUDIT','Audit Management','System audit logging and tracking'),</v>
      </c>
    </row>
    <row r="10" spans="1:5" ht="20.149999999999999" customHeight="1" x14ac:dyDescent="0.35">
      <c r="A10" s="3">
        <v>8</v>
      </c>
      <c r="B10" s="4" t="s">
        <v>5812</v>
      </c>
      <c r="C10" s="4" t="s">
        <v>5811</v>
      </c>
      <c r="D10" s="4" t="s">
        <v>5813</v>
      </c>
      <c r="E10" s="16" t="str">
        <f t="shared" si="0"/>
        <v>(8,'AUTH','Authentication','Authentication and session management'),</v>
      </c>
    </row>
    <row r="11" spans="1:5" ht="20.149999999999999" customHeight="1" x14ac:dyDescent="0.35">
      <c r="A11" s="3">
        <v>9</v>
      </c>
      <c r="B11" s="4" t="s">
        <v>5815</v>
      </c>
      <c r="C11" s="4" t="s">
        <v>5814</v>
      </c>
      <c r="D11" s="4" t="s">
        <v>5816</v>
      </c>
      <c r="E11" s="16" t="str">
        <f t="shared" si="0"/>
        <v>(9,'CONFIG','Configuration','System configuration settings'),</v>
      </c>
    </row>
    <row r="12" spans="1:5" ht="20.149999999999999" customHeight="1" x14ac:dyDescent="0.35">
      <c r="A12" s="3">
        <v>10</v>
      </c>
      <c r="B12" s="4" t="s">
        <v>5818</v>
      </c>
      <c r="C12" s="4" t="s">
        <v>5817</v>
      </c>
      <c r="D12" s="4" t="s">
        <v>5819</v>
      </c>
      <c r="E12" s="16" t="str">
        <f t="shared" si="0"/>
        <v>(10,'UTILITY','System Utility','System utilities and tools'),</v>
      </c>
    </row>
    <row r="13" spans="1:5" ht="20.149999999999999" customHeight="1" x14ac:dyDescent="0.35">
      <c r="A13" s="3">
        <v>11</v>
      </c>
      <c r="B13" s="4" t="s">
        <v>5821</v>
      </c>
      <c r="C13" s="4" t="s">
        <v>5820</v>
      </c>
      <c r="D13" s="4" t="s">
        <v>5822</v>
      </c>
      <c r="E13" s="16" t="str">
        <f t="shared" si="0"/>
        <v>(11,'ADMINISTRATION','Administration','Administrative operations'),</v>
      </c>
    </row>
    <row r="14" spans="1:5" ht="20.149999999999999" customHeight="1" x14ac:dyDescent="0.35">
      <c r="A14" s="3">
        <v>12</v>
      </c>
      <c r="B14" s="4" t="s">
        <v>5824</v>
      </c>
      <c r="C14" s="4" t="s">
        <v>5823</v>
      </c>
      <c r="D14" s="4" t="s">
        <v>5825</v>
      </c>
      <c r="E14" s="16" t="str">
        <f t="shared" si="0"/>
        <v>(12,'COMMUNICATION','Communication','Messaging and notifications'),</v>
      </c>
    </row>
    <row r="15" spans="1:5" ht="20.149999999999999" customHeight="1" x14ac:dyDescent="0.35">
      <c r="A15" s="3">
        <v>13</v>
      </c>
      <c r="B15" s="4" t="s">
        <v>5754</v>
      </c>
      <c r="C15" s="4" t="s">
        <v>5826</v>
      </c>
      <c r="D15" s="4" t="s">
        <v>5827</v>
      </c>
      <c r="E15" s="16" t="str">
        <f t="shared" si="0"/>
        <v>(13,'DOCUMENT','Document Management','Document handling and archiving'),</v>
      </c>
    </row>
    <row r="16" spans="1:5" ht="20.149999999999999" customHeight="1" x14ac:dyDescent="0.35">
      <c r="A16" s="3">
        <v>14</v>
      </c>
      <c r="B16" s="4" t="s">
        <v>5829</v>
      </c>
      <c r="C16" s="4" t="s">
        <v>5828</v>
      </c>
      <c r="D16" s="4" t="s">
        <v>5830</v>
      </c>
      <c r="E16" s="16" t="str">
        <f t="shared" si="0"/>
        <v>(14,'ENVIRONMENT','Environment Data','Geographic and location data'),</v>
      </c>
    </row>
    <row r="17" spans="1:5" ht="20.149999999999999" customHeight="1" x14ac:dyDescent="0.35">
      <c r="A17" s="3">
        <v>15</v>
      </c>
      <c r="B17" s="4" t="s">
        <v>5832</v>
      </c>
      <c r="C17" s="4" t="s">
        <v>5831</v>
      </c>
      <c r="D17" s="4" t="s">
        <v>5833</v>
      </c>
      <c r="E17" s="16" t="str">
        <f t="shared" si="0"/>
        <v>(15,'NETWORK','Network Management','Network infrastructure management'),</v>
      </c>
    </row>
    <row r="18" spans="1:5" ht="20.149999999999999" customHeight="1" x14ac:dyDescent="0.35">
      <c r="A18" s="3">
        <v>16</v>
      </c>
      <c r="B18" s="4" t="s">
        <v>5777</v>
      </c>
      <c r="C18" s="4" t="s">
        <v>5834</v>
      </c>
      <c r="D18" s="4" t="s">
        <v>5835</v>
      </c>
      <c r="E18" s="16" t="str">
        <f t="shared" si="0"/>
        <v>(16,'INFRASTRUCTURE','IT Infrastructure','IT infrastructure and services'),</v>
      </c>
    </row>
    <row r="19" spans="1:5" ht="20.149999999999999" customHeight="1" x14ac:dyDescent="0.35">
      <c r="A19" s="3">
        <v>17</v>
      </c>
      <c r="B19" s="4" t="s">
        <v>5837</v>
      </c>
      <c r="C19" s="4" t="s">
        <v>5836</v>
      </c>
      <c r="D19" s="4" t="s">
        <v>5838</v>
      </c>
      <c r="E19" s="16" t="str">
        <f t="shared" si="0"/>
        <v>(17,'REPORT','Reporting &amp; Analytics','Reports, dashboards, and analytics'),</v>
      </c>
    </row>
    <row r="20" spans="1:5" ht="20.149999999999999" customHeight="1" x14ac:dyDescent="0.35">
      <c r="A20" s="3">
        <v>18</v>
      </c>
      <c r="B20" s="4" t="s">
        <v>5840</v>
      </c>
      <c r="C20" s="4" t="s">
        <v>5839</v>
      </c>
      <c r="D20" s="4" t="s">
        <v>5841</v>
      </c>
      <c r="E20" s="16" t="str">
        <f t="shared" si="0"/>
        <v>(18,'WORKFLOW','Workflow Engine','Business process workflows'),</v>
      </c>
    </row>
    <row r="21" spans="1:5" ht="20.149999999999999" customHeight="1" x14ac:dyDescent="0.35">
      <c r="A21" s="3">
        <v>19</v>
      </c>
      <c r="B21" s="4" t="s">
        <v>5843</v>
      </c>
      <c r="C21" s="4" t="s">
        <v>5842</v>
      </c>
      <c r="D21" s="4" t="s">
        <v>5844</v>
      </c>
      <c r="E21" s="16" t="str">
        <f t="shared" si="0"/>
        <v>(19,'INTEGRATION','System Integration','External system integrations'),</v>
      </c>
    </row>
  </sheetData>
  <autoFilter ref="A2:E21" xr:uid="{00000000-0009-0000-0000-000008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5600</v>
      </c>
    </row>
    <row r="2" spans="1:5" ht="20.149999999999999" customHeight="1" x14ac:dyDescent="0.35">
      <c r="A2" s="1" t="s">
        <v>44</v>
      </c>
      <c r="B2" s="1" t="s">
        <v>41</v>
      </c>
      <c r="C2" s="1" t="s">
        <v>42</v>
      </c>
      <c r="D2" s="1" t="s">
        <v>43</v>
      </c>
      <c r="E2" s="1" t="s">
        <v>5627</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9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5600</v>
      </c>
    </row>
    <row r="2" spans="1:6" ht="20.149999999999999" customHeight="1" x14ac:dyDescent="0.35">
      <c r="A2" s="1" t="s">
        <v>44</v>
      </c>
      <c r="B2" s="1" t="s">
        <v>41</v>
      </c>
      <c r="C2" s="1" t="s">
        <v>42</v>
      </c>
      <c r="D2" s="1" t="s">
        <v>43</v>
      </c>
      <c r="E2" s="1" t="s">
        <v>53</v>
      </c>
      <c r="F2" s="1" t="s">
        <v>5626</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A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5600</v>
      </c>
    </row>
    <row r="2" spans="1:6" ht="20.149999999999999" customHeight="1" x14ac:dyDescent="0.35">
      <c r="A2" s="1" t="s">
        <v>44</v>
      </c>
      <c r="B2" s="1" t="s">
        <v>41</v>
      </c>
      <c r="C2" s="1" t="s">
        <v>42</v>
      </c>
      <c r="D2" s="1" t="s">
        <v>43</v>
      </c>
      <c r="E2" s="1" t="s">
        <v>53</v>
      </c>
      <c r="F2" s="1" t="s">
        <v>5625</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5600</v>
      </c>
    </row>
    <row r="2" spans="1:6" ht="20.149999999999999" customHeight="1" x14ac:dyDescent="0.35">
      <c r="A2" s="1" t="s">
        <v>44</v>
      </c>
      <c r="B2" s="1" t="s">
        <v>41</v>
      </c>
      <c r="C2" s="1" t="s">
        <v>42</v>
      </c>
      <c r="D2" s="1" t="s">
        <v>43</v>
      </c>
      <c r="E2" s="1" t="s">
        <v>53</v>
      </c>
      <c r="F2" s="1" t="s">
        <v>5624</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C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5600</v>
      </c>
    </row>
    <row r="2" spans="1:7" ht="20.149999999999999" customHeight="1" x14ac:dyDescent="0.35">
      <c r="A2" s="1" t="s">
        <v>44</v>
      </c>
      <c r="B2" s="1" t="s">
        <v>41</v>
      </c>
      <c r="C2" s="1" t="s">
        <v>42</v>
      </c>
      <c r="D2" s="1" t="s">
        <v>43</v>
      </c>
      <c r="E2" s="1" t="s">
        <v>53</v>
      </c>
      <c r="F2" s="1" t="s">
        <v>2094</v>
      </c>
      <c r="G2" s="1" t="s">
        <v>5623</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D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70C0"/>
  </sheetPr>
  <dimension ref="A1:H1543"/>
  <sheetViews>
    <sheetView topLeftCell="A22" workbookViewId="0">
      <selection activeCell="G1008" sqref="G100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5600</v>
      </c>
    </row>
    <row r="2" spans="1:8" ht="20.149999999999999" customHeight="1" x14ac:dyDescent="0.35">
      <c r="A2" s="1" t="s">
        <v>44</v>
      </c>
      <c r="B2" s="1" t="s">
        <v>41</v>
      </c>
      <c r="C2" s="1" t="s">
        <v>42</v>
      </c>
      <c r="D2" s="1" t="s">
        <v>43</v>
      </c>
      <c r="E2" s="1" t="s">
        <v>53</v>
      </c>
      <c r="F2" s="1" t="s">
        <v>2094</v>
      </c>
      <c r="G2" s="1" t="s">
        <v>4075</v>
      </c>
      <c r="H2" s="1" t="s">
        <v>5622</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5849</v>
      </c>
      <c r="E60" s="4" t="s">
        <v>5849</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5850</v>
      </c>
      <c r="E77" s="4" t="s">
        <v>5850</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5851</v>
      </c>
      <c r="E83" s="4" t="s">
        <v>5851</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5852</v>
      </c>
      <c r="E181" s="4" t="s">
        <v>5852</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5853</v>
      </c>
      <c r="E187" s="4" t="s">
        <v>5853</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5854</v>
      </c>
      <c r="E189" s="4" t="s">
        <v>5854</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5855</v>
      </c>
      <c r="E197" s="4" t="s">
        <v>5855</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5856</v>
      </c>
      <c r="E226" s="4" t="s">
        <v>5856</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5857</v>
      </c>
      <c r="E242" s="4" t="s">
        <v>5857</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5858</v>
      </c>
      <c r="E299" s="4" t="s">
        <v>5858</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5859</v>
      </c>
      <c r="E400" s="4" t="s">
        <v>5859</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5860</v>
      </c>
      <c r="E401" s="4" t="s">
        <v>5860</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5861</v>
      </c>
      <c r="E468" s="4" t="s">
        <v>5861</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5862</v>
      </c>
      <c r="E499" s="4" t="s">
        <v>5862</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5863</v>
      </c>
      <c r="E527" s="4" t="s">
        <v>5863</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5864</v>
      </c>
      <c r="E606" s="4" t="s">
        <v>5864</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5865</v>
      </c>
      <c r="E627" s="4" t="s">
        <v>5865</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5866</v>
      </c>
      <c r="E675" s="4" t="s">
        <v>5866</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5867</v>
      </c>
      <c r="E802" s="4" t="s">
        <v>5867</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5868</v>
      </c>
      <c r="E844" s="4" t="s">
        <v>5868</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5869</v>
      </c>
      <c r="E902" s="4" t="s">
        <v>5869</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5870</v>
      </c>
      <c r="E965" s="4" t="s">
        <v>5870</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5871</v>
      </c>
      <c r="E971" s="4" t="s">
        <v>5871</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5872</v>
      </c>
      <c r="E977" s="4" t="s">
        <v>5872</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5863</v>
      </c>
      <c r="E1007" s="4" t="s">
        <v>5863</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5873</v>
      </c>
      <c r="E1061" s="4" t="s">
        <v>5873</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5874</v>
      </c>
      <c r="E1127" s="4" t="s">
        <v>5874</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5875</v>
      </c>
      <c r="E1264" s="4" t="s">
        <v>5875</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5876</v>
      </c>
      <c r="E1267" s="4" t="s">
        <v>5876</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5877</v>
      </c>
      <c r="E1296" s="4" t="s">
        <v>5877</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5878</v>
      </c>
      <c r="E1454" s="4" t="s">
        <v>5878</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5879</v>
      </c>
      <c r="E1458" s="4" t="s">
        <v>5879</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5880</v>
      </c>
      <c r="E1472" s="4" t="s">
        <v>5880</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5881</v>
      </c>
      <c r="E1525" s="4" t="s">
        <v>5881</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5882</v>
      </c>
      <c r="E1533" s="4" t="s">
        <v>5882</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5883</v>
      </c>
      <c r="E1538" s="4" t="s">
        <v>5883</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E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70C0"/>
  </sheetPr>
  <dimension ref="A1:H1543"/>
  <sheetViews>
    <sheetView topLeftCell="A37" workbookViewId="0">
      <selection activeCell="A50" sqref="A50:XFD50"/>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5600</v>
      </c>
    </row>
    <row r="2" spans="1:8" ht="20.149999999999999" customHeight="1" x14ac:dyDescent="0.35">
      <c r="A2" s="1" t="s">
        <v>44</v>
      </c>
      <c r="B2" s="1" t="s">
        <v>41</v>
      </c>
      <c r="C2" s="12" t="s">
        <v>42</v>
      </c>
      <c r="D2" s="9" t="s">
        <v>43</v>
      </c>
      <c r="E2" s="9" t="s">
        <v>53</v>
      </c>
      <c r="F2" s="9" t="s">
        <v>2094</v>
      </c>
      <c r="G2" s="1" t="s">
        <v>4077</v>
      </c>
      <c r="H2" s="1" t="s">
        <v>5621</v>
      </c>
    </row>
    <row r="3" spans="1:8" ht="20.149999999999999" customHeight="1" x14ac:dyDescent="0.35">
      <c r="A3" s="3">
        <v>1</v>
      </c>
      <c r="B3" s="15">
        <v>0</v>
      </c>
      <c r="C3" s="13" t="s">
        <v>5493</v>
      </c>
      <c r="D3" s="13" t="s">
        <v>5890</v>
      </c>
      <c r="E3" s="13" t="s">
        <v>5891</v>
      </c>
      <c r="F3" s="13">
        <v>2</v>
      </c>
      <c r="G3" s="7">
        <v>1075</v>
      </c>
      <c r="H3" s="16" t="str">
        <f>CONCATENATE("(",A3,",",B3,",'",C3,"',",D3,",",E3,",",F3,",",G3,"),")</f>
        <v>(1,0,'Ain El Bia 1',35*807,-0*343,2,1075),</v>
      </c>
    </row>
    <row r="4" spans="1:8" ht="20.149999999999999" customHeight="1" x14ac:dyDescent="0.35">
      <c r="A4" s="3">
        <v>2</v>
      </c>
      <c r="B4" s="15">
        <v>0</v>
      </c>
      <c r="C4" s="13" t="s">
        <v>5494</v>
      </c>
      <c r="D4" s="13" t="s">
        <v>5892</v>
      </c>
      <c r="E4" s="13" t="s">
        <v>5893</v>
      </c>
      <c r="F4" s="13">
        <v>5</v>
      </c>
      <c r="G4" s="7">
        <v>1075</v>
      </c>
      <c r="H4" s="16" t="str">
        <f t="shared" ref="H4:H67" si="0">CONCATENATE("(",A4,",",B4,",'",C4,"',",D4,",",E4,",",F4,",",G4,"),")</f>
        <v>(2,0,'Ain El Bia 2',35*835,-0*238,5,1075),</v>
      </c>
    </row>
    <row r="5" spans="1:8" ht="20.149999999999999" customHeight="1" x14ac:dyDescent="0.35">
      <c r="A5" s="3">
        <v>3</v>
      </c>
      <c r="B5" s="15">
        <v>0</v>
      </c>
      <c r="C5" s="13" t="s">
        <v>2377</v>
      </c>
      <c r="D5" s="13" t="s">
        <v>5894</v>
      </c>
      <c r="E5" s="13" t="s">
        <v>5895</v>
      </c>
      <c r="F5" s="13">
        <v>-2</v>
      </c>
      <c r="G5" s="7">
        <v>218</v>
      </c>
      <c r="H5" s="16" t="str">
        <f t="shared" si="0"/>
        <v>(3,0,'Ain Naga',34*686,6*094,-2,218),</v>
      </c>
    </row>
    <row r="6" spans="1:8" ht="20.149999999999999" customHeight="1" x14ac:dyDescent="0.35">
      <c r="A6" s="3">
        <v>4</v>
      </c>
      <c r="B6" s="15">
        <v>0</v>
      </c>
      <c r="C6" s="13" t="s">
        <v>5495</v>
      </c>
      <c r="D6" s="13" t="s">
        <v>5896</v>
      </c>
      <c r="E6" s="13" t="s">
        <v>5897</v>
      </c>
      <c r="F6" s="13">
        <v>350</v>
      </c>
      <c r="G6" s="7">
        <v>1113</v>
      </c>
      <c r="H6" s="16" t="str">
        <f t="shared" si="0"/>
        <v>(4,0,'Ain Tsila',27*2,10*5,350,1113),</v>
      </c>
    </row>
    <row r="7" spans="1:8" ht="20.149999999999999" customHeight="1" x14ac:dyDescent="0.35">
      <c r="A7" s="3">
        <v>5</v>
      </c>
      <c r="B7" s="15">
        <v>0</v>
      </c>
      <c r="C7" s="13" t="s">
        <v>5478</v>
      </c>
      <c r="D7" s="13" t="s">
        <v>5898</v>
      </c>
      <c r="E7" s="13" t="s">
        <v>5899</v>
      </c>
      <c r="F7" s="13">
        <v>650</v>
      </c>
      <c r="G7" s="7">
        <v>393</v>
      </c>
      <c r="H7" s="16" t="str">
        <f t="shared" si="0"/>
        <v>(5,0,'Al Aricha',33*82,1*9,650,393),</v>
      </c>
    </row>
    <row r="8" spans="1:8" ht="20.149999999999999" customHeight="1" x14ac:dyDescent="0.35">
      <c r="A8" s="3">
        <v>6</v>
      </c>
      <c r="B8" s="15">
        <v>0</v>
      </c>
      <c r="C8" s="13" t="s">
        <v>5496</v>
      </c>
      <c r="D8" s="13" t="s">
        <v>5900</v>
      </c>
      <c r="E8" s="13" t="s">
        <v>5901</v>
      </c>
      <c r="F8" s="13">
        <v>495</v>
      </c>
      <c r="G8" s="7">
        <v>1444</v>
      </c>
      <c r="H8" s="16" t="str">
        <f t="shared" si="0"/>
        <v>(6,0,'Al Atteuf',32*478,3*748,495,1444),</v>
      </c>
    </row>
    <row r="9" spans="1:8" ht="20.149999999999999" customHeight="1" x14ac:dyDescent="0.35">
      <c r="A9" s="3">
        <v>7</v>
      </c>
      <c r="B9" s="15">
        <v>0</v>
      </c>
      <c r="C9" s="13" t="s">
        <v>1002</v>
      </c>
      <c r="D9" s="13" t="s">
        <v>5902</v>
      </c>
      <c r="E9" s="13" t="s">
        <v>5903</v>
      </c>
      <c r="F9" s="13">
        <v>50</v>
      </c>
      <c r="G9" s="7">
        <v>544</v>
      </c>
      <c r="H9" s="16" t="str">
        <f t="shared" si="0"/>
        <v>(7,0,'Alger',36*45,3*2,50,544),</v>
      </c>
    </row>
    <row r="10" spans="1:8" ht="20.149999999999999" customHeight="1" x14ac:dyDescent="0.35">
      <c r="A10" s="3">
        <v>8</v>
      </c>
      <c r="B10" s="15">
        <v>0</v>
      </c>
      <c r="C10" s="13" t="s">
        <v>5389</v>
      </c>
      <c r="D10" s="13" t="s">
        <v>5904</v>
      </c>
      <c r="E10" s="13" t="s">
        <v>5905</v>
      </c>
      <c r="F10" s="13">
        <v>60</v>
      </c>
      <c r="G10" s="7">
        <v>1116</v>
      </c>
      <c r="H10" s="16" t="str">
        <f t="shared" si="0"/>
        <v>(8,0,'Alrar',35*4,0*45,60,1116),</v>
      </c>
    </row>
    <row r="11" spans="1:8" ht="20.149999999999999" customHeight="1" x14ac:dyDescent="0.35">
      <c r="A11" s="3">
        <v>9</v>
      </c>
      <c r="B11" s="15">
        <v>0</v>
      </c>
      <c r="C11" s="13" t="s">
        <v>1824</v>
      </c>
      <c r="D11" s="13" t="s">
        <v>5892</v>
      </c>
      <c r="E11" s="13" t="s">
        <v>5893</v>
      </c>
      <c r="F11" s="13">
        <v>5</v>
      </c>
      <c r="G11" s="7">
        <v>1075</v>
      </c>
      <c r="H11" s="16" t="str">
        <f t="shared" si="0"/>
        <v>(9,0,'Arzew',35*835,-0*238,5,1075),</v>
      </c>
    </row>
    <row r="12" spans="1:8" ht="20.149999999999999" customHeight="1" x14ac:dyDescent="0.35">
      <c r="A12" s="3">
        <v>10</v>
      </c>
      <c r="B12" s="15">
        <v>0</v>
      </c>
      <c r="C12" s="13" t="s">
        <v>1824</v>
      </c>
      <c r="D12" s="13" t="s">
        <v>5906</v>
      </c>
      <c r="E12" s="13" t="s">
        <v>5907</v>
      </c>
      <c r="F12" s="13">
        <v>2</v>
      </c>
      <c r="G12" s="7">
        <v>1065</v>
      </c>
      <c r="H12" s="16" t="str">
        <f t="shared" si="0"/>
        <v>(10,0,'Arzew',35*862,-0*345,2,1065),</v>
      </c>
    </row>
    <row r="13" spans="1:8" ht="20.149999999999999" customHeight="1" x14ac:dyDescent="0.35">
      <c r="A13" s="3">
        <v>11</v>
      </c>
      <c r="B13" s="15">
        <v>0</v>
      </c>
      <c r="C13" s="13" t="s">
        <v>983</v>
      </c>
      <c r="D13" s="13" t="s">
        <v>5908</v>
      </c>
      <c r="E13" s="13" t="s">
        <v>5909</v>
      </c>
      <c r="F13" s="13">
        <v>52</v>
      </c>
      <c r="G13" s="7">
        <v>166</v>
      </c>
      <c r="H13" s="16" t="str">
        <f t="shared" si="0"/>
        <v>(11,0,'Béjaïa',36*751,5*059,52,166),</v>
      </c>
    </row>
    <row r="14" spans="1:8" ht="20.149999999999999" customHeight="1" x14ac:dyDescent="0.35">
      <c r="A14" s="3">
        <v>12</v>
      </c>
      <c r="B14" s="15">
        <v>0</v>
      </c>
      <c r="C14" s="13" t="s">
        <v>5334</v>
      </c>
      <c r="D14" s="13" t="s">
        <v>5910</v>
      </c>
      <c r="E14" s="13" t="s">
        <v>5911</v>
      </c>
      <c r="F14" s="13">
        <v>450</v>
      </c>
      <c r="G14" s="7">
        <v>198</v>
      </c>
      <c r="H14" s="16" t="str">
        <f t="shared" si="0"/>
        <v>(12,0,'Beni Mensour',36*336,4*356,450,198),</v>
      </c>
    </row>
    <row r="15" spans="1:8" ht="20.149999999999999" customHeight="1" x14ac:dyDescent="0.35">
      <c r="A15" s="3">
        <v>13</v>
      </c>
      <c r="B15" s="15">
        <v>0</v>
      </c>
      <c r="C15" s="13" t="s">
        <v>5334</v>
      </c>
      <c r="D15" s="13" t="s">
        <v>5912</v>
      </c>
      <c r="E15" s="13" t="s">
        <v>5913</v>
      </c>
      <c r="F15" s="13">
        <v>750</v>
      </c>
      <c r="G15" s="7">
        <v>198</v>
      </c>
      <c r="H15" s="16" t="str">
        <f t="shared" si="0"/>
        <v>(13,0,'Beni Mensour',33*45,2*45,750,198),</v>
      </c>
    </row>
    <row r="16" spans="1:8" ht="20.149999999999999" customHeight="1" x14ac:dyDescent="0.35">
      <c r="A16" s="3">
        <v>14</v>
      </c>
      <c r="B16" s="15">
        <v>0</v>
      </c>
      <c r="C16" s="13" t="s">
        <v>2048</v>
      </c>
      <c r="D16" s="13" t="s">
        <v>5914</v>
      </c>
      <c r="E16" s="13" t="s">
        <v>5915</v>
      </c>
      <c r="F16" s="13">
        <v>10</v>
      </c>
      <c r="G16" s="7">
        <v>1431</v>
      </c>
      <c r="H16" s="16" t="str">
        <f t="shared" si="0"/>
        <v>(14,0,'Beni Saf',35*301,-1*382,10,1431),</v>
      </c>
    </row>
    <row r="17" spans="1:8" ht="20.149999999999999" customHeight="1" x14ac:dyDescent="0.35">
      <c r="A17" s="3">
        <v>15</v>
      </c>
      <c r="B17" s="15">
        <v>0</v>
      </c>
      <c r="C17" s="13" t="s">
        <v>5497</v>
      </c>
      <c r="D17" s="13" t="s">
        <v>5916</v>
      </c>
      <c r="E17" s="13" t="s">
        <v>5917</v>
      </c>
      <c r="F17" s="13">
        <v>380</v>
      </c>
      <c r="G17" s="7">
        <v>1057</v>
      </c>
      <c r="H17" s="16" t="str">
        <f t="shared" si="0"/>
        <v>(15,0,'Berkine',26*418,9*08,380,1057),</v>
      </c>
    </row>
    <row r="18" spans="1:8" ht="20.149999999999999" customHeight="1" x14ac:dyDescent="0.35">
      <c r="A18" s="3">
        <v>16</v>
      </c>
      <c r="B18" s="15">
        <v>0</v>
      </c>
      <c r="C18" s="13" t="s">
        <v>1818</v>
      </c>
      <c r="D18" s="13" t="s">
        <v>5918</v>
      </c>
      <c r="E18" s="13" t="s">
        <v>5919</v>
      </c>
      <c r="F18" s="13">
        <v>2</v>
      </c>
      <c r="G18" s="7">
        <v>1065</v>
      </c>
      <c r="H18" s="16" t="str">
        <f t="shared" si="0"/>
        <v>(16,0,'Bethioua',35*805,-0*241,2,1065),</v>
      </c>
    </row>
    <row r="19" spans="1:8" ht="20.149999999999999" customHeight="1" x14ac:dyDescent="0.35">
      <c r="A19" s="3">
        <v>17</v>
      </c>
      <c r="B19" s="15">
        <v>0</v>
      </c>
      <c r="C19" s="13" t="s">
        <v>5364</v>
      </c>
      <c r="D19" s="13" t="s">
        <v>5920</v>
      </c>
      <c r="E19" s="13" t="s">
        <v>5921</v>
      </c>
      <c r="F19" s="13">
        <v>185</v>
      </c>
      <c r="G19" s="7">
        <v>1062</v>
      </c>
      <c r="H19" s="16" t="str">
        <f t="shared" si="0"/>
        <v>(17,0,'Bir Rebaa North',31*85,5*973,185,1062),</v>
      </c>
    </row>
    <row r="20" spans="1:8" ht="20.149999999999999" customHeight="1" x14ac:dyDescent="0.35">
      <c r="A20" s="3">
        <v>18</v>
      </c>
      <c r="B20" s="15">
        <v>0</v>
      </c>
      <c r="C20" s="13" t="s">
        <v>5448</v>
      </c>
      <c r="D20" s="13" t="s">
        <v>5922</v>
      </c>
      <c r="E20" s="13" t="s">
        <v>5923</v>
      </c>
      <c r="F20" s="13">
        <v>100</v>
      </c>
      <c r="G20" s="7">
        <v>1159</v>
      </c>
      <c r="H20" s="16" t="str">
        <f t="shared" si="0"/>
        <v>(18,0,'Bord Menaiel',36*38,3*8,100,1159),</v>
      </c>
    </row>
    <row r="21" spans="1:8" ht="20.149999999999999" customHeight="1" x14ac:dyDescent="0.35">
      <c r="A21" s="3">
        <v>19</v>
      </c>
      <c r="B21" s="15">
        <v>0</v>
      </c>
      <c r="C21" s="13" t="s">
        <v>5498</v>
      </c>
      <c r="D21" s="13" t="s">
        <v>5924</v>
      </c>
      <c r="E21" s="13" t="s">
        <v>5925</v>
      </c>
      <c r="F21" s="13">
        <v>81</v>
      </c>
      <c r="G21" s="7">
        <v>1447</v>
      </c>
      <c r="H21" s="16" t="str">
        <f t="shared" si="0"/>
        <v>(19,0,'Bourmadia',35*732,0*613,81,1447),</v>
      </c>
    </row>
    <row r="22" spans="1:8" ht="20.149999999999999" customHeight="1" x14ac:dyDescent="0.35">
      <c r="A22" s="3">
        <v>20</v>
      </c>
      <c r="B22" s="15">
        <v>0</v>
      </c>
      <c r="C22" s="13" t="s">
        <v>3822</v>
      </c>
      <c r="D22" s="13" t="s">
        <v>5926</v>
      </c>
      <c r="E22" s="13" t="s">
        <v>5927</v>
      </c>
      <c r="F22" s="13">
        <v>389</v>
      </c>
      <c r="G22" s="7">
        <v>1498</v>
      </c>
      <c r="H22" s="16" t="str">
        <f t="shared" si="0"/>
        <v>(20,0,'Chaiba',34*5,5*25,389,1498),</v>
      </c>
    </row>
    <row r="23" spans="1:8" ht="20.149999999999999" customHeight="1" x14ac:dyDescent="0.35">
      <c r="A23" s="3">
        <v>21</v>
      </c>
      <c r="B23" s="15">
        <v>0</v>
      </c>
      <c r="C23" s="13" t="s">
        <v>5338</v>
      </c>
      <c r="D23" s="13" t="s">
        <v>5928</v>
      </c>
      <c r="E23" s="13" t="s">
        <v>5929</v>
      </c>
      <c r="F23" s="13">
        <v>350</v>
      </c>
      <c r="G23" s="7">
        <v>1115</v>
      </c>
      <c r="H23" s="16" t="str">
        <f t="shared" si="0"/>
        <v>(21,0,'Deb Deb',29*968,9*424,350,1115),</v>
      </c>
    </row>
    <row r="24" spans="1:8" ht="20.149999999999999" customHeight="1" x14ac:dyDescent="0.35">
      <c r="A24" s="3">
        <v>22</v>
      </c>
      <c r="B24" s="15">
        <v>0</v>
      </c>
      <c r="C24" s="13" t="s">
        <v>5531</v>
      </c>
      <c r="D24" s="13" t="s">
        <v>5930</v>
      </c>
      <c r="E24" s="13" t="s">
        <v>5931</v>
      </c>
      <c r="F24" s="13">
        <v>280</v>
      </c>
      <c r="G24" s="7">
        <v>1531</v>
      </c>
      <c r="H24" s="16" t="str">
        <f t="shared" si="0"/>
        <v>(22,0,'Djamaa1',33*933,5*93,280,1531),</v>
      </c>
    </row>
    <row r="25" spans="1:8" ht="20.149999999999999" customHeight="1" x14ac:dyDescent="0.35">
      <c r="A25" s="3">
        <v>23</v>
      </c>
      <c r="B25" s="15">
        <v>0</v>
      </c>
      <c r="C25" s="13" t="s">
        <v>5532</v>
      </c>
      <c r="D25" s="13" t="s">
        <v>5932</v>
      </c>
      <c r="E25" s="13" t="s">
        <v>5933</v>
      </c>
      <c r="F25" s="13">
        <v>850</v>
      </c>
      <c r="G25" s="7">
        <v>1535</v>
      </c>
      <c r="H25" s="16" t="str">
        <f t="shared" si="0"/>
        <v>(23,0,'Djamaa2',33*52,2*85,850,1535),</v>
      </c>
    </row>
    <row r="26" spans="1:8" ht="20.149999999999999" customHeight="1" x14ac:dyDescent="0.35">
      <c r="A26" s="3">
        <v>24</v>
      </c>
      <c r="B26" s="15">
        <v>0</v>
      </c>
      <c r="C26" s="13" t="s">
        <v>5499</v>
      </c>
      <c r="D26" s="13" t="s">
        <v>5934</v>
      </c>
      <c r="E26" s="13" t="s">
        <v>5935</v>
      </c>
      <c r="F26" s="13">
        <v>973</v>
      </c>
      <c r="G26" s="7">
        <v>413</v>
      </c>
      <c r="H26" s="16" t="str">
        <f t="shared" si="0"/>
        <v>(24,0,'Djebila',35*372,1*325,973,413),</v>
      </c>
    </row>
    <row r="27" spans="1:8" ht="20.149999999999999" customHeight="1" x14ac:dyDescent="0.35">
      <c r="A27" s="3">
        <v>25</v>
      </c>
      <c r="B27" s="15">
        <v>0</v>
      </c>
      <c r="C27" s="13" t="s">
        <v>1810</v>
      </c>
      <c r="D27" s="13" t="s">
        <v>5936</v>
      </c>
      <c r="E27" s="13" t="s">
        <v>5937</v>
      </c>
      <c r="F27" s="13">
        <v>246</v>
      </c>
      <c r="G27" s="7">
        <v>1064</v>
      </c>
      <c r="H27" s="16" t="str">
        <f t="shared" si="0"/>
        <v>(25,0,'El Borma',31*006,8*134,246,1064),</v>
      </c>
    </row>
    <row r="28" spans="1:8" ht="20.149999999999999" customHeight="1" x14ac:dyDescent="0.35">
      <c r="A28" s="3">
        <v>26</v>
      </c>
      <c r="B28" s="15">
        <v>0</v>
      </c>
      <c r="C28" s="13" t="s">
        <v>5500</v>
      </c>
      <c r="D28" s="13" t="s">
        <v>5916</v>
      </c>
      <c r="E28" s="13" t="s">
        <v>5917</v>
      </c>
      <c r="F28" s="13">
        <v>380</v>
      </c>
      <c r="G28" s="7">
        <v>1057</v>
      </c>
      <c r="H28" s="16" t="str">
        <f t="shared" si="0"/>
        <v>(26,0,'El Merk',26*418,9*08,380,1057),</v>
      </c>
    </row>
    <row r="29" spans="1:8" ht="20.149999999999999" customHeight="1" x14ac:dyDescent="0.35">
      <c r="A29" s="3">
        <v>27</v>
      </c>
      <c r="B29" s="15">
        <v>0</v>
      </c>
      <c r="C29" s="13" t="s">
        <v>5501</v>
      </c>
      <c r="D29" s="13" t="s">
        <v>5938</v>
      </c>
      <c r="E29" s="13" t="s">
        <v>5939</v>
      </c>
      <c r="F29" s="13">
        <v>185</v>
      </c>
      <c r="G29" s="7">
        <v>428</v>
      </c>
      <c r="H29" s="16" t="str">
        <f t="shared" si="0"/>
        <v>(27,0,'Faïdja',35*193,1*706,185,428),</v>
      </c>
    </row>
    <row r="30" spans="1:8" ht="20.149999999999999" customHeight="1" x14ac:dyDescent="0.35">
      <c r="A30" s="3">
        <v>28</v>
      </c>
      <c r="B30" s="15">
        <v>0</v>
      </c>
      <c r="C30" s="13" t="s">
        <v>5502</v>
      </c>
      <c r="D30" s="13" t="s">
        <v>5940</v>
      </c>
      <c r="E30" s="13" t="s">
        <v>5941</v>
      </c>
      <c r="F30" s="13">
        <v>495</v>
      </c>
      <c r="G30" s="7">
        <v>231</v>
      </c>
      <c r="H30" s="16" t="str">
        <f t="shared" si="0"/>
        <v>(28,0,'Ferme Omar Driss',35*034,5*595,495,231),</v>
      </c>
    </row>
    <row r="31" spans="1:8" ht="20.149999999999999" customHeight="1" x14ac:dyDescent="0.35">
      <c r="A31" s="3">
        <v>29</v>
      </c>
      <c r="B31" s="15">
        <v>0</v>
      </c>
      <c r="C31" s="13" t="s">
        <v>5503</v>
      </c>
      <c r="D31" s="13" t="s">
        <v>5942</v>
      </c>
      <c r="E31" s="13" t="s">
        <v>5943</v>
      </c>
      <c r="F31" s="13">
        <v>5</v>
      </c>
      <c r="G31" s="7">
        <v>721</v>
      </c>
      <c r="H31" s="16" t="str">
        <f t="shared" si="0"/>
        <v>(29,0,'Flifla',36*877,6*906,5,721),</v>
      </c>
    </row>
    <row r="32" spans="1:8" ht="20.149999999999999" customHeight="1" x14ac:dyDescent="0.35">
      <c r="A32" s="3">
        <v>30</v>
      </c>
      <c r="B32" s="15">
        <v>0</v>
      </c>
      <c r="C32" s="13" t="s">
        <v>5393</v>
      </c>
      <c r="D32" s="13" t="s">
        <v>5944</v>
      </c>
      <c r="E32" s="13" t="s">
        <v>5945</v>
      </c>
      <c r="F32" s="13">
        <v>267</v>
      </c>
      <c r="G32" s="7">
        <v>1060</v>
      </c>
      <c r="H32" s="16" t="str">
        <f t="shared" si="0"/>
        <v>(30,0,'Gassi Touil',30*271,6*416,267,1060),</v>
      </c>
    </row>
    <row r="33" spans="1:8" ht="20.149999999999999" customHeight="1" x14ac:dyDescent="0.35">
      <c r="A33" s="3">
        <v>31</v>
      </c>
      <c r="B33" s="15">
        <v>0</v>
      </c>
      <c r="C33" s="13" t="s">
        <v>5504</v>
      </c>
      <c r="D33" s="13" t="s">
        <v>5946</v>
      </c>
      <c r="E33" s="13" t="s">
        <v>5947</v>
      </c>
      <c r="F33" s="13">
        <v>156</v>
      </c>
      <c r="G33" s="7">
        <v>1060</v>
      </c>
      <c r="H33" s="16" t="str">
        <f t="shared" si="0"/>
        <v>(31,0,'Haoud El Hamra',31*941,6*071,156,1060),</v>
      </c>
    </row>
    <row r="34" spans="1:8" ht="20.149999999999999" customHeight="1" x14ac:dyDescent="0.35">
      <c r="A34" s="3">
        <v>32</v>
      </c>
      <c r="B34" s="15">
        <v>0</v>
      </c>
      <c r="C34" s="13" t="s">
        <v>5352</v>
      </c>
      <c r="D34" s="13" t="s">
        <v>5948</v>
      </c>
      <c r="E34" s="13" t="s">
        <v>5949</v>
      </c>
      <c r="F34" s="13">
        <v>185</v>
      </c>
      <c r="G34" s="7">
        <v>1060</v>
      </c>
      <c r="H34" s="16" t="str">
        <f t="shared" si="0"/>
        <v>(32,0,'Hassi Berkine',30*559,5*453,185,1060),</v>
      </c>
    </row>
    <row r="35" spans="1:8" ht="20.149999999999999" customHeight="1" x14ac:dyDescent="0.35">
      <c r="A35" s="3">
        <v>33</v>
      </c>
      <c r="B35" s="15">
        <v>0</v>
      </c>
      <c r="C35" s="13" t="s">
        <v>2166</v>
      </c>
      <c r="D35" s="13" t="s">
        <v>5950</v>
      </c>
      <c r="E35" s="13" t="s">
        <v>5951</v>
      </c>
      <c r="F35" s="13">
        <v>716</v>
      </c>
      <c r="G35" s="7">
        <v>58</v>
      </c>
      <c r="H35" s="16" t="str">
        <f t="shared" si="0"/>
        <v>(33,0,'Hassi Delaa',32*935,3*269,716,58),</v>
      </c>
    </row>
    <row r="36" spans="1:8" ht="20.149999999999999" customHeight="1" x14ac:dyDescent="0.35">
      <c r="A36" s="3">
        <v>34</v>
      </c>
      <c r="B36" s="15">
        <v>0</v>
      </c>
      <c r="C36" s="13" t="s">
        <v>1812</v>
      </c>
      <c r="D36" s="13" t="s">
        <v>5952</v>
      </c>
      <c r="E36" s="13" t="s">
        <v>5953</v>
      </c>
      <c r="F36" s="13">
        <v>85</v>
      </c>
      <c r="G36" s="7">
        <v>1060</v>
      </c>
      <c r="H36" s="16" t="str">
        <f t="shared" si="0"/>
        <v>(34,0,'Hassi Messaoud',31*97,6*265,85,1060),</v>
      </c>
    </row>
    <row r="37" spans="1:8" ht="20.149999999999999" customHeight="1" x14ac:dyDescent="0.35">
      <c r="A37" s="3">
        <v>35</v>
      </c>
      <c r="B37" s="15">
        <v>0</v>
      </c>
      <c r="C37" s="13" t="s">
        <v>5849</v>
      </c>
      <c r="D37" s="13" t="s">
        <v>5954</v>
      </c>
      <c r="E37" s="13" t="s">
        <v>5951</v>
      </c>
      <c r="F37" s="13">
        <v>777</v>
      </c>
      <c r="G37" s="7">
        <v>58</v>
      </c>
      <c r="H37" s="16" t="str">
        <f t="shared" si="0"/>
        <v>(35,0,'Hassi R\'mel',32*936,3*269,777,58),</v>
      </c>
    </row>
    <row r="38" spans="1:8" ht="20.149999999999999" customHeight="1" x14ac:dyDescent="0.35">
      <c r="A38" s="3">
        <v>36</v>
      </c>
      <c r="B38" s="15">
        <v>0</v>
      </c>
      <c r="C38" s="13" t="s">
        <v>5474</v>
      </c>
      <c r="D38" s="13">
        <v>31</v>
      </c>
      <c r="E38" s="13" t="s">
        <v>5955</v>
      </c>
      <c r="F38" s="13">
        <v>180</v>
      </c>
      <c r="G38" s="7">
        <v>1064</v>
      </c>
      <c r="H38" s="16" t="str">
        <f t="shared" si="0"/>
        <v>(36,0,'Hassi tedjirane',31,7*85,180,1064),</v>
      </c>
    </row>
    <row r="39" spans="1:8" ht="20.149999999999999" customHeight="1" x14ac:dyDescent="0.35">
      <c r="A39" s="3">
        <v>37</v>
      </c>
      <c r="B39" s="15">
        <v>0</v>
      </c>
      <c r="C39" s="13" t="s">
        <v>1848</v>
      </c>
      <c r="D39" s="13" t="s">
        <v>5956</v>
      </c>
      <c r="E39" s="13" t="s">
        <v>5957</v>
      </c>
      <c r="F39" s="13">
        <v>420</v>
      </c>
      <c r="G39" s="7">
        <v>1116</v>
      </c>
      <c r="H39" s="16" t="str">
        <f t="shared" si="0"/>
        <v>(37,0,'In Amenas',28*041,9*543,420,1116),</v>
      </c>
    </row>
    <row r="40" spans="1:8" ht="20.149999999999999" customHeight="1" x14ac:dyDescent="0.35">
      <c r="A40" s="3">
        <v>38</v>
      </c>
      <c r="B40" s="15">
        <v>0</v>
      </c>
      <c r="C40" s="13" t="s">
        <v>1076</v>
      </c>
      <c r="D40" s="13" t="s">
        <v>5958</v>
      </c>
      <c r="E40" s="13" t="s">
        <v>5959</v>
      </c>
      <c r="F40" s="13">
        <v>400</v>
      </c>
      <c r="G40" s="7">
        <v>1512</v>
      </c>
      <c r="H40" s="16" t="str">
        <f t="shared" si="0"/>
        <v>(38,0,'In Salah',28*62,8*62,400,1512),</v>
      </c>
    </row>
    <row r="41" spans="1:8" ht="20.149999999999999" customHeight="1" x14ac:dyDescent="0.35">
      <c r="A41" s="3">
        <v>39</v>
      </c>
      <c r="B41" s="15">
        <v>0</v>
      </c>
      <c r="C41" s="13" t="s">
        <v>1878</v>
      </c>
      <c r="D41" s="13" t="s">
        <v>5922</v>
      </c>
      <c r="E41" s="13" t="s">
        <v>5923</v>
      </c>
      <c r="F41" s="13">
        <v>100</v>
      </c>
      <c r="G41" s="7">
        <v>1169</v>
      </c>
      <c r="H41" s="16" t="str">
        <f t="shared" si="0"/>
        <v>(39,0,'Isser',36*38,3*8,100,1169),</v>
      </c>
    </row>
    <row r="42" spans="1:8" ht="20.149999999999999" customHeight="1" x14ac:dyDescent="0.35">
      <c r="A42" s="3">
        <v>40</v>
      </c>
      <c r="B42" s="15">
        <v>0</v>
      </c>
      <c r="C42" s="13" t="s">
        <v>5505</v>
      </c>
      <c r="D42" s="13" t="s">
        <v>5960</v>
      </c>
      <c r="E42" s="13" t="s">
        <v>5961</v>
      </c>
      <c r="F42" s="13">
        <v>2</v>
      </c>
      <c r="G42" s="7">
        <v>1075</v>
      </c>
      <c r="H42" s="16" t="str">
        <f t="shared" si="0"/>
        <v>(40,0,'Kenanda',35*737,0*556,2,1075),</v>
      </c>
    </row>
    <row r="43" spans="1:8" ht="20.149999999999999" customHeight="1" x14ac:dyDescent="0.35">
      <c r="A43" s="3">
        <v>41</v>
      </c>
      <c r="B43" s="15">
        <v>0</v>
      </c>
      <c r="C43" s="13" t="s">
        <v>5506</v>
      </c>
      <c r="D43" s="13" t="s">
        <v>5962</v>
      </c>
      <c r="E43" s="13" t="s">
        <v>5963</v>
      </c>
      <c r="F43" s="13">
        <v>600</v>
      </c>
      <c r="G43" s="7">
        <v>1512</v>
      </c>
      <c r="H43" s="16" t="str">
        <f t="shared" si="0"/>
        <v>(41,0,'Krechba',28*642,2*825,600,1512),</v>
      </c>
    </row>
    <row r="44" spans="1:8" ht="20.149999999999999" customHeight="1" x14ac:dyDescent="0.35">
      <c r="A44" s="3">
        <v>42</v>
      </c>
      <c r="B44" s="15">
        <v>0</v>
      </c>
      <c r="C44" s="13" t="s">
        <v>1834</v>
      </c>
      <c r="D44" s="13" t="s">
        <v>5964</v>
      </c>
      <c r="E44" s="13" t="s">
        <v>5965</v>
      </c>
      <c r="F44" s="13">
        <v>966</v>
      </c>
      <c r="G44" s="7">
        <v>1091</v>
      </c>
      <c r="H44" s="16" t="str">
        <f t="shared" si="0"/>
        <v>(42,0,'Labiodh Sidi Cheikh',32*91,0*545,966,1091),</v>
      </c>
    </row>
    <row r="45" spans="1:8" ht="20.149999999999999" customHeight="1" x14ac:dyDescent="0.35">
      <c r="A45" s="3">
        <v>43</v>
      </c>
      <c r="B45" s="15">
        <v>0</v>
      </c>
      <c r="C45" s="13" t="s">
        <v>5507</v>
      </c>
      <c r="D45" s="13" t="s">
        <v>5966</v>
      </c>
      <c r="E45" s="13" t="s">
        <v>5967</v>
      </c>
      <c r="F45" s="13">
        <v>926</v>
      </c>
      <c r="G45" s="7">
        <v>1329</v>
      </c>
      <c r="H45" s="16" t="str">
        <f t="shared" si="0"/>
        <v>(43,0,'Mechtatine',36*123,6*789,926,1329),</v>
      </c>
    </row>
    <row r="46" spans="1:8" ht="20.149999999999999" customHeight="1" x14ac:dyDescent="0.35">
      <c r="A46" s="3">
        <v>44</v>
      </c>
      <c r="B46" s="15">
        <v>0</v>
      </c>
      <c r="C46" s="13" t="s">
        <v>5508</v>
      </c>
      <c r="D46" s="13" t="s">
        <v>5968</v>
      </c>
      <c r="E46" s="13" t="s">
        <v>5969</v>
      </c>
      <c r="F46" s="13">
        <v>983</v>
      </c>
      <c r="G46" s="7">
        <v>421</v>
      </c>
      <c r="H46" s="16" t="str">
        <f t="shared" si="0"/>
        <v>(44,0,'Medarreg1',35*425,1*425,983,421),</v>
      </c>
    </row>
    <row r="47" spans="1:8" ht="20.149999999999999" customHeight="1" x14ac:dyDescent="0.35">
      <c r="A47" s="3">
        <v>45</v>
      </c>
      <c r="B47" s="15">
        <v>0</v>
      </c>
      <c r="C47" s="13" t="s">
        <v>5509</v>
      </c>
      <c r="D47" s="13" t="s">
        <v>5970</v>
      </c>
      <c r="E47" s="13" t="s">
        <v>5971</v>
      </c>
      <c r="F47" s="13">
        <v>1080</v>
      </c>
      <c r="G47" s="7">
        <v>430</v>
      </c>
      <c r="H47" s="16" t="str">
        <f t="shared" si="0"/>
        <v>(45,0,'Medarreg2',35*184,1*496,1080,430),</v>
      </c>
    </row>
    <row r="48" spans="1:8" ht="20.149999999999999" customHeight="1" x14ac:dyDescent="0.35">
      <c r="A48" s="3">
        <v>46</v>
      </c>
      <c r="B48" s="15">
        <v>0</v>
      </c>
      <c r="C48" s="13" t="s">
        <v>5510</v>
      </c>
      <c r="D48" s="13" t="s">
        <v>5972</v>
      </c>
      <c r="E48" s="13" t="s">
        <v>5939</v>
      </c>
      <c r="F48" s="13">
        <v>971</v>
      </c>
      <c r="G48" s="7">
        <v>428</v>
      </c>
      <c r="H48" s="16" t="str">
        <f t="shared" si="0"/>
        <v>(46,0,'Medarreg3',35*103,1*706,971,428),</v>
      </c>
    </row>
    <row r="49" spans="1:8" ht="20.149999999999999" customHeight="1" x14ac:dyDescent="0.35">
      <c r="A49" s="3">
        <v>47</v>
      </c>
      <c r="B49" s="15">
        <v>0</v>
      </c>
      <c r="C49" s="13" t="s">
        <v>5511</v>
      </c>
      <c r="D49" s="13">
        <v>27</v>
      </c>
      <c r="E49" s="13" t="s">
        <v>5973</v>
      </c>
      <c r="F49" s="13">
        <v>380</v>
      </c>
      <c r="G49" s="7">
        <v>1116</v>
      </c>
      <c r="H49" s="16" t="str">
        <f t="shared" si="0"/>
        <v>(47,0,'Mederba',27,8*5,380,1116),</v>
      </c>
    </row>
    <row r="50" spans="1:8" ht="20.149999999999999" customHeight="1" x14ac:dyDescent="0.35">
      <c r="A50" s="3">
        <v>48</v>
      </c>
      <c r="B50" s="15">
        <v>0</v>
      </c>
      <c r="C50" s="13" t="s">
        <v>1767</v>
      </c>
      <c r="D50" s="13" t="s">
        <v>5974</v>
      </c>
      <c r="E50" s="13" t="s">
        <v>5975</v>
      </c>
      <c r="F50" s="13">
        <v>710</v>
      </c>
      <c r="G50" s="7">
        <v>1006</v>
      </c>
      <c r="H50" s="16" t="str">
        <f t="shared" si="0"/>
        <v>(48,0,'Medjedel',35*15,3*683,710,1006),</v>
      </c>
    </row>
    <row r="51" spans="1:8" ht="20.149999999999999" customHeight="1" x14ac:dyDescent="0.35">
      <c r="A51" s="3">
        <v>49</v>
      </c>
      <c r="B51" s="15">
        <v>0</v>
      </c>
      <c r="C51" s="13" t="s">
        <v>5512</v>
      </c>
      <c r="D51" s="13" t="s">
        <v>5906</v>
      </c>
      <c r="E51" s="13" t="s">
        <v>5907</v>
      </c>
      <c r="F51" s="13">
        <v>2</v>
      </c>
      <c r="G51" s="7">
        <v>1065</v>
      </c>
      <c r="H51" s="16" t="str">
        <f t="shared" si="0"/>
        <v>(49,0,'Mers El Hadjadj',35*862,-0*345,2,1065),</v>
      </c>
    </row>
    <row r="52" spans="1:8" ht="20.149999999999999" customHeight="1" x14ac:dyDescent="0.35">
      <c r="A52" s="3">
        <v>50</v>
      </c>
      <c r="B52" s="15">
        <v>0</v>
      </c>
      <c r="C52" s="13" t="s">
        <v>5348</v>
      </c>
      <c r="D52" s="13" t="s">
        <v>5976</v>
      </c>
      <c r="E52" s="13" t="s">
        <v>5977</v>
      </c>
      <c r="F52" s="13">
        <v>172</v>
      </c>
      <c r="G52" s="7">
        <v>1064</v>
      </c>
      <c r="H52" s="16" t="str">
        <f t="shared" si="0"/>
        <v>(50,0,'Mesdar',31*192,6*794,172,1064),</v>
      </c>
    </row>
    <row r="53" spans="1:8" ht="20.149999999999999" customHeight="1" x14ac:dyDescent="0.35">
      <c r="A53" s="3">
        <v>51</v>
      </c>
      <c r="B53" s="15">
        <v>0</v>
      </c>
      <c r="C53" s="13" t="s">
        <v>5513</v>
      </c>
      <c r="D53" s="13" t="s">
        <v>5978</v>
      </c>
      <c r="E53" s="13" t="s">
        <v>5979</v>
      </c>
      <c r="F53" s="13">
        <v>885</v>
      </c>
      <c r="G53" s="7">
        <v>61</v>
      </c>
      <c r="H53" s="16" t="str">
        <f t="shared" si="0"/>
        <v>(51,0,'Milok1',33*481,2*523,885,61),</v>
      </c>
    </row>
    <row r="54" spans="1:8" ht="20.149999999999999" customHeight="1" x14ac:dyDescent="0.35">
      <c r="A54" s="3">
        <v>52</v>
      </c>
      <c r="B54" s="15">
        <v>0</v>
      </c>
      <c r="C54" s="13" t="s">
        <v>5514</v>
      </c>
      <c r="D54" s="13" t="s">
        <v>5980</v>
      </c>
      <c r="E54" s="13" t="s">
        <v>5981</v>
      </c>
      <c r="F54" s="13">
        <v>885</v>
      </c>
      <c r="G54" s="7">
        <v>52</v>
      </c>
      <c r="H54" s="16" t="str">
        <f t="shared" si="0"/>
        <v>(52,0,'Milok2',33*803,2*875,885,52),</v>
      </c>
    </row>
    <row r="55" spans="1:8" ht="20.149999999999999" customHeight="1" x14ac:dyDescent="0.35">
      <c r="A55" s="3">
        <v>53</v>
      </c>
      <c r="B55" s="15">
        <v>0</v>
      </c>
      <c r="C55" s="13" t="s">
        <v>5515</v>
      </c>
      <c r="D55" s="13" t="s">
        <v>5982</v>
      </c>
      <c r="E55" s="13" t="s">
        <v>5983</v>
      </c>
      <c r="F55" s="13">
        <v>10</v>
      </c>
      <c r="G55" s="7">
        <v>1065</v>
      </c>
      <c r="H55" s="16" t="str">
        <f t="shared" si="0"/>
        <v>(53,0,'Mohgoun plateau1',35*83,-0*324,10,1065),</v>
      </c>
    </row>
    <row r="56" spans="1:8" ht="20.149999999999999" customHeight="1" x14ac:dyDescent="0.35">
      <c r="A56" s="3">
        <v>54</v>
      </c>
      <c r="B56" s="15">
        <v>0</v>
      </c>
      <c r="C56" s="13" t="s">
        <v>5516</v>
      </c>
      <c r="D56" s="13" t="s">
        <v>5984</v>
      </c>
      <c r="E56" s="13" t="s">
        <v>5985</v>
      </c>
      <c r="F56" s="13">
        <v>5</v>
      </c>
      <c r="G56" s="7">
        <v>1065</v>
      </c>
      <c r="H56" s="16" t="str">
        <f t="shared" si="0"/>
        <v>(54,0,'Mohgoun plateau2',35*863,-0*331,5,1065),</v>
      </c>
    </row>
    <row r="57" spans="1:8" ht="20.149999999999999" customHeight="1" x14ac:dyDescent="0.35">
      <c r="A57" s="3">
        <v>55</v>
      </c>
      <c r="B57" s="15">
        <v>0</v>
      </c>
      <c r="C57" s="13" t="s">
        <v>2900</v>
      </c>
      <c r="D57" s="13" t="s">
        <v>5986</v>
      </c>
      <c r="E57" s="13" t="s">
        <v>5987</v>
      </c>
      <c r="F57" s="13">
        <v>1100</v>
      </c>
      <c r="G57" s="7">
        <v>579</v>
      </c>
      <c r="H57" s="16" t="str">
        <f t="shared" si="0"/>
        <v>(55,0,'Moudjebara',34*507,3*47,1100,579),</v>
      </c>
    </row>
    <row r="58" spans="1:8" ht="20.149999999999999" customHeight="1" x14ac:dyDescent="0.35">
      <c r="A58" s="3">
        <v>56</v>
      </c>
      <c r="B58" s="15">
        <v>0</v>
      </c>
      <c r="C58" s="13" t="s">
        <v>5884</v>
      </c>
      <c r="D58" s="13" t="s">
        <v>5988</v>
      </c>
      <c r="E58" s="13" t="s">
        <v>5989</v>
      </c>
      <c r="F58" s="13">
        <v>856</v>
      </c>
      <c r="G58" s="7">
        <v>52</v>
      </c>
      <c r="H58" s="16" t="str">
        <f t="shared" si="0"/>
        <v>(56,0,'M\'seka1',33*789,2*583,856,52),</v>
      </c>
    </row>
    <row r="59" spans="1:8" ht="20.149999999999999" customHeight="1" x14ac:dyDescent="0.35">
      <c r="A59" s="3">
        <v>57</v>
      </c>
      <c r="B59" s="15">
        <v>0</v>
      </c>
      <c r="C59" s="13" t="s">
        <v>5885</v>
      </c>
      <c r="D59" s="13" t="s">
        <v>5990</v>
      </c>
      <c r="E59" s="13" t="s">
        <v>5991</v>
      </c>
      <c r="F59" s="13">
        <v>875</v>
      </c>
      <c r="G59" s="7">
        <v>52</v>
      </c>
      <c r="H59" s="16" t="str">
        <f t="shared" si="0"/>
        <v>(57,0,'M\'seka2',33*809,2*59,875,52),</v>
      </c>
    </row>
    <row r="60" spans="1:8" ht="20.149999999999999" customHeight="1" x14ac:dyDescent="0.35">
      <c r="A60" s="3">
        <v>58</v>
      </c>
      <c r="B60" s="15">
        <v>0</v>
      </c>
      <c r="C60" s="13" t="s">
        <v>5886</v>
      </c>
      <c r="D60" s="13" t="s">
        <v>5992</v>
      </c>
      <c r="E60" s="13" t="s">
        <v>5993</v>
      </c>
      <c r="F60" s="13">
        <v>835</v>
      </c>
      <c r="G60" s="7">
        <v>52</v>
      </c>
      <c r="H60" s="16" t="str">
        <f t="shared" si="0"/>
        <v>(58,0,'M\'seka3',33*769,2*576,835,52),</v>
      </c>
    </row>
    <row r="61" spans="1:8" ht="20.149999999999999" customHeight="1" x14ac:dyDescent="0.35">
      <c r="A61" s="3">
        <v>59</v>
      </c>
      <c r="B61" s="15">
        <v>0</v>
      </c>
      <c r="C61" s="13" t="s">
        <v>5887</v>
      </c>
      <c r="D61" s="13" t="s">
        <v>5994</v>
      </c>
      <c r="E61" s="13" t="s">
        <v>5995</v>
      </c>
      <c r="F61" s="13">
        <v>600</v>
      </c>
      <c r="G61" s="7">
        <v>963</v>
      </c>
      <c r="H61" s="16" t="str">
        <f t="shared" si="0"/>
        <v>(59,0,'M\'Sila',35*719,4*523,600,963),</v>
      </c>
    </row>
    <row r="62" spans="1:8" ht="20.149999999999999" customHeight="1" x14ac:dyDescent="0.35">
      <c r="A62" s="3">
        <v>60</v>
      </c>
      <c r="B62" s="15">
        <v>0</v>
      </c>
      <c r="C62" s="13" t="s">
        <v>3792</v>
      </c>
      <c r="D62" s="13" t="s">
        <v>5996</v>
      </c>
      <c r="E62" s="13" t="s">
        <v>5997</v>
      </c>
      <c r="F62" s="13">
        <v>1018</v>
      </c>
      <c r="G62" s="7">
        <v>413</v>
      </c>
      <c r="H62" s="16" t="str">
        <f t="shared" si="0"/>
        <v>(60,0,'Nador',35*288,1*452,1018,413),</v>
      </c>
    </row>
    <row r="63" spans="1:8" ht="20.149999999999999" customHeight="1" x14ac:dyDescent="0.35">
      <c r="A63" s="3">
        <v>61</v>
      </c>
      <c r="B63" s="15">
        <v>0</v>
      </c>
      <c r="C63" s="13" t="s">
        <v>4044</v>
      </c>
      <c r="D63" s="13" t="s">
        <v>5998</v>
      </c>
      <c r="E63" s="13" t="s">
        <v>5999</v>
      </c>
      <c r="F63" s="13">
        <v>182</v>
      </c>
      <c r="G63" s="7">
        <v>1057</v>
      </c>
      <c r="H63" s="16" t="str">
        <f t="shared" si="0"/>
        <v>(61,0,'Nezla',33*083,6*051,182,1057),</v>
      </c>
    </row>
    <row r="64" spans="1:8" ht="20.149999999999999" customHeight="1" x14ac:dyDescent="0.35">
      <c r="A64" s="3">
        <v>62</v>
      </c>
      <c r="B64" s="15">
        <v>0</v>
      </c>
      <c r="C64" s="13" t="s">
        <v>5888</v>
      </c>
      <c r="D64" s="13" t="s">
        <v>6000</v>
      </c>
      <c r="E64" s="13" t="s">
        <v>6001</v>
      </c>
      <c r="F64" s="13">
        <v>580</v>
      </c>
      <c r="G64" s="7">
        <v>124</v>
      </c>
      <c r="H64" s="16" t="str">
        <f t="shared" si="0"/>
        <v>(62,0,'N\'Gaous',35*557,5*593,580,124),</v>
      </c>
    </row>
    <row r="65" spans="1:8" ht="20.149999999999999" customHeight="1" x14ac:dyDescent="0.35">
      <c r="A65" s="3">
        <v>63</v>
      </c>
      <c r="B65" s="15">
        <v>0</v>
      </c>
      <c r="C65" s="13" t="s">
        <v>5344</v>
      </c>
      <c r="D65" s="13" t="s">
        <v>6002</v>
      </c>
      <c r="E65" s="13" t="s">
        <v>6003</v>
      </c>
      <c r="F65" s="13">
        <v>600</v>
      </c>
      <c r="G65" s="7">
        <v>1113</v>
      </c>
      <c r="H65" s="16" t="str">
        <f t="shared" si="0"/>
        <v>(63,0,'Ohanet',28*68,8*873,600,1113),</v>
      </c>
    </row>
    <row r="66" spans="1:8" ht="20.149999999999999" customHeight="1" x14ac:dyDescent="0.35">
      <c r="A66" s="3">
        <v>64</v>
      </c>
      <c r="B66" s="15">
        <v>0</v>
      </c>
      <c r="C66" s="13" t="s">
        <v>5517</v>
      </c>
      <c r="D66" s="13" t="s">
        <v>6004</v>
      </c>
      <c r="E66" s="13" t="s">
        <v>6005</v>
      </c>
      <c r="F66" s="13">
        <v>256</v>
      </c>
      <c r="G66" s="7">
        <v>1057</v>
      </c>
      <c r="H66" s="16" t="str">
        <f t="shared" si="0"/>
        <v>(64,0,'Ouargla1',31*951,5*331,256,1057),</v>
      </c>
    </row>
    <row r="67" spans="1:8" ht="20.149999999999999" customHeight="1" x14ac:dyDescent="0.35">
      <c r="A67" s="3">
        <v>65</v>
      </c>
      <c r="B67" s="15">
        <v>0</v>
      </c>
      <c r="C67" s="13" t="s">
        <v>5518</v>
      </c>
      <c r="D67" s="13" t="s">
        <v>6006</v>
      </c>
      <c r="E67" s="13" t="s">
        <v>6007</v>
      </c>
      <c r="F67" s="13">
        <v>260</v>
      </c>
      <c r="G67" s="7">
        <v>1057</v>
      </c>
      <c r="H67" s="16" t="str">
        <f t="shared" si="0"/>
        <v>(65,0,'Ouargla2',31*933,5*327,260,1057),</v>
      </c>
    </row>
    <row r="68" spans="1:8" ht="20.149999999999999" customHeight="1" x14ac:dyDescent="0.35">
      <c r="A68" s="3">
        <v>66</v>
      </c>
      <c r="B68" s="15">
        <v>0</v>
      </c>
      <c r="C68" s="13" t="s">
        <v>5485</v>
      </c>
      <c r="D68" s="13" t="s">
        <v>6008</v>
      </c>
      <c r="E68" s="13" t="s">
        <v>6009</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6010</v>
      </c>
      <c r="E69" s="13" t="s">
        <v>6011</v>
      </c>
      <c r="F69" s="13">
        <v>397</v>
      </c>
      <c r="G69" s="7">
        <v>1498</v>
      </c>
      <c r="H69" s="16" t="str">
        <f t="shared" si="1"/>
        <v>(67,0,'Ouled Djellal',34*417,5*067,397,1498),</v>
      </c>
    </row>
    <row r="70" spans="1:8" ht="20.149999999999999" customHeight="1" x14ac:dyDescent="0.35">
      <c r="A70" s="3">
        <v>68</v>
      </c>
      <c r="B70" s="15">
        <v>0</v>
      </c>
      <c r="C70" s="13" t="s">
        <v>5519</v>
      </c>
      <c r="D70" s="13" t="s">
        <v>6012</v>
      </c>
      <c r="E70" s="13" t="s">
        <v>6013</v>
      </c>
      <c r="F70" s="13">
        <v>360</v>
      </c>
      <c r="G70" s="7">
        <v>1057</v>
      </c>
      <c r="H70" s="16" t="str">
        <f t="shared" si="1"/>
        <v>(68,0,'Ourhoud',31*7,5*85,360,1057),</v>
      </c>
    </row>
    <row r="71" spans="1:8" ht="20.149999999999999" customHeight="1" x14ac:dyDescent="0.35">
      <c r="A71" s="3">
        <v>69</v>
      </c>
      <c r="B71" s="15">
        <v>0</v>
      </c>
      <c r="C71" s="13" t="s">
        <v>1123</v>
      </c>
      <c r="D71" s="13" t="s">
        <v>6014</v>
      </c>
      <c r="E71" s="13" t="s">
        <v>6015</v>
      </c>
      <c r="F71" s="13">
        <v>200</v>
      </c>
      <c r="G71" s="7">
        <v>4</v>
      </c>
      <c r="H71" s="16" t="str">
        <f t="shared" si="1"/>
        <v>(69,0,'Reggane',26*8,-2*8,200,4),</v>
      </c>
    </row>
    <row r="72" spans="1:8" ht="20.149999999999999" customHeight="1" x14ac:dyDescent="0.35">
      <c r="A72" s="3">
        <v>70</v>
      </c>
      <c r="B72" s="15">
        <v>0</v>
      </c>
      <c r="C72" s="13" t="s">
        <v>5368</v>
      </c>
      <c r="D72" s="13" t="s">
        <v>6016</v>
      </c>
      <c r="E72" s="13" t="s">
        <v>6017</v>
      </c>
      <c r="F72" s="13">
        <v>300</v>
      </c>
      <c r="G72" s="7">
        <v>1064</v>
      </c>
      <c r="H72" s="16" t="str">
        <f t="shared" si="1"/>
        <v>(70,0,'Rhoude El Baguel',32*15,2*15,300,1064),</v>
      </c>
    </row>
    <row r="73" spans="1:8" ht="20.149999999999999" customHeight="1" x14ac:dyDescent="0.35">
      <c r="A73" s="3">
        <v>71</v>
      </c>
      <c r="B73" s="15">
        <v>0</v>
      </c>
      <c r="C73" s="13" t="s">
        <v>5520</v>
      </c>
      <c r="D73" s="13" t="s">
        <v>6018</v>
      </c>
      <c r="E73" s="13" t="s">
        <v>6019</v>
      </c>
      <c r="F73" s="13">
        <v>252</v>
      </c>
      <c r="G73" s="7">
        <v>1114</v>
      </c>
      <c r="H73" s="16" t="str">
        <f t="shared" si="1"/>
        <v>(71,0,'Rhourde Nouss',29*74,6*702,252,1114),</v>
      </c>
    </row>
    <row r="74" spans="1:8" ht="20.149999999999999" customHeight="1" x14ac:dyDescent="0.35">
      <c r="A74" s="3">
        <v>72</v>
      </c>
      <c r="B74" s="15">
        <v>0</v>
      </c>
      <c r="C74" s="13" t="s">
        <v>2103</v>
      </c>
      <c r="D74" s="13" t="s">
        <v>6020</v>
      </c>
      <c r="E74" s="13" t="s">
        <v>6021</v>
      </c>
      <c r="F74" s="13">
        <v>280</v>
      </c>
      <c r="G74" s="7">
        <v>1</v>
      </c>
      <c r="H74" s="16" t="str">
        <f t="shared" si="1"/>
        <v>(72,0,'Sebaa',28*21,-0*156,280,1),</v>
      </c>
    </row>
    <row r="75" spans="1:8" ht="20.149999999999999" customHeight="1" x14ac:dyDescent="0.35">
      <c r="A75" s="3">
        <v>73</v>
      </c>
      <c r="B75" s="15">
        <v>0</v>
      </c>
      <c r="C75" s="13" t="s">
        <v>2251</v>
      </c>
      <c r="D75" s="13" t="s">
        <v>6022</v>
      </c>
      <c r="E75" s="13" t="s">
        <v>6023</v>
      </c>
      <c r="F75" s="13">
        <v>575</v>
      </c>
      <c r="G75" s="7">
        <v>105</v>
      </c>
      <c r="H75" s="16" t="str">
        <f t="shared" si="1"/>
        <v>(73,0,'Sefiane',35*235,6*123,575,105),</v>
      </c>
    </row>
    <row r="76" spans="1:8" ht="20.149999999999999" customHeight="1" x14ac:dyDescent="0.35">
      <c r="A76" s="3">
        <v>74</v>
      </c>
      <c r="B76" s="15">
        <v>0</v>
      </c>
      <c r="C76" s="13" t="s">
        <v>5521</v>
      </c>
      <c r="D76" s="13" t="s">
        <v>5940</v>
      </c>
      <c r="E76" s="13" t="s">
        <v>5941</v>
      </c>
      <c r="F76" s="13">
        <v>185</v>
      </c>
      <c r="G76" s="7">
        <v>231</v>
      </c>
      <c r="H76" s="16" t="str">
        <f t="shared" si="1"/>
        <v>(74,0,'Selga/El Outaya',35*034,5*595,185,231),</v>
      </c>
    </row>
    <row r="77" spans="1:8" ht="20.149999999999999" customHeight="1" x14ac:dyDescent="0.35">
      <c r="A77" s="3">
        <v>75</v>
      </c>
      <c r="B77" s="15">
        <v>0</v>
      </c>
      <c r="C77" s="13" t="s">
        <v>5522</v>
      </c>
      <c r="D77" s="13" t="s">
        <v>6024</v>
      </c>
      <c r="E77" s="13" t="s">
        <v>6025</v>
      </c>
      <c r="F77" s="13">
        <v>80</v>
      </c>
      <c r="G77" s="7">
        <v>544</v>
      </c>
      <c r="H77" s="16" t="str">
        <f t="shared" si="1"/>
        <v>(75,0,'Sidi Arcine',36*754,3*059,80,544),</v>
      </c>
    </row>
    <row r="78" spans="1:8" ht="20.149999999999999" customHeight="1" x14ac:dyDescent="0.35">
      <c r="A78" s="3">
        <v>76</v>
      </c>
      <c r="B78" s="15">
        <v>0</v>
      </c>
      <c r="C78" s="13" t="s">
        <v>1012</v>
      </c>
      <c r="D78" s="13" t="s">
        <v>6026</v>
      </c>
      <c r="E78" s="13" t="s">
        <v>6027</v>
      </c>
      <c r="F78" s="13">
        <v>18</v>
      </c>
      <c r="G78" s="7">
        <v>721</v>
      </c>
      <c r="H78" s="16" t="str">
        <f t="shared" si="1"/>
        <v>(76,0,'Skikda',36*885,6*924,18,721),</v>
      </c>
    </row>
    <row r="79" spans="1:8" ht="20.149999999999999" customHeight="1" x14ac:dyDescent="0.35">
      <c r="A79" s="3">
        <v>77</v>
      </c>
      <c r="B79" s="15">
        <v>0</v>
      </c>
      <c r="C79" s="13" t="s">
        <v>5523</v>
      </c>
      <c r="D79" s="13" t="s">
        <v>6028</v>
      </c>
      <c r="E79" s="13" t="s">
        <v>6029</v>
      </c>
      <c r="F79" s="13">
        <v>890</v>
      </c>
      <c r="G79" s="7">
        <v>52</v>
      </c>
      <c r="H79" s="16" t="str">
        <f t="shared" si="1"/>
        <v>(77,0,'Timzhert 1',33*625,2*739,890,52),</v>
      </c>
    </row>
    <row r="80" spans="1:8" ht="20.149999999999999" customHeight="1" x14ac:dyDescent="0.35">
      <c r="A80" s="3">
        <v>78</v>
      </c>
      <c r="B80" s="15">
        <v>0</v>
      </c>
      <c r="C80" s="13" t="s">
        <v>5524</v>
      </c>
      <c r="D80" s="13" t="s">
        <v>6030</v>
      </c>
      <c r="E80" s="13" t="s">
        <v>6031</v>
      </c>
      <c r="F80" s="13">
        <v>912</v>
      </c>
      <c r="G80" s="7">
        <v>52</v>
      </c>
      <c r="H80" s="16" t="str">
        <f t="shared" si="1"/>
        <v>(78,0,'Timzhert 2',33*641,2*741,912,52),</v>
      </c>
    </row>
    <row r="81" spans="1:8" ht="20.149999999999999" customHeight="1" x14ac:dyDescent="0.35">
      <c r="A81" s="3">
        <v>79</v>
      </c>
      <c r="B81" s="15">
        <v>0</v>
      </c>
      <c r="C81" s="13" t="s">
        <v>5525</v>
      </c>
      <c r="D81" s="13" t="s">
        <v>6032</v>
      </c>
      <c r="E81" s="13" t="s">
        <v>6033</v>
      </c>
      <c r="F81" s="13">
        <v>875</v>
      </c>
      <c r="G81" s="7">
        <v>52</v>
      </c>
      <c r="H81" s="16" t="str">
        <f t="shared" si="1"/>
        <v>(79,0,'Timzhert 3',33*608,2*736,875,52),</v>
      </c>
    </row>
    <row r="82" spans="1:8" ht="20.149999999999999" customHeight="1" x14ac:dyDescent="0.35">
      <c r="A82" s="3">
        <v>80</v>
      </c>
      <c r="B82" s="15">
        <v>0</v>
      </c>
      <c r="C82" s="13" t="s">
        <v>5526</v>
      </c>
      <c r="D82" s="13" t="s">
        <v>6034</v>
      </c>
      <c r="E82" s="13" t="s">
        <v>6035</v>
      </c>
      <c r="F82" s="13">
        <v>470</v>
      </c>
      <c r="G82" s="7">
        <v>1113</v>
      </c>
      <c r="H82" s="16" t="str">
        <f t="shared" si="1"/>
        <v>(80,0,'Tin-Fouyé 1',28*146,6*826,470,1113),</v>
      </c>
    </row>
    <row r="83" spans="1:8" ht="20.149999999999999" customHeight="1" x14ac:dyDescent="0.35">
      <c r="A83" s="3">
        <v>81</v>
      </c>
      <c r="B83" s="15">
        <v>0</v>
      </c>
      <c r="C83" s="13" t="s">
        <v>5527</v>
      </c>
      <c r="D83" s="13" t="s">
        <v>6036</v>
      </c>
      <c r="E83" s="13" t="s">
        <v>6037</v>
      </c>
      <c r="F83" s="13">
        <v>400</v>
      </c>
      <c r="G83" s="7">
        <v>1113</v>
      </c>
      <c r="H83" s="16" t="str">
        <f t="shared" si="1"/>
        <v>(81,0,'Tin-Fouyé 2',27*5,10*2,400,1113),</v>
      </c>
    </row>
    <row r="84" spans="1:8" ht="20.149999999999999" customHeight="1" x14ac:dyDescent="0.35">
      <c r="A84" s="3">
        <v>82</v>
      </c>
      <c r="B84" s="15">
        <v>0</v>
      </c>
      <c r="C84" s="13" t="s">
        <v>1273</v>
      </c>
      <c r="D84" s="13" t="s">
        <v>5889</v>
      </c>
      <c r="E84" s="13" t="s">
        <v>5947</v>
      </c>
      <c r="F84" s="13">
        <v>495</v>
      </c>
      <c r="G84" s="7">
        <v>237</v>
      </c>
      <c r="H84" s="16" t="str">
        <f t="shared" si="1"/>
        <v>(82,0,'Tolga',34*833,6*071,495,237),</v>
      </c>
    </row>
    <row r="85" spans="1:8" ht="20.149999999999999" customHeight="1" x14ac:dyDescent="0.35">
      <c r="A85" s="3">
        <v>83</v>
      </c>
      <c r="B85" s="15">
        <v>0</v>
      </c>
      <c r="C85" s="13" t="s">
        <v>5528</v>
      </c>
      <c r="D85" s="13" t="s">
        <v>6038</v>
      </c>
      <c r="E85" s="13" t="s">
        <v>6039</v>
      </c>
      <c r="F85" s="13">
        <v>1032</v>
      </c>
      <c r="G85" s="7">
        <v>413</v>
      </c>
      <c r="H85" s="16" t="str">
        <f t="shared" si="1"/>
        <v>(83,0,'Zaaroura',35*345,1*319,1032,413),</v>
      </c>
    </row>
    <row r="86" spans="1:8" ht="20.149999999999999" customHeight="1" x14ac:dyDescent="0.35">
      <c r="A86" s="3">
        <v>84</v>
      </c>
      <c r="B86" s="15">
        <v>0</v>
      </c>
      <c r="C86" s="13" t="s">
        <v>5529</v>
      </c>
      <c r="D86" s="13" t="s">
        <v>6040</v>
      </c>
      <c r="E86" s="13" t="s">
        <v>6041</v>
      </c>
      <c r="F86" s="13">
        <v>166</v>
      </c>
      <c r="G86" s="7">
        <v>1057</v>
      </c>
      <c r="H86" s="16" t="str">
        <f t="shared" si="1"/>
        <v>(84,0,'Zina',31*788,6*052,166,1057),</v>
      </c>
    </row>
    <row r="87" spans="1:8" ht="20.149999999999999" customHeight="1" x14ac:dyDescent="0.35">
      <c r="A87" s="3">
        <v>85</v>
      </c>
      <c r="B87" s="15">
        <v>0</v>
      </c>
      <c r="C87" s="13" t="s">
        <v>5530</v>
      </c>
      <c r="D87" s="13" t="s">
        <v>6042</v>
      </c>
      <c r="E87" s="13" t="s">
        <v>6043</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F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30A0"/>
  </sheetPr>
  <dimension ref="A1:H22"/>
  <sheetViews>
    <sheetView topLeftCell="A4" workbookViewId="0">
      <selection activeCell="C18" sqref="C1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5600</v>
      </c>
    </row>
    <row r="2" spans="1:8" ht="20.149999999999999" customHeight="1" x14ac:dyDescent="0.35">
      <c r="A2" s="1" t="s">
        <v>44</v>
      </c>
      <c r="B2" s="1" t="s">
        <v>41</v>
      </c>
      <c r="C2" s="1" t="s">
        <v>42</v>
      </c>
      <c r="D2" s="1" t="s">
        <v>43</v>
      </c>
      <c r="E2" s="1" t="s">
        <v>53</v>
      </c>
      <c r="F2" s="1" t="s">
        <v>2094</v>
      </c>
      <c r="G2" s="1" t="s">
        <v>4077</v>
      </c>
      <c r="H2" s="1" t="s">
        <v>5620</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10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5600</v>
      </c>
    </row>
    <row r="2" spans="1:5" ht="20.149999999999999" customHeight="1" x14ac:dyDescent="0.35">
      <c r="A2" s="1" t="s">
        <v>44</v>
      </c>
      <c r="B2" s="1" t="s">
        <v>41</v>
      </c>
      <c r="C2" s="1" t="s">
        <v>42</v>
      </c>
      <c r="D2" s="1" t="s">
        <v>43</v>
      </c>
      <c r="E2" s="1" t="s">
        <v>6044</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11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5600</v>
      </c>
    </row>
    <row r="2" spans="1:2" ht="20.149999999999999" customHeight="1" x14ac:dyDescent="0.35">
      <c r="A2" s="1" t="s">
        <v>44</v>
      </c>
      <c r="B2" s="1" t="s">
        <v>5619</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12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5600</v>
      </c>
    </row>
    <row r="2" spans="1:2" ht="20.149999999999999" customHeight="1" x14ac:dyDescent="0.35">
      <c r="A2" s="1" t="s">
        <v>44</v>
      </c>
      <c r="B2" s="1" t="s">
        <v>5618</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13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5600</v>
      </c>
    </row>
    <row r="2" spans="1:6" ht="20.149999999999999" customHeight="1" x14ac:dyDescent="0.35">
      <c r="A2" s="1" t="s">
        <v>44</v>
      </c>
      <c r="B2" s="1" t="s">
        <v>41</v>
      </c>
      <c r="C2" s="1" t="s">
        <v>42</v>
      </c>
      <c r="D2" s="1" t="s">
        <v>43</v>
      </c>
      <c r="E2" s="1" t="s">
        <v>53</v>
      </c>
      <c r="F2" s="1" t="s">
        <v>5617</v>
      </c>
    </row>
    <row r="3" spans="1:6" ht="20.149999999999999" customHeight="1" x14ac:dyDescent="0.35">
      <c r="A3" s="3">
        <v>1</v>
      </c>
      <c r="B3" s="8" t="s">
        <v>4231</v>
      </c>
      <c r="C3" s="4" t="s">
        <v>4232</v>
      </c>
      <c r="D3" s="4" t="s">
        <v>4233</v>
      </c>
      <c r="E3" s="4" t="s">
        <v>6045</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6046</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6047</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6048</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6049</v>
      </c>
      <c r="F38" s="4" t="str">
        <f t="shared" si="0"/>
        <v>(36,'ES','فصل الإيثان','Ethane Separation','Séparation de l\'Éthane'),</v>
      </c>
    </row>
  </sheetData>
  <autoFilter ref="A2:F38" xr:uid="{00000000-0009-0000-0000-000014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5600</v>
      </c>
    </row>
    <row r="2" spans="1:2" ht="20.149999999999999" customHeight="1" x14ac:dyDescent="0.35">
      <c r="A2" s="1" t="s">
        <v>44</v>
      </c>
      <c r="B2" s="1" t="s">
        <v>5616</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5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5600</v>
      </c>
    </row>
    <row r="2" spans="1:2" ht="20.149999999999999" customHeight="1" x14ac:dyDescent="0.35">
      <c r="A2" s="1" t="s">
        <v>44</v>
      </c>
      <c r="B2" s="1" t="s">
        <v>5615</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6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5600</v>
      </c>
    </row>
    <row r="2" spans="1:2" ht="20.149999999999999" customHeight="1" x14ac:dyDescent="0.35">
      <c r="A2" s="1" t="s">
        <v>44</v>
      </c>
      <c r="B2" s="1" t="s">
        <v>5614</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7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5600</v>
      </c>
    </row>
    <row r="2" spans="1:2" ht="20.149999999999999" customHeight="1" x14ac:dyDescent="0.35">
      <c r="A2" s="1" t="s">
        <v>44</v>
      </c>
      <c r="B2" s="1" t="s">
        <v>5613</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8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5600</v>
      </c>
    </row>
    <row r="2" spans="1:6" ht="20.149999999999999" customHeight="1" x14ac:dyDescent="0.35">
      <c r="A2" s="1" t="s">
        <v>44</v>
      </c>
      <c r="B2" s="1" t="s">
        <v>41</v>
      </c>
      <c r="C2" s="1" t="s">
        <v>42</v>
      </c>
      <c r="D2" s="1" t="s">
        <v>43</v>
      </c>
      <c r="E2" s="1" t="s">
        <v>53</v>
      </c>
      <c r="F2" s="1" t="s">
        <v>5677</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9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5600</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5612</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A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5600</v>
      </c>
    </row>
    <row r="2" spans="1:9" ht="20.149999999999999" customHeight="1" x14ac:dyDescent="0.35">
      <c r="A2" s="1" t="s">
        <v>44</v>
      </c>
      <c r="B2" s="1" t="s">
        <v>41</v>
      </c>
      <c r="C2" s="1" t="s">
        <v>42</v>
      </c>
      <c r="D2" s="1" t="s">
        <v>43</v>
      </c>
      <c r="E2" s="1" t="s">
        <v>53</v>
      </c>
      <c r="F2" s="1" t="s">
        <v>2094</v>
      </c>
      <c r="G2" s="1" t="s">
        <v>4077</v>
      </c>
      <c r="H2" s="1" t="s">
        <v>4349</v>
      </c>
      <c r="I2" s="1" t="s">
        <v>5611</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B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5600</v>
      </c>
    </row>
    <row r="2" spans="1:9" ht="20.149999999999999" customHeight="1" x14ac:dyDescent="0.35">
      <c r="A2" s="1" t="s">
        <v>44</v>
      </c>
      <c r="B2" s="1" t="s">
        <v>41</v>
      </c>
      <c r="C2" s="1" t="s">
        <v>42</v>
      </c>
      <c r="D2" s="1" t="s">
        <v>43</v>
      </c>
      <c r="E2" s="1" t="s">
        <v>53</v>
      </c>
      <c r="F2" s="1" t="s">
        <v>2094</v>
      </c>
      <c r="G2" s="1" t="s">
        <v>4077</v>
      </c>
      <c r="H2" s="1" t="s">
        <v>4349</v>
      </c>
      <c r="I2" s="1" t="s">
        <v>5610</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C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5600</v>
      </c>
    </row>
    <row r="2" spans="1:6" ht="20.149999999999999" customHeight="1" x14ac:dyDescent="0.35">
      <c r="A2" s="1" t="s">
        <v>44</v>
      </c>
      <c r="B2" s="1" t="s">
        <v>41</v>
      </c>
      <c r="C2" s="1" t="s">
        <v>42</v>
      </c>
      <c r="D2" s="1" t="s">
        <v>43</v>
      </c>
      <c r="E2" s="1" t="s">
        <v>53</v>
      </c>
      <c r="F2" s="1" t="s">
        <v>5609</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D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C000"/>
  </sheetPr>
  <dimension ref="A1:F41"/>
  <sheetViews>
    <sheetView workbookViewId="0">
      <selection activeCell="B3" sqref="B3"/>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5600</v>
      </c>
    </row>
    <row r="2" spans="1:6" ht="20.149999999999999" customHeight="1" x14ac:dyDescent="0.35">
      <c r="A2" s="1" t="s">
        <v>44</v>
      </c>
      <c r="B2" s="1" t="s">
        <v>41</v>
      </c>
      <c r="C2" s="1" t="s">
        <v>42</v>
      </c>
      <c r="D2" s="1" t="s">
        <v>43</v>
      </c>
      <c r="E2" s="1" t="s">
        <v>53</v>
      </c>
      <c r="F2" s="1" t="s">
        <v>5608</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E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I232"/>
  <sheetViews>
    <sheetView topLeftCell="A48" workbookViewId="0">
      <selection activeCell="A53" sqref="A53:B58"/>
    </sheetView>
  </sheetViews>
  <sheetFormatPr baseColWidth="10" defaultColWidth="10.81640625" defaultRowHeight="15.5" x14ac:dyDescent="0.35"/>
  <cols>
    <col min="1" max="1" width="5.54296875" style="2" customWidth="1"/>
    <col min="2" max="2" width="13.1796875" style="2" bestFit="1"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5600</v>
      </c>
    </row>
    <row r="2" spans="1:9" ht="20.149999999999999" customHeight="1" x14ac:dyDescent="0.35">
      <c r="A2" s="1" t="s">
        <v>44</v>
      </c>
      <c r="B2" s="1" t="s">
        <v>41</v>
      </c>
      <c r="C2" s="1" t="s">
        <v>42</v>
      </c>
      <c r="D2" s="1" t="s">
        <v>43</v>
      </c>
      <c r="E2" s="1" t="s">
        <v>53</v>
      </c>
      <c r="F2" s="1" t="s">
        <v>2094</v>
      </c>
      <c r="G2" s="1" t="s">
        <v>4077</v>
      </c>
      <c r="H2" s="1" t="s">
        <v>4349</v>
      </c>
      <c r="I2" s="1" t="s">
        <v>5602</v>
      </c>
    </row>
    <row r="3" spans="1:9" ht="20.149999999999999" customHeight="1" x14ac:dyDescent="0.35">
      <c r="A3" s="3">
        <v>1</v>
      </c>
      <c r="B3" s="18" t="s">
        <v>4848</v>
      </c>
      <c r="C3" s="4" t="s">
        <v>6050</v>
      </c>
      <c r="D3" s="22">
        <v>38426</v>
      </c>
      <c r="E3" s="22">
        <v>39406</v>
      </c>
      <c r="F3" s="5" t="s">
        <v>972</v>
      </c>
      <c r="G3" s="5">
        <v>1</v>
      </c>
      <c r="H3" s="5">
        <v>10</v>
      </c>
      <c r="I3" s="4" t="str">
        <f>CONCATENATE("(",A3,",'",B3,"','",C3,"','",TEXT(D3,"aaaa-mm-jj"),"','",TEXT(E3,"aaaa-mm-jj"),"',",F3,",",G3,",",H3,"),")</f>
        <v>(1,'ONET-DD','Terminal d\'Exportation Terrestre Deb Deb','2005-03-15','2007-11-20',NULL,1,10),</v>
      </c>
    </row>
    <row r="4" spans="1:9" ht="20.149999999999999" customHeight="1" x14ac:dyDescent="0.35">
      <c r="A4" s="3">
        <v>2</v>
      </c>
      <c r="B4" s="17" t="s">
        <v>4849</v>
      </c>
      <c r="C4" s="4" t="s">
        <v>6051</v>
      </c>
      <c r="D4" s="22">
        <v>39609</v>
      </c>
      <c r="E4" s="22">
        <v>40436</v>
      </c>
      <c r="F4" s="5" t="s">
        <v>972</v>
      </c>
      <c r="G4" s="5">
        <v>1</v>
      </c>
      <c r="H4" s="5">
        <v>10</v>
      </c>
      <c r="I4" s="4" t="str">
        <f>CONCATENATE("(",A4,",'",B4,"','",C4,"','",TEXT(D4,"aaaa-mm-jj"),"','",TEXT(E4,"aaaa-mm-jj"),"',",F4,",",G4,",",H4,"),")</f>
        <v>(2,'ONET-OSS','Terminal d\'Exportation Terrestre Oued Saf Saf','2008-06-10','2010-09-15',NULL,1,10),</v>
      </c>
    </row>
    <row r="5" spans="1:9" ht="20.149999999999999" customHeight="1" x14ac:dyDescent="0.35">
      <c r="A5" s="3">
        <v>3</v>
      </c>
      <c r="B5" s="17" t="s">
        <v>4850</v>
      </c>
      <c r="C5" s="4" t="s">
        <v>6052</v>
      </c>
      <c r="D5" s="22">
        <v>38827</v>
      </c>
      <c r="E5" s="22">
        <v>39792</v>
      </c>
      <c r="F5" s="5" t="s">
        <v>972</v>
      </c>
      <c r="G5" s="5">
        <v>1</v>
      </c>
      <c r="H5" s="5">
        <v>10</v>
      </c>
      <c r="I5" s="4" t="str">
        <f>CONCATENATE("(",A5,",'",B5,"','",C5,"','",TEXT(D5,"aaaa-mm-jj"),"','",TEXT(E5,"aaaa-mm-jj"),"',",F5,",",G5,",",H5,"),")</f>
        <v>(3,'ONET-BS','Terminal d\'Exportation Terrestre Beni Saf','2006-04-20','2008-12-10',NULL,1,10),</v>
      </c>
    </row>
    <row r="6" spans="1:9" ht="20.149999999999999" customHeight="1" x14ac:dyDescent="0.35">
      <c r="A6" s="3">
        <v>4</v>
      </c>
      <c r="B6" s="17" t="s">
        <v>6802</v>
      </c>
      <c r="C6" s="43" t="s">
        <v>6803</v>
      </c>
      <c r="D6" s="22">
        <v>40909</v>
      </c>
      <c r="E6" s="22">
        <v>40909</v>
      </c>
      <c r="F6" s="5" t="s">
        <v>972</v>
      </c>
      <c r="G6" s="5">
        <v>1</v>
      </c>
      <c r="H6" s="5">
        <v>10</v>
      </c>
      <c r="I6" s="4" t="str">
        <f>CONCATENATE("(",A6,",'",B6,"','",C6,"','",TEXT(D6,"aaaa-mm-jj"),"','",TEXT(E6,"aaaa-mm-jj"),"',",F6,",",G6,",",H6,"),")</f>
        <v>(4,'ONET-KL','Terminal d\'Exportation Terrestre El Kala','2012-01-01','2012-01-01',NULL,1,10),</v>
      </c>
    </row>
    <row r="7" spans="1:9" ht="20.149999999999999" customHeight="1" x14ac:dyDescent="0.35">
      <c r="A7" s="3">
        <v>5</v>
      </c>
      <c r="B7" s="17" t="s">
        <v>4851</v>
      </c>
      <c r="C7" s="4" t="s">
        <v>6053</v>
      </c>
      <c r="D7" s="22">
        <v>28505</v>
      </c>
      <c r="E7" s="22">
        <v>29757</v>
      </c>
      <c r="F7" s="5" t="s">
        <v>972</v>
      </c>
      <c r="G7" s="5">
        <v>1</v>
      </c>
      <c r="H7" s="5">
        <v>10</v>
      </c>
      <c r="I7" s="4" t="str">
        <f>CONCATENATE("(",A7,",'",B7,"','",C7,"','",TEXT(D7,"aaaa-mm-jj"),"','",TEXT(E7,"aaaa-mm-jj"),"',",F7,",",G7,",",H7,"),")</f>
        <v>(5,'DZAZW','Terminal d\'Exportation Maritime Export port','1978-01-15','1981-06-20',NULL,1,10),</v>
      </c>
    </row>
    <row r="8" spans="1:9" ht="20.149999999999999" customHeight="1" x14ac:dyDescent="0.35">
      <c r="A8" s="3">
        <v>6</v>
      </c>
      <c r="B8" s="17" t="s">
        <v>4852</v>
      </c>
      <c r="C8" s="4" t="s">
        <v>6053</v>
      </c>
      <c r="D8" s="22">
        <v>26368</v>
      </c>
      <c r="E8" s="22">
        <v>27662</v>
      </c>
      <c r="F8" s="5" t="s">
        <v>972</v>
      </c>
      <c r="G8" s="5">
        <v>1</v>
      </c>
      <c r="H8" s="5">
        <v>10</v>
      </c>
      <c r="I8" s="4" t="str">
        <f>CONCATENATE("(",A8,",'",B8,"','",C8,"','",TEXT(D8,"aaaa-mm-jj"),"','",TEXT(E8,"aaaa-mm-jj"),"',",F8,",",G8,",",H8,"),")</f>
        <v>(6,'DZSKI','Terminal d\'Exportation Maritime Export port','1972-03-10','1975-09-25',NULL,1,10),</v>
      </c>
    </row>
    <row r="9" spans="1:9" ht="20.149999999999999" customHeight="1" x14ac:dyDescent="0.35">
      <c r="A9" s="3">
        <v>7</v>
      </c>
      <c r="B9" s="17" t="s">
        <v>4853</v>
      </c>
      <c r="C9" s="4" t="s">
        <v>6053</v>
      </c>
      <c r="D9" s="22">
        <v>35927</v>
      </c>
      <c r="E9" s="22">
        <v>36968</v>
      </c>
      <c r="F9" s="5" t="s">
        <v>972</v>
      </c>
      <c r="G9" s="5">
        <v>1</v>
      </c>
      <c r="H9" s="5">
        <v>10</v>
      </c>
      <c r="I9" s="4" t="str">
        <f>CONCATENATE("(",A9,",'",B9,"','",C9,"','",TEXT(D9,"aaaa-mm-jj"),"','",TEXT(E9,"aaaa-mm-jj"),"',",F9,",",G9,",",H9,"),")</f>
        <v>(7,'DZBJA','Terminal d\'Exportation Maritime Export port','1998-05-12','2001-03-18',NULL,1,10),</v>
      </c>
    </row>
    <row r="10" spans="1:9" ht="20.149999999999999" customHeight="1" x14ac:dyDescent="0.35">
      <c r="A10" s="3">
        <v>8</v>
      </c>
      <c r="B10" s="17" t="s">
        <v>4854</v>
      </c>
      <c r="C10" s="4" t="s">
        <v>4855</v>
      </c>
      <c r="D10" s="22">
        <v>37660</v>
      </c>
      <c r="E10" s="22">
        <v>38640</v>
      </c>
      <c r="F10" s="5" t="s">
        <v>972</v>
      </c>
      <c r="G10" s="5">
        <v>1</v>
      </c>
      <c r="H10" s="5">
        <v>10</v>
      </c>
      <c r="I10" s="4" t="str">
        <f>CONCATENATE("(",A10,",'",B10,"','",C10,"','",TEXT(D10,"aaaa-mm-jj"),"','",TEXT(E10,"aaaa-mm-jj"),"',",F10,",",G10,",",H10,"),")</f>
        <v>(8,'CDHL','Terminal de Distribution CDHL','2003-02-08','2005-10-15',NULL,1,10),</v>
      </c>
    </row>
    <row r="11" spans="1:9" ht="20.149999999999999" customHeight="1" x14ac:dyDescent="0.35">
      <c r="A11" s="3">
        <v>9</v>
      </c>
      <c r="B11" s="17" t="s">
        <v>4856</v>
      </c>
      <c r="C11" s="4" t="s">
        <v>4857</v>
      </c>
      <c r="D11" s="22">
        <v>38188</v>
      </c>
      <c r="E11" s="22">
        <v>39051</v>
      </c>
      <c r="F11" s="5" t="s">
        <v>972</v>
      </c>
      <c r="G11" s="5">
        <v>1</v>
      </c>
      <c r="H11" s="5">
        <v>10</v>
      </c>
      <c r="I11" s="4" t="str">
        <f>CONCATENATE("(",A11,",'",B11,"','",C11,"','",TEXT(D11,"aaaa-mm-jj"),"','",TEXT(E11,"aaaa-mm-jj"),"',",F11,",",G11,",",H11,"),")</f>
        <v>(9,'CNDG','Terminal de Distribution CNDG','2004-07-20','2006-11-30',NULL,1,10),</v>
      </c>
    </row>
    <row r="12" spans="1:9" ht="20.149999999999999" customHeight="1" x14ac:dyDescent="0.35">
      <c r="A12" s="3">
        <v>10</v>
      </c>
      <c r="B12" s="17" t="s">
        <v>4858</v>
      </c>
      <c r="C12" s="4" t="s">
        <v>4859</v>
      </c>
      <c r="D12" s="22">
        <v>39340</v>
      </c>
      <c r="E12" s="22">
        <v>40047</v>
      </c>
      <c r="F12" s="5" t="s">
        <v>972</v>
      </c>
      <c r="G12" s="5">
        <v>1</v>
      </c>
      <c r="H12" s="5">
        <v>10</v>
      </c>
      <c r="I12" s="4" t="str">
        <f>CONCATENATE("(",A12,",'",B12,"','",C12,"','",TEXT(D12,"aaaa-mm-jj"),"','",TEXT(E12,"aaaa-mm-jj"),"',",F12,",",G12,",",H12,"),")</f>
        <v>(10,'DT-MED','Terminal de Distribution Medjedel','2007-09-15','2009-08-22',NULL,1,10),</v>
      </c>
    </row>
    <row r="13" spans="1:9" ht="20.149999999999999" customHeight="1" x14ac:dyDescent="0.35">
      <c r="A13" s="3">
        <v>11</v>
      </c>
      <c r="B13" s="17" t="s">
        <v>4860</v>
      </c>
      <c r="C13" s="4" t="s">
        <v>6054</v>
      </c>
      <c r="D13" s="22">
        <v>39556</v>
      </c>
      <c r="E13" s="22">
        <v>40371</v>
      </c>
      <c r="F13" s="5" t="s">
        <v>972</v>
      </c>
      <c r="G13" s="5">
        <v>1</v>
      </c>
      <c r="H13" s="5">
        <v>10</v>
      </c>
      <c r="I13" s="4" t="str">
        <f>CONCATENATE("(",A13,",'",B13,"','",C13,"','",TEXT(D13,"aaaa-mm-jj"),"','",TEXT(E13,"aaaa-mm-jj"),"',",F13,",",G13,",",H13,"),")</f>
        <v>(11,'DT-MSL','Terminal de Distribution M\'Sila','2008-04-18','2010-07-12',NULL,1,10),</v>
      </c>
    </row>
    <row r="14" spans="1:9" ht="20.149999999999999" customHeight="1" x14ac:dyDescent="0.35">
      <c r="A14" s="3">
        <v>12</v>
      </c>
      <c r="B14" s="17" t="s">
        <v>4861</v>
      </c>
      <c r="C14" s="4" t="s">
        <v>4862</v>
      </c>
      <c r="D14" s="22">
        <v>40122</v>
      </c>
      <c r="E14" s="22">
        <v>40719</v>
      </c>
      <c r="F14" s="5" t="s">
        <v>972</v>
      </c>
      <c r="G14" s="5">
        <v>1</v>
      </c>
      <c r="H14" s="5">
        <v>10</v>
      </c>
      <c r="I14" s="4" t="str">
        <f>CONCATENATE("(",A14,",'",B14,"','",C14,"','",TEXT(D14,"aaaa-mm-jj"),"','",TEXT(E14,"aaaa-mm-jj"),"',",F14,",",G14,",",H14,"),")</f>
        <v>(12,'DT-DJM','Terminal de Distribution SP1 Bis Djamaa','2009-11-05','2011-06-25',NULL,1,10),</v>
      </c>
    </row>
    <row r="15" spans="1:9" ht="20.149999999999999" customHeight="1" x14ac:dyDescent="0.35">
      <c r="A15" s="3">
        <v>13</v>
      </c>
      <c r="B15" s="17" t="s">
        <v>6806</v>
      </c>
      <c r="C15" s="43" t="s">
        <v>6807</v>
      </c>
      <c r="D15" s="22">
        <v>40179</v>
      </c>
      <c r="E15" s="22">
        <v>40179</v>
      </c>
      <c r="F15" s="5" t="s">
        <v>972</v>
      </c>
      <c r="G15" s="5">
        <v>1</v>
      </c>
      <c r="H15" s="5">
        <v>10</v>
      </c>
      <c r="I15" s="4"/>
    </row>
    <row r="16" spans="1:9" ht="20.149999999999999" customHeight="1" x14ac:dyDescent="0.35">
      <c r="A16" s="3">
        <v>14</v>
      </c>
      <c r="B16" s="17" t="s">
        <v>4863</v>
      </c>
      <c r="C16" s="4" t="s">
        <v>4864</v>
      </c>
      <c r="D16" s="22">
        <v>40249</v>
      </c>
      <c r="E16" s="22">
        <v>41160</v>
      </c>
      <c r="F16" s="5" t="s">
        <v>972</v>
      </c>
      <c r="G16" s="5">
        <v>1</v>
      </c>
      <c r="H16" s="5">
        <v>10</v>
      </c>
      <c r="I16" s="4" t="str">
        <f>CONCATENATE("(",A16,",'",B16,"','",C16,"','",TEXT(D16,"aaaa-mm-jj"),"','",TEXT(E16,"aaaa-mm-jj"),"',",F16,",",G16,",",H16,"),")</f>
        <v>(14,'TT-ARH','Terminal de Transfert Al Aricha','2010-03-12','2012-09-08',NULL,1,10),</v>
      </c>
    </row>
    <row r="17" spans="1:9" ht="20.149999999999999" customHeight="1" x14ac:dyDescent="0.35">
      <c r="A17" s="3">
        <v>15</v>
      </c>
      <c r="B17" s="17" t="s">
        <v>4865</v>
      </c>
      <c r="C17" s="4" t="s">
        <v>4866</v>
      </c>
      <c r="D17" s="22">
        <v>40683</v>
      </c>
      <c r="E17" s="22">
        <v>41593</v>
      </c>
      <c r="F17" s="5" t="s">
        <v>972</v>
      </c>
      <c r="G17" s="5">
        <v>1</v>
      </c>
      <c r="H17" s="5">
        <v>10</v>
      </c>
      <c r="I17" s="4" t="str">
        <f>CONCATENATE("(",A17,",'",B17,"','",C17,"','",TEXT(D17,"aaaa-mm-jj"),"','",TEXT(E17,"aaaa-mm-jj"),"',",F17,",",G17,",",H17,"),")</f>
        <v>(15,'TT-BNM','Terminal de Transfert Beni Mensour','2011-05-20','2013-11-15',NULL,1,10),</v>
      </c>
    </row>
    <row r="18" spans="1:9" ht="20.149999999999999" customHeight="1" x14ac:dyDescent="0.35">
      <c r="A18" s="3">
        <v>16</v>
      </c>
      <c r="B18" s="17" t="s">
        <v>4867</v>
      </c>
      <c r="C18" s="4" t="s">
        <v>4868</v>
      </c>
      <c r="D18" s="22">
        <v>37478</v>
      </c>
      <c r="E18" s="22">
        <v>38341</v>
      </c>
      <c r="F18" s="5" t="s">
        <v>972</v>
      </c>
      <c r="G18" s="5">
        <v>1</v>
      </c>
      <c r="H18" s="5">
        <v>10</v>
      </c>
      <c r="I18" s="4" t="str">
        <f>CONCATENATE("(",A18,",'",B18,"','",C18,"','",TEXT(D18,"aaaa-mm-jj"),"','",TEXT(E18,"aaaa-mm-jj"),"',",F18,",",G18,",",H18,"),")</f>
        <v>(16,'TT-HMD','Terminal de Transfert Hassi Messaoud','2002-08-10','2004-12-20',NULL,1,10),</v>
      </c>
    </row>
    <row r="19" spans="1:9" ht="20.149999999999999" customHeight="1" x14ac:dyDescent="0.35">
      <c r="A19" s="3">
        <v>17</v>
      </c>
      <c r="B19" s="17" t="s">
        <v>4869</v>
      </c>
      <c r="C19" s="4" t="s">
        <v>4870</v>
      </c>
      <c r="D19" s="22">
        <v>38518</v>
      </c>
      <c r="E19" s="22">
        <v>39385</v>
      </c>
      <c r="F19" s="5" t="s">
        <v>972</v>
      </c>
      <c r="G19" s="5">
        <v>1</v>
      </c>
      <c r="H19" s="5">
        <v>10</v>
      </c>
      <c r="I19" s="4" t="str">
        <f>CONCATENATE("(",A19,",'",B19,"','",C19,"','",TEXT(D19,"aaaa-mm-jj"),"','",TEXT(E19,"aaaa-mm-jj"),"',",F19,",",G19,",",H19,"),")</f>
        <v>(17,'TT-MSD','Terminal de Transfert Mesdar','2005-06-15','2007-10-30',NULL,1,10),</v>
      </c>
    </row>
    <row r="20" spans="1:9" ht="20.149999999999999" customHeight="1" x14ac:dyDescent="0.35">
      <c r="A20" s="3">
        <v>18</v>
      </c>
      <c r="B20" s="17" t="s">
        <v>4871</v>
      </c>
      <c r="C20" s="4" t="s">
        <v>4872</v>
      </c>
      <c r="D20" s="22">
        <v>38982</v>
      </c>
      <c r="E20" s="22">
        <v>39678</v>
      </c>
      <c r="F20" s="5" t="s">
        <v>972</v>
      </c>
      <c r="G20" s="5">
        <v>1</v>
      </c>
      <c r="H20" s="5">
        <v>10</v>
      </c>
      <c r="I20" s="4" t="str">
        <f>CONCATENATE("(",A20,",'",B20,"','",C20,"','",TEXT(D20,"aaaa-mm-jj"),"','",TEXT(E20,"aaaa-mm-jj"),"',",F20,",",G20,",",H20,"),")</f>
        <v>(18,'TT-OHT','Terminal de Transfert Ohanet','2006-09-22','2008-08-18',NULL,1,10),</v>
      </c>
    </row>
    <row r="21" spans="1:9" ht="20.149999999999999" customHeight="1" x14ac:dyDescent="0.35">
      <c r="A21" s="3">
        <v>19</v>
      </c>
      <c r="B21" s="17" t="s">
        <v>4873</v>
      </c>
      <c r="C21" s="4" t="s">
        <v>4874</v>
      </c>
      <c r="D21" s="22">
        <v>39421</v>
      </c>
      <c r="E21" s="22">
        <v>40014</v>
      </c>
      <c r="F21" s="5" t="s">
        <v>972</v>
      </c>
      <c r="G21" s="5">
        <v>1</v>
      </c>
      <c r="H21" s="5">
        <v>10</v>
      </c>
      <c r="I21" s="4" t="str">
        <f>CONCATENATE("(",A21,",'",B21,"','",C21,"','",TEXT(D21,"aaaa-mm-jj"),"','",TEXT(E21,"aaaa-mm-jj"),"',",F21,",",G21,",",H21,"),")</f>
        <v>(19,'TT-137','Terminal de Transfert PC1/PK137','2007-12-05','2009-07-20',NULL,1,10),</v>
      </c>
    </row>
    <row r="22" spans="1:9" ht="20.149999999999999" customHeight="1" x14ac:dyDescent="0.35">
      <c r="A22" s="3">
        <v>20</v>
      </c>
      <c r="B22" s="17" t="s">
        <v>4875</v>
      </c>
      <c r="C22" s="4" t="s">
        <v>4876</v>
      </c>
      <c r="D22" s="22">
        <v>39525</v>
      </c>
      <c r="E22" s="22">
        <v>40323</v>
      </c>
      <c r="F22" s="5" t="s">
        <v>972</v>
      </c>
      <c r="G22" s="5">
        <v>1</v>
      </c>
      <c r="H22" s="5">
        <v>10</v>
      </c>
      <c r="I22" s="4" t="str">
        <f>CONCATENATE("(",A22,",'",B22,"','",C22,"','",TEXT(D22,"aaaa-mm-jj"),"','",TEXT(E22,"aaaa-mm-jj"),"',",F22,",",G22,",",H22,"),")</f>
        <v>(20,'TT-RDN','Terminal de Transfert Rhoude Nouss','2008-03-18','2010-05-25',NULL,1,10),</v>
      </c>
    </row>
    <row r="23" spans="1:9" ht="20.149999999999999" customHeight="1" x14ac:dyDescent="0.35">
      <c r="A23" s="3">
        <v>21</v>
      </c>
      <c r="B23" s="17" t="s">
        <v>4877</v>
      </c>
      <c r="C23" s="4" t="s">
        <v>4878</v>
      </c>
      <c r="D23" s="22">
        <v>34709</v>
      </c>
      <c r="E23" s="22">
        <v>35688</v>
      </c>
      <c r="F23" s="5" t="s">
        <v>972</v>
      </c>
      <c r="G23" s="5">
        <v>1</v>
      </c>
      <c r="H23" s="5">
        <v>10</v>
      </c>
      <c r="I23" s="4" t="str">
        <f>CONCATENATE("(",A23,",'",B23,"','",C23,"','",TEXT(D23,"aaaa-mm-jj"),"','",TEXT(E23,"aaaa-mm-jj"),"',",F23,",",G23,",",H23,"),")</f>
        <v>(21,'PT-ALG','Terminal de Pipeline Alger','1995-01-10','1997-09-15',NULL,1,10),</v>
      </c>
    </row>
    <row r="24" spans="1:9" ht="20.149999999999999" customHeight="1" x14ac:dyDescent="0.35">
      <c r="A24" s="3">
        <v>22</v>
      </c>
      <c r="B24" s="17" t="s">
        <v>4879</v>
      </c>
      <c r="C24" s="4" t="s">
        <v>4880</v>
      </c>
      <c r="D24" s="22">
        <v>35907</v>
      </c>
      <c r="E24" s="22">
        <v>36860</v>
      </c>
      <c r="F24" s="5" t="s">
        <v>972</v>
      </c>
      <c r="G24" s="5">
        <v>1</v>
      </c>
      <c r="H24" s="5">
        <v>10</v>
      </c>
      <c r="I24" s="4" t="str">
        <f>CONCATENATE("(",A24,",'",B24,"','",C24,"','",TEXT(D24,"aaaa-mm-jj"),"','",TEXT(E24,"aaaa-mm-jj"),"',",F24,",",G24,",",H24,"),")</f>
        <v>(22,'PT-ALR','Terminal de Pipeline Alrar','1998-04-22','2000-11-30',NULL,1,10),</v>
      </c>
    </row>
    <row r="25" spans="1:9" ht="20.149999999999999" customHeight="1" x14ac:dyDescent="0.35">
      <c r="A25" s="3">
        <v>23</v>
      </c>
      <c r="B25" s="17" t="s">
        <v>4881</v>
      </c>
      <c r="C25" s="4" t="s">
        <v>4882</v>
      </c>
      <c r="D25" s="22">
        <v>29387</v>
      </c>
      <c r="E25" s="22">
        <v>30375</v>
      </c>
      <c r="F25" s="5" t="s">
        <v>972</v>
      </c>
      <c r="G25" s="5">
        <v>1</v>
      </c>
      <c r="H25" s="5">
        <v>10</v>
      </c>
      <c r="I25" s="4" t="str">
        <f>CONCATENATE("(",A25,",'",B25,"','",C25,"','",TEXT(D25,"aaaa-mm-jj"),"','",TEXT(E25,"aaaa-mm-jj"),"',",F25,",",G25,",",H25,"),")</f>
        <v>(23,'PR-ARZ','Terminal de Pipeline Arzew','1980-06-15','1983-02-28',NULL,1,10),</v>
      </c>
    </row>
    <row r="26" spans="1:9" ht="20.149999999999999" customHeight="1" x14ac:dyDescent="0.35">
      <c r="A26" s="3">
        <v>24</v>
      </c>
      <c r="B26" s="17" t="s">
        <v>4883</v>
      </c>
      <c r="C26" s="4" t="s">
        <v>4884</v>
      </c>
      <c r="D26" s="22">
        <v>35662</v>
      </c>
      <c r="E26" s="22">
        <v>36504</v>
      </c>
      <c r="F26" s="5" t="s">
        <v>972</v>
      </c>
      <c r="G26" s="5">
        <v>1</v>
      </c>
      <c r="H26" s="5">
        <v>10</v>
      </c>
      <c r="I26" s="4" t="str">
        <f>CONCATENATE("(",A26,",'",B26,"','",C26,"','",TEXT(D26,"aaaa-mm-jj"),"','",TEXT(E26,"aaaa-mm-jj"),"',",F26,",",G26,",",H26,"),")</f>
        <v>(24,'PT-BJA','Terminal de Pipeline Bejaia','1997-08-20','1999-12-10',NULL,1,10),</v>
      </c>
    </row>
    <row r="27" spans="1:9" ht="20.149999999999999" customHeight="1" x14ac:dyDescent="0.35">
      <c r="A27" s="3">
        <v>25</v>
      </c>
      <c r="B27" s="17" t="s">
        <v>4885</v>
      </c>
      <c r="C27" s="4" t="s">
        <v>4886</v>
      </c>
      <c r="D27" s="22">
        <v>36965</v>
      </c>
      <c r="E27" s="22">
        <v>37827</v>
      </c>
      <c r="F27" s="5" t="s">
        <v>972</v>
      </c>
      <c r="G27" s="5">
        <v>1</v>
      </c>
      <c r="H27" s="5">
        <v>10</v>
      </c>
      <c r="I27" s="4" t="str">
        <f>CONCATENATE("(",A27,",'",B27,"','",C27,"','",TEXT(D27,"aaaa-mm-jj"),"','",TEXT(E27,"aaaa-mm-jj"),"',",F27,",",G27,",",H27,"),")</f>
        <v>(25,'PT-BRN','Terminal de Pipeline Bir Rebaa North','2001-03-15','2003-07-25',NULL,1,10),</v>
      </c>
    </row>
    <row r="28" spans="1:9" ht="20.149999999999999" customHeight="1" x14ac:dyDescent="0.35">
      <c r="A28" s="3">
        <v>26</v>
      </c>
      <c r="B28" s="17" t="s">
        <v>4887</v>
      </c>
      <c r="C28" s="4" t="s">
        <v>4888</v>
      </c>
      <c r="D28" s="22">
        <v>35377</v>
      </c>
      <c r="E28" s="22">
        <v>36029</v>
      </c>
      <c r="F28" s="5" t="s">
        <v>972</v>
      </c>
      <c r="G28" s="5">
        <v>1</v>
      </c>
      <c r="H28" s="5">
        <v>10</v>
      </c>
      <c r="I28" s="4" t="str">
        <f>CONCATENATE("(",A28,",'",B28,"','",C28,"','",TEXT(D28,"aaaa-mm-jj"),"','",TEXT(E28,"aaaa-mm-jj"),"',",F28,",",G28,",",H28,"),")</f>
        <v>(26,'PT-BMN','Terminal de Pipeline Bord Menaiel','1996-11-08','1998-08-22',NULL,1,10),</v>
      </c>
    </row>
    <row r="29" spans="1:9" ht="20.149999999999999" customHeight="1" x14ac:dyDescent="0.35">
      <c r="A29" s="3">
        <v>27</v>
      </c>
      <c r="B29" s="17" t="s">
        <v>4889</v>
      </c>
      <c r="C29" s="4" t="s">
        <v>4890</v>
      </c>
      <c r="D29" s="22">
        <v>36658</v>
      </c>
      <c r="E29" s="22">
        <v>37547</v>
      </c>
      <c r="F29" s="5" t="s">
        <v>972</v>
      </c>
      <c r="G29" s="5">
        <v>1</v>
      </c>
      <c r="H29" s="5">
        <v>10</v>
      </c>
      <c r="I29" s="4" t="str">
        <f>CONCATENATE("(",A29,",'",B29,"','",C29,"','",TEXT(D29,"aaaa-mm-jj"),"','",TEXT(E29,"aaaa-mm-jj"),"',",F29,",",G29,",",H29,"),")</f>
        <v>(27,'PT-BRM','Terminal de Pipeline El Borma','2000-05-12','2002-10-18',NULL,1,10),</v>
      </c>
    </row>
    <row r="30" spans="1:9" ht="20.149999999999999" customHeight="1" x14ac:dyDescent="0.35">
      <c r="A30" s="3">
        <v>28</v>
      </c>
      <c r="B30" s="17" t="s">
        <v>4891</v>
      </c>
      <c r="C30" s="4" t="s">
        <v>4892</v>
      </c>
      <c r="D30" s="22">
        <v>37869</v>
      </c>
      <c r="E30" s="22">
        <v>38523</v>
      </c>
      <c r="F30" s="5" t="s">
        <v>972</v>
      </c>
      <c r="G30" s="5">
        <v>1</v>
      </c>
      <c r="H30" s="5">
        <v>10</v>
      </c>
      <c r="I30" s="4" t="str">
        <f>CONCATENATE("(",A30,",'",B30,"','",C30,"','",TEXT(D30,"aaaa-mm-jj"),"','",TEXT(E30,"aaaa-mm-jj"),"',",F30,",",G30,",",H30,"),")</f>
        <v>(28,'PT-GST','Terminal de Pipeline Gassi Touil','2003-09-05','2005-06-20',NULL,1,10),</v>
      </c>
    </row>
    <row r="31" spans="1:9" ht="20.149999999999999" customHeight="1" x14ac:dyDescent="0.35">
      <c r="A31" s="3">
        <v>29</v>
      </c>
      <c r="B31" s="17" t="s">
        <v>4893</v>
      </c>
      <c r="C31" s="4" t="s">
        <v>4894</v>
      </c>
      <c r="D31" s="22">
        <v>38035</v>
      </c>
      <c r="E31" s="22">
        <v>38837</v>
      </c>
      <c r="F31" s="5" t="s">
        <v>972</v>
      </c>
      <c r="G31" s="5">
        <v>1</v>
      </c>
      <c r="H31" s="5">
        <v>10</v>
      </c>
      <c r="I31" s="4" t="str">
        <f>CONCATENATE("(",A31,",'",B31,"','",C31,"','",TEXT(D31,"aaaa-mm-jj"),"','",TEXT(E31,"aaaa-mm-jj"),"',",F31,",",G31,",",H31,"),")</f>
        <v>(29,'PT-HBK','Terminal de Pipeline Hassi Berkine','2004-02-18','2006-04-30',NULL,1,10),</v>
      </c>
    </row>
    <row r="32" spans="1:9" ht="20.149999999999999" customHeight="1" x14ac:dyDescent="0.35">
      <c r="A32" s="3">
        <v>30</v>
      </c>
      <c r="B32" s="17" t="s">
        <v>4895</v>
      </c>
      <c r="C32" s="4" t="s">
        <v>4896</v>
      </c>
      <c r="D32" s="22">
        <v>38555</v>
      </c>
      <c r="E32" s="22">
        <v>39340</v>
      </c>
      <c r="F32" s="5" t="s">
        <v>972</v>
      </c>
      <c r="G32" s="5">
        <v>1</v>
      </c>
      <c r="H32" s="5">
        <v>10</v>
      </c>
      <c r="I32" s="4" t="str">
        <f>CONCATENATE("(",A32,",'",B32,"','",C32,"','",TEXT(D32,"aaaa-mm-jj"),"','",TEXT(E32,"aaaa-mm-jj"),"',",F32,",",G32,",",H32,"),")</f>
        <v>(30,'PT-HTJ','Terminal de Pipeline Hassi tedjirane','2005-07-22','2007-09-15',NULL,1,10),</v>
      </c>
    </row>
    <row r="33" spans="1:9" ht="20.149999999999999" customHeight="1" x14ac:dyDescent="0.35">
      <c r="A33" s="3">
        <v>31</v>
      </c>
      <c r="B33" s="17" t="s">
        <v>4897</v>
      </c>
      <c r="C33" s="4" t="s">
        <v>4898</v>
      </c>
      <c r="D33" s="22">
        <v>37537</v>
      </c>
      <c r="E33" s="22">
        <v>38224</v>
      </c>
      <c r="F33" s="5" t="s">
        <v>972</v>
      </c>
      <c r="G33" s="5">
        <v>1</v>
      </c>
      <c r="H33" s="5">
        <v>10</v>
      </c>
      <c r="I33" s="4" t="str">
        <f>CONCATENATE("(",A33,",'",B33,"','",C33,"','",TEXT(D33,"aaaa-mm-jj"),"','",TEXT(E33,"aaaa-mm-jj"),"',",F33,",",G33,",",H33,"),")</f>
        <v>(31,'PT-NMS','Terminal de Pipeline In Amenas','2002-10-08','2004-08-25',NULL,1,10),</v>
      </c>
    </row>
    <row r="34" spans="1:9" ht="20.149999999999999" customHeight="1" x14ac:dyDescent="0.35">
      <c r="A34" s="3">
        <v>32</v>
      </c>
      <c r="B34" s="17" t="s">
        <v>4899</v>
      </c>
      <c r="C34" s="4" t="s">
        <v>4900</v>
      </c>
      <c r="D34" s="22">
        <v>39066</v>
      </c>
      <c r="E34" s="22">
        <v>39772</v>
      </c>
      <c r="F34" s="5" t="s">
        <v>972</v>
      </c>
      <c r="G34" s="5">
        <v>1</v>
      </c>
      <c r="H34" s="5">
        <v>10</v>
      </c>
      <c r="I34" s="4" t="str">
        <f>CONCATENATE("(",A34,",'",B34,"','",C34,"','",TEXT(D34,"aaaa-mm-jj"),"','",TEXT(E34,"aaaa-mm-jj"),"',",F34,",",G34,",",H34,"),")</f>
        <v>(32,'PT-NSL','Terminal de Pipeline In Salah','2006-12-15','2008-11-20',NULL,1,10),</v>
      </c>
    </row>
    <row r="35" spans="1:9" ht="20.149999999999999" customHeight="1" x14ac:dyDescent="0.35">
      <c r="A35" s="3">
        <v>33</v>
      </c>
      <c r="B35" s="17" t="s">
        <v>4901</v>
      </c>
      <c r="C35" s="4" t="s">
        <v>4902</v>
      </c>
      <c r="D35" s="22">
        <v>35509</v>
      </c>
      <c r="E35" s="22">
        <v>36290</v>
      </c>
      <c r="F35" s="5" t="s">
        <v>972</v>
      </c>
      <c r="G35" s="5">
        <v>1</v>
      </c>
      <c r="H35" s="5">
        <v>10</v>
      </c>
      <c r="I35" s="4" t="str">
        <f>CONCATENATE("(",A35,",'",B35,"','",C35,"','",TEXT(D35,"aaaa-mm-jj"),"','",TEXT(E35,"aaaa-mm-jj"),"',",F35,",",G35,",",H35,"),")</f>
        <v>(33,'PT-ISR','Terminal de Pipeline Isser','1997-03-20','1999-05-10',NULL,1,10),</v>
      </c>
    </row>
    <row r="36" spans="1:9" ht="20.149999999999999" customHeight="1" x14ac:dyDescent="0.35">
      <c r="A36" s="3">
        <v>34</v>
      </c>
      <c r="B36" s="17" t="s">
        <v>4903</v>
      </c>
      <c r="C36" s="4" t="s">
        <v>4904</v>
      </c>
      <c r="D36" s="22">
        <v>40341</v>
      </c>
      <c r="E36" s="22">
        <v>41212</v>
      </c>
      <c r="F36" s="5" t="s">
        <v>972</v>
      </c>
      <c r="G36" s="5">
        <v>1</v>
      </c>
      <c r="H36" s="5">
        <v>10</v>
      </c>
      <c r="I36" s="4" t="str">
        <f>CONCATENATE("(",A36,",'",B36,"','",C36,"','",TEXT(D36,"aaaa-mm-jj"),"','",TEXT(E36,"aaaa-mm-jj"),"',",F36,",",G36,",",H36,"),")</f>
        <v>(34,'PT-RGN','Terminal de Pipeline Reggane','2010-06-12','2012-10-30',NULL,1,10),</v>
      </c>
    </row>
    <row r="37" spans="1:9" ht="20.149999999999999" customHeight="1" x14ac:dyDescent="0.35">
      <c r="A37" s="3">
        <v>35</v>
      </c>
      <c r="B37" s="17" t="s">
        <v>4905</v>
      </c>
      <c r="C37" s="4" t="s">
        <v>4906</v>
      </c>
      <c r="D37" s="22">
        <v>37152</v>
      </c>
      <c r="E37" s="22">
        <v>37977</v>
      </c>
      <c r="F37" s="5" t="s">
        <v>972</v>
      </c>
      <c r="G37" s="5">
        <v>1</v>
      </c>
      <c r="H37" s="5">
        <v>10</v>
      </c>
      <c r="I37" s="4" t="str">
        <f>CONCATENATE("(",A37,",'",B37,"','",C37,"','",TEXT(D37,"aaaa-mm-jj"),"','",TEXT(E37,"aaaa-mm-jj"),"',",F37,",",G37,",",H37,"),")</f>
        <v>(35,'PT-RBL','Terminal de Pipeline Rhoude El Baguel','2001-09-18','2003-12-22',NULL,1,10),</v>
      </c>
    </row>
    <row r="38" spans="1:9" ht="20.149999999999999" customHeight="1" x14ac:dyDescent="0.35">
      <c r="A38" s="3">
        <v>36</v>
      </c>
      <c r="B38" s="17" t="s">
        <v>4907</v>
      </c>
      <c r="C38" s="4" t="s">
        <v>4908</v>
      </c>
      <c r="D38" s="22">
        <v>27494</v>
      </c>
      <c r="E38" s="22">
        <v>28505</v>
      </c>
      <c r="F38" s="5" t="s">
        <v>972</v>
      </c>
      <c r="G38" s="5">
        <v>1</v>
      </c>
      <c r="H38" s="5">
        <v>10</v>
      </c>
      <c r="I38" s="4" t="str">
        <f>CONCATENATE("(",A38,",'",B38,"','",C38,"','",TEXT(D38,"aaaa-mm-jj"),"','",TEXT(E38,"aaaa-mm-jj"),"',",F38,",",G38,",",H38,"),")</f>
        <v>(36,'PT-SKD','Terminal de Pipeline Skikda','1975-04-10','1978-01-15',NULL,1,10),</v>
      </c>
    </row>
    <row r="39" spans="1:9" ht="20.149999999999999" customHeight="1" x14ac:dyDescent="0.35">
      <c r="A39" s="3">
        <v>37</v>
      </c>
      <c r="B39" s="17" t="s">
        <v>6823</v>
      </c>
      <c r="C39" s="4" t="s">
        <v>4909</v>
      </c>
      <c r="D39" s="22">
        <v>36540</v>
      </c>
      <c r="E39" s="22">
        <v>37154</v>
      </c>
      <c r="F39" s="5" t="s">
        <v>972</v>
      </c>
      <c r="G39" s="5">
        <v>1</v>
      </c>
      <c r="H39" s="5">
        <v>10</v>
      </c>
      <c r="I39" s="4" t="str">
        <f>CONCATENATE("(",A39,",'",B39,"','",C39,"','",TEXT(D39,"aaaa-mm-jj"),"','",TEXT(E39,"aaaa-mm-jj"),"',",F39,",",G39,",",H39,"),")</f>
        <v>(37,'SP1-OZ1/OZ2','Station de Pompage SP1-OZ1','2000-01-15','2001-09-20',NULL,1,10),</v>
      </c>
    </row>
    <row r="40" spans="1:9" ht="20.149999999999999" customHeight="1" x14ac:dyDescent="0.35">
      <c r="A40" s="42">
        <v>38</v>
      </c>
      <c r="B40" s="51" t="s">
        <v>4910</v>
      </c>
      <c r="C40" s="43" t="s">
        <v>4911</v>
      </c>
      <c r="D40" s="52">
        <v>36540</v>
      </c>
      <c r="E40" s="52">
        <v>37154</v>
      </c>
      <c r="F40" s="50" t="s">
        <v>972</v>
      </c>
      <c r="G40" s="50">
        <v>1</v>
      </c>
      <c r="H40" s="50">
        <v>10</v>
      </c>
      <c r="I40" s="43" t="str">
        <f>CONCATENATE("(",A40,",'",B40,"','",C40,"','",TEXT(D40,"aaaa-mm-jj"),"','",TEXT(E40,"aaaa-mm-jj"),"',",F40,",",G40,",",H40,"),")</f>
        <v>(38,'SP1-OZ2','Station de Pompage SP1-OZ2','2000-01-15','2001-09-20',NULL,1,10),</v>
      </c>
    </row>
    <row r="41" spans="1:9" ht="20.149999999999999" customHeight="1" x14ac:dyDescent="0.35">
      <c r="A41" s="3">
        <v>39</v>
      </c>
      <c r="B41" s="17" t="s">
        <v>6824</v>
      </c>
      <c r="C41" s="4" t="s">
        <v>4912</v>
      </c>
      <c r="D41" s="22">
        <v>36960</v>
      </c>
      <c r="E41" s="22">
        <v>37575</v>
      </c>
      <c r="F41" s="5" t="s">
        <v>972</v>
      </c>
      <c r="G41" s="5">
        <v>1</v>
      </c>
      <c r="H41" s="5">
        <v>10</v>
      </c>
      <c r="I41" s="4" t="str">
        <f>CONCATENATE("(",A41,",'",B41,"','",C41,"','",TEXT(D41,"aaaa-mm-jj"),"','",TEXT(E41,"aaaa-mm-jj"),"',",F41,",",G41,",",H41,"),")</f>
        <v>(39,'SP2-OZ1/OZ2','Station de Pompage SP2-OZ1','2001-03-10','2002-11-15',NULL,1,10),</v>
      </c>
    </row>
    <row r="42" spans="1:9" ht="20.149999999999999" customHeight="1" x14ac:dyDescent="0.35">
      <c r="A42" s="42">
        <v>40</v>
      </c>
      <c r="B42" s="51" t="s">
        <v>4913</v>
      </c>
      <c r="C42" s="43" t="s">
        <v>4914</v>
      </c>
      <c r="D42" s="52">
        <v>36960</v>
      </c>
      <c r="E42" s="52">
        <v>37575</v>
      </c>
      <c r="F42" s="50" t="s">
        <v>972</v>
      </c>
      <c r="G42" s="50">
        <v>1</v>
      </c>
      <c r="H42" s="50">
        <v>10</v>
      </c>
      <c r="I42" s="43" t="str">
        <f>CONCATENATE("(",A42,",'",B42,"','",C42,"','",TEXT(D42,"aaaa-mm-jj"),"','",TEXT(E42,"aaaa-mm-jj"),"',",F42,",",G42,",",H42,"),")</f>
        <v>(40,'SP2-OZ2','Station de Pompage SP2-OZ2','2001-03-10','2002-11-15',NULL,1,10),</v>
      </c>
    </row>
    <row r="43" spans="1:9" ht="20.149999999999999" customHeight="1" x14ac:dyDescent="0.35">
      <c r="A43" s="3">
        <v>41</v>
      </c>
      <c r="B43" s="17" t="s">
        <v>6825</v>
      </c>
      <c r="C43" s="4" t="s">
        <v>4912</v>
      </c>
      <c r="D43" s="22">
        <v>37396</v>
      </c>
      <c r="E43" s="22">
        <v>37985</v>
      </c>
      <c r="F43" s="5" t="s">
        <v>972</v>
      </c>
      <c r="G43" s="5">
        <v>1</v>
      </c>
      <c r="H43" s="5">
        <v>10</v>
      </c>
      <c r="I43" s="4" t="str">
        <f>CONCATENATE("(",A43,",'",B43,"','",C43,"','",TEXT(D43,"aaaa-mm-jj"),"','",TEXT(E43,"aaaa-mm-jj"),"',",F43,",",G43,",",H43,"),")</f>
        <v>(41,'SP3-OZ1/OZ2','Station de Pompage SP2-OZ1','2002-05-20','2003-12-30',NULL,1,10),</v>
      </c>
    </row>
    <row r="44" spans="1:9" ht="20.149999999999999" customHeight="1" x14ac:dyDescent="0.35">
      <c r="A44" s="42">
        <v>42</v>
      </c>
      <c r="B44" s="51" t="s">
        <v>6068</v>
      </c>
      <c r="C44" s="43" t="s">
        <v>4914</v>
      </c>
      <c r="D44" s="52">
        <v>37396</v>
      </c>
      <c r="E44" s="52">
        <v>37985</v>
      </c>
      <c r="F44" s="50" t="s">
        <v>972</v>
      </c>
      <c r="G44" s="50">
        <v>1</v>
      </c>
      <c r="H44" s="50">
        <v>10</v>
      </c>
      <c r="I44" s="43" t="str">
        <f>CONCATENATE("(",A44,",'",B44,"','",C44,"','",TEXT(D44,"aaaa-mm-jj"),"','",TEXT(E44,"aaaa-mm-jj"),"',",F44,",",G44,",",H44,"),")</f>
        <v>(42,'SP3-OZ2','Station de Pompage SP2-OZ2','2002-05-20','2003-12-30',NULL,1,10),</v>
      </c>
    </row>
    <row r="45" spans="1:9" ht="20.149999999999999" customHeight="1" x14ac:dyDescent="0.35">
      <c r="A45" s="3">
        <v>43</v>
      </c>
      <c r="B45" s="17" t="s">
        <v>6826</v>
      </c>
      <c r="C45" s="4" t="s">
        <v>4912</v>
      </c>
      <c r="D45" s="22">
        <v>37848</v>
      </c>
      <c r="E45" s="22">
        <v>38433</v>
      </c>
      <c r="F45" s="5" t="s">
        <v>972</v>
      </c>
      <c r="G45" s="5">
        <v>1</v>
      </c>
      <c r="H45" s="5">
        <v>10</v>
      </c>
      <c r="I45" s="4" t="str">
        <f>CONCATENATE("(",A45,",'",B45,"','",C45,"','",TEXT(D45,"aaaa-mm-jj"),"','",TEXT(E45,"aaaa-mm-jj"),"',",F45,",",G45,",",H45,"),")</f>
        <v>(43,'SP4-OZ1/OZ2','Station de Pompage SP2-OZ1','2003-08-15','2005-03-22',NULL,1,10),</v>
      </c>
    </row>
    <row r="46" spans="1:9" ht="20.149999999999999" customHeight="1" x14ac:dyDescent="0.35">
      <c r="A46" s="42">
        <v>44</v>
      </c>
      <c r="B46" s="51" t="s">
        <v>6069</v>
      </c>
      <c r="C46" s="43" t="s">
        <v>4914</v>
      </c>
      <c r="D46" s="52">
        <v>37848</v>
      </c>
      <c r="E46" s="52">
        <v>38433</v>
      </c>
      <c r="F46" s="50" t="s">
        <v>972</v>
      </c>
      <c r="G46" s="50">
        <v>1</v>
      </c>
      <c r="H46" s="50">
        <v>10</v>
      </c>
      <c r="I46" s="43" t="str">
        <f>CONCATENATE("(",A46,",'",B46,"','",C46,"','",TEXT(D46,"aaaa-mm-jj"),"','",TEXT(E46,"aaaa-mm-jj"),"',",F46,",",G46,",",H46,"),")</f>
        <v>(44,'SP4-OZ2','Station de Pompage SP2-OZ2','2003-08-15','2005-03-22',NULL,1,10),</v>
      </c>
    </row>
    <row r="47" spans="1:9" ht="20.149999999999999" customHeight="1" x14ac:dyDescent="0.35">
      <c r="A47" s="3">
        <v>45</v>
      </c>
      <c r="B47" s="17" t="s">
        <v>6827</v>
      </c>
      <c r="C47" s="4" t="s">
        <v>4912</v>
      </c>
      <c r="D47" s="22">
        <v>38265</v>
      </c>
      <c r="E47" s="22">
        <v>38886</v>
      </c>
      <c r="F47" s="5" t="s">
        <v>972</v>
      </c>
      <c r="G47" s="5">
        <v>1</v>
      </c>
      <c r="H47" s="5">
        <v>10</v>
      </c>
      <c r="I47" s="4" t="str">
        <f>CONCATENATE("(",A47,",'",B47,"','",C47,"','",TEXT(D47,"aaaa-mm-jj"),"','",TEXT(E47,"aaaa-mm-jj"),"',",F47,",",G47,",",H47,"),")</f>
        <v>(45,'SP5-OZ1/OZ2','Station de Pompage SP2-OZ1','2004-10-05','2006-06-18',NULL,1,10),</v>
      </c>
    </row>
    <row r="48" spans="1:9" ht="20.149999999999999" customHeight="1" x14ac:dyDescent="0.35">
      <c r="A48" s="42">
        <v>46</v>
      </c>
      <c r="B48" s="51" t="s">
        <v>6070</v>
      </c>
      <c r="C48" s="43" t="s">
        <v>4914</v>
      </c>
      <c r="D48" s="52">
        <v>38265</v>
      </c>
      <c r="E48" s="52">
        <v>38886</v>
      </c>
      <c r="F48" s="50" t="s">
        <v>972</v>
      </c>
      <c r="G48" s="50">
        <v>1</v>
      </c>
      <c r="H48" s="50">
        <v>10</v>
      </c>
      <c r="I48" s="43" t="str">
        <f>CONCATENATE("(",A48,",'",B48,"','",C48,"','",TEXT(D48,"aaaa-mm-jj"),"','",TEXT(E48,"aaaa-mm-jj"),"',",F48,",",G48,",",H48,"),")</f>
        <v>(46,'SP5-OZ2','Station de Pompage SP2-OZ2','2004-10-05','2006-06-18',NULL,1,10),</v>
      </c>
    </row>
    <row r="49" spans="1:9" ht="20.149999999999999" customHeight="1" x14ac:dyDescent="0.35">
      <c r="A49" s="3">
        <v>47</v>
      </c>
      <c r="B49" s="17" t="s">
        <v>6828</v>
      </c>
      <c r="C49" s="4" t="s">
        <v>4912</v>
      </c>
      <c r="D49" s="22">
        <v>38698</v>
      </c>
      <c r="E49" s="22">
        <v>39319</v>
      </c>
      <c r="F49" s="5" t="s">
        <v>972</v>
      </c>
      <c r="G49" s="5">
        <v>1</v>
      </c>
      <c r="H49" s="5">
        <v>10</v>
      </c>
      <c r="I49" s="4" t="str">
        <f>CONCATENATE("(",A49,",'",B49,"','",C49,"','",TEXT(D49,"aaaa-mm-jj"),"','",TEXT(E49,"aaaa-mm-jj"),"',",F49,",",G49,",",H49,"),")</f>
        <v>(47,'SP6-OZ1/OZ2','Station de Pompage SP2-OZ1','2005-12-12','2007-08-25',NULL,1,10),</v>
      </c>
    </row>
    <row r="50" spans="1:9" ht="20.149999999999999" customHeight="1" x14ac:dyDescent="0.35">
      <c r="A50" s="42">
        <v>48</v>
      </c>
      <c r="B50" s="51" t="s">
        <v>6071</v>
      </c>
      <c r="C50" s="43" t="s">
        <v>4914</v>
      </c>
      <c r="D50" s="52">
        <v>38698</v>
      </c>
      <c r="E50" s="52">
        <v>39319</v>
      </c>
      <c r="F50" s="50" t="s">
        <v>972</v>
      </c>
      <c r="G50" s="50">
        <v>1</v>
      </c>
      <c r="H50" s="50">
        <v>10</v>
      </c>
      <c r="I50" s="43" t="str">
        <f>CONCATENATE("(",A50,",'",B50,"','",C50,"','",TEXT(D50,"aaaa-mm-jj"),"','",TEXT(E50,"aaaa-mm-jj"),"',",F50,",",G50,",",H50,"),")</f>
        <v>(48,'SP6-OZ2','Station de Pompage SP2-OZ2','2005-12-12','2007-08-25',NULL,1,10),</v>
      </c>
    </row>
    <row r="51" spans="1:9" ht="20.149999999999999" customHeight="1" x14ac:dyDescent="0.35">
      <c r="A51" s="3">
        <v>49</v>
      </c>
      <c r="B51" s="17" t="s">
        <v>6829</v>
      </c>
      <c r="C51" s="4" t="s">
        <v>4915</v>
      </c>
      <c r="D51" s="22">
        <v>38796</v>
      </c>
      <c r="E51" s="22">
        <v>39396</v>
      </c>
      <c r="F51" s="5" t="s">
        <v>972</v>
      </c>
      <c r="G51" s="5">
        <v>1</v>
      </c>
      <c r="H51" s="5">
        <v>10</v>
      </c>
      <c r="I51" s="4" t="str">
        <f>CONCATENATE("(",A51,",'",B51,"','",C51,"','",TEXT(D51,"aaaa-mm-jj"),"','",TEXT(E51,"aaaa-mm-jj"),"',",F51,",",G51,",",H51,"),")</f>
        <v>(49,'PRS-OZ1/OZ2','Station de Pompage PRS-OZ1','2006-03-20','2007-11-10',NULL,1,10),</v>
      </c>
    </row>
    <row r="52" spans="1:9" ht="20.149999999999999" customHeight="1" x14ac:dyDescent="0.35">
      <c r="A52" s="42">
        <v>50</v>
      </c>
      <c r="B52" s="51" t="s">
        <v>4916</v>
      </c>
      <c r="C52" s="43" t="s">
        <v>4917</v>
      </c>
      <c r="D52" s="52">
        <v>38796</v>
      </c>
      <c r="E52" s="52">
        <v>39396</v>
      </c>
      <c r="F52" s="50" t="s">
        <v>972</v>
      </c>
      <c r="G52" s="50">
        <v>1</v>
      </c>
      <c r="H52" s="50">
        <v>10</v>
      </c>
      <c r="I52" s="43" t="str">
        <f>CONCATENATE("(",A52,",'",B52,"','",C52,"','",TEXT(D52,"aaaa-mm-jj"),"','",TEXT(E52,"aaaa-mm-jj"),"',",F52,",",G52,",",H52,"),")</f>
        <v>(50,'PRS-OZ2','Station de Régulation PRS-OZ2','2006-03-20','2007-11-10',NULL,1,10),</v>
      </c>
    </row>
    <row r="53" spans="1:9" ht="20.149999999999999" customHeight="1" x14ac:dyDescent="0.35">
      <c r="A53" s="3">
        <v>51</v>
      </c>
      <c r="B53" s="17" t="s">
        <v>4918</v>
      </c>
      <c r="C53" s="4" t="s">
        <v>4919</v>
      </c>
      <c r="D53" s="22">
        <v>37057</v>
      </c>
      <c r="E53" s="22">
        <v>37672</v>
      </c>
      <c r="F53" s="5" t="s">
        <v>972</v>
      </c>
      <c r="G53" s="5">
        <v>1</v>
      </c>
      <c r="H53" s="5">
        <v>10</v>
      </c>
      <c r="I53" s="4" t="str">
        <f>CONCATENATE("(",A53,",'",B53,"','",C53,"','",TEXT(D53,"aaaa-mm-jj"),"','",TEXT(E53,"aaaa-mm-jj"),"',",F53,",",G53,",",H53,"),")</f>
        <v>(51,'SP1-OK1','Station de Pompage SP1-OK1','2001-06-15','2003-02-20',NULL,1,10),</v>
      </c>
    </row>
    <row r="54" spans="1:9" ht="20.149999999999999" customHeight="1" x14ac:dyDescent="0.35">
      <c r="A54" s="3">
        <v>52</v>
      </c>
      <c r="B54" s="17" t="s">
        <v>4920</v>
      </c>
      <c r="C54" s="4" t="s">
        <v>4921</v>
      </c>
      <c r="D54" s="22">
        <v>40278</v>
      </c>
      <c r="E54" s="22">
        <v>40923</v>
      </c>
      <c r="F54" s="5" t="s">
        <v>972</v>
      </c>
      <c r="G54" s="5">
        <v>1</v>
      </c>
      <c r="H54" s="5">
        <v>10</v>
      </c>
      <c r="I54" s="4" t="str">
        <f>CONCATENATE("(",A54,",'",B54,"','",C54,"','",TEXT(D54,"aaaa-mm-jj"),"','",TEXT(E54,"aaaa-mm-jj"),"',",F54,",",G54,",",H54,"),")</f>
        <v>(52,'SP1-OK1-NEW','Station de Pompage SP1-OK1-NEW','2010-04-10','2012-01-15',NULL,1,10),</v>
      </c>
    </row>
    <row r="55" spans="1:9" ht="20.149999999999999" customHeight="1" x14ac:dyDescent="0.35">
      <c r="A55" s="3">
        <v>53</v>
      </c>
      <c r="B55" s="17" t="s">
        <v>4922</v>
      </c>
      <c r="C55" s="4" t="s">
        <v>4923</v>
      </c>
      <c r="D55" s="22">
        <v>37490</v>
      </c>
      <c r="E55" s="22">
        <v>38137</v>
      </c>
      <c r="F55" s="5" t="s">
        <v>972</v>
      </c>
      <c r="G55" s="5">
        <v>1</v>
      </c>
      <c r="H55" s="5">
        <v>10</v>
      </c>
      <c r="I55" s="4" t="str">
        <f>CONCATENATE("(",A55,",'",B55,"','",C55,"','",TEXT(D55,"aaaa-mm-jj"),"','",TEXT(E55,"aaaa-mm-jj"),"',",F55,",",G55,",",H55,"),")</f>
        <v>(53,'SP2-OK1','Station de Pompage SP2-OK1','2002-08-22','2004-05-30',NULL,1,10),</v>
      </c>
    </row>
    <row r="56" spans="1:9" ht="20.149999999999999" customHeight="1" x14ac:dyDescent="0.35">
      <c r="A56" s="3">
        <v>54</v>
      </c>
      <c r="B56" s="17" t="s">
        <v>4924</v>
      </c>
      <c r="C56" s="4" t="s">
        <v>4925</v>
      </c>
      <c r="D56" s="22">
        <v>37930</v>
      </c>
      <c r="E56" s="22">
        <v>38551</v>
      </c>
      <c r="F56" s="5" t="s">
        <v>972</v>
      </c>
      <c r="G56" s="5">
        <v>1</v>
      </c>
      <c r="H56" s="5">
        <v>10</v>
      </c>
      <c r="I56" s="4" t="str">
        <f>CONCATENATE("(",A56,",'",B56,"','",C56,"','",TEXT(D56,"aaaa-mm-jj"),"','",TEXT(E56,"aaaa-mm-jj"),"',",F56,",",G56,",",H56,"),")</f>
        <v>(54,'SP3-OK1','Station de Pompage SP3-OK1','2003-11-05','2005-07-18',NULL,1,10),</v>
      </c>
    </row>
    <row r="57" spans="1:9" ht="20.149999999999999" customHeight="1" x14ac:dyDescent="0.35">
      <c r="A57" s="3">
        <v>55</v>
      </c>
      <c r="B57" s="17" t="s">
        <v>4926</v>
      </c>
      <c r="C57" s="4" t="s">
        <v>4927</v>
      </c>
      <c r="D57" s="22">
        <v>39859</v>
      </c>
      <c r="E57" s="22">
        <v>40479</v>
      </c>
      <c r="F57" s="5" t="s">
        <v>972</v>
      </c>
      <c r="G57" s="5">
        <v>1</v>
      </c>
      <c r="H57" s="5">
        <v>10</v>
      </c>
      <c r="I57" s="4" t="str">
        <f>CONCATENATE("(",A57,",'",B57,"','",C57,"','",TEXT(D57,"aaaa-mm-jj"),"','",TEXT(E57,"aaaa-mm-jj"),"',",F57,",",G57,",",H57,"),")</f>
        <v>(55,'SP3-OK1-BIS','Station de Pompage SP3-OK1-BIS','2009-02-15','2010-10-28',NULL,1,10),</v>
      </c>
    </row>
    <row r="58" spans="1:9" ht="20.149999999999999" customHeight="1" x14ac:dyDescent="0.35">
      <c r="A58" s="3">
        <v>56</v>
      </c>
      <c r="B58" s="17" t="s">
        <v>4928</v>
      </c>
      <c r="C58" s="4" t="s">
        <v>4929</v>
      </c>
      <c r="D58" s="22">
        <v>38125</v>
      </c>
      <c r="E58" s="22">
        <v>38739</v>
      </c>
      <c r="F58" s="5" t="s">
        <v>972</v>
      </c>
      <c r="G58" s="5">
        <v>1</v>
      </c>
      <c r="H58" s="5">
        <v>10</v>
      </c>
      <c r="I58" s="4" t="str">
        <f>CONCATENATE("(",A58,",'",B58,"','",C58,"','",TEXT(D58,"aaaa-mm-jj"),"','",TEXT(E58,"aaaa-mm-jj"),"',",F58,",",G58,",",H58,"),")</f>
        <v>(56,'SP4-OK1','Station de Pompage SP4-OK1','2004-05-18','2006-01-22',NULL,1,10),</v>
      </c>
    </row>
    <row r="59" spans="1:9" ht="20.149999999999999" customHeight="1" x14ac:dyDescent="0.35">
      <c r="A59" s="3">
        <v>57</v>
      </c>
      <c r="B59" s="17" t="s">
        <v>4930</v>
      </c>
      <c r="C59" s="4" t="s">
        <v>4931</v>
      </c>
      <c r="D59" s="22">
        <v>37327</v>
      </c>
      <c r="E59" s="22">
        <v>37950</v>
      </c>
      <c r="F59" s="5" t="s">
        <v>972</v>
      </c>
      <c r="G59" s="5">
        <v>1</v>
      </c>
      <c r="H59" s="5">
        <v>10</v>
      </c>
      <c r="I59" s="4" t="str">
        <f>CONCATENATE("(",A59,",'",B59,"','",C59,"','",TEXT(D59,"aaaa-mm-jj"),"','",TEXT(E59,"aaaa-mm-jj"),"',",F59,",",G59,",",H59,"),")</f>
        <v>(57,'SP1-OB1','Station de Pompage SP1-OB1','2002-03-12','2003-11-25',NULL,1,10),</v>
      </c>
    </row>
    <row r="60" spans="1:9" ht="20.149999999999999" customHeight="1" x14ac:dyDescent="0.35">
      <c r="A60" s="3">
        <v>58</v>
      </c>
      <c r="B60" s="17" t="s">
        <v>4932</v>
      </c>
      <c r="C60" s="4" t="s">
        <v>4933</v>
      </c>
      <c r="D60" s="22">
        <v>39649</v>
      </c>
      <c r="E60" s="22">
        <v>40283</v>
      </c>
      <c r="F60" s="5" t="s">
        <v>972</v>
      </c>
      <c r="G60" s="5">
        <v>1</v>
      </c>
      <c r="H60" s="5">
        <v>10</v>
      </c>
      <c r="I60" s="4" t="str">
        <f>CONCATENATE("(",A60,",'",B60,"','",C60,"','",TEXT(D60,"aaaa-mm-jj"),"','",TEXT(E60,"aaaa-mm-jj"),"',",F60,",",G60,",",H60,"),")</f>
        <v>(58,'SP1-BIS-OB1','Station de Pompage SP1-BIS-OB1','2008-07-20','2010-04-15',NULL,1,10),</v>
      </c>
    </row>
    <row r="61" spans="1:9" ht="20.149999999999999" customHeight="1" x14ac:dyDescent="0.35">
      <c r="A61" s="3">
        <v>59</v>
      </c>
      <c r="B61" s="17" t="s">
        <v>4934</v>
      </c>
      <c r="C61" s="4" t="s">
        <v>4935</v>
      </c>
      <c r="D61" s="22">
        <v>37874</v>
      </c>
      <c r="E61" s="22">
        <v>38521</v>
      </c>
      <c r="F61" s="5" t="s">
        <v>972</v>
      </c>
      <c r="G61" s="5">
        <v>1</v>
      </c>
      <c r="H61" s="5">
        <v>10</v>
      </c>
      <c r="I61" s="4" t="str">
        <f>CONCATENATE("(",A61,",'",B61,"','",C61,"','",TEXT(D61,"aaaa-mm-jj"),"','",TEXT(E61,"aaaa-mm-jj"),"',",F61,",",G61,",",H61,"),")</f>
        <v>(59,'SP2-OB1','Station de Pompage SP2-OB1','2003-09-10','2005-06-18',NULL,1,10),</v>
      </c>
    </row>
    <row r="62" spans="1:9" ht="20.149999999999999" customHeight="1" x14ac:dyDescent="0.35">
      <c r="A62" s="3">
        <v>60</v>
      </c>
      <c r="B62" s="17" t="s">
        <v>4936</v>
      </c>
      <c r="C62" s="4" t="s">
        <v>4937</v>
      </c>
      <c r="D62" s="22">
        <v>38326</v>
      </c>
      <c r="E62" s="22">
        <v>38951</v>
      </c>
      <c r="F62" s="5" t="s">
        <v>972</v>
      </c>
      <c r="G62" s="5">
        <v>1</v>
      </c>
      <c r="H62" s="5">
        <v>10</v>
      </c>
      <c r="I62" s="4" t="str">
        <f>CONCATENATE("(",A62,",'",B62,"','",C62,"','",TEXT(D62,"aaaa-mm-jj"),"','",TEXT(E62,"aaaa-mm-jj"),"',",F62,",",G62,",",H62,"),")</f>
        <v>(60,'SP3-OB1','Station de Pompage SP3-OB1','2004-12-05','2006-08-22',NULL,1,10),</v>
      </c>
    </row>
    <row r="63" spans="1:9" ht="20.149999999999999" customHeight="1" x14ac:dyDescent="0.35">
      <c r="A63" s="3">
        <v>61</v>
      </c>
      <c r="B63" s="17" t="s">
        <v>4938</v>
      </c>
      <c r="C63" s="4" t="s">
        <v>4939</v>
      </c>
      <c r="D63" s="22">
        <v>39190</v>
      </c>
      <c r="E63" s="22">
        <v>39843</v>
      </c>
      <c r="F63" s="5" t="s">
        <v>972</v>
      </c>
      <c r="G63" s="5">
        <v>1</v>
      </c>
      <c r="H63" s="5">
        <v>10</v>
      </c>
      <c r="I63" s="4" t="str">
        <f>CONCATENATE("(",A63,",'",B63,"','",C63,"','",TEXT(D63,"aaaa-mm-jj"),"','",TEXT(E63,"aaaa-mm-jj"),"',",F63,",",G63,",",H63,"),")</f>
        <v>(61,'SP1-BIS-OG1','Station de Pompage SP1-BIS-OG1','2007-04-18','2009-01-30',NULL,1,10),</v>
      </c>
    </row>
    <row r="64" spans="1:9" ht="20.149999999999999" customHeight="1" x14ac:dyDescent="0.35">
      <c r="A64" s="3">
        <v>62</v>
      </c>
      <c r="B64" s="17" t="s">
        <v>4940</v>
      </c>
      <c r="C64" s="4" t="s">
        <v>4941</v>
      </c>
      <c r="D64" s="22">
        <v>38405</v>
      </c>
      <c r="E64" s="22">
        <v>39005</v>
      </c>
      <c r="F64" s="5" t="s">
        <v>972</v>
      </c>
      <c r="G64" s="5">
        <v>1</v>
      </c>
      <c r="H64" s="5">
        <v>10</v>
      </c>
      <c r="I64" s="4" t="str">
        <f>CONCATENATE("(",A64,",'",B64,"','",C64,"','",TEXT(D64,"aaaa-mm-jj"),"','",TEXT(E64,"aaaa-mm-jj"),"',",F64,",",G64,",",H64,"),")</f>
        <v>(62,'SP1-OT1','Station de Pompage SP1-OT1','2005-02-22','2006-10-15',NULL,1,10),</v>
      </c>
    </row>
    <row r="65" spans="1:9" ht="20.149999999999999" customHeight="1" x14ac:dyDescent="0.35">
      <c r="A65" s="3">
        <v>63</v>
      </c>
      <c r="B65" s="17" t="s">
        <v>4942</v>
      </c>
      <c r="C65" s="4" t="s">
        <v>4943</v>
      </c>
      <c r="D65" s="22">
        <v>38405</v>
      </c>
      <c r="E65" s="22">
        <v>39005</v>
      </c>
      <c r="F65" s="5" t="s">
        <v>972</v>
      </c>
      <c r="G65" s="5">
        <v>1</v>
      </c>
      <c r="H65" s="5">
        <v>10</v>
      </c>
      <c r="I65" s="4" t="str">
        <f>CONCATENATE("(",A65,",'",B65,"','",C65,"','",TEXT(D65,"aaaa-mm-jj"),"','",TEXT(E65,"aaaa-mm-jj"),"',",F65,",",G65,",",H65,"),")</f>
        <v>(63,'SP2-OT1','Station de Pompage SP2-OT1','2005-02-22','2006-10-15',NULL,1,10),</v>
      </c>
    </row>
    <row r="66" spans="1:9" ht="20.149999999999999" customHeight="1" x14ac:dyDescent="0.35">
      <c r="A66" s="3">
        <v>64</v>
      </c>
      <c r="B66" s="17" t="s">
        <v>4944</v>
      </c>
      <c r="C66" s="4" t="s">
        <v>4945</v>
      </c>
      <c r="D66" s="22">
        <v>38852</v>
      </c>
      <c r="E66" s="22">
        <v>39467</v>
      </c>
      <c r="F66" s="5" t="s">
        <v>972</v>
      </c>
      <c r="G66" s="5">
        <v>1</v>
      </c>
      <c r="H66" s="5">
        <v>10</v>
      </c>
      <c r="I66" s="4" t="str">
        <f>CONCATENATE("(",A66,",'",B66,"','",C66,"','",TEXT(D66,"aaaa-mm-jj"),"','",TEXT(E66,"aaaa-mm-jj"),"',",F66,",",G66,",",H66,"),")</f>
        <v>(64,'SP1-OH1','Station de Pompage SP1-OH1','2006-05-15','2008-01-20',NULL,1,10),</v>
      </c>
    </row>
    <row r="67" spans="1:9" ht="20.149999999999999" customHeight="1" x14ac:dyDescent="0.35">
      <c r="A67" s="3">
        <v>65</v>
      </c>
      <c r="B67" s="17" t="s">
        <v>4946</v>
      </c>
      <c r="C67" s="4" t="s">
        <v>4947</v>
      </c>
      <c r="D67" s="22">
        <v>38852</v>
      </c>
      <c r="E67" s="22">
        <v>39467</v>
      </c>
      <c r="F67" s="5" t="s">
        <v>972</v>
      </c>
      <c r="G67" s="5">
        <v>1</v>
      </c>
      <c r="H67" s="5">
        <v>10</v>
      </c>
      <c r="I67" s="4" t="str">
        <f>CONCATENATE("(",A67,",'",B67,"','",C67,"','",TEXT(D67,"aaaa-mm-jj"),"','",TEXT(E67,"aaaa-mm-jj"),"',",F67,",",G67,",",H67,"),")</f>
        <v>(65,'SP2-OH1','Station de Pompage SP2-OH1','2006-05-15','2008-01-20',NULL,1,10),</v>
      </c>
    </row>
    <row r="68" spans="1:9" ht="20.149999999999999" customHeight="1" x14ac:dyDescent="0.35">
      <c r="A68" s="3">
        <v>66</v>
      </c>
      <c r="B68" s="17" t="s">
        <v>4948</v>
      </c>
      <c r="C68" s="4" t="s">
        <v>4949</v>
      </c>
      <c r="D68" s="22">
        <v>38852</v>
      </c>
      <c r="E68" s="22">
        <v>39467</v>
      </c>
      <c r="F68" s="5" t="s">
        <v>972</v>
      </c>
      <c r="G68" s="5">
        <v>1</v>
      </c>
      <c r="H68" s="5">
        <v>10</v>
      </c>
      <c r="I68" s="4" t="str">
        <f>CONCATENATE("(",A68,",'",B68,"','",C68,"','",TEXT(D68,"aaaa-mm-jj"),"','",TEXT(E68,"aaaa-mm-jj"),"',",F68,",",G68,",",H68,"),")</f>
        <v>(66,'SP3-OH1','Station de Pompage SP3-OH1','2006-05-15','2008-01-20',NULL,1,10),</v>
      </c>
    </row>
    <row r="69" spans="1:9" ht="20.149999999999999" customHeight="1" x14ac:dyDescent="0.35">
      <c r="A69" s="55">
        <v>66</v>
      </c>
      <c r="B69" s="56" t="s">
        <v>6808</v>
      </c>
      <c r="C69" s="57" t="s">
        <v>6809</v>
      </c>
      <c r="D69" s="58">
        <v>38852</v>
      </c>
      <c r="E69" s="58">
        <v>39467</v>
      </c>
      <c r="F69" s="59" t="s">
        <v>972</v>
      </c>
      <c r="G69" s="59">
        <v>1</v>
      </c>
      <c r="H69" s="59">
        <v>10</v>
      </c>
      <c r="I69" s="57" t="str">
        <f>CONCATENATE("(",A69,",'",B69,"','",C69,"','",TEXT(D69,"aaaa-mm-jj"),"','",TEXT(E69,"aaaa-mm-jj"),"',",F69,",",G69,",",H69,"),")</f>
        <v>(66,'SP4-OH1','Station de Pompage SP4-OH1','2006-05-15','2008-01-20',NULL,1,10),</v>
      </c>
    </row>
    <row r="70" spans="1:9" ht="20.149999999999999" customHeight="1" x14ac:dyDescent="0.35">
      <c r="A70" s="3">
        <v>67</v>
      </c>
      <c r="B70" s="17" t="s">
        <v>4950</v>
      </c>
      <c r="C70" s="4" t="s">
        <v>4951</v>
      </c>
      <c r="D70" s="22">
        <v>39304</v>
      </c>
      <c r="E70" s="22">
        <v>39928</v>
      </c>
      <c r="F70" s="5" t="s">
        <v>972</v>
      </c>
      <c r="G70" s="5">
        <v>1</v>
      </c>
      <c r="H70" s="5">
        <v>10</v>
      </c>
      <c r="I70" s="4" t="str">
        <f>CONCATENATE("(",A70,",'",B70,"','",C70,"','",TEXT(D70,"aaaa-mm-jj"),"','",TEXT(E70,"aaaa-mm-jj"),"',",F70,",",G70,",",H70,"),")</f>
        <v>(67,'SP1-OD1','Station de Pompage SP1-OD1','2007-08-10','2009-04-25',NULL,1,10),</v>
      </c>
    </row>
    <row r="71" spans="1:9" ht="20.149999999999999" customHeight="1" x14ac:dyDescent="0.35">
      <c r="A71" s="3">
        <v>68</v>
      </c>
      <c r="B71" s="17" t="s">
        <v>4952</v>
      </c>
      <c r="C71" s="4" t="s">
        <v>4953</v>
      </c>
      <c r="D71" s="22">
        <v>39767</v>
      </c>
      <c r="E71" s="22">
        <v>40389</v>
      </c>
      <c r="F71" s="5" t="s">
        <v>972</v>
      </c>
      <c r="G71" s="5">
        <v>1</v>
      </c>
      <c r="H71" s="5">
        <v>10</v>
      </c>
      <c r="I71" s="4" t="str">
        <f>CONCATENATE("(",A71,",'",B71,"','",C71,"','",TEXT(D71,"aaaa-mm-jj"),"','",TEXT(E71,"aaaa-mm-jj"),"',",F71,",",G71,",",H71,"),")</f>
        <v>(68,'SP1-OH2','Station de Pompage SP1-OH2','2008-11-15','2010-07-30',NULL,1,10),</v>
      </c>
    </row>
    <row r="72" spans="1:9" ht="20.149999999999999" customHeight="1" x14ac:dyDescent="0.35">
      <c r="A72" s="3">
        <v>69</v>
      </c>
      <c r="B72" s="17" t="s">
        <v>4954</v>
      </c>
      <c r="C72" s="4" t="s">
        <v>4955</v>
      </c>
      <c r="D72" s="22">
        <v>39892</v>
      </c>
      <c r="E72" s="22">
        <v>40558</v>
      </c>
      <c r="F72" s="5" t="s">
        <v>972</v>
      </c>
      <c r="G72" s="5">
        <v>1</v>
      </c>
      <c r="H72" s="5">
        <v>10</v>
      </c>
      <c r="I72" s="4" t="str">
        <f>CONCATENATE("(",A72,",'",B72,"','",C72,"','",TEXT(D72,"aaaa-mm-jj"),"','",TEXT(E72,"aaaa-mm-jj"),"',",F72,",",G72,",",H72,"),")</f>
        <v>(69,'SP1-OH3/OH4','Station de Pompage SP1-OH3/OH4','2009-03-20','2011-01-15',NULL,1,10),</v>
      </c>
    </row>
    <row r="73" spans="1:9" ht="20.149999999999999" customHeight="1" x14ac:dyDescent="0.35">
      <c r="A73" s="3">
        <v>70</v>
      </c>
      <c r="B73" s="17" t="s">
        <v>4956</v>
      </c>
      <c r="C73" s="4" t="s">
        <v>4957</v>
      </c>
      <c r="D73" s="22">
        <v>39892</v>
      </c>
      <c r="E73" s="22">
        <v>40558</v>
      </c>
      <c r="F73" s="5" t="s">
        <v>972</v>
      </c>
      <c r="G73" s="5">
        <v>1</v>
      </c>
      <c r="H73" s="5">
        <v>10</v>
      </c>
      <c r="I73" s="4" t="str">
        <f>CONCATENATE("(",A73,",'",B73,"','",C73,"','",TEXT(D73,"aaaa-mm-jj"),"','",TEXT(E73,"aaaa-mm-jj"),"',",F73,",",G73,",",H73,"),")</f>
        <v>(70,'SP2-OH3/OH4','Station de Pompage SP2-OH3/OH4','2009-03-20','2011-01-15',NULL,1,10),</v>
      </c>
    </row>
    <row r="74" spans="1:9" ht="20.149999999999999" customHeight="1" x14ac:dyDescent="0.35">
      <c r="A74" s="3">
        <v>71</v>
      </c>
      <c r="B74" s="17" t="s">
        <v>4958</v>
      </c>
      <c r="C74" s="4" t="s">
        <v>4959</v>
      </c>
      <c r="D74" s="22">
        <v>40337</v>
      </c>
      <c r="E74" s="22">
        <v>40990</v>
      </c>
      <c r="F74" s="5" t="s">
        <v>972</v>
      </c>
      <c r="G74" s="5">
        <v>1</v>
      </c>
      <c r="H74" s="5">
        <v>10</v>
      </c>
      <c r="I74" s="4" t="str">
        <f>CONCATENATE("(",A74,",'",B74,"','",C74,"','",TEXT(D74,"aaaa-mm-jj"),"','",TEXT(E74,"aaaa-mm-jj"),"',",F74,",",G74,",",H74,"),")</f>
        <v>(71,'SP4-NZ1','Station de Pompage SP4-NZ1','2010-06-08','2012-03-22',NULL,1,10),</v>
      </c>
    </row>
    <row r="75" spans="1:9" ht="20.149999999999999" customHeight="1" x14ac:dyDescent="0.35">
      <c r="A75" s="3">
        <v>72</v>
      </c>
      <c r="B75" s="17" t="s">
        <v>4960</v>
      </c>
      <c r="C75" s="4" t="s">
        <v>4961</v>
      </c>
      <c r="D75" s="22">
        <v>40337</v>
      </c>
      <c r="E75" s="22">
        <v>40990</v>
      </c>
      <c r="F75" s="5" t="s">
        <v>972</v>
      </c>
      <c r="G75" s="5">
        <v>1</v>
      </c>
      <c r="H75" s="5">
        <v>10</v>
      </c>
      <c r="I75" s="4" t="str">
        <f>CONCATENATE("(",A75,",'",B75,"','",C75,"','",TEXT(D75,"aaaa-mm-jj"),"','",TEXT(E75,"aaaa-mm-jj"),"',",F75,",",G75,",",H75,"),")</f>
        <v>(72,'SP5-NZ1','Station de Pompage SP5-NZ1','2010-06-08','2012-03-22',NULL,1,10),</v>
      </c>
    </row>
    <row r="76" spans="1:9" ht="20.149999999999999" customHeight="1" x14ac:dyDescent="0.35">
      <c r="A76" s="3">
        <v>73</v>
      </c>
      <c r="B76" s="17" t="s">
        <v>4962</v>
      </c>
      <c r="C76" s="4" t="s">
        <v>4963</v>
      </c>
      <c r="D76" s="22">
        <v>40337</v>
      </c>
      <c r="E76" s="22">
        <v>40990</v>
      </c>
      <c r="F76" s="5" t="s">
        <v>972</v>
      </c>
      <c r="G76" s="5">
        <v>1</v>
      </c>
      <c r="H76" s="5">
        <v>10</v>
      </c>
      <c r="I76" s="4" t="str">
        <f>CONCATENATE("(",A76,",'",B76,"','",C76,"','",TEXT(D76,"aaaa-mm-jj"),"','",TEXT(E76,"aaaa-mm-jj"),"',",F76,",",G76,",",H76,"),")</f>
        <v>(73,'SP6-NZ1','Station de Pompage SP6-NZ1','2010-06-08','2012-03-22',NULL,1,10),</v>
      </c>
    </row>
    <row r="77" spans="1:9" ht="20.149999999999999" customHeight="1" x14ac:dyDescent="0.35">
      <c r="A77" s="3">
        <v>74</v>
      </c>
      <c r="B77" s="17" t="s">
        <v>4964</v>
      </c>
      <c r="C77" s="4" t="s">
        <v>4965</v>
      </c>
      <c r="D77" s="22">
        <v>40337</v>
      </c>
      <c r="E77" s="22">
        <v>40990</v>
      </c>
      <c r="F77" s="5" t="s">
        <v>972</v>
      </c>
      <c r="G77" s="5">
        <v>1</v>
      </c>
      <c r="H77" s="5">
        <v>10</v>
      </c>
      <c r="I77" s="4" t="str">
        <f>CONCATENATE("(",A77,",'",B77,"','",C77,"','",TEXT(D77,"aaaa-mm-jj"),"','",TEXT(E77,"aaaa-mm-jj"),"',",F77,",",G77,",",H77,"),")</f>
        <v>(74,'PRS-NZ1','Station de Régulation PRS-NZ1','2010-06-08','2012-03-22',NULL,1,10),</v>
      </c>
    </row>
    <row r="78" spans="1:9" ht="20.149999999999999" customHeight="1" x14ac:dyDescent="0.35">
      <c r="A78" s="3">
        <v>75</v>
      </c>
      <c r="B78" s="17" t="s">
        <v>4966</v>
      </c>
      <c r="C78" s="4" t="s">
        <v>4967</v>
      </c>
      <c r="D78" s="22">
        <v>40798</v>
      </c>
      <c r="E78" s="22">
        <v>41443</v>
      </c>
      <c r="F78" s="5" t="s">
        <v>972</v>
      </c>
      <c r="G78" s="5">
        <v>1</v>
      </c>
      <c r="H78" s="5">
        <v>10</v>
      </c>
      <c r="I78" s="4" t="str">
        <f>CONCATENATE("(",A78,",'",B78,"','",C78,"','",TEXT(D78,"aaaa-mm-jj"),"','",TEXT(E78,"aaaa-mm-jj"),"',",F78,",",G78,",",H78,"),")</f>
        <v>(75,'SP1-NK1','Station de Pompage SP1-NK1','2011-09-12','2013-06-18',NULL,1,10),</v>
      </c>
    </row>
    <row r="79" spans="1:9" ht="20.149999999999999" customHeight="1" x14ac:dyDescent="0.35">
      <c r="A79" s="3">
        <v>76</v>
      </c>
      <c r="B79" s="17" t="s">
        <v>4968</v>
      </c>
      <c r="C79" s="4" t="s">
        <v>4969</v>
      </c>
      <c r="D79" s="22">
        <v>40798</v>
      </c>
      <c r="E79" s="22">
        <v>41443</v>
      </c>
      <c r="F79" s="5" t="s">
        <v>972</v>
      </c>
      <c r="G79" s="5">
        <v>1</v>
      </c>
      <c r="H79" s="5">
        <v>10</v>
      </c>
      <c r="I79" s="4" t="str">
        <f>CONCATENATE("(",A79,",'",B79,"','",C79,"','",TEXT(D79,"aaaa-mm-jj"),"','",TEXT(E79,"aaaa-mm-jj"),"',",F79,",",G79,",",H79,"),")</f>
        <v>(76,'SP3-NK1','Station de Pompage SP3-NK1','2011-09-12','2013-06-18',NULL,1,10),</v>
      </c>
    </row>
    <row r="80" spans="1:9" ht="20.149999999999999" customHeight="1" x14ac:dyDescent="0.35">
      <c r="A80" s="3">
        <v>77</v>
      </c>
      <c r="B80" s="17" t="s">
        <v>4970</v>
      </c>
      <c r="C80" s="4" t="s">
        <v>4971</v>
      </c>
      <c r="D80" s="22">
        <v>40954</v>
      </c>
      <c r="E80" s="22">
        <v>41598</v>
      </c>
      <c r="F80" s="5" t="s">
        <v>972</v>
      </c>
      <c r="G80" s="5">
        <v>1</v>
      </c>
      <c r="H80" s="5">
        <v>10</v>
      </c>
      <c r="I80" s="4" t="str">
        <f>CONCATENATE("(",A80,",'",B80,"','",C80,"','",TEXT(D80,"aaaa-mm-jj"),"','",TEXT(E80,"aaaa-mm-jj"),"',",F80,",",G80,",",H80,"),")</f>
        <v>(77,'SP4-LNZ1','Station de Pompage SP4-LNZ1','2012-02-15','2013-11-20',NULL,1,10),</v>
      </c>
    </row>
    <row r="81" spans="1:9" ht="20.149999999999999" customHeight="1" x14ac:dyDescent="0.35">
      <c r="A81" s="3">
        <v>78</v>
      </c>
      <c r="B81" s="17" t="s">
        <v>4972</v>
      </c>
      <c r="C81" s="4" t="s">
        <v>4973</v>
      </c>
      <c r="D81" s="22">
        <v>40954</v>
      </c>
      <c r="E81" s="22">
        <v>41598</v>
      </c>
      <c r="F81" s="5" t="s">
        <v>972</v>
      </c>
      <c r="G81" s="5">
        <v>1</v>
      </c>
      <c r="H81" s="5">
        <v>10</v>
      </c>
      <c r="I81" s="4" t="str">
        <f>CONCATENATE("(",A81,",'",B81,"','",C81,"','",TEXT(D81,"aaaa-mm-jj"),"','",TEXT(E81,"aaaa-mm-jj"),"',",F81,",",G81,",",H81,"),")</f>
        <v>(78,'SP5-LNZ1','Station de Pompage SP5-LNZ1','2012-02-15','2013-11-20',NULL,1,10),</v>
      </c>
    </row>
    <row r="82" spans="1:9" ht="20.149999999999999" customHeight="1" x14ac:dyDescent="0.35">
      <c r="A82" s="3">
        <v>79</v>
      </c>
      <c r="B82" s="17" t="s">
        <v>4974</v>
      </c>
      <c r="C82" s="4" t="s">
        <v>4975</v>
      </c>
      <c r="D82" s="22">
        <v>40954</v>
      </c>
      <c r="E82" s="22">
        <v>41598</v>
      </c>
      <c r="F82" s="5" t="s">
        <v>972</v>
      </c>
      <c r="G82" s="5">
        <v>1</v>
      </c>
      <c r="H82" s="5">
        <v>10</v>
      </c>
      <c r="I82" s="4" t="str">
        <f>CONCATENATE("(",A82,",'",B82,"','",C82,"','",TEXT(D82,"aaaa-mm-jj"),"','",TEXT(E82,"aaaa-mm-jj"),"',",F82,",",G82,",",H82,"),")</f>
        <v>(79,'SP6-LNZ1','Station de Pompage SP6-LNZ1','2012-02-15','2013-11-20',NULL,1,10),</v>
      </c>
    </row>
    <row r="83" spans="1:9" ht="20.149999999999999" customHeight="1" x14ac:dyDescent="0.35">
      <c r="A83" s="3">
        <v>80</v>
      </c>
      <c r="B83" s="17" t="s">
        <v>4976</v>
      </c>
      <c r="C83" s="4" t="s">
        <v>4977</v>
      </c>
      <c r="D83" s="22">
        <v>41374</v>
      </c>
      <c r="E83" s="22">
        <v>42029</v>
      </c>
      <c r="F83" s="5" t="s">
        <v>972</v>
      </c>
      <c r="G83" s="5">
        <v>1</v>
      </c>
      <c r="H83" s="5">
        <v>10</v>
      </c>
      <c r="I83" s="4" t="str">
        <f>CONCATENATE("(",A83,",'",B83,"','",C83,"','",TEXT(D83,"aaaa-mm-jj"),"','",TEXT(E83,"aaaa-mm-jj"),"',",F83,",",G83,",",H83,"),")</f>
        <v>(80,'SP0-LZ1','Station de Pompage SP0-LZ1','2013-04-10','2015-01-25',NULL,1,10),</v>
      </c>
    </row>
    <row r="84" spans="1:9" ht="20.149999999999999" customHeight="1" x14ac:dyDescent="0.35">
      <c r="A84" s="3">
        <v>81</v>
      </c>
      <c r="B84" s="17" t="s">
        <v>4978</v>
      </c>
      <c r="C84" s="4" t="s">
        <v>4979</v>
      </c>
      <c r="D84" s="22">
        <v>41374</v>
      </c>
      <c r="E84" s="22">
        <v>42029</v>
      </c>
      <c r="F84" s="5" t="s">
        <v>972</v>
      </c>
      <c r="G84" s="5">
        <v>1</v>
      </c>
      <c r="H84" s="5">
        <v>10</v>
      </c>
      <c r="I84" s="4" t="str">
        <f>CONCATENATE("(",A84,",'",B84,"','",C84,"','",TEXT(D84,"aaaa-mm-jj"),"','",TEXT(E84,"aaaa-mm-jj"),"',",F84,",",G84,",",H84,"),")</f>
        <v>(81,'SP1-LZ1','Station de Pompage SP1-LZ1','2013-04-10','2015-01-25',NULL,1,10),</v>
      </c>
    </row>
    <row r="85" spans="1:9" ht="20.149999999999999" customHeight="1" x14ac:dyDescent="0.35">
      <c r="A85" s="3">
        <v>82</v>
      </c>
      <c r="B85" s="17" t="s">
        <v>4980</v>
      </c>
      <c r="C85" s="4" t="s">
        <v>4981</v>
      </c>
      <c r="D85" s="22">
        <v>41374</v>
      </c>
      <c r="E85" s="22">
        <v>42029</v>
      </c>
      <c r="F85" s="5" t="s">
        <v>972</v>
      </c>
      <c r="G85" s="5">
        <v>1</v>
      </c>
      <c r="H85" s="5">
        <v>10</v>
      </c>
      <c r="I85" s="4" t="str">
        <f>CONCATENATE("(",A85,",'",B85,"','",C85,"','",TEXT(D85,"aaaa-mm-jj"),"','",TEXT(E85,"aaaa-mm-jj"),"',",F85,",",G85,",",H85,"),")</f>
        <v>(82,'SP1-LZ2','Station de Pompage SP1-LZ2','2013-04-10','2015-01-25',NULL,1,10),</v>
      </c>
    </row>
    <row r="86" spans="1:9" ht="20.149999999999999" customHeight="1" x14ac:dyDescent="0.35">
      <c r="A86" s="3">
        <v>83</v>
      </c>
      <c r="B86" s="17" t="s">
        <v>4982</v>
      </c>
      <c r="C86" s="4" t="s">
        <v>4983</v>
      </c>
      <c r="D86" s="22">
        <v>41374</v>
      </c>
      <c r="E86" s="22">
        <v>42029</v>
      </c>
      <c r="F86" s="5" t="s">
        <v>972</v>
      </c>
      <c r="G86" s="5">
        <v>1</v>
      </c>
      <c r="H86" s="5">
        <v>10</v>
      </c>
      <c r="I86" s="4" t="str">
        <f>CONCATENATE("(",A86,",'",B86,"','",C86,"','",TEXT(D86,"aaaa-mm-jj"),"','",TEXT(E86,"aaaa-mm-jj"),"',",F86,",",G86,",",H86,"),")</f>
        <v>(83,'PRS-LZ1/LZ2','Station de Régulation PRS-LZ1/LZ2','2013-04-10','2015-01-25',NULL,1,10),</v>
      </c>
    </row>
    <row r="87" spans="1:9" ht="20.149999999999999" customHeight="1" x14ac:dyDescent="0.35">
      <c r="A87" s="3">
        <v>84</v>
      </c>
      <c r="B87" s="17" t="s">
        <v>4984</v>
      </c>
      <c r="C87" s="4" t="s">
        <v>4985</v>
      </c>
      <c r="D87" s="22">
        <v>41838</v>
      </c>
      <c r="E87" s="22">
        <v>42490</v>
      </c>
      <c r="F87" s="5" t="s">
        <v>972</v>
      </c>
      <c r="G87" s="5">
        <v>1</v>
      </c>
      <c r="H87" s="5">
        <v>10</v>
      </c>
      <c r="I87" s="4" t="str">
        <f>CONCATENATE("(",A87,",'",B87,"','",C87,"','",TEXT(D87,"aaaa-mm-jj"),"','",TEXT(E87,"aaaa-mm-jj"),"',",F87,",",G87,",",H87,"),")</f>
        <v>(84,'SPRN-LR1','Station de Pompage SPRN-LR1','2014-07-18','2016-04-30',NULL,1,10),</v>
      </c>
    </row>
    <row r="88" spans="1:9" ht="20.149999999999999" customHeight="1" x14ac:dyDescent="0.35">
      <c r="A88" s="3">
        <v>85</v>
      </c>
      <c r="B88" s="17" t="s">
        <v>6072</v>
      </c>
      <c r="C88" s="4" t="s">
        <v>4987</v>
      </c>
      <c r="D88" s="22">
        <v>41838</v>
      </c>
      <c r="E88" s="22">
        <v>42490</v>
      </c>
      <c r="F88" s="5" t="s">
        <v>972</v>
      </c>
      <c r="G88" s="5">
        <v>1</v>
      </c>
      <c r="H88" s="5">
        <v>10</v>
      </c>
      <c r="I88" s="4" t="str">
        <f>CONCATENATE("(",A88,",'",B88,"','",C88,"','",TEXT(D88,"aaaa-mm-jj"),"','",TEXT(E88,"aaaa-mm-jj"),"',",F88,",",G88,",",H88,"),")</f>
        <v>(85,'SP0-LR1','Station de Pompage SP1-LR1','2014-07-18','2016-04-30',NULL,1,10),</v>
      </c>
    </row>
    <row r="89" spans="1:9" ht="20.149999999999999" customHeight="1" x14ac:dyDescent="0.35">
      <c r="A89" s="3">
        <v>86</v>
      </c>
      <c r="B89" s="17" t="s">
        <v>4986</v>
      </c>
      <c r="C89" s="4" t="s">
        <v>4987</v>
      </c>
      <c r="D89" s="22">
        <v>41838</v>
      </c>
      <c r="E89" s="22">
        <v>42490</v>
      </c>
      <c r="F89" s="5" t="s">
        <v>972</v>
      </c>
      <c r="G89" s="5">
        <v>1</v>
      </c>
      <c r="H89" s="5">
        <v>10</v>
      </c>
      <c r="I89" s="4" t="str">
        <f>CONCATENATE("(",A89,",'",B89,"','",C89,"','",TEXT(D89,"aaaa-mm-jj"),"','",TEXT(E89,"aaaa-mm-jj"),"',",F89,",",G89,",",H89,"),")</f>
        <v>(86,'SP1-LR1','Station de Pompage SP1-LR1','2014-07-18','2016-04-30',NULL,1,10),</v>
      </c>
    </row>
    <row r="90" spans="1:9" ht="20.149999999999999" customHeight="1" x14ac:dyDescent="0.35">
      <c r="A90" s="3">
        <v>87</v>
      </c>
      <c r="B90" s="17" t="s">
        <v>4988</v>
      </c>
      <c r="C90" s="4" t="s">
        <v>4989</v>
      </c>
      <c r="D90" s="22">
        <v>41838</v>
      </c>
      <c r="E90" s="22">
        <v>42490</v>
      </c>
      <c r="F90" s="5" t="s">
        <v>972</v>
      </c>
      <c r="G90" s="5">
        <v>1</v>
      </c>
      <c r="H90" s="5">
        <v>10</v>
      </c>
      <c r="I90" s="4" t="str">
        <f>CONCATENATE("(",A90,",'",B90,"','",C90,"','",TEXT(D90,"aaaa-mm-jj"),"','",TEXT(E90,"aaaa-mm-jj"),"',",F90,",",G90,",",H90,"),")</f>
        <v>(87,'SP2-LR1','Station de Pompage SP2-LR1','2014-07-18','2016-04-30',NULL,1,10),</v>
      </c>
    </row>
    <row r="91" spans="1:9" ht="20.149999999999999" customHeight="1" x14ac:dyDescent="0.35">
      <c r="A91" s="3">
        <v>88</v>
      </c>
      <c r="B91" s="17" t="s">
        <v>4990</v>
      </c>
      <c r="C91" s="4" t="s">
        <v>4991</v>
      </c>
      <c r="D91" s="22">
        <v>42299</v>
      </c>
      <c r="E91" s="22">
        <v>42962</v>
      </c>
      <c r="F91" s="5" t="s">
        <v>972</v>
      </c>
      <c r="G91" s="5">
        <v>1</v>
      </c>
      <c r="H91" s="5">
        <v>10</v>
      </c>
      <c r="I91" s="4" t="str">
        <f>CONCATENATE("(",A91,",'",B91,"','",C91,"','",TEXT(D91,"aaaa-mm-jj"),"','",TEXT(E91,"aaaa-mm-jj"),"',",F91,",",G91,",",H91,"),")</f>
        <v>(88,'SP1-LNZ1','Station de Pompage SP1-LNZ1','2015-10-22','2017-08-15',NULL,1,10),</v>
      </c>
    </row>
    <row r="92" spans="1:9" ht="20.149999999999999" customHeight="1" x14ac:dyDescent="0.35">
      <c r="A92" s="3">
        <v>89</v>
      </c>
      <c r="B92" s="17" t="s">
        <v>4992</v>
      </c>
      <c r="C92" s="4" t="s">
        <v>4993</v>
      </c>
      <c r="D92" s="22">
        <v>42299</v>
      </c>
      <c r="E92" s="22">
        <v>42962</v>
      </c>
      <c r="F92" s="5" t="s">
        <v>972</v>
      </c>
      <c r="G92" s="5">
        <v>1</v>
      </c>
      <c r="H92" s="5">
        <v>10</v>
      </c>
      <c r="I92" s="4" t="str">
        <f>CONCATENATE("(",A92,",'",B92,"','",C92,"','",TEXT(D92,"aaaa-mm-jj"),"','",TEXT(E92,"aaaa-mm-jj"),"',",F92,",",G92,",",H92,"),")</f>
        <v>(89,'SP3-LNZ1','Station de Pompage SP3-LNZ1','2015-10-22','2017-08-15',NULL,1,10),</v>
      </c>
    </row>
    <row r="93" spans="1:9" ht="20.149999999999999" customHeight="1" x14ac:dyDescent="0.35">
      <c r="A93" s="3">
        <v>90</v>
      </c>
      <c r="B93" s="17" t="s">
        <v>4994</v>
      </c>
      <c r="C93" s="4" t="s">
        <v>4995</v>
      </c>
      <c r="D93" s="22">
        <v>36566</v>
      </c>
      <c r="E93" s="22">
        <v>37271</v>
      </c>
      <c r="F93" s="5" t="s">
        <v>972</v>
      </c>
      <c r="G93" s="5">
        <v>1</v>
      </c>
      <c r="H93" s="5">
        <v>10</v>
      </c>
      <c r="I93" s="4" t="str">
        <f>CONCATENATE("(",A93,",'",B93,"','",C93,"','",TEXT(D93,"aaaa-mm-jj"),"','",TEXT(E93,"aaaa-mm-jj"),"',",F93,",",G93,",",H93,"),")</f>
        <v>(90,'SC1-GZ0','Station de Compression SC1-GZ0','2000-02-10','2002-01-15',NULL,1,10),</v>
      </c>
    </row>
    <row r="94" spans="1:9" ht="20.149999999999999" customHeight="1" x14ac:dyDescent="0.35">
      <c r="A94" s="3">
        <v>91</v>
      </c>
      <c r="B94" s="17" t="s">
        <v>4996</v>
      </c>
      <c r="C94" s="4" t="s">
        <v>4997</v>
      </c>
      <c r="D94" s="22">
        <v>36566</v>
      </c>
      <c r="E94" s="22">
        <v>37271</v>
      </c>
      <c r="F94" s="5" t="s">
        <v>972</v>
      </c>
      <c r="G94" s="5">
        <v>1</v>
      </c>
      <c r="H94" s="5">
        <v>10</v>
      </c>
      <c r="I94" s="4" t="str">
        <f>CONCATENATE("(",A94,",'",B94,"','",C94,"','",TEXT(D94,"aaaa-mm-jj"),"','",TEXT(E94,"aaaa-mm-jj"),"',",F94,",",G94,",",H94,"),")</f>
        <v>(91,'SC2-GZ0','Station de Compression SC2-GZ0','2000-02-10','2002-01-15',NULL,1,10),</v>
      </c>
    </row>
    <row r="95" spans="1:9" ht="20.149999999999999" customHeight="1" x14ac:dyDescent="0.35">
      <c r="A95" s="3">
        <v>92</v>
      </c>
      <c r="B95" s="17" t="s">
        <v>4998</v>
      </c>
      <c r="C95" s="4" t="s">
        <v>4999</v>
      </c>
      <c r="D95" s="22">
        <v>36566</v>
      </c>
      <c r="E95" s="22">
        <v>37271</v>
      </c>
      <c r="F95" s="5" t="s">
        <v>972</v>
      </c>
      <c r="G95" s="5">
        <v>1</v>
      </c>
      <c r="H95" s="5">
        <v>10</v>
      </c>
      <c r="I95" s="4" t="str">
        <f>CONCATENATE("(",A95,",'",B95,"','",C95,"','",TEXT(D95,"aaaa-mm-jj"),"','",TEXT(E95,"aaaa-mm-jj"),"',",F95,",",G95,",",H95,"),")</f>
        <v>(92,'SC3-GZ0','Station de Compression SC3-GZ0','2000-02-10','2002-01-15',NULL,1,10),</v>
      </c>
    </row>
    <row r="96" spans="1:9" ht="20.149999999999999" customHeight="1" x14ac:dyDescent="0.35">
      <c r="A96" s="3">
        <v>93</v>
      </c>
      <c r="B96" s="17" t="s">
        <v>5000</v>
      </c>
      <c r="C96" s="4" t="s">
        <v>5001</v>
      </c>
      <c r="D96" s="22">
        <v>36566</v>
      </c>
      <c r="E96" s="22">
        <v>37271</v>
      </c>
      <c r="F96" s="5" t="s">
        <v>972</v>
      </c>
      <c r="G96" s="5">
        <v>1</v>
      </c>
      <c r="H96" s="5">
        <v>10</v>
      </c>
      <c r="I96" s="4" t="str">
        <f>CONCATENATE("(",A96,",'",B96,"','",C96,"','",TEXT(D96,"aaaa-mm-jj"),"','",TEXT(E96,"aaaa-mm-jj"),"',",F96,",",G96,",",H96,"),")</f>
        <v>(93,'SC4-GZ0','Station de Compression SC4-GZ0','2000-02-10','2002-01-15',NULL,1,10),</v>
      </c>
    </row>
    <row r="97" spans="1:9" ht="20.149999999999999" customHeight="1" x14ac:dyDescent="0.35">
      <c r="A97" s="3">
        <v>94</v>
      </c>
      <c r="B97" s="17" t="s">
        <v>5002</v>
      </c>
      <c r="C97" s="4" t="s">
        <v>5003</v>
      </c>
      <c r="D97" s="22">
        <v>37756</v>
      </c>
      <c r="E97" s="22">
        <v>38462</v>
      </c>
      <c r="F97" s="5" t="s">
        <v>972</v>
      </c>
      <c r="G97" s="5">
        <v>1</v>
      </c>
      <c r="H97" s="5">
        <v>10</v>
      </c>
      <c r="I97" s="4" t="str">
        <f>CONCATENATE("(",A97,",'",B97,"','",C97,"','",TEXT(D97,"aaaa-mm-jj"),"','",TEXT(E97,"aaaa-mm-jj"),"',",F97,",",G97,",",H97,"),")</f>
        <v>(94,'SC1-GZ1','Station de Compression SC1-GZ1','2003-05-15','2005-04-20',NULL,1,10),</v>
      </c>
    </row>
    <row r="98" spans="1:9" ht="20.149999999999999" customHeight="1" x14ac:dyDescent="0.35">
      <c r="A98" s="3">
        <v>95</v>
      </c>
      <c r="B98" s="17" t="s">
        <v>5004</v>
      </c>
      <c r="C98" s="4" t="s">
        <v>5005</v>
      </c>
      <c r="D98" s="22">
        <v>37756</v>
      </c>
      <c r="E98" s="22">
        <v>38462</v>
      </c>
      <c r="F98" s="5" t="s">
        <v>972</v>
      </c>
      <c r="G98" s="5">
        <v>1</v>
      </c>
      <c r="H98" s="5">
        <v>10</v>
      </c>
      <c r="I98" s="4" t="str">
        <f>CONCATENATE("(",A98,",'",B98,"','",C98,"','",TEXT(D98,"aaaa-mm-jj"),"','",TEXT(E98,"aaaa-mm-jj"),"',",F98,",",G98,",",H98,"),")</f>
        <v>(95,'SC1-GZ2','Station de Compression SC1-GZ2','2003-05-15','2005-04-20',NULL,1,10),</v>
      </c>
    </row>
    <row r="99" spans="1:9" ht="20.149999999999999" customHeight="1" x14ac:dyDescent="0.35">
      <c r="A99" s="3">
        <v>96</v>
      </c>
      <c r="B99" s="17" t="s">
        <v>5006</v>
      </c>
      <c r="C99" s="4" t="s">
        <v>5007</v>
      </c>
      <c r="D99" s="22">
        <v>37756</v>
      </c>
      <c r="E99" s="22">
        <v>38462</v>
      </c>
      <c r="F99" s="5" t="s">
        <v>972</v>
      </c>
      <c r="G99" s="5">
        <v>1</v>
      </c>
      <c r="H99" s="5">
        <v>10</v>
      </c>
      <c r="I99" s="4" t="str">
        <f>CONCATENATE("(",A99,",'",B99,"','",C99,"','",TEXT(D99,"aaaa-mm-jj"),"','",TEXT(E99,"aaaa-mm-jj"),"',",F99,",",G99,",",H99,"),")</f>
        <v>(96,'SC1-GZ3','Station de Compression SC1-GZ3','2003-05-15','2005-04-20',NULL,1,10),</v>
      </c>
    </row>
    <row r="100" spans="1:9" ht="20.149999999999999" customHeight="1" x14ac:dyDescent="0.35">
      <c r="A100" s="3">
        <v>97</v>
      </c>
      <c r="B100" s="17" t="s">
        <v>5008</v>
      </c>
      <c r="C100" s="4" t="s">
        <v>5009</v>
      </c>
      <c r="D100" s="22">
        <v>38219</v>
      </c>
      <c r="E100" s="22">
        <v>38923</v>
      </c>
      <c r="F100" s="5" t="s">
        <v>972</v>
      </c>
      <c r="G100" s="5">
        <v>1</v>
      </c>
      <c r="H100" s="5">
        <v>10</v>
      </c>
      <c r="I100" s="4" t="str">
        <f>CONCATENATE("(",A100,",'",B100,"','",C100,"','",TEXT(D100,"aaaa-mm-jj"),"','",TEXT(E100,"aaaa-mm-jj"),"',",F100,",",G100,",",H100,"),")</f>
        <v>(97,'SC2-GZ1','Station de Compression SC2-GZ1','2004-08-20','2006-07-25',NULL,1,10),</v>
      </c>
    </row>
    <row r="101" spans="1:9" ht="20.149999999999999" customHeight="1" x14ac:dyDescent="0.35">
      <c r="A101" s="3">
        <v>98</v>
      </c>
      <c r="B101" s="17" t="s">
        <v>5010</v>
      </c>
      <c r="C101" s="4" t="s">
        <v>5011</v>
      </c>
      <c r="D101" s="22">
        <v>38219</v>
      </c>
      <c r="E101" s="22">
        <v>38923</v>
      </c>
      <c r="F101" s="5" t="s">
        <v>972</v>
      </c>
      <c r="G101" s="5">
        <v>1</v>
      </c>
      <c r="H101" s="5">
        <v>10</v>
      </c>
      <c r="I101" s="4" t="str">
        <f>CONCATENATE("(",A101,",'",B101,"','",C101,"','",TEXT(D101,"aaaa-mm-jj"),"','",TEXT(E101,"aaaa-mm-jj"),"',",F101,",",G101,",",H101,"),")</f>
        <v>(98,'SC2-GZ2','Station de Compression SC2-GZ2','2004-08-20','2006-07-25',NULL,1,10),</v>
      </c>
    </row>
    <row r="102" spans="1:9" ht="20.149999999999999" customHeight="1" x14ac:dyDescent="0.35">
      <c r="A102" s="3">
        <v>99</v>
      </c>
      <c r="B102" s="17" t="s">
        <v>5012</v>
      </c>
      <c r="C102" s="4" t="s">
        <v>5013</v>
      </c>
      <c r="D102" s="22">
        <v>38219</v>
      </c>
      <c r="E102" s="22">
        <v>38923</v>
      </c>
      <c r="F102" s="5" t="s">
        <v>972</v>
      </c>
      <c r="G102" s="5">
        <v>1</v>
      </c>
      <c r="H102" s="5">
        <v>10</v>
      </c>
      <c r="I102" s="4" t="str">
        <f>CONCATENATE("(",A102,",'",B102,"','",C102,"','",TEXT(D102,"aaaa-mm-jj"),"','",TEXT(E102,"aaaa-mm-jj"),"',",F102,",",G102,",",H102,"),")</f>
        <v>(99,'SC2-GZ3','Station de Compression SC2-GZ3','2004-08-20','2006-07-25',NULL,1,10),</v>
      </c>
    </row>
    <row r="103" spans="1:9" ht="20.149999999999999" customHeight="1" x14ac:dyDescent="0.35">
      <c r="A103" s="3">
        <v>100</v>
      </c>
      <c r="B103" s="17" t="s">
        <v>5014</v>
      </c>
      <c r="C103" s="4" t="s">
        <v>5015</v>
      </c>
      <c r="D103" s="22">
        <v>38666</v>
      </c>
      <c r="E103" s="22">
        <v>39370</v>
      </c>
      <c r="F103" s="5" t="s">
        <v>972</v>
      </c>
      <c r="G103" s="5">
        <v>1</v>
      </c>
      <c r="H103" s="5">
        <v>10</v>
      </c>
      <c r="I103" s="4" t="str">
        <f>CONCATENATE("(",A103,",'",B103,"','",C103,"','",TEXT(D103,"aaaa-mm-jj"),"','",TEXT(E103,"aaaa-mm-jj"),"',",F103,",",G103,",",H103,"),")</f>
        <v>(100,'SC3-GZ1','Station de Compression SC3-GZ1','2005-11-10','2007-10-15',NULL,1,10),</v>
      </c>
    </row>
    <row r="104" spans="1:9" ht="20.149999999999999" customHeight="1" x14ac:dyDescent="0.35">
      <c r="A104" s="3">
        <v>101</v>
      </c>
      <c r="B104" s="17" t="s">
        <v>5016</v>
      </c>
      <c r="C104" s="4" t="s">
        <v>5017</v>
      </c>
      <c r="D104" s="22">
        <v>38666</v>
      </c>
      <c r="E104" s="22">
        <v>39370</v>
      </c>
      <c r="F104" s="5" t="s">
        <v>972</v>
      </c>
      <c r="G104" s="5">
        <v>1</v>
      </c>
      <c r="H104" s="5">
        <v>10</v>
      </c>
      <c r="I104" s="4" t="str">
        <f>CONCATENATE("(",A104,",'",B104,"','",C104,"','",TEXT(D104,"aaaa-mm-jj"),"','",TEXT(E104,"aaaa-mm-jj"),"',",F104,",",G104,",",H104,"),")</f>
        <v>(101,'SC3-GZ2','Station de Compression SC3-GZ2','2005-11-10','2007-10-15',NULL,1,10),</v>
      </c>
    </row>
    <row r="105" spans="1:9" ht="20.149999999999999" customHeight="1" x14ac:dyDescent="0.35">
      <c r="A105" s="3">
        <v>102</v>
      </c>
      <c r="B105" s="17" t="s">
        <v>5018</v>
      </c>
      <c r="C105" s="4" t="s">
        <v>5019</v>
      </c>
      <c r="D105" s="22">
        <v>38666</v>
      </c>
      <c r="E105" s="22">
        <v>39370</v>
      </c>
      <c r="F105" s="5" t="s">
        <v>972</v>
      </c>
      <c r="G105" s="5">
        <v>1</v>
      </c>
      <c r="H105" s="5">
        <v>10</v>
      </c>
      <c r="I105" s="4" t="str">
        <f>CONCATENATE("(",A105,",'",B105,"','",C105,"','",TEXT(D105,"aaaa-mm-jj"),"','",TEXT(E105,"aaaa-mm-jj"),"',",F105,",",G105,",",H105,"),")</f>
        <v>(102,'SC3-GZ3','Station de Compression SC3-GZ3','2005-11-10','2007-10-15',NULL,1,10),</v>
      </c>
    </row>
    <row r="106" spans="1:9" ht="20.149999999999999" customHeight="1" x14ac:dyDescent="0.35">
      <c r="A106" s="3">
        <v>103</v>
      </c>
      <c r="B106" s="17" t="s">
        <v>5020</v>
      </c>
      <c r="C106" s="4" t="s">
        <v>5021</v>
      </c>
      <c r="D106" s="22">
        <v>38791</v>
      </c>
      <c r="E106" s="22">
        <v>39498</v>
      </c>
      <c r="F106" s="5" t="s">
        <v>972</v>
      </c>
      <c r="G106" s="5">
        <v>1</v>
      </c>
      <c r="H106" s="5">
        <v>10</v>
      </c>
      <c r="I106" s="4" t="str">
        <f>CONCATENATE("(",A106,",'",B106,"','",C106,"','",TEXT(D106,"aaaa-mm-jj"),"','",TEXT(E106,"aaaa-mm-jj"),"',",F106,",",G106,",",H106,"),")</f>
        <v>(103,'SC4-GZ1','Station de Compression SC4-GZ1','2006-03-15','2008-02-20',NULL,1,10),</v>
      </c>
    </row>
    <row r="107" spans="1:9" ht="20.149999999999999" customHeight="1" x14ac:dyDescent="0.35">
      <c r="A107" s="3">
        <v>104</v>
      </c>
      <c r="B107" s="17" t="s">
        <v>5022</v>
      </c>
      <c r="C107" s="4" t="s">
        <v>5023</v>
      </c>
      <c r="D107" s="22">
        <v>38791</v>
      </c>
      <c r="E107" s="22">
        <v>39498</v>
      </c>
      <c r="F107" s="5" t="s">
        <v>972</v>
      </c>
      <c r="G107" s="5">
        <v>1</v>
      </c>
      <c r="H107" s="5">
        <v>10</v>
      </c>
      <c r="I107" s="4" t="str">
        <f>CONCATENATE("(",A107,",'",B107,"','",C107,"','",TEXT(D107,"aaaa-mm-jj"),"','",TEXT(E107,"aaaa-mm-jj"),"',",F107,",",G107,",",H107,"),")</f>
        <v>(104,'SC4-GZ2','Station de Compression SC4-GZ2','2006-03-15','2008-02-20',NULL,1,10),</v>
      </c>
    </row>
    <row r="108" spans="1:9" ht="20.149999999999999" customHeight="1" x14ac:dyDescent="0.35">
      <c r="A108" s="3">
        <v>105</v>
      </c>
      <c r="B108" s="17" t="s">
        <v>5024</v>
      </c>
      <c r="C108" s="4" t="s">
        <v>5025</v>
      </c>
      <c r="D108" s="22">
        <v>38791</v>
      </c>
      <c r="E108" s="22">
        <v>39498</v>
      </c>
      <c r="F108" s="5" t="s">
        <v>972</v>
      </c>
      <c r="G108" s="5">
        <v>1</v>
      </c>
      <c r="H108" s="5">
        <v>10</v>
      </c>
      <c r="I108" s="4" t="str">
        <f>CONCATENATE("(",A108,",'",B108,"','",C108,"','",TEXT(D108,"aaaa-mm-jj"),"','",TEXT(E108,"aaaa-mm-jj"),"',",F108,",",G108,",",H108,"),")</f>
        <v>(105,'SC4-GZ3','Station de Compression SC4-GZ3','2006-03-15','2008-02-20',NULL,1,10),</v>
      </c>
    </row>
    <row r="109" spans="1:9" ht="20.149999999999999" customHeight="1" x14ac:dyDescent="0.35">
      <c r="A109" s="3">
        <v>106</v>
      </c>
      <c r="B109" s="17" t="s">
        <v>5026</v>
      </c>
      <c r="C109" s="4" t="s">
        <v>5027</v>
      </c>
      <c r="D109" s="22">
        <v>39253</v>
      </c>
      <c r="E109" s="22">
        <v>39958</v>
      </c>
      <c r="F109" s="5" t="s">
        <v>972</v>
      </c>
      <c r="G109" s="5">
        <v>1</v>
      </c>
      <c r="H109" s="5">
        <v>10</v>
      </c>
      <c r="I109" s="4" t="str">
        <f>CONCATENATE("(",A109,",'",B109,"','",C109,"','",TEXT(D109,"aaaa-mm-jj"),"','",TEXT(E109,"aaaa-mm-jj"),"',",F109,",",G109,",",H109,"),")</f>
        <v>(106,'SC5-GZ1','Station de Compression SC5-GZ1','2007-06-20','2009-05-25',NULL,1,10),</v>
      </c>
    </row>
    <row r="110" spans="1:9" ht="20.149999999999999" customHeight="1" x14ac:dyDescent="0.35">
      <c r="A110" s="3">
        <v>107</v>
      </c>
      <c r="B110" s="17" t="s">
        <v>5028</v>
      </c>
      <c r="C110" s="4" t="s">
        <v>5029</v>
      </c>
      <c r="D110" s="22">
        <v>39253</v>
      </c>
      <c r="E110" s="22">
        <v>39958</v>
      </c>
      <c r="F110" s="5" t="s">
        <v>972</v>
      </c>
      <c r="G110" s="5">
        <v>1</v>
      </c>
      <c r="H110" s="5">
        <v>10</v>
      </c>
      <c r="I110" s="4" t="str">
        <f>CONCATENATE("(",A110,",'",B110,"','",C110,"','",TEXT(D110,"aaaa-mm-jj"),"','",TEXT(E110,"aaaa-mm-jj"),"',",F110,",",G110,",",H110,"),")</f>
        <v>(107,'SC5-GZ2','Station de Compression SC5-GZ2','2007-06-20','2009-05-25',NULL,1,10),</v>
      </c>
    </row>
    <row r="111" spans="1:9" ht="20.149999999999999" customHeight="1" x14ac:dyDescent="0.35">
      <c r="A111" s="3">
        <v>108</v>
      </c>
      <c r="B111" s="17" t="s">
        <v>5030</v>
      </c>
      <c r="C111" s="4" t="s">
        <v>5031</v>
      </c>
      <c r="D111" s="22">
        <v>39253</v>
      </c>
      <c r="E111" s="22">
        <v>39958</v>
      </c>
      <c r="F111" s="5" t="s">
        <v>972</v>
      </c>
      <c r="G111" s="5">
        <v>1</v>
      </c>
      <c r="H111" s="5">
        <v>10</v>
      </c>
      <c r="I111" s="4" t="str">
        <f>CONCATENATE("(",A111,",'",B111,"','",C111,"','",TEXT(D111,"aaaa-mm-jj"),"','",TEXT(E111,"aaaa-mm-jj"),"',",F111,",",G111,",",H111,"),")</f>
        <v>(108,'SC5-GZ3','Station de Compression SC5-GZ3','2007-06-20','2009-05-25',NULL,1,10),</v>
      </c>
    </row>
    <row r="112" spans="1:9" ht="20.149999999999999" customHeight="1" x14ac:dyDescent="0.35">
      <c r="A112" s="3">
        <v>109</v>
      </c>
      <c r="B112" s="17" t="s">
        <v>5032</v>
      </c>
      <c r="C112" s="4" t="s">
        <v>5033</v>
      </c>
      <c r="D112" s="22">
        <v>39703</v>
      </c>
      <c r="E112" s="22">
        <v>40408</v>
      </c>
      <c r="F112" s="5" t="s">
        <v>972</v>
      </c>
      <c r="G112" s="5">
        <v>1</v>
      </c>
      <c r="H112" s="5">
        <v>10</v>
      </c>
      <c r="I112" s="4" t="str">
        <f>CONCATENATE("(",A112,",'",B112,"','",C112,"','",TEXT(D112,"aaaa-mm-jj"),"','",TEXT(E112,"aaaa-mm-jj"),"',",F112,",",G112,",",H112,"),")</f>
        <v>(109,'SC3-GPDF','Station de Compression SC3-GPDF','2008-09-12','2010-08-18',NULL,1,10),</v>
      </c>
    </row>
    <row r="113" spans="1:9" ht="20.149999999999999" customHeight="1" x14ac:dyDescent="0.35">
      <c r="A113" s="3">
        <v>110</v>
      </c>
      <c r="B113" s="17" t="s">
        <v>5034</v>
      </c>
      <c r="C113" s="4" t="s">
        <v>5035</v>
      </c>
      <c r="D113" s="22">
        <v>40152</v>
      </c>
      <c r="E113" s="22">
        <v>40857</v>
      </c>
      <c r="F113" s="5" t="s">
        <v>972</v>
      </c>
      <c r="G113" s="5">
        <v>1</v>
      </c>
      <c r="H113" s="5">
        <v>10</v>
      </c>
      <c r="I113" s="4" t="str">
        <f>CONCATENATE("(",A113,",'",B113,"','",C113,"','",TEXT(D113,"aaaa-mm-jj"),"','",TEXT(E113,"aaaa-mm-jj"),"',",F113,",",G113,",",H113,"),")</f>
        <v>(110,'SC1-GK1','Station de Compression SC1-GK1','2009-12-05','2011-11-10',NULL,1,10),</v>
      </c>
    </row>
    <row r="114" spans="1:9" ht="20.149999999999999" customHeight="1" x14ac:dyDescent="0.35">
      <c r="A114" s="3">
        <v>111</v>
      </c>
      <c r="B114" s="17" t="s">
        <v>5036</v>
      </c>
      <c r="C114" s="4" t="s">
        <v>5037</v>
      </c>
      <c r="D114" s="22">
        <v>40152</v>
      </c>
      <c r="E114" s="22">
        <v>40857</v>
      </c>
      <c r="F114" s="5" t="s">
        <v>972</v>
      </c>
      <c r="G114" s="5">
        <v>1</v>
      </c>
      <c r="H114" s="5">
        <v>10</v>
      </c>
      <c r="I114" s="4" t="str">
        <f>CONCATENATE("(",A114,",'",B114,"','",C114,"','",TEXT(D114,"aaaa-mm-jj"),"','",TEXT(E114,"aaaa-mm-jj"),"',",F114,",",G114,",",H114,"),")</f>
        <v>(111,'SC2-GK1','Station de Compression SC2-GK1','2009-12-05','2011-11-10',NULL,1,10),</v>
      </c>
    </row>
    <row r="115" spans="1:9" ht="20.149999999999999" customHeight="1" x14ac:dyDescent="0.35">
      <c r="A115" s="3">
        <v>112</v>
      </c>
      <c r="B115" s="17" t="s">
        <v>5038</v>
      </c>
      <c r="C115" s="4" t="s">
        <v>5039</v>
      </c>
      <c r="D115" s="22">
        <v>40152</v>
      </c>
      <c r="E115" s="22">
        <v>40857</v>
      </c>
      <c r="F115" s="5" t="s">
        <v>972</v>
      </c>
      <c r="G115" s="5">
        <v>1</v>
      </c>
      <c r="H115" s="5">
        <v>10</v>
      </c>
      <c r="I115" s="4" t="str">
        <f>CONCATENATE("(",A115,",'",B115,"','",C115,"','",TEXT(D115,"aaaa-mm-jj"),"','",TEXT(E115,"aaaa-mm-jj"),"',",F115,",",G115,",",H115,"),")</f>
        <v>(112,'SC3-GK1','Station de Compression SC3-GK1','2009-12-05','2011-11-10',NULL,1,10),</v>
      </c>
    </row>
    <row r="116" spans="1:9" ht="20.149999999999999" customHeight="1" x14ac:dyDescent="0.35">
      <c r="A116" s="3">
        <v>113</v>
      </c>
      <c r="B116" s="17" t="s">
        <v>5040</v>
      </c>
      <c r="C116" s="4" t="s">
        <v>5041</v>
      </c>
      <c r="D116" s="22">
        <v>40152</v>
      </c>
      <c r="E116" s="22">
        <v>40857</v>
      </c>
      <c r="F116" s="5" t="s">
        <v>972</v>
      </c>
      <c r="G116" s="5">
        <v>1</v>
      </c>
      <c r="H116" s="5">
        <v>10</v>
      </c>
      <c r="I116" s="4" t="str">
        <f>CONCATENATE("(",A116,",'",B116,"','",C116,"','",TEXT(D116,"aaaa-mm-jj"),"','",TEXT(E116,"aaaa-mm-jj"),"',",F116,",",G116,",",H116,"),")</f>
        <v>(113,'SC4-GK1','Station de Compression SC4-GK1','2009-12-05','2011-11-10',NULL,1,10),</v>
      </c>
    </row>
    <row r="117" spans="1:9" ht="20.149999999999999" customHeight="1" x14ac:dyDescent="0.35">
      <c r="A117" s="3">
        <v>114</v>
      </c>
      <c r="B117" s="17" t="s">
        <v>5042</v>
      </c>
      <c r="C117" s="4" t="s">
        <v>5043</v>
      </c>
      <c r="D117" s="22">
        <v>40152</v>
      </c>
      <c r="E117" s="22">
        <v>40857</v>
      </c>
      <c r="F117" s="5" t="s">
        <v>972</v>
      </c>
      <c r="G117" s="5">
        <v>1</v>
      </c>
      <c r="H117" s="5">
        <v>10</v>
      </c>
      <c r="I117" s="4" t="str">
        <f>CONCATENATE("(",A117,",'",B117,"','",C117,"','",TEXT(D117,"aaaa-mm-jj"),"','",TEXT(E117,"aaaa-mm-jj"),"',",F117,",",G117,",",H117,"),")</f>
        <v>(114,'SC5-GK1','Station de Compression SC5-GK1','2009-12-05','2011-11-10',NULL,1,10),</v>
      </c>
    </row>
    <row r="118" spans="1:9" ht="20.149999999999999" customHeight="1" x14ac:dyDescent="0.35">
      <c r="A118" s="3">
        <v>115</v>
      </c>
      <c r="B118" s="17" t="s">
        <v>5044</v>
      </c>
      <c r="C118" s="4" t="s">
        <v>5045</v>
      </c>
      <c r="D118" s="22">
        <v>40283</v>
      </c>
      <c r="E118" s="22">
        <v>40988</v>
      </c>
      <c r="F118" s="5" t="s">
        <v>972</v>
      </c>
      <c r="G118" s="5">
        <v>1</v>
      </c>
      <c r="H118" s="5">
        <v>10</v>
      </c>
      <c r="I118" s="4" t="str">
        <f>CONCATENATE("(",A118,",'",B118,"','",C118,"','",TEXT(D118,"aaaa-mm-jj"),"','",TEXT(E118,"aaaa-mm-jj"),"',",F118,",",G118,",",H118,"),")</f>
        <v>(115,'S01-GO2','Station de Compression S01-GO2','2010-04-15','2012-03-20',NULL,1,10),</v>
      </c>
    </row>
    <row r="119" spans="1:9" ht="20.149999999999999" customHeight="1" x14ac:dyDescent="0.35">
      <c r="A119" s="3">
        <v>116</v>
      </c>
      <c r="B119" s="17" t="s">
        <v>5046</v>
      </c>
      <c r="C119" s="4" t="s">
        <v>5047</v>
      </c>
      <c r="D119" s="22">
        <v>40744</v>
      </c>
      <c r="E119" s="22">
        <v>41450</v>
      </c>
      <c r="F119" s="5" t="s">
        <v>972</v>
      </c>
      <c r="G119" s="5">
        <v>1</v>
      </c>
      <c r="H119" s="5">
        <v>10</v>
      </c>
      <c r="I119" s="4" t="str">
        <f>CONCATENATE("(",A119,",'",B119,"','",C119,"','",TEXT(D119,"aaaa-mm-jj"),"','",TEXT(E119,"aaaa-mm-jj"),"',",F119,",",G119,",",H119,"),")</f>
        <v>(116,'S01-GG1','Station de Compression S01-GG1','2011-07-20','2013-06-25',NULL,1,10),</v>
      </c>
    </row>
    <row r="120" spans="1:9" ht="20.149999999999999" customHeight="1" x14ac:dyDescent="0.35">
      <c r="A120" s="3">
        <v>117</v>
      </c>
      <c r="B120" s="17" t="s">
        <v>5048</v>
      </c>
      <c r="C120" s="4" t="s">
        <v>5049</v>
      </c>
      <c r="D120" s="22">
        <v>41192</v>
      </c>
      <c r="E120" s="22">
        <v>41897</v>
      </c>
      <c r="F120" s="5" t="s">
        <v>972</v>
      </c>
      <c r="G120" s="5">
        <v>1</v>
      </c>
      <c r="H120" s="5">
        <v>10</v>
      </c>
      <c r="I120" s="4" t="str">
        <f>CONCATENATE("(",A120,",'",B120,"','",C120,"','",TEXT(D120,"aaaa-mm-jj"),"','",TEXT(E120,"aaaa-mm-jj"),"',",F120,",",G120,",",H120,"),")</f>
        <v>(117,'S01-GR5','Station de Compression S01-GR5','2012-10-10','2014-09-15',NULL,1,10),</v>
      </c>
    </row>
    <row r="121" spans="1:9" ht="20.149999999999999" customHeight="1" x14ac:dyDescent="0.35">
      <c r="A121" s="3">
        <v>118</v>
      </c>
      <c r="B121" s="17" t="s">
        <v>5050</v>
      </c>
      <c r="C121" s="4" t="s">
        <v>5051</v>
      </c>
      <c r="D121" s="22">
        <v>41323</v>
      </c>
      <c r="E121" s="22">
        <v>42026</v>
      </c>
      <c r="F121" s="5" t="s">
        <v>972</v>
      </c>
      <c r="G121" s="5">
        <v>1</v>
      </c>
      <c r="H121" s="5">
        <v>10</v>
      </c>
      <c r="I121" s="4" t="str">
        <f>CONCATENATE("(",A121,",'",B121,"','",C121,"','",TEXT(D121,"aaaa-mm-jj"),"','",TEXT(E121,"aaaa-mm-jj"),"',",F121,",",G121,",",H121,"),")</f>
        <v>(118,'S01-GR7','Station de Compression S01-GR7','2013-02-18','2015-01-22',NULL,1,10),</v>
      </c>
    </row>
    <row r="122" spans="1:9" ht="20.149999999999999" customHeight="1" x14ac:dyDescent="0.35">
      <c r="A122" s="3">
        <v>119</v>
      </c>
      <c r="B122" s="17" t="s">
        <v>5052</v>
      </c>
      <c r="C122" s="4" t="s">
        <v>5053</v>
      </c>
      <c r="D122" s="22">
        <v>41781</v>
      </c>
      <c r="E122" s="22">
        <v>42488</v>
      </c>
      <c r="F122" s="5" t="s">
        <v>972</v>
      </c>
      <c r="G122" s="5">
        <v>1</v>
      </c>
      <c r="H122" s="5">
        <v>10</v>
      </c>
      <c r="I122" s="4" t="str">
        <f>CONCATENATE("(",A122,",'",B122,"','",C122,"','",TEXT(D122,"aaaa-mm-jj"),"','",TEXT(E122,"aaaa-mm-jj"),"',",F122,",",G122,",",H122,"),")</f>
        <v>(119,'SC-TFT','Station de Compression SC-TFT','2014-05-22','2016-04-28',NULL,1,10),</v>
      </c>
    </row>
    <row r="123" spans="1:9" ht="20.149999999999999" customHeight="1" x14ac:dyDescent="0.35">
      <c r="A123" s="3">
        <v>120</v>
      </c>
      <c r="B123" s="17" t="s">
        <v>5054</v>
      </c>
      <c r="C123" s="4" t="s">
        <v>5055</v>
      </c>
      <c r="D123" s="22">
        <v>42228</v>
      </c>
      <c r="E123" s="22">
        <v>42934</v>
      </c>
      <c r="F123" s="5" t="s">
        <v>972</v>
      </c>
      <c r="G123" s="5">
        <v>1</v>
      </c>
      <c r="H123" s="5">
        <v>10</v>
      </c>
      <c r="I123" s="4" t="str">
        <f>CONCATENATE("(",A123,",'",B123,"','",C123,"','",TEXT(D123,"aaaa-mm-jj"),"','",TEXT(E123,"aaaa-mm-jj"),"',",F123,",",G123,",",H123,"),")</f>
        <v>(120,'SC1-GR2','Station de Compression SC1-GR2','2015-08-12','2017-07-18',NULL,1,10),</v>
      </c>
    </row>
    <row r="124" spans="1:9" ht="20.149999999999999" customHeight="1" x14ac:dyDescent="0.35">
      <c r="A124" s="3">
        <v>121</v>
      </c>
      <c r="B124" s="17" t="s">
        <v>5056</v>
      </c>
      <c r="C124" s="4" t="s">
        <v>5057</v>
      </c>
      <c r="D124" s="22">
        <v>42228</v>
      </c>
      <c r="E124" s="22">
        <v>42934</v>
      </c>
      <c r="F124" s="5" t="s">
        <v>972</v>
      </c>
      <c r="G124" s="5">
        <v>1</v>
      </c>
      <c r="H124" s="5">
        <v>10</v>
      </c>
      <c r="I124" s="4" t="str">
        <f>CONCATENATE("(",A124,",'",B124,"','",C124,"','",TEXT(D124,"aaaa-mm-jj"),"','",TEXT(E124,"aaaa-mm-jj"),"',",F124,",",G124,",",H124,"),")</f>
        <v>(121,'SC2-GR2','Station de Compression SC2-GR2','2015-08-12','2017-07-18',NULL,1,10),</v>
      </c>
    </row>
    <row r="125" spans="1:9" ht="20.149999999999999" customHeight="1" x14ac:dyDescent="0.35">
      <c r="A125" s="3">
        <v>122</v>
      </c>
      <c r="B125" s="17" t="s">
        <v>5058</v>
      </c>
      <c r="C125" s="4" t="s">
        <v>5059</v>
      </c>
      <c r="D125" s="22">
        <v>42228</v>
      </c>
      <c r="E125" s="22">
        <v>42934</v>
      </c>
      <c r="F125" s="5" t="s">
        <v>972</v>
      </c>
      <c r="G125" s="5">
        <v>1</v>
      </c>
      <c r="H125" s="5">
        <v>10</v>
      </c>
      <c r="I125" s="4" t="str">
        <f>CONCATENATE("(",A125,",'",B125,"','",C125,"','",TEXT(D125,"aaaa-mm-jj"),"','",TEXT(E125,"aaaa-mm-jj"),"',",F125,",",G125,",",H125,"),")</f>
        <v>(122,'SC3-GR2','Station de Compression SC3-GR2','2015-08-12','2017-07-18',NULL,1,10),</v>
      </c>
    </row>
    <row r="126" spans="1:9" ht="20.149999999999999" customHeight="1" x14ac:dyDescent="0.35">
      <c r="A126" s="3">
        <v>123</v>
      </c>
      <c r="B126" s="17" t="s">
        <v>5060</v>
      </c>
      <c r="C126" s="4" t="s">
        <v>5061</v>
      </c>
      <c r="D126" s="22">
        <v>42228</v>
      </c>
      <c r="E126" s="22">
        <v>42934</v>
      </c>
      <c r="F126" s="5" t="s">
        <v>972</v>
      </c>
      <c r="G126" s="5">
        <v>1</v>
      </c>
      <c r="H126" s="5">
        <v>10</v>
      </c>
      <c r="I126" s="4" t="str">
        <f>CONCATENATE("(",A126,",'",B126,"','",C126,"','",TEXT(D126,"aaaa-mm-jj"),"','",TEXT(E126,"aaaa-mm-jj"),"',",F126,",",G126,",",H126,"),")</f>
        <v>(123,'SC4-GR2','Station de Compression SC4-GR2','2015-08-12','2017-07-18',NULL,1,10),</v>
      </c>
    </row>
    <row r="127" spans="1:9" ht="20.149999999999999" customHeight="1" x14ac:dyDescent="0.35">
      <c r="A127" s="3">
        <v>124</v>
      </c>
      <c r="B127" s="17" t="s">
        <v>5062</v>
      </c>
      <c r="C127" s="4" t="s">
        <v>5063</v>
      </c>
      <c r="D127" s="22">
        <v>22903</v>
      </c>
      <c r="E127" s="22">
        <v>23652</v>
      </c>
      <c r="F127" s="5" t="s">
        <v>972</v>
      </c>
      <c r="G127" s="5">
        <v>1</v>
      </c>
      <c r="H127" s="5">
        <v>4</v>
      </c>
      <c r="I127" s="4" t="str">
        <f>CONCATENATE("(",A127,",'",B127,"','",C127,"','",TEXT(D127,"aaaa-mm-jj"),"','",TEXT(E127,"aaaa-mm-jj"),"',",F127,",",G127,",",H127,"),")</f>
        <v>(124,'GL1Z','Complexe GNL GL1Z','1962-09-14','1964-10-02',NULL,1,4),</v>
      </c>
    </row>
    <row r="128" spans="1:9" ht="20.149999999999999" customHeight="1" x14ac:dyDescent="0.35">
      <c r="A128" s="3">
        <v>125</v>
      </c>
      <c r="B128" s="17" t="s">
        <v>5064</v>
      </c>
      <c r="C128" s="4" t="s">
        <v>5065</v>
      </c>
      <c r="D128" s="22">
        <v>28564</v>
      </c>
      <c r="E128" s="22">
        <v>29849</v>
      </c>
      <c r="F128" s="5" t="s">
        <v>972</v>
      </c>
      <c r="G128" s="5">
        <v>1</v>
      </c>
      <c r="H128" s="5">
        <v>4</v>
      </c>
      <c r="I128" s="4" t="str">
        <f>CONCATENATE("(",A128,",'",B128,"','",C128,"','",TEXT(D128,"aaaa-mm-jj"),"','",TEXT(E128,"aaaa-mm-jj"),"',",F128,",",G128,",",H128,"),")</f>
        <v>(125,'GL2Z','Complexe GNL GL2Z','1978-03-15','1981-09-20',NULL,1,4),</v>
      </c>
    </row>
    <row r="129" spans="1:9" ht="20.149999999999999" customHeight="1" x14ac:dyDescent="0.35">
      <c r="A129" s="3">
        <v>126</v>
      </c>
      <c r="B129" s="17" t="s">
        <v>5066</v>
      </c>
      <c r="C129" s="4" t="s">
        <v>5067</v>
      </c>
      <c r="D129" s="22">
        <v>40318</v>
      </c>
      <c r="E129" s="22">
        <v>41618</v>
      </c>
      <c r="F129" s="5" t="s">
        <v>972</v>
      </c>
      <c r="G129" s="5">
        <v>1</v>
      </c>
      <c r="H129" s="5">
        <v>4</v>
      </c>
      <c r="I129" s="4" t="str">
        <f>CONCATENATE("(",A129,",'",B129,"','",C129,"','",TEXT(D129,"aaaa-mm-jj"),"','",TEXT(E129,"aaaa-mm-jj"),"',",F129,",",G129,",",H129,"),")</f>
        <v>(126,'GL3Z','Complexe GNL GL3Z','2010-05-20','2013-12-10',NULL,1,4),</v>
      </c>
    </row>
    <row r="130" spans="1:9" ht="20.149999999999999" customHeight="1" x14ac:dyDescent="0.35">
      <c r="A130" s="3">
        <v>127</v>
      </c>
      <c r="B130" s="17" t="s">
        <v>5068</v>
      </c>
      <c r="C130" s="4" t="s">
        <v>5069</v>
      </c>
      <c r="D130" s="22">
        <v>24473</v>
      </c>
      <c r="E130" s="22">
        <v>26495</v>
      </c>
      <c r="F130" s="5" t="s">
        <v>972</v>
      </c>
      <c r="G130" s="5">
        <v>1</v>
      </c>
      <c r="H130" s="5">
        <v>4</v>
      </c>
      <c r="I130" s="4" t="str">
        <f>CONCATENATE("(",A130,",'",B130,"','",C130,"','",TEXT(D130,"aaaa-mm-jj"),"','",TEXT(E130,"aaaa-mm-jj"),"',",F130,",",G130,",",H130,"),")</f>
        <v>(127,'GL1K','Complexe GNL GL1K','1967-01-01','1972-07-15',NULL,1,4),</v>
      </c>
    </row>
    <row r="131" spans="1:9" ht="20.149999999999999" customHeight="1" x14ac:dyDescent="0.35">
      <c r="A131" s="3">
        <v>128</v>
      </c>
      <c r="B131" s="17" t="s">
        <v>5070</v>
      </c>
      <c r="C131" s="4" t="s">
        <v>5071</v>
      </c>
      <c r="D131" s="22">
        <v>25617</v>
      </c>
      <c r="E131" s="22">
        <v>27240</v>
      </c>
      <c r="F131" s="5" t="s">
        <v>972</v>
      </c>
      <c r="G131" s="5">
        <v>1</v>
      </c>
      <c r="H131" s="5">
        <v>4</v>
      </c>
      <c r="I131" s="4" t="str">
        <f>CONCATENATE("(",A131,",'",B131,"','",C131,"','",TEXT(D131,"aaaa-mm-jj"),"','",TEXT(E131,"aaaa-mm-jj"),"',",F131,",",G131,",",H131,"),")</f>
        <v>(128,'GP1Z','Usine GPL GP1Z','1970-02-18','1974-07-30',NULL,1,4),</v>
      </c>
    </row>
    <row r="132" spans="1:9" ht="20.149999999999999" customHeight="1" x14ac:dyDescent="0.35">
      <c r="A132" s="3">
        <v>129</v>
      </c>
      <c r="B132" s="17" t="s">
        <v>5072</v>
      </c>
      <c r="C132" s="4" t="s">
        <v>5073</v>
      </c>
      <c r="D132" s="22">
        <v>27872</v>
      </c>
      <c r="E132" s="22">
        <v>29509</v>
      </c>
      <c r="F132" s="5" t="s">
        <v>972</v>
      </c>
      <c r="G132" s="5">
        <v>1</v>
      </c>
      <c r="H132" s="5">
        <v>4</v>
      </c>
      <c r="I132" s="4" t="str">
        <f>CONCATENATE("(",A132,",'",B132,"','",C132,"','",TEXT(D132,"aaaa-mm-jj"),"','",TEXT(E132,"aaaa-mm-jj"),"',",F132,",",G132,",",H132,"),")</f>
        <v>(129,'GP2Z','Usine GPL GP2Z','1976-04-22','1980-10-15',NULL,1,4),</v>
      </c>
    </row>
    <row r="133" spans="1:9" ht="20.149999999999999" customHeight="1" x14ac:dyDescent="0.35">
      <c r="A133" s="3">
        <v>130</v>
      </c>
      <c r="B133" s="17" t="s">
        <v>5074</v>
      </c>
      <c r="C133" s="4" t="s">
        <v>5075</v>
      </c>
      <c r="D133" s="22">
        <v>22442</v>
      </c>
      <c r="E133" s="22">
        <v>23456</v>
      </c>
      <c r="F133" s="5" t="s">
        <v>972</v>
      </c>
      <c r="G133" s="5">
        <v>1</v>
      </c>
      <c r="H133" s="5">
        <v>5</v>
      </c>
      <c r="I133" s="4" t="str">
        <f>CONCATENATE("(",A133,",'",B133,"','",C133,"','",TEXT(D133,"aaaa-mm-jj"),"','",TEXT(E133,"aaaa-mm-jj"),"',",F133,",",G133,",",H133,"),")</f>
        <v>(130,'RA1G','Raffinerie RA1G','1961-06-10','1964-03-20',NULL,1,5),</v>
      </c>
    </row>
    <row r="134" spans="1:9" ht="20.149999999999999" customHeight="1" x14ac:dyDescent="0.35">
      <c r="A134" s="3">
        <v>131</v>
      </c>
      <c r="B134" s="17" t="s">
        <v>4608</v>
      </c>
      <c r="C134" s="4" t="s">
        <v>5076</v>
      </c>
      <c r="D134" s="22">
        <v>26191</v>
      </c>
      <c r="E134" s="22">
        <v>27539</v>
      </c>
      <c r="F134" s="5" t="s">
        <v>972</v>
      </c>
      <c r="G134" s="5">
        <v>1</v>
      </c>
      <c r="H134" s="5">
        <v>5</v>
      </c>
      <c r="I134" s="4" t="str">
        <f>CONCATENATE("(",A134,",'",B134,"','",C134,"','",TEXT(D134,"aaaa-mm-jj"),"','",TEXT(E134,"aaaa-mm-jj"),"',",F134,",",G134,",",H134,"),")</f>
        <v>(131,'RA1Z','Raffinerie RA1Z','1971-09-15','1975-05-25',NULL,1,5),</v>
      </c>
    </row>
    <row r="135" spans="1:9" ht="20.149999999999999" customHeight="1" x14ac:dyDescent="0.35">
      <c r="A135" s="3">
        <v>132</v>
      </c>
      <c r="B135" s="17" t="s">
        <v>5077</v>
      </c>
      <c r="C135" s="4" t="s">
        <v>5078</v>
      </c>
      <c r="D135" s="22">
        <v>35023</v>
      </c>
      <c r="E135" s="22">
        <v>36037</v>
      </c>
      <c r="F135" s="5" t="s">
        <v>972</v>
      </c>
      <c r="G135" s="5">
        <v>1</v>
      </c>
      <c r="H135" s="5">
        <v>5</v>
      </c>
      <c r="I135" s="4" t="str">
        <f>CONCATENATE("(",A135,",'",B135,"','",C135,"','",TEXT(D135,"aaaa-mm-jj"),"','",TEXT(E135,"aaaa-mm-jj"),"',",F135,",",G135,",",H135,"),")</f>
        <v>(132,'RHM2','Raffinerie RHM2','1995-11-20','1998-08-30',NULL,1,5),</v>
      </c>
    </row>
    <row r="136" spans="1:9" ht="20.149999999999999" customHeight="1" x14ac:dyDescent="0.35">
      <c r="A136" s="3">
        <v>133</v>
      </c>
      <c r="B136" s="17" t="s">
        <v>4606</v>
      </c>
      <c r="C136" s="4" t="s">
        <v>5079</v>
      </c>
      <c r="D136" s="22">
        <v>28196</v>
      </c>
      <c r="E136" s="22">
        <v>29573</v>
      </c>
      <c r="F136" s="5" t="s">
        <v>972</v>
      </c>
      <c r="G136" s="5">
        <v>1</v>
      </c>
      <c r="H136" s="5">
        <v>5</v>
      </c>
      <c r="I136" s="4" t="str">
        <f>CONCATENATE("(",A136,",'",B136,"','",C136,"','",TEXT(D136,"aaaa-mm-jj"),"','",TEXT(E136,"aaaa-mm-jj"),"',",F136,",",G136,",",H136,"),")</f>
        <v>(133,'RA1K','Raffinerie RA1K','1977-03-12','1980-12-18',NULL,1,5),</v>
      </c>
    </row>
    <row r="137" spans="1:9" ht="20.149999999999999" customHeight="1" x14ac:dyDescent="0.35">
      <c r="A137" s="3">
        <v>134</v>
      </c>
      <c r="B137" s="17" t="s">
        <v>5080</v>
      </c>
      <c r="C137" s="4" t="s">
        <v>5081</v>
      </c>
      <c r="D137" s="22">
        <v>28196</v>
      </c>
      <c r="E137" s="22">
        <v>29573</v>
      </c>
      <c r="F137" s="5" t="s">
        <v>972</v>
      </c>
      <c r="G137" s="5">
        <v>1</v>
      </c>
      <c r="H137" s="5">
        <v>5</v>
      </c>
      <c r="I137" s="4" t="str">
        <f>CONCATENATE("(",A137,",'",B137,"','",C137,"','",TEXT(D137,"aaaa-mm-jj"),"','",TEXT(E137,"aaaa-mm-jj"),"',",F137,",",G137,",",H137,"),")</f>
        <v>(134,'RA2K','Raffinerie RA2K','1977-03-12','1980-12-18',NULL,1,5),</v>
      </c>
    </row>
    <row r="138" spans="1:9" ht="20.149999999999999" customHeight="1" x14ac:dyDescent="0.35">
      <c r="A138" s="3">
        <v>135</v>
      </c>
      <c r="B138" s="17" t="s">
        <v>5082</v>
      </c>
      <c r="C138" s="4" t="s">
        <v>5083</v>
      </c>
      <c r="D138" s="22">
        <v>24966</v>
      </c>
      <c r="E138" s="22">
        <v>26710</v>
      </c>
      <c r="F138" s="5" t="s">
        <v>972</v>
      </c>
      <c r="G138" s="5">
        <v>1</v>
      </c>
      <c r="H138" s="5">
        <v>5</v>
      </c>
      <c r="I138" s="4" t="str">
        <f>CONCATENATE("(",A138,",'",B138,"','",C138,"','",TEXT(D138,"aaaa-mm-jj"),"','",TEXT(E138,"aaaa-mm-jj"),"',",F138,",",G138,",",H138,"),")</f>
        <v>(135,'RA1D','Raffinerie RA1D','1968-05-08','1973-02-15',NULL,1,5),</v>
      </c>
    </row>
    <row r="139" spans="1:9" ht="20.149999999999999" customHeight="1" x14ac:dyDescent="0.35">
      <c r="A139" s="3">
        <v>136</v>
      </c>
      <c r="B139" s="17" t="s">
        <v>5084</v>
      </c>
      <c r="C139" s="4" t="s">
        <v>5085</v>
      </c>
      <c r="D139" s="22">
        <v>29054</v>
      </c>
      <c r="E139" s="22">
        <v>30277</v>
      </c>
      <c r="F139" s="5" t="s">
        <v>972</v>
      </c>
      <c r="G139" s="5">
        <v>1</v>
      </c>
      <c r="H139" s="5">
        <v>4</v>
      </c>
      <c r="I139" s="4" t="str">
        <f>CONCATENATE("(",A139,",'",B139,"','",C139,"','",TEXT(D139,"aaaa-mm-jj"),"','",TEXT(E139,"aaaa-mm-jj"),"',",F139,",",G139,",",H139,"),")</f>
        <v>(136,'CP1Z','Usine de Condensats CP1Z','1979-07-18','1982-11-22',NULL,1,4),</v>
      </c>
    </row>
    <row r="140" spans="1:9" ht="20.149999999999999" customHeight="1" x14ac:dyDescent="0.35">
      <c r="A140" s="3">
        <v>137</v>
      </c>
      <c r="B140" s="17" t="s">
        <v>5086</v>
      </c>
      <c r="C140" s="4" t="s">
        <v>5087</v>
      </c>
      <c r="D140" s="22">
        <v>29519</v>
      </c>
      <c r="E140" s="22">
        <v>30863</v>
      </c>
      <c r="F140" s="5" t="s">
        <v>972</v>
      </c>
      <c r="G140" s="5">
        <v>1</v>
      </c>
      <c r="H140" s="5">
        <v>4</v>
      </c>
      <c r="I140" s="4" t="str">
        <f>CONCATENATE("(",A140,",'",B140,"','",C140,"','",TEXT(D140,"aaaa-mm-jj"),"','",TEXT(E140,"aaaa-mm-jj"),"',",F140,",",G140,",",H140,"),")</f>
        <v>(137,'CP2K','Usine de Condensats CP2K','1980-10-25','1984-06-30',NULL,1,4),</v>
      </c>
    </row>
    <row r="141" spans="1:9" ht="20.149999999999999" customHeight="1" x14ac:dyDescent="0.35">
      <c r="A141" s="3">
        <v>138</v>
      </c>
      <c r="B141" s="17" t="s">
        <v>5088</v>
      </c>
      <c r="C141" s="4" t="s">
        <v>5089</v>
      </c>
      <c r="D141" s="22">
        <v>25583</v>
      </c>
      <c r="E141" s="22">
        <v>27657</v>
      </c>
      <c r="F141" s="5" t="s">
        <v>972</v>
      </c>
      <c r="G141" s="5">
        <v>1</v>
      </c>
      <c r="H141" s="5">
        <v>5</v>
      </c>
      <c r="I141" s="4" t="str">
        <f>CONCATENATE("(",A141,",'",B141,"','",C141,"','",TEXT(D141,"aaaa-mm-jj"),"','",TEXT(E141,"aaaa-mm-jj"),"',",F141,",",G141,",",H141,"),")</f>
        <v>(138,'SORFERT','Complexe Pétrochimique SORFERT','1970-01-15','1975-09-20',NULL,1,5),</v>
      </c>
    </row>
    <row r="142" spans="1:9" ht="20.149999999999999" customHeight="1" x14ac:dyDescent="0.35">
      <c r="A142" s="3">
        <v>139</v>
      </c>
      <c r="B142" s="17" t="s">
        <v>5090</v>
      </c>
      <c r="C142" s="4" t="s">
        <v>5091</v>
      </c>
      <c r="D142" s="22">
        <v>37721</v>
      </c>
      <c r="E142" s="22">
        <v>39767</v>
      </c>
      <c r="F142" s="5" t="s">
        <v>972</v>
      </c>
      <c r="G142" s="5">
        <v>1</v>
      </c>
      <c r="H142" s="5">
        <v>5</v>
      </c>
      <c r="I142" s="4" t="str">
        <f>CONCATENATE("(",A142,",'",B142,"','",C142,"','",TEXT(D142,"aaaa-mm-jj"),"','",TEXT(E142,"aaaa-mm-jj"),"',",F142,",",G142,",",H142,"),")</f>
        <v>(139,'AOA','Complexe Pétrochimique AOA','2003-04-10','2008-11-15',NULL,1,5),</v>
      </c>
    </row>
    <row r="143" spans="1:9" ht="20.149999999999999" customHeight="1" x14ac:dyDescent="0.35">
      <c r="A143" s="3">
        <v>140</v>
      </c>
      <c r="B143" s="17" t="s">
        <v>5092</v>
      </c>
      <c r="C143" s="4" t="s">
        <v>6055</v>
      </c>
      <c r="D143" s="22">
        <v>35966</v>
      </c>
      <c r="E143" s="22">
        <v>37253</v>
      </c>
      <c r="F143" s="5" t="s">
        <v>972</v>
      </c>
      <c r="G143" s="5">
        <v>1</v>
      </c>
      <c r="H143" s="5">
        <v>2</v>
      </c>
      <c r="I143" s="4" t="str">
        <f>CONCATENATE("(",A143,",'",B143,"','",C143,"','",TEXT(D143,"aaaa-mm-jj"),"','",TEXT(E143,"aaaa-mm-jj"),"',",F143,",",G143,",",H143,"),")</f>
        <v>(140,'CPF-OHD','Usine d\'Ourhoud','1998-06-20','2001-12-28',NULL,1,2),</v>
      </c>
    </row>
    <row r="144" spans="1:9" ht="20.149999999999999" customHeight="1" x14ac:dyDescent="0.35">
      <c r="A144" s="3">
        <v>141</v>
      </c>
      <c r="B144" s="17" t="s">
        <v>5093</v>
      </c>
      <c r="C144" s="4" t="s">
        <v>6056</v>
      </c>
      <c r="D144" s="22">
        <v>36784</v>
      </c>
      <c r="E144" s="22">
        <v>37863</v>
      </c>
      <c r="F144" s="5" t="s">
        <v>972</v>
      </c>
      <c r="G144" s="5">
        <v>1</v>
      </c>
      <c r="H144" s="5">
        <v>2</v>
      </c>
      <c r="I144" s="4" t="str">
        <f>CONCATENATE("(",A144,",'",B144,"','",C144,"','",TEXT(D144,"aaaa-mm-jj"),"','",TEXT(E144,"aaaa-mm-jj"),"',",F144,",",G144,",",H144,"),")</f>
        <v>(141,'CPF-MNS','Unité de Traitement Central d\'In Amenas','2000-09-15','2003-08-30',NULL,1,2),</v>
      </c>
    </row>
    <row r="145" spans="1:9" ht="20.149999999999999" customHeight="1" x14ac:dyDescent="0.35">
      <c r="A145" s="3">
        <v>142</v>
      </c>
      <c r="B145" s="17" t="s">
        <v>5094</v>
      </c>
      <c r="C145" s="4" t="s">
        <v>5095</v>
      </c>
      <c r="D145" s="22">
        <v>37215</v>
      </c>
      <c r="E145" s="22">
        <v>38285</v>
      </c>
      <c r="F145" s="5" t="s">
        <v>972</v>
      </c>
      <c r="G145" s="5">
        <v>1</v>
      </c>
      <c r="H145" s="5">
        <v>2</v>
      </c>
      <c r="I145" s="4" t="str">
        <f>CONCATENATE("(",A145,",'",B145,"','",C145,"','",TEXT(D145,"aaaa-mm-jj"),"','",TEXT(E145,"aaaa-mm-jj"),"',",F145,",",G145,",",H145,"),")</f>
        <v>(142,'CPF-BBK','Unité de Traitement Central de Berkine (El Merk)','2001-11-20','2004-10-25',NULL,1,2),</v>
      </c>
    </row>
    <row r="146" spans="1:9" ht="20.149999999999999" customHeight="1" x14ac:dyDescent="0.35">
      <c r="A146" s="3">
        <v>143</v>
      </c>
      <c r="B146" s="17" t="s">
        <v>5096</v>
      </c>
      <c r="C146" s="4" t="s">
        <v>6057</v>
      </c>
      <c r="D146" s="22">
        <v>28559</v>
      </c>
      <c r="E146" s="22">
        <v>30147</v>
      </c>
      <c r="F146" s="5" t="s">
        <v>972</v>
      </c>
      <c r="G146" s="5">
        <v>1</v>
      </c>
      <c r="H146" s="5">
        <v>2</v>
      </c>
      <c r="I146" s="4" t="str">
        <f>CONCATENATE("(",A146,",'",B146,"','",C146,"','",TEXT(D146,"aaaa-mm-jj"),"','",TEXT(E146,"aaaa-mm-jj"),"',",F146,",",G146,",",H146,"),")</f>
        <v>(143,'GPC-HRM','Station Centrale de Hassi R\'Mel','1978-03-10','1982-07-15',NULL,1,2),</v>
      </c>
    </row>
    <row r="147" spans="1:9" ht="20.149999999999999" customHeight="1" x14ac:dyDescent="0.35">
      <c r="A147" s="3">
        <v>144</v>
      </c>
      <c r="B147" s="17" t="s">
        <v>5097</v>
      </c>
      <c r="C147" s="4" t="s">
        <v>6058</v>
      </c>
      <c r="D147" s="22">
        <v>36658</v>
      </c>
      <c r="E147" s="22">
        <v>37945</v>
      </c>
      <c r="F147" s="5" t="s">
        <v>972</v>
      </c>
      <c r="G147" s="5">
        <v>1</v>
      </c>
      <c r="H147" s="5">
        <v>2</v>
      </c>
      <c r="I147" s="4" t="str">
        <f>CONCATENATE("(",A147,",'",B147,"','",C147,"','",TEXT(D147,"aaaa-mm-jj"),"','",TEXT(E147,"aaaa-mm-jj"),"',",F147,",",G147,",",H147,"),")</f>
        <v>(144,'GPC-OHT','Unité de Traitement Central d\'Ohanet - Train de Gaz','2000-05-12','2003-11-20',NULL,1,2),</v>
      </c>
    </row>
    <row r="148" spans="1:9" ht="20.149999999999999" customHeight="1" x14ac:dyDescent="0.35">
      <c r="A148" s="3">
        <v>145</v>
      </c>
      <c r="B148" s="17" t="s">
        <v>5098</v>
      </c>
      <c r="C148" s="4" t="s">
        <v>5099</v>
      </c>
      <c r="D148" s="22">
        <v>38217</v>
      </c>
      <c r="E148" s="22">
        <v>39258</v>
      </c>
      <c r="F148" s="5" t="s">
        <v>972</v>
      </c>
      <c r="G148" s="5">
        <v>1</v>
      </c>
      <c r="H148" s="5">
        <v>2</v>
      </c>
      <c r="I148" s="4" t="str">
        <f>CONCATENATE("(",A148,",'",B148,"','",C148,"','",TEXT(D148,"aaaa-mm-jj"),"','",TEXT(E148,"aaaa-mm-jj"),"',",F148,",",G148,",",H148,"),")</f>
        <v>(145,'GPC-TFT','Unité de Traitement Central de Tin-Fouyé-Tabenkort','2004-08-18','2007-06-25',NULL,1,2),</v>
      </c>
    </row>
    <row r="149" spans="1:9" ht="20.149999999999999" customHeight="1" x14ac:dyDescent="0.35">
      <c r="A149" s="3">
        <v>146</v>
      </c>
      <c r="B149" s="17" t="s">
        <v>5100</v>
      </c>
      <c r="C149" s="4" t="s">
        <v>6059</v>
      </c>
      <c r="D149" s="22">
        <v>44635</v>
      </c>
      <c r="E149" s="22">
        <v>45889</v>
      </c>
      <c r="F149" s="5" t="s">
        <v>972</v>
      </c>
      <c r="G149" s="5">
        <v>1</v>
      </c>
      <c r="H149" s="5">
        <v>2</v>
      </c>
      <c r="I149" s="4" t="str">
        <f>CONCATENATE("(",A149,",'",B149,"','",C149,"','",TEXT(D149,"aaaa-mm-jj"),"','",TEXT(E149,"aaaa-mm-jj"),"',",F149,",",G149,",",H149,"),")</f>
        <v>(146,'GPC-TSL','Complexe Gazier d\'Ain Tsila','2022-03-15','2025-08-20',NULL,1,2),</v>
      </c>
    </row>
    <row r="150" spans="1:9" ht="20.149999999999999" customHeight="1" x14ac:dyDescent="0.35">
      <c r="A150" s="3">
        <v>147</v>
      </c>
      <c r="B150" s="17" t="s">
        <v>5101</v>
      </c>
      <c r="C150" s="4" t="s">
        <v>5102</v>
      </c>
      <c r="D150" s="22">
        <v>40473</v>
      </c>
      <c r="E150" s="22">
        <v>41759</v>
      </c>
      <c r="F150" s="5" t="s">
        <v>972</v>
      </c>
      <c r="G150" s="5">
        <v>1</v>
      </c>
      <c r="H150" s="5">
        <v>2</v>
      </c>
      <c r="I150" s="4" t="str">
        <f>CONCATENATE("(",A150,",'",B150,"','",C150,"','",TEXT(D150,"aaaa-mm-jj"),"','",TEXT(E150,"aaaa-mm-jj"),"',",F150,",",G150,",",H150,"),")</f>
        <v>(147,'GPC-RGN','Traitement du Gaz du Bassin de Reggane','2010-10-22','2014-04-30',NULL,1,2),</v>
      </c>
    </row>
    <row r="151" spans="1:9" ht="20.149999999999999" customHeight="1" x14ac:dyDescent="0.35">
      <c r="A151" s="3">
        <v>148</v>
      </c>
      <c r="B151" s="17" t="s">
        <v>5103</v>
      </c>
      <c r="C151" s="4" t="s">
        <v>6060</v>
      </c>
      <c r="D151" s="22">
        <v>37087</v>
      </c>
      <c r="E151" s="22">
        <v>38066</v>
      </c>
      <c r="F151" s="5" t="s">
        <v>972</v>
      </c>
      <c r="G151" s="5">
        <v>1</v>
      </c>
      <c r="H151" s="5">
        <v>2</v>
      </c>
      <c r="I151" s="4" t="str">
        <f>CONCATENATE("(",A151,",'",B151,"','",C151,"','",TEXT(D151,"aaaa-mm-jj"),"','",TEXT(E151,"aaaa-mm-jj"),"',",F151,",",G151,",",H151,"),")</f>
        <v>(148,'CRP-OHT','Unité de Condensats d\'Ohanet','2001-07-15','2004-03-20',NULL,1,2),</v>
      </c>
    </row>
    <row r="152" spans="1:9" ht="20.149999999999999" customHeight="1" x14ac:dyDescent="0.35">
      <c r="A152" s="3">
        <v>149</v>
      </c>
      <c r="B152" s="17" t="s">
        <v>5104</v>
      </c>
      <c r="C152" s="4" t="s">
        <v>5105</v>
      </c>
      <c r="D152" s="22">
        <v>38615</v>
      </c>
      <c r="E152" s="22">
        <v>39596</v>
      </c>
      <c r="F152" s="5" t="s">
        <v>972</v>
      </c>
      <c r="G152" s="5">
        <v>1</v>
      </c>
      <c r="H152" s="5">
        <v>2</v>
      </c>
      <c r="I152" s="4" t="str">
        <f>CONCATENATE("(",A152,",'",B152,"','",C152,"','",TEXT(D152,"aaaa-mm-jj"),"','",TEXT(E152,"aaaa-mm-jj"),"',",F152,",",G152,",",H152,"),")</f>
        <v>(149,'CRP-TFT','Unité de Condensats de Tin-Fouyé','2005-09-20','2008-05-28',NULL,1,2),</v>
      </c>
    </row>
    <row r="153" spans="1:9" ht="20.149999999999999" customHeight="1" x14ac:dyDescent="0.35">
      <c r="A153" s="3">
        <v>150</v>
      </c>
      <c r="B153" s="17" t="s">
        <v>5106</v>
      </c>
      <c r="C153" s="4" t="s">
        <v>6061</v>
      </c>
      <c r="D153" s="22">
        <v>44936</v>
      </c>
      <c r="E153" s="22">
        <v>45945</v>
      </c>
      <c r="F153" s="5" t="s">
        <v>972</v>
      </c>
      <c r="G153" s="5">
        <v>1</v>
      </c>
      <c r="H153" s="5">
        <v>2</v>
      </c>
      <c r="I153" s="4" t="str">
        <f>CONCATENATE("(",A153,",'",B153,"','",C153,"','",TEXT(D153,"aaaa-mm-jj"),"','",TEXT(E153,"aaaa-mm-jj"),"',",F153,",",G153,",",H153,"),")</f>
        <v>(150,'CRP-TSL','Usine de récupération des Condensats d\'Ain Tsila','2023-01-10','2025-10-15',NULL,1,2),</v>
      </c>
    </row>
    <row r="154" spans="1:9" ht="20.149999999999999" customHeight="1" x14ac:dyDescent="0.35">
      <c r="A154" s="3">
        <v>151</v>
      </c>
      <c r="B154" s="17" t="s">
        <v>5107</v>
      </c>
      <c r="C154" s="4" t="s">
        <v>6062</v>
      </c>
      <c r="D154" s="22">
        <v>37565</v>
      </c>
      <c r="E154" s="22">
        <v>38545</v>
      </c>
      <c r="F154" s="5" t="s">
        <v>972</v>
      </c>
      <c r="G154" s="5">
        <v>1</v>
      </c>
      <c r="H154" s="5">
        <v>2</v>
      </c>
      <c r="I154" s="4" t="str">
        <f>CONCATENATE("(",A154,",'",B154,"','",C154,"','",TEXT(D154,"aaaa-mm-jj"),"','",TEXT(E154,"aaaa-mm-jj"),"',",F154,",",G154,",",H154,"),")</f>
        <v>(151,'CRP-MRK','Unité de Condensats d\'El Merk','2002-11-05','2005-07-12',NULL,1,2),</v>
      </c>
    </row>
    <row r="155" spans="1:9" ht="20.149999999999999" customHeight="1" x14ac:dyDescent="0.35">
      <c r="A155" s="3">
        <v>152</v>
      </c>
      <c r="B155" s="17" t="s">
        <v>5108</v>
      </c>
      <c r="C155" s="4" t="s">
        <v>6063</v>
      </c>
      <c r="D155" s="22">
        <v>37060</v>
      </c>
      <c r="E155" s="22">
        <v>38042</v>
      </c>
      <c r="F155" s="5" t="s">
        <v>972</v>
      </c>
      <c r="G155" s="5">
        <v>1</v>
      </c>
      <c r="H155" s="5">
        <v>2</v>
      </c>
      <c r="I155" s="4" t="str">
        <f>CONCATENATE("(",A155,",'",B155,"','",C155,"','",TEXT(D155,"aaaa-mm-jj"),"','",TEXT(E155,"aaaa-mm-jj"),"',",F155,",",G155,",",H155,"),")</f>
        <v>(152,'CRP-MNS','Usine de récupération des Condensats d\'In Amenas','2001-06-18','2004-02-25',NULL,1,2),</v>
      </c>
    </row>
    <row r="156" spans="1:9" ht="20.149999999999999" customHeight="1" x14ac:dyDescent="0.35">
      <c r="A156" s="3">
        <v>153</v>
      </c>
      <c r="B156" s="17" t="s">
        <v>5109</v>
      </c>
      <c r="C156" s="4" t="s">
        <v>6064</v>
      </c>
      <c r="D156" s="22">
        <v>30061</v>
      </c>
      <c r="E156" s="22">
        <v>31396</v>
      </c>
      <c r="F156" s="5" t="s">
        <v>972</v>
      </c>
      <c r="G156" s="5">
        <v>1</v>
      </c>
      <c r="H156" s="5">
        <v>2</v>
      </c>
      <c r="I156" s="4" t="str">
        <f>CONCATENATE("(",A156,",'",B156,"','",C156,"','",TEXT(D156,"aaaa-mm-jj"),"','",TEXT(E156,"aaaa-mm-jj"),"',",F156,",",G156,",",H156,"),")</f>
        <v>(153,'LPG1-HRM','Unités GPL/Condensats de Hassi R\'Mel','1982-04-20','1985-12-15',NULL,1,2),</v>
      </c>
    </row>
    <row r="157" spans="1:9" ht="20.149999999999999" customHeight="1" x14ac:dyDescent="0.35">
      <c r="A157" s="3">
        <v>154</v>
      </c>
      <c r="B157" s="17" t="s">
        <v>5110</v>
      </c>
      <c r="C157" s="4" t="s">
        <v>6065</v>
      </c>
      <c r="D157" s="22">
        <v>33095</v>
      </c>
      <c r="E157" s="22">
        <v>34140</v>
      </c>
      <c r="F157" s="5" t="s">
        <v>972</v>
      </c>
      <c r="G157" s="5">
        <v>1</v>
      </c>
      <c r="H157" s="5">
        <v>2</v>
      </c>
      <c r="I157" s="4" t="str">
        <f>CONCATENATE("(",A157,",'",B157,"','",C157,"','",TEXT(D157,"aaaa-mm-jj"),"','",TEXT(E157,"aaaa-mm-jj"),"',",F157,",",G157,",",H157,"),")</f>
        <v>(154,'LPG2-HRM','Complexe de récupération Centrale GPL de Hassi R\'Mel','1990-08-10','1993-06-20',NULL,1,2),</v>
      </c>
    </row>
    <row r="158" spans="1:9" ht="20.149999999999999" customHeight="1" x14ac:dyDescent="0.35">
      <c r="A158" s="3">
        <v>155</v>
      </c>
      <c r="B158" s="17" t="s">
        <v>5111</v>
      </c>
      <c r="C158" s="4" t="s">
        <v>6066</v>
      </c>
      <c r="D158" s="22">
        <v>35018</v>
      </c>
      <c r="E158" s="22">
        <v>36060</v>
      </c>
      <c r="F158" s="5" t="s">
        <v>972</v>
      </c>
      <c r="G158" s="5">
        <v>1</v>
      </c>
      <c r="H158" s="5">
        <v>2</v>
      </c>
      <c r="I158" s="4" t="str">
        <f>CONCATENATE("(",A158,",'",B158,"','",C158,"','",TEXT(D158,"aaaa-mm-jj"),"','",TEXT(E158,"aaaa-mm-jj"),"',",F158,",",G158,",",H158,"),")</f>
        <v>(155,'LPGE-HRM','Complexe de récupération d\'Éthane de Hassi R\'Mel','1995-11-15','1998-09-22',NULL,1,2),</v>
      </c>
    </row>
    <row r="159" spans="1:9" ht="20.149999999999999" customHeight="1" x14ac:dyDescent="0.35">
      <c r="A159" s="3">
        <v>156</v>
      </c>
      <c r="B159" s="17" t="s">
        <v>5112</v>
      </c>
      <c r="C159" s="4" t="s">
        <v>5113</v>
      </c>
      <c r="D159" s="22">
        <v>38801</v>
      </c>
      <c r="E159" s="22">
        <v>39843</v>
      </c>
      <c r="F159" s="5" t="s">
        <v>972</v>
      </c>
      <c r="G159" s="5">
        <v>1</v>
      </c>
      <c r="H159" s="5">
        <v>2</v>
      </c>
      <c r="I159" s="4" t="str">
        <f>CONCATENATE("(",A159,",'",B159,"','",C159,"','",TEXT(D159,"aaaa-mm-jj"),"','",TEXT(E159,"aaaa-mm-jj"),"',",F159,",",G159,",",H159,"),")</f>
        <v>(156,'LPG-TFT','Complexe de récupération GPL de Tin-Fouyé','2006-03-25','2009-01-30',NULL,1,2),</v>
      </c>
    </row>
    <row r="160" spans="1:9" ht="20.149999999999999" customHeight="1" x14ac:dyDescent="0.35">
      <c r="A160" s="3">
        <v>157</v>
      </c>
      <c r="B160" s="17" t="s">
        <v>5114</v>
      </c>
      <c r="C160" s="4" t="s">
        <v>6067</v>
      </c>
      <c r="D160" s="22">
        <v>45089</v>
      </c>
      <c r="E160" s="22">
        <v>46009</v>
      </c>
      <c r="F160" s="5" t="s">
        <v>972</v>
      </c>
      <c r="G160" s="5">
        <v>1</v>
      </c>
      <c r="H160" s="5">
        <v>2</v>
      </c>
      <c r="I160" s="4" t="str">
        <f>CONCATENATE("(",A160,",'",B160,"','",C160,"','",TEXT(D160,"aaaa-mm-jj"),"','",TEXT(E160,"aaaa-mm-jj"),"',",F160,",",G160,",",H160,"),")</f>
        <v>(157,'LPG-TSL','Complexe de récupération GPL d\'Ain Tsila','2023-06-12','2025-12-18',NULL,1,2),</v>
      </c>
    </row>
    <row r="161" spans="1:9" ht="20.149999999999999" customHeight="1" x14ac:dyDescent="0.35">
      <c r="A161" s="3">
        <v>158</v>
      </c>
      <c r="B161" s="17" t="s">
        <v>5115</v>
      </c>
      <c r="C161" s="4" t="s">
        <v>5170</v>
      </c>
      <c r="D161" s="22">
        <v>23788</v>
      </c>
      <c r="E161" s="22">
        <v>24775</v>
      </c>
      <c r="F161" s="5" t="s">
        <v>972</v>
      </c>
      <c r="G161" s="5">
        <v>1</v>
      </c>
      <c r="H161" s="5">
        <v>10</v>
      </c>
      <c r="I161" s="4" t="str">
        <f>CONCATENATE("(",A161,",'",B161,"','",C161,"','",TEXT(D161,"aaaa-mm-jj"),"','",TEXT(E161,"aaaa-mm-jj"),"',",F161,",",G161,",",H161,"),")</f>
        <v>(158,'OZ1','Pipeline OZ1','1965-02-15','1967-10-30',NULL,1,10),</v>
      </c>
    </row>
    <row r="162" spans="1:9" ht="20.149999999999999" customHeight="1" x14ac:dyDescent="0.35">
      <c r="A162" s="3">
        <v>159</v>
      </c>
      <c r="B162" s="17" t="s">
        <v>5116</v>
      </c>
      <c r="C162" s="4" t="s">
        <v>5171</v>
      </c>
      <c r="D162" s="5" t="s">
        <v>5226</v>
      </c>
      <c r="E162" s="5" t="s">
        <v>5226</v>
      </c>
      <c r="F162" s="5" t="s">
        <v>972</v>
      </c>
      <c r="G162" s="5">
        <v>1</v>
      </c>
      <c r="H162" s="5">
        <v>10</v>
      </c>
      <c r="I162" s="4" t="str">
        <f>CONCATENATE("(",A162,",'",B162,"','",C162,"','",TEXT(D162,"aaaa-mm-jj"),"','",TEXT(E162,"aaaa-mm-jj"),"',",F162,",",G162,",",H162,"),")</f>
        <v>(159,'OZ2','Pipeline OZ2','2003-08-18','2003-08-18',NULL,1,10),</v>
      </c>
    </row>
    <row r="163" spans="1:9" ht="20.149999999999999" customHeight="1" x14ac:dyDescent="0.35">
      <c r="A163" s="3">
        <v>160</v>
      </c>
      <c r="B163" s="17" t="s">
        <v>5117</v>
      </c>
      <c r="C163" s="4" t="s">
        <v>5172</v>
      </c>
      <c r="D163" s="5" t="s">
        <v>5227</v>
      </c>
      <c r="E163" s="5" t="s">
        <v>5227</v>
      </c>
      <c r="F163" s="5" t="s">
        <v>972</v>
      </c>
      <c r="G163" s="5">
        <v>1</v>
      </c>
      <c r="H163" s="5">
        <v>10</v>
      </c>
      <c r="I163" s="4" t="str">
        <f>CONCATENATE("(",A163,",'",B163,"','",C163,"','",TEXT(D163,"aaaa-mm-jj"),"','",TEXT(E163,"aaaa-mm-jj"),"',",F163,",",G163,",",H163,"),")</f>
        <v>(160,'OK1','Pipeline OK1','1972-01-01','1972-01-01',NULL,1,10),</v>
      </c>
    </row>
    <row r="164" spans="1:9" ht="20.149999999999999" customHeight="1" x14ac:dyDescent="0.35">
      <c r="A164" s="3">
        <v>161</v>
      </c>
      <c r="B164" s="17" t="s">
        <v>5118</v>
      </c>
      <c r="C164" s="4" t="s">
        <v>5173</v>
      </c>
      <c r="D164" s="22">
        <v>21064</v>
      </c>
      <c r="E164" s="22">
        <v>21889</v>
      </c>
      <c r="F164" s="5" t="s">
        <v>972</v>
      </c>
      <c r="G164" s="5">
        <v>1</v>
      </c>
      <c r="H164" s="5">
        <v>10</v>
      </c>
      <c r="I164" s="4" t="str">
        <f>CONCATENATE("(",A164,",'",B164,"','",C164,"','",TEXT(D164,"aaaa-mm-jj"),"','",TEXT(E164,"aaaa-mm-jj"),"',",F164,",",G164,",",H164,"),")</f>
        <v>(161,'OB1','Pipeline OB1','1957-09-01','1959-12-05',NULL,1,10),</v>
      </c>
    </row>
    <row r="165" spans="1:9" ht="20.149999999999999" customHeight="1" x14ac:dyDescent="0.35">
      <c r="A165" s="3">
        <v>162</v>
      </c>
      <c r="B165" s="17" t="s">
        <v>5119</v>
      </c>
      <c r="C165" s="4" t="s">
        <v>5174</v>
      </c>
      <c r="D165" s="22">
        <v>35236</v>
      </c>
      <c r="E165" s="22">
        <v>36479</v>
      </c>
      <c r="F165" s="5" t="s">
        <v>972</v>
      </c>
      <c r="G165" s="5">
        <v>1</v>
      </c>
      <c r="H165" s="5">
        <v>10</v>
      </c>
      <c r="I165" s="4" t="str">
        <f>CONCATENATE("(",A165,",'",B165,"','",C165,"','",TEXT(D165,"aaaa-mm-jj"),"','",TEXT(E165,"aaaa-mm-jj"),"',",F165,",",G165,",",H165,"),")</f>
        <v>(162,'ROB1-01','Pipeline ROB1-01','1996-06-20','1999-11-15',NULL,1,10),</v>
      </c>
    </row>
    <row r="166" spans="1:9" ht="20.149999999999999" customHeight="1" x14ac:dyDescent="0.35">
      <c r="A166" s="3">
        <v>163</v>
      </c>
      <c r="B166" s="17" t="s">
        <v>5120</v>
      </c>
      <c r="C166" s="4" t="s">
        <v>5175</v>
      </c>
      <c r="D166" s="22">
        <v>36595</v>
      </c>
      <c r="E166" s="22">
        <v>37855</v>
      </c>
      <c r="F166" s="5" t="s">
        <v>972</v>
      </c>
      <c r="G166" s="5">
        <v>1</v>
      </c>
      <c r="H166" s="5">
        <v>10</v>
      </c>
      <c r="I166" s="4" t="str">
        <f>CONCATENATE("(",A166,",'",B166,"','",C166,"','",TEXT(D166,"aaaa-mm-jj"),"','",TEXT(E166,"aaaa-mm-jj"),"',",F166,",",G166,",",H166,"),")</f>
        <v>(163,'ROB1-02','Pipeline ROB1-02','2000-03-10','2003-08-22',NULL,1,10),</v>
      </c>
    </row>
    <row r="167" spans="1:9" ht="20.149999999999999" customHeight="1" x14ac:dyDescent="0.35">
      <c r="A167" s="3">
        <v>164</v>
      </c>
      <c r="B167" s="17" t="s">
        <v>5121</v>
      </c>
      <c r="C167" s="4" t="s">
        <v>5176</v>
      </c>
      <c r="D167" s="5" t="s">
        <v>5228</v>
      </c>
      <c r="E167" s="5" t="s">
        <v>5228</v>
      </c>
      <c r="F167" s="5" t="s">
        <v>972</v>
      </c>
      <c r="G167" s="5">
        <v>1</v>
      </c>
      <c r="H167" s="5">
        <v>10</v>
      </c>
      <c r="I167" s="4" t="str">
        <f>CONCATENATE("(",A167,",'",B167,"','",C167,"','",TEXT(D167,"aaaa-mm-jj"),"','",TEXT(E167,"aaaa-mm-jj"),"',",F167,",",G167,",",H167,"),")</f>
        <v>(164,'OG1','Pipeline OG1','2005-07-04','2005-07-04',NULL,1,10),</v>
      </c>
    </row>
    <row r="168" spans="1:9" ht="20.149999999999999" customHeight="1" x14ac:dyDescent="0.35">
      <c r="A168" s="3">
        <v>165</v>
      </c>
      <c r="B168" s="17" t="s">
        <v>5122</v>
      </c>
      <c r="C168" s="4" t="s">
        <v>5177</v>
      </c>
      <c r="D168" s="22">
        <v>21337</v>
      </c>
      <c r="E168" s="22">
        <v>21930</v>
      </c>
      <c r="F168" s="5" t="s">
        <v>972</v>
      </c>
      <c r="G168" s="5">
        <v>1</v>
      </c>
      <c r="H168" s="5">
        <v>10</v>
      </c>
      <c r="I168" s="4" t="str">
        <f>CONCATENATE("(",A168,",'",B168,"','",C168,"','",TEXT(D168,"aaaa-mm-jj"),"','",TEXT(E168,"aaaa-mm-jj"),"',",F168,",",G168,",",H168,"),")</f>
        <v>(165,'OT1','Pipeline OT1','1958-06-01','1960-01-15',NULL,1,10),</v>
      </c>
    </row>
    <row r="169" spans="1:9" ht="20.149999999999999" customHeight="1" x14ac:dyDescent="0.35">
      <c r="A169" s="3">
        <v>166</v>
      </c>
      <c r="B169" s="17" t="s">
        <v>5123</v>
      </c>
      <c r="C169" s="4" t="s">
        <v>5178</v>
      </c>
      <c r="D169" s="22" t="s">
        <v>5230</v>
      </c>
      <c r="E169" s="22" t="s">
        <v>5230</v>
      </c>
      <c r="F169" s="5" t="s">
        <v>972</v>
      </c>
      <c r="G169" s="5">
        <v>1</v>
      </c>
      <c r="H169" s="5">
        <v>10</v>
      </c>
      <c r="I169" s="4" t="str">
        <f>CONCATENATE("(",A169,",'",B169,"','",C169,"','",TEXT(D169,"aaaa-mm-jj"),"','",TEXT(E169,"aaaa-mm-jj"),"',",F169,",",G169,",",H169,"),")</f>
        <v>(166,'OH1','Pipeline OH1','1982-01-01','1982-01-01',NULL,1,10),</v>
      </c>
    </row>
    <row r="170" spans="1:9" ht="20.149999999999999" customHeight="1" x14ac:dyDescent="0.35">
      <c r="A170" s="3">
        <v>167</v>
      </c>
      <c r="B170" s="18" t="s">
        <v>5124</v>
      </c>
      <c r="C170" s="4" t="s">
        <v>5179</v>
      </c>
      <c r="D170" s="22">
        <v>38582</v>
      </c>
      <c r="E170" s="22">
        <v>39624</v>
      </c>
      <c r="F170" s="5" t="s">
        <v>972</v>
      </c>
      <c r="G170" s="5">
        <v>1</v>
      </c>
      <c r="H170" s="5">
        <v>10</v>
      </c>
      <c r="I170" s="4" t="str">
        <f>CONCATENATE("(",A170,",'",B170,"','",C170,"','",TEXT(D170,"aaaa-mm-jj"),"','",TEXT(E170,"aaaa-mm-jj"),"',",F170,",",G170,",",H170,"),")</f>
        <v>(167,'ROH1','Pipeline ROH1','2005-08-18','2008-06-25',NULL,1,10),</v>
      </c>
    </row>
    <row r="171" spans="1:9" ht="20.149999999999999" customHeight="1" x14ac:dyDescent="0.35">
      <c r="A171" s="3">
        <v>168</v>
      </c>
      <c r="B171" s="17" t="s">
        <v>5125</v>
      </c>
      <c r="C171" s="4" t="s">
        <v>5180</v>
      </c>
      <c r="D171" s="22" t="s">
        <v>5232</v>
      </c>
      <c r="E171" s="22" t="s">
        <v>5232</v>
      </c>
      <c r="F171" s="5" t="s">
        <v>972</v>
      </c>
      <c r="G171" s="5">
        <v>1</v>
      </c>
      <c r="H171" s="5">
        <v>10</v>
      </c>
      <c r="I171" s="4" t="str">
        <f>CONCATENATE("(",A171,",'",B171,"','",C171,"','",TEXT(D171,"aaaa-mm-jj"),"','",TEXT(E171,"aaaa-mm-jj"),"',",F171,",",G171,",",H171,"),")</f>
        <v>(168,'OH2','Pipeline OH2','1972-04-10','1972-04-10',NULL,1,10),</v>
      </c>
    </row>
    <row r="172" spans="1:9" ht="20.149999999999999" customHeight="1" x14ac:dyDescent="0.35">
      <c r="A172" s="3">
        <v>169</v>
      </c>
      <c r="B172" s="17" t="s">
        <v>5126</v>
      </c>
      <c r="C172" s="4" t="s">
        <v>5181</v>
      </c>
      <c r="D172" s="22">
        <v>35476</v>
      </c>
      <c r="E172" s="22">
        <v>37026</v>
      </c>
      <c r="F172" s="5" t="s">
        <v>972</v>
      </c>
      <c r="G172" s="5">
        <v>1</v>
      </c>
      <c r="H172" s="5">
        <v>10</v>
      </c>
      <c r="I172" s="4" t="str">
        <f>CONCATENATE("(",A172,",'",B172,"','",C172,"','",TEXT(D172,"aaaa-mm-jj"),"','",TEXT(E172,"aaaa-mm-jj"),"',",F172,",",G172,",",H172,"),")</f>
        <v>(169,'OH3','Pipeline OH3','1997-02-15','2001-05-15',NULL,1,10),</v>
      </c>
    </row>
    <row r="173" spans="1:9" ht="20.149999999999999" customHeight="1" x14ac:dyDescent="0.35">
      <c r="A173" s="3">
        <v>170</v>
      </c>
      <c r="B173" s="17" t="s">
        <v>5127</v>
      </c>
      <c r="C173" s="4" t="s">
        <v>5182</v>
      </c>
      <c r="D173" s="22" t="s">
        <v>5234</v>
      </c>
      <c r="E173" s="22" t="s">
        <v>5234</v>
      </c>
      <c r="F173" s="5" t="s">
        <v>972</v>
      </c>
      <c r="G173" s="5">
        <v>1</v>
      </c>
      <c r="H173" s="5">
        <v>10</v>
      </c>
      <c r="I173" s="4" t="str">
        <f>CONCATENATE("(",A173,",'",B173,"','",C173,"','",TEXT(D173,"aaaa-mm-jj"),"','",TEXT(E173,"aaaa-mm-jj"),"',",F173,",",G173,",",H173,"),")</f>
        <v>(170,'OH4','Pipeline OH4','2006-01-01','2006-01-01',NULL,1,10),</v>
      </c>
    </row>
    <row r="174" spans="1:9" ht="20.149999999999999" customHeight="1" x14ac:dyDescent="0.35">
      <c r="A174" s="3">
        <v>171</v>
      </c>
      <c r="B174" s="17" t="s">
        <v>5128</v>
      </c>
      <c r="C174" s="4" t="s">
        <v>5183</v>
      </c>
      <c r="D174" s="22" t="s">
        <v>5231</v>
      </c>
      <c r="E174" s="22" t="s">
        <v>5231</v>
      </c>
      <c r="F174" s="5" t="s">
        <v>972</v>
      </c>
      <c r="G174" s="5">
        <v>1</v>
      </c>
      <c r="H174" s="5">
        <v>10</v>
      </c>
      <c r="I174" s="4" t="str">
        <f>CONCATENATE("(",A174,",'",B174,"','",C174,"','",TEXT(D174,"aaaa-mm-jj"),"','",TEXT(E174,"aaaa-mm-jj"),"',",F174,",",G174,",",H174,"),")</f>
        <v>(171,'OD1','Pipeline OD1','1977-03-23','1977-03-23',NULL,1,10),</v>
      </c>
    </row>
    <row r="175" spans="1:9" ht="20.149999999999999" customHeight="1" x14ac:dyDescent="0.35">
      <c r="A175" s="3">
        <v>172</v>
      </c>
      <c r="B175" s="17" t="s">
        <v>5129</v>
      </c>
      <c r="C175" s="4" t="s">
        <v>5184</v>
      </c>
      <c r="D175" s="22">
        <v>38457</v>
      </c>
      <c r="E175" s="22">
        <v>39721</v>
      </c>
      <c r="F175" s="5" t="s">
        <v>972</v>
      </c>
      <c r="G175" s="5">
        <v>1</v>
      </c>
      <c r="H175" s="5">
        <v>10</v>
      </c>
      <c r="I175" s="4" t="str">
        <f>CONCATENATE("(",A175,",'",B175,"','",C175,"','",TEXT(D175,"aaaa-mm-jj"),"','",TEXT(E175,"aaaa-mm-jj"),"',",F175,",",G175,",",H175,"),")</f>
        <v>(172,'ROD1','Pipeline ROD1','2005-04-15','2008-09-30',NULL,1,10),</v>
      </c>
    </row>
    <row r="176" spans="1:9" ht="20.149999999999999" customHeight="1" x14ac:dyDescent="0.35">
      <c r="A176" s="3">
        <v>173</v>
      </c>
      <c r="B176" s="17" t="s">
        <v>5130</v>
      </c>
      <c r="C176" s="4" t="s">
        <v>5185</v>
      </c>
      <c r="D176" s="22">
        <v>38970</v>
      </c>
      <c r="E176" s="22">
        <v>39921</v>
      </c>
      <c r="F176" s="5" t="s">
        <v>972</v>
      </c>
      <c r="G176" s="5">
        <v>1</v>
      </c>
      <c r="H176" s="5">
        <v>10</v>
      </c>
      <c r="I176" s="4" t="str">
        <f>CONCATENATE("(",A176,",'",B176,"','",C176,"','",TEXT(D176,"aaaa-mm-jj"),"','",TEXT(E176,"aaaa-mm-jj"),"',",F176,",",G176,",",H176,"),")</f>
        <v>(173,'OD2','Pipeline OD2','2006-09-10','2009-04-18',NULL,1,10),</v>
      </c>
    </row>
    <row r="177" spans="1:9" ht="20.149999999999999" customHeight="1" x14ac:dyDescent="0.35">
      <c r="A177" s="3">
        <v>174</v>
      </c>
      <c r="B177" s="17" t="s">
        <v>5131</v>
      </c>
      <c r="C177" s="4" t="s">
        <v>5186</v>
      </c>
      <c r="D177" s="22">
        <v>39380</v>
      </c>
      <c r="E177" s="22">
        <v>40410</v>
      </c>
      <c r="F177" s="5" t="s">
        <v>972</v>
      </c>
      <c r="G177" s="5">
        <v>1</v>
      </c>
      <c r="H177" s="5">
        <v>10</v>
      </c>
      <c r="I177" s="4" t="str">
        <f>CONCATENATE("(",A177,",'",B177,"','",C177,"','",TEXT(D177,"aaaa-mm-jj"),"','",TEXT(E177,"aaaa-mm-jj"),"',",F177,",",G177,",",H177,"),")</f>
        <v>(174,'OD3','Pipeline OD3','2007-10-25','2010-08-20',NULL,1,10),</v>
      </c>
    </row>
    <row r="178" spans="1:9" ht="20.149999999999999" customHeight="1" x14ac:dyDescent="0.35">
      <c r="A178" s="3">
        <v>175</v>
      </c>
      <c r="B178" s="17" t="s">
        <v>5132</v>
      </c>
      <c r="C178" s="4" t="s">
        <v>5187</v>
      </c>
      <c r="D178" s="22" t="s">
        <v>5235</v>
      </c>
      <c r="E178" s="22" t="s">
        <v>5235</v>
      </c>
      <c r="F178" s="5" t="s">
        <v>972</v>
      </c>
      <c r="G178" s="5">
        <v>1</v>
      </c>
      <c r="H178" s="5">
        <v>10</v>
      </c>
      <c r="I178" s="4" t="str">
        <f>CONCATENATE("(",A178,",'",B178,"','",C178,"','",TEXT(D178,"aaaa-mm-jj"),"','",TEXT(E178,"aaaa-mm-jj"),"',",F178,",",G178,",",H178,"),")</f>
        <v>(175,'NZ1','Pipeline NZ1','1978-11-01','1978-11-01',NULL,1,10),</v>
      </c>
    </row>
    <row r="179" spans="1:9" ht="20.149999999999999" customHeight="1" x14ac:dyDescent="0.35">
      <c r="A179" s="3">
        <v>176</v>
      </c>
      <c r="B179" s="17" t="s">
        <v>5133</v>
      </c>
      <c r="C179" s="4" t="s">
        <v>5188</v>
      </c>
      <c r="D179" s="22" t="s">
        <v>5236</v>
      </c>
      <c r="E179" s="22" t="s">
        <v>5236</v>
      </c>
      <c r="F179" s="5" t="s">
        <v>972</v>
      </c>
      <c r="G179" s="5">
        <v>1</v>
      </c>
      <c r="H179" s="5">
        <v>10</v>
      </c>
      <c r="I179" s="4" t="str">
        <f>CONCATENATE("(",A179,",'",B179,"','",C179,"','",TEXT(D179,"aaaa-mm-jj"),"','",TEXT(E179,"aaaa-mm-jj"),"',",F179,",",G179,",",H179,"),")</f>
        <v>(176,'NK1','Pipeline NK1','2009-08-04','2009-08-04',NULL,1,10),</v>
      </c>
    </row>
    <row r="180" spans="1:9" ht="20.149999999999999" customHeight="1" x14ac:dyDescent="0.35">
      <c r="A180" s="3">
        <v>177</v>
      </c>
      <c r="B180" s="17" t="s">
        <v>5134</v>
      </c>
      <c r="C180" s="4" t="s">
        <v>5189</v>
      </c>
      <c r="D180" s="22" t="s">
        <v>5229</v>
      </c>
      <c r="E180" s="22" t="s">
        <v>5229</v>
      </c>
      <c r="F180" s="5" t="s">
        <v>972</v>
      </c>
      <c r="G180" s="5">
        <v>1</v>
      </c>
      <c r="H180" s="5">
        <v>10</v>
      </c>
      <c r="I180" s="4" t="str">
        <f>CONCATENATE("(",A180,",'",B180,"','",C180,"','",TEXT(D180,"aaaa-mm-jj"),"','",TEXT(E180,"aaaa-mm-jj"),"',",F180,",",G180,",",H180,"),")</f>
        <v>(177,'NH2','Pipeline NH2','1960-01-01','1960-01-01',NULL,1,10),</v>
      </c>
    </row>
    <row r="181" spans="1:9" ht="20.149999999999999" customHeight="1" x14ac:dyDescent="0.35">
      <c r="A181" s="3">
        <v>178</v>
      </c>
      <c r="B181" s="17" t="s">
        <v>5135</v>
      </c>
      <c r="C181" s="4" t="s">
        <v>5190</v>
      </c>
      <c r="D181" s="25">
        <v>37639</v>
      </c>
      <c r="E181" s="25">
        <v>38647</v>
      </c>
      <c r="F181" s="5" t="s">
        <v>972</v>
      </c>
      <c r="G181" s="5">
        <v>1</v>
      </c>
      <c r="H181" s="5">
        <v>10</v>
      </c>
      <c r="I181" s="4" t="str">
        <f>CONCATENATE("(",A181,",'",B181,"','",C181,"','",TEXT(D181,"aaaa-mm-jj"),"','",TEXT(E181,"aaaa-mm-jj"),"',",F181,",",G181,",",H181,"),")</f>
        <v>(178,'LNZ1','Pipeline LNZ1','2003-01-18','2005-10-22',NULL,1,10),</v>
      </c>
    </row>
    <row r="182" spans="1:9" ht="20.149999999999999" customHeight="1" x14ac:dyDescent="0.35">
      <c r="A182" s="3">
        <v>179</v>
      </c>
      <c r="B182" s="17" t="s">
        <v>5136</v>
      </c>
      <c r="C182" s="4" t="s">
        <v>5191</v>
      </c>
      <c r="D182" s="22" t="s">
        <v>5237</v>
      </c>
      <c r="E182" s="22" t="s">
        <v>5237</v>
      </c>
      <c r="F182" s="5" t="s">
        <v>972</v>
      </c>
      <c r="G182" s="5">
        <v>1</v>
      </c>
      <c r="H182" s="5">
        <v>10</v>
      </c>
      <c r="I182" s="4" t="str">
        <f>CONCATENATE("(",A182,",'",B182,"','",C182,"','",TEXT(D182,"aaaa-mm-jj"),"','",TEXT(E182,"aaaa-mm-jj"),"',",F182,",",G182,",",H182,"),")</f>
        <v>(179,'LZ1','Pipeline LZ1','1984-02-08','1984-02-08',NULL,1,10),</v>
      </c>
    </row>
    <row r="183" spans="1:9" ht="20.149999999999999" customHeight="1" x14ac:dyDescent="0.35">
      <c r="A183" s="3">
        <v>180</v>
      </c>
      <c r="B183" s="17" t="s">
        <v>5137</v>
      </c>
      <c r="C183" s="4" t="s">
        <v>5192</v>
      </c>
      <c r="D183" s="22" t="s">
        <v>5238</v>
      </c>
      <c r="E183" s="22" t="s">
        <v>5238</v>
      </c>
      <c r="F183" s="5" t="s">
        <v>972</v>
      </c>
      <c r="G183" s="5">
        <v>1</v>
      </c>
      <c r="H183" s="5">
        <v>10</v>
      </c>
      <c r="I183" s="4" t="str">
        <f>CONCATENATE("(",A183,",'",B183,"','",C183,"','",TEXT(D183,"aaaa-mm-jj"),"','",TEXT(E183,"aaaa-mm-jj"),"',",F183,",",G183,",",H183,"),")</f>
        <v>(180,'LZ2','Pipeline LZ2','2010-11-01','2010-11-01',NULL,1,10),</v>
      </c>
    </row>
    <row r="184" spans="1:9" ht="20.149999999999999" customHeight="1" x14ac:dyDescent="0.35">
      <c r="A184" s="3">
        <v>181</v>
      </c>
      <c r="B184" s="17" t="s">
        <v>5138</v>
      </c>
      <c r="C184" s="4" t="s">
        <v>5193</v>
      </c>
      <c r="D184" s="22" t="s">
        <v>5239</v>
      </c>
      <c r="E184" s="22" t="s">
        <v>5239</v>
      </c>
      <c r="F184" s="5" t="s">
        <v>972</v>
      </c>
      <c r="G184" s="5">
        <v>1</v>
      </c>
      <c r="H184" s="5">
        <v>10</v>
      </c>
      <c r="I184" s="4" t="str">
        <f>CONCATENATE("(",A184,",'",B184,"','",C184,"','",TEXT(D184,"aaaa-mm-jj"),"','",TEXT(E184,"aaaa-mm-jj"),"',",F184,",",G184,",",H184,"),")</f>
        <v>(181,'LR1','Pipeline LR1','1996-01-01','1996-01-01',NULL,1,10),</v>
      </c>
    </row>
    <row r="185" spans="1:9" ht="20.149999999999999" customHeight="1" x14ac:dyDescent="0.35">
      <c r="A185" s="3">
        <v>182</v>
      </c>
      <c r="B185" s="17" t="s">
        <v>5139</v>
      </c>
      <c r="C185" s="4" t="s">
        <v>5194</v>
      </c>
      <c r="D185" s="22" t="s">
        <v>5240</v>
      </c>
      <c r="E185" s="5" t="s">
        <v>5240</v>
      </c>
      <c r="F185" s="5" t="s">
        <v>972</v>
      </c>
      <c r="G185" s="5">
        <v>1</v>
      </c>
      <c r="H185" s="5">
        <v>10</v>
      </c>
      <c r="I185" s="4" t="str">
        <f>CONCATENATE("(",A185,",'",B185,"','",C185,"','",TEXT(D185,"aaaa-mm-jj"),"','",TEXT(E185,"aaaa-mm-jj"),"',",F185,",",G185,",",H185,"),")</f>
        <v>(182,'DLR1','Pipeline DLR1','2004-10-04','2004-10-04',NULL,1,10),</v>
      </c>
    </row>
    <row r="186" spans="1:9" ht="20.149999999999999" customHeight="1" x14ac:dyDescent="0.35">
      <c r="A186" s="3">
        <v>183</v>
      </c>
      <c r="B186" s="17" t="s">
        <v>5140</v>
      </c>
      <c r="C186" s="4" t="s">
        <v>5195</v>
      </c>
      <c r="D186" s="22" t="s">
        <v>5241</v>
      </c>
      <c r="E186" s="5" t="s">
        <v>5241</v>
      </c>
      <c r="F186" s="5" t="s">
        <v>972</v>
      </c>
      <c r="G186" s="5">
        <v>1</v>
      </c>
      <c r="H186" s="5">
        <v>10</v>
      </c>
      <c r="I186" s="4" t="str">
        <f>CONCATENATE("(",A186,",'",B186,"','",C186,"','",TEXT(D186,"aaaa-mm-jj"),"','",TEXT(E186,"aaaa-mm-jj"),"',",F186,",",G186,",",H186,"),")</f>
        <v>(183,'ELR1','Pipeline ELR1','2014-01-01','2014-01-01',NULL,1,10),</v>
      </c>
    </row>
    <row r="187" spans="1:9" ht="20.149999999999999" customHeight="1" x14ac:dyDescent="0.35">
      <c r="A187" s="3">
        <v>184</v>
      </c>
      <c r="B187" s="17" t="s">
        <v>5141</v>
      </c>
      <c r="C187" s="4" t="s">
        <v>5196</v>
      </c>
      <c r="D187" s="22">
        <v>21976</v>
      </c>
      <c r="E187" s="22">
        <v>22372</v>
      </c>
      <c r="F187" s="5" t="s">
        <v>972</v>
      </c>
      <c r="G187" s="5">
        <v>1</v>
      </c>
      <c r="H187" s="5">
        <v>10</v>
      </c>
      <c r="I187" s="4" t="str">
        <f>CONCATENATE("(",A187,",'",B187,"','",C187,"','",TEXT(D187,"aaaa-mm-jj"),"','",TEXT(E187,"aaaa-mm-jj"),"',",F187,",",G187,",",H187,"),")</f>
        <v>(184,'GZ0','Pipeline GZ0','1960-03-01','1961-04-01',NULL,1,10),</v>
      </c>
    </row>
    <row r="188" spans="1:9" ht="20.149999999999999" customHeight="1" x14ac:dyDescent="0.35">
      <c r="A188" s="3">
        <v>185</v>
      </c>
      <c r="B188" s="17" t="s">
        <v>5142</v>
      </c>
      <c r="C188" s="4" t="s">
        <v>5197</v>
      </c>
      <c r="D188" s="22" t="s">
        <v>5243</v>
      </c>
      <c r="E188" s="5" t="s">
        <v>5243</v>
      </c>
      <c r="F188" s="5" t="s">
        <v>972</v>
      </c>
      <c r="G188" s="5">
        <v>1</v>
      </c>
      <c r="H188" s="5">
        <v>10</v>
      </c>
      <c r="I188" s="4" t="str">
        <f>CONCATENATE("(",A188,",'",B188,"','",C188,"','",TEXT(D188,"aaaa-mm-jj"),"','",TEXT(E188,"aaaa-mm-jj"),"',",F188,",",G188,",",H188,"),")</f>
        <v>(185,'GZ0 Bis','Pipeline GZ0 Bis','2022-09-01','2022-09-01',NULL,1,10),</v>
      </c>
    </row>
    <row r="189" spans="1:9" ht="20.149999999999999" customHeight="1" x14ac:dyDescent="0.35">
      <c r="A189" s="3">
        <v>186</v>
      </c>
      <c r="B189" s="17" t="s">
        <v>5143</v>
      </c>
      <c r="C189" s="4" t="s">
        <v>5198</v>
      </c>
      <c r="D189" s="22" t="s">
        <v>5242</v>
      </c>
      <c r="E189" s="5" t="s">
        <v>5242</v>
      </c>
      <c r="F189" s="5" t="s">
        <v>972</v>
      </c>
      <c r="G189" s="5">
        <v>1</v>
      </c>
      <c r="H189" s="5">
        <v>10</v>
      </c>
      <c r="I189" s="4" t="str">
        <f>CONCATENATE("(",A189,",'",B189,"','",C189,"','",TEXT(D189,"aaaa-mm-jj"),"','",TEXT(E189,"aaaa-mm-jj"),"',",F189,",",G189,",",H189,"),")</f>
        <v>(186,'GZ1','Pipeline GZ1','1976-01-01','1976-01-01',NULL,1,10),</v>
      </c>
    </row>
    <row r="190" spans="1:9" ht="20.149999999999999" customHeight="1" x14ac:dyDescent="0.35">
      <c r="A190" s="3">
        <v>187</v>
      </c>
      <c r="B190" s="17" t="s">
        <v>5144</v>
      </c>
      <c r="C190" s="4" t="s">
        <v>5199</v>
      </c>
      <c r="D190" s="22" t="s">
        <v>5230</v>
      </c>
      <c r="E190" s="5" t="s">
        <v>5230</v>
      </c>
      <c r="F190" s="5" t="s">
        <v>972</v>
      </c>
      <c r="G190" s="5">
        <v>1</v>
      </c>
      <c r="H190" s="5">
        <v>10</v>
      </c>
      <c r="I190" s="4" t="str">
        <f>CONCATENATE("(",A190,",'",B190,"','",C190,"','",TEXT(D190,"aaaa-mm-jj"),"','",TEXT(E190,"aaaa-mm-jj"),"',",F190,",",G190,",",H190,"),")</f>
        <v>(187,'GZ2','Pipeline GZ2','1982-01-01','1982-01-01',NULL,1,10),</v>
      </c>
    </row>
    <row r="191" spans="1:9" ht="20.149999999999999" customHeight="1" x14ac:dyDescent="0.35">
      <c r="A191" s="3">
        <v>188</v>
      </c>
      <c r="B191" s="17" t="s">
        <v>5145</v>
      </c>
      <c r="C191" s="4" t="s">
        <v>5200</v>
      </c>
      <c r="D191" s="22">
        <v>37333</v>
      </c>
      <c r="E191" s="22">
        <v>38405</v>
      </c>
      <c r="F191" s="5" t="s">
        <v>972</v>
      </c>
      <c r="G191" s="5">
        <v>1</v>
      </c>
      <c r="H191" s="5">
        <v>10</v>
      </c>
      <c r="I191" s="4" t="str">
        <f>CONCATENATE("(",A191,",'",B191,"','",C191,"','",TEXT(D191,"aaaa-mm-jj"),"','",TEXT(E191,"aaaa-mm-jj"),"',",F191,",",G191,",",H191,"),")</f>
        <v>(188,'RGZ2','Pipeline RGZ2','2002-03-18','2005-02-22',NULL,1,10),</v>
      </c>
    </row>
    <row r="192" spans="1:9" ht="20.149999999999999" customHeight="1" x14ac:dyDescent="0.35">
      <c r="A192" s="3">
        <v>189</v>
      </c>
      <c r="B192" s="17" t="s">
        <v>5146</v>
      </c>
      <c r="C192" s="4" t="s">
        <v>5201</v>
      </c>
      <c r="D192" s="22" t="s">
        <v>5244</v>
      </c>
      <c r="E192" s="5" t="s">
        <v>5244</v>
      </c>
      <c r="F192" s="5" t="s">
        <v>972</v>
      </c>
      <c r="G192" s="5">
        <v>1</v>
      </c>
      <c r="H192" s="5">
        <v>10</v>
      </c>
      <c r="I192" s="4" t="str">
        <f>CONCATENATE("(",A192,",'",B192,"','",C192,"','",TEXT(D192,"aaaa-mm-jj"),"','",TEXT(E192,"aaaa-mm-jj"),"',",F192,",",G192,",",H192,"),")</f>
        <v>(189,'GZ3','Pipeline GZ3','1989-01-01','1989-01-01',NULL,1,10),</v>
      </c>
    </row>
    <row r="193" spans="1:9" ht="20.149999999999999" customHeight="1" x14ac:dyDescent="0.35">
      <c r="A193" s="3">
        <v>190</v>
      </c>
      <c r="B193" s="17" t="s">
        <v>5147</v>
      </c>
      <c r="C193" s="4" t="s">
        <v>5202</v>
      </c>
      <c r="D193" s="22" t="s">
        <v>5245</v>
      </c>
      <c r="E193" s="5" t="s">
        <v>5245</v>
      </c>
      <c r="F193" s="5" t="s">
        <v>972</v>
      </c>
      <c r="G193" s="5">
        <v>1</v>
      </c>
      <c r="H193" s="5">
        <v>10</v>
      </c>
      <c r="I193" s="4" t="str">
        <f>CONCATENATE("(",A193,",'",B193,"','",C193,"','",TEXT(D193,"aaaa-mm-jj"),"','",TEXT(E193,"aaaa-mm-jj"),"',",F193,",",G193,",",H193,"),")</f>
        <v>(190,'RGZ3-01','Pipeline RGZ3-01','2018-01-01','2018-01-01',NULL,1,10),</v>
      </c>
    </row>
    <row r="194" spans="1:9" ht="20.149999999999999" customHeight="1" x14ac:dyDescent="0.35">
      <c r="A194" s="3">
        <v>191</v>
      </c>
      <c r="B194" s="17" t="s">
        <v>5148</v>
      </c>
      <c r="C194" s="4" t="s">
        <v>5203</v>
      </c>
      <c r="D194" s="22">
        <v>37753</v>
      </c>
      <c r="E194" s="22">
        <v>38949</v>
      </c>
      <c r="F194" s="5" t="s">
        <v>972</v>
      </c>
      <c r="G194" s="5">
        <v>1</v>
      </c>
      <c r="H194" s="5">
        <v>10</v>
      </c>
      <c r="I194" s="4" t="str">
        <f>CONCATENATE("(",A194,",'",B194,"','",C194,"','",TEXT(D194,"aaaa-mm-jj"),"','",TEXT(E194,"aaaa-mm-jj"),"',",F194,",",G194,",",H194,"),")</f>
        <v>(191,'RGZ3-02','Pipeline RGZ3-02','2003-05-12','2006-08-20',NULL,1,10),</v>
      </c>
    </row>
    <row r="195" spans="1:9" ht="20.149999999999999" customHeight="1" x14ac:dyDescent="0.35">
      <c r="A195" s="3">
        <v>192</v>
      </c>
      <c r="B195" s="17" t="s">
        <v>5149</v>
      </c>
      <c r="C195" s="4" t="s">
        <v>5204</v>
      </c>
      <c r="D195" s="22" t="s">
        <v>5246</v>
      </c>
      <c r="E195" s="22" t="s">
        <v>5246</v>
      </c>
      <c r="F195" s="5" t="s">
        <v>972</v>
      </c>
      <c r="G195" s="5">
        <v>1</v>
      </c>
      <c r="H195" s="5">
        <v>10</v>
      </c>
      <c r="I195" s="4" t="str">
        <f>CONCATENATE("(",A195,",'",B195,"','",C195,"','",TEXT(D195,"aaaa-mm-jj"),"','",TEXT(E195,"aaaa-mm-jj"),"',",F195,",",G195,",",H195,"),")</f>
        <v>(192,'GZ4-01','Pipeline GZ4-01','2010-04-16','2010-04-16',NULL,1,10),</v>
      </c>
    </row>
    <row r="196" spans="1:9" ht="20.149999999999999" customHeight="1" x14ac:dyDescent="0.35">
      <c r="A196" s="3">
        <v>193</v>
      </c>
      <c r="B196" s="17" t="s">
        <v>5150</v>
      </c>
      <c r="C196" s="4" t="s">
        <v>5205</v>
      </c>
      <c r="D196" s="22">
        <v>38006</v>
      </c>
      <c r="E196" s="22">
        <v>39018</v>
      </c>
      <c r="F196" s="5" t="s">
        <v>972</v>
      </c>
      <c r="G196" s="5">
        <v>1</v>
      </c>
      <c r="H196" s="5">
        <v>10</v>
      </c>
      <c r="I196" s="4" t="str">
        <f>CONCATENATE("(",A196,",'",B196,"','",C196,"','",TEXT(D196,"aaaa-mm-jj"),"','",TEXT(E196,"aaaa-mm-jj"),"',",F196,",",G196,",",H196,"),")</f>
        <v>(193,'GZ4-02','Pipeline GZ4-02','2004-01-20','2006-10-28',NULL,1,10),</v>
      </c>
    </row>
    <row r="197" spans="1:9" ht="20.149999999999999" customHeight="1" x14ac:dyDescent="0.35">
      <c r="A197" s="3">
        <v>194</v>
      </c>
      <c r="B197" s="17" t="s">
        <v>5151</v>
      </c>
      <c r="C197" s="4" t="s">
        <v>5206</v>
      </c>
      <c r="D197" s="22">
        <v>38398</v>
      </c>
      <c r="E197" s="22">
        <v>39416</v>
      </c>
      <c r="F197" s="5" t="s">
        <v>972</v>
      </c>
      <c r="G197" s="5">
        <v>1</v>
      </c>
      <c r="H197" s="5">
        <v>10</v>
      </c>
      <c r="I197" s="4" t="str">
        <f>CONCATENATE("(",A197,",'",B197,"','",C197,"','",TEXT(D197,"aaaa-mm-jj"),"','",TEXT(E197,"aaaa-mm-jj"),"',",F197,",",G197,",",H197,"),")</f>
        <v>(194,'GZ4-03','Pipeline GZ4-03','2005-02-15','2007-11-30',NULL,1,10),</v>
      </c>
    </row>
    <row r="198" spans="1:9" ht="20.149999999999999" customHeight="1" x14ac:dyDescent="0.35">
      <c r="A198" s="3">
        <v>195</v>
      </c>
      <c r="B198" s="17" t="s">
        <v>5152</v>
      </c>
      <c r="C198" s="4" t="s">
        <v>5207</v>
      </c>
      <c r="D198" s="22" t="s">
        <v>5248</v>
      </c>
      <c r="E198" s="22" t="s">
        <v>5249</v>
      </c>
      <c r="F198" s="5" t="s">
        <v>972</v>
      </c>
      <c r="G198" s="5">
        <v>1</v>
      </c>
      <c r="H198" s="5">
        <v>10</v>
      </c>
      <c r="I198" s="4" t="str">
        <f>CONCATENATE("(",A198,",'",B198,"','",C198,"','",TEXT(D198,"aaaa-mm-jj"),"','",TEXT(E198,"aaaa-mm-jj"),"',",F198,",",G198,",",H198,"),")</f>
        <v>(195,'GK1','Pipeline GK1','1971-01-01','1978-01-01',NULL,1,10),</v>
      </c>
    </row>
    <row r="199" spans="1:9" ht="20.149999999999999" customHeight="1" x14ac:dyDescent="0.35">
      <c r="A199" s="3">
        <v>196</v>
      </c>
      <c r="B199" s="17" t="s">
        <v>5153</v>
      </c>
      <c r="C199" s="4" t="s">
        <v>5208</v>
      </c>
      <c r="D199" s="22" t="s">
        <v>5250</v>
      </c>
      <c r="E199" s="22" t="s">
        <v>5251</v>
      </c>
      <c r="F199" s="5" t="s">
        <v>972</v>
      </c>
      <c r="G199" s="5">
        <v>1</v>
      </c>
      <c r="H199" s="5">
        <v>10</v>
      </c>
      <c r="I199" s="4" t="str">
        <f>CONCATENATE("(",A199,",'",B199,"','",C199,"','",TEXT(D199,"aaaa-mm-jj"),"','",TEXT(E199,"aaaa-mm-jj"),"',",F199,",",G199,",",H199,"),")</f>
        <v>(196,'GK2','Pipeline GK2','1998-01-01','2001-01-01',NULL,1,10),</v>
      </c>
    </row>
    <row r="200" spans="1:9" ht="20.149999999999999" customHeight="1" x14ac:dyDescent="0.35">
      <c r="A200" s="3">
        <v>197</v>
      </c>
      <c r="B200" s="17" t="s">
        <v>5154</v>
      </c>
      <c r="C200" s="4" t="s">
        <v>5209</v>
      </c>
      <c r="D200" s="22" t="s">
        <v>5252</v>
      </c>
      <c r="E200" s="22" t="s">
        <v>5252</v>
      </c>
      <c r="F200" s="5" t="s">
        <v>972</v>
      </c>
      <c r="G200" s="5">
        <v>1</v>
      </c>
      <c r="H200" s="5">
        <v>10</v>
      </c>
      <c r="I200" s="4" t="str">
        <f>CONCATENATE("(",A200,",'",B200,"','",C200,"','",TEXT(D200,"aaaa-mm-jj"),"','",TEXT(E200,"aaaa-mm-jj"),"',",F200,",",G200,",",H200,"),")</f>
        <v>(197,'GK3-01','Pipeline GK3-01','2012-01-01','2012-01-01',NULL,1,10),</v>
      </c>
    </row>
    <row r="201" spans="1:9" ht="20.149999999999999" customHeight="1" x14ac:dyDescent="0.35">
      <c r="A201" s="3">
        <v>198</v>
      </c>
      <c r="B201" s="17" t="s">
        <v>5155</v>
      </c>
      <c r="C201" s="4" t="s">
        <v>5210</v>
      </c>
      <c r="D201" s="22">
        <v>37700</v>
      </c>
      <c r="E201" s="22">
        <v>38640</v>
      </c>
      <c r="F201" s="5" t="s">
        <v>972</v>
      </c>
      <c r="G201" s="5">
        <v>1</v>
      </c>
      <c r="H201" s="5">
        <v>10</v>
      </c>
      <c r="I201" s="4" t="str">
        <f>CONCATENATE("(",A201,",'",B201,"','",C201,"','",TEXT(D201,"aaaa-mm-jj"),"','",TEXT(E201,"aaaa-mm-jj"),"',",F201,",",G201,",",H201,"),")</f>
        <v>(198,'GK3-02','Pipeline GK3-02','2003-03-20','2005-10-15',NULL,1,10),</v>
      </c>
    </row>
    <row r="202" spans="1:9" ht="20.149999999999999" customHeight="1" x14ac:dyDescent="0.35">
      <c r="A202" s="3">
        <v>199</v>
      </c>
      <c r="B202" s="17" t="s">
        <v>5156</v>
      </c>
      <c r="C202" s="4" t="s">
        <v>5211</v>
      </c>
      <c r="D202" s="22" t="s">
        <v>5256</v>
      </c>
      <c r="E202" s="22" t="s">
        <v>5256</v>
      </c>
      <c r="F202" s="5" t="s">
        <v>972</v>
      </c>
      <c r="G202" s="5">
        <v>1</v>
      </c>
      <c r="H202" s="5">
        <v>10</v>
      </c>
      <c r="I202" s="4" t="str">
        <f>CONCATENATE("(",A202,",'",B202,"','",C202,"','",TEXT(D202,"aaaa-mm-jj"),"','",TEXT(E202,"aaaa-mm-jj"),"',",F202,",",G202,",",H202,"),")</f>
        <v>(199,'GG1','Pipeline GG1','1981-01-01','1981-01-01',NULL,1,10),</v>
      </c>
    </row>
    <row r="203" spans="1:9" ht="20.149999999999999" customHeight="1" x14ac:dyDescent="0.35">
      <c r="A203" s="3">
        <v>200</v>
      </c>
      <c r="B203" s="17" t="s">
        <v>5157</v>
      </c>
      <c r="C203" s="4" t="s">
        <v>5212</v>
      </c>
      <c r="D203" s="22" t="s">
        <v>5257</v>
      </c>
      <c r="E203" s="22" t="s">
        <v>5257</v>
      </c>
      <c r="F203" s="5" t="s">
        <v>972</v>
      </c>
      <c r="G203" s="5">
        <v>1</v>
      </c>
      <c r="H203" s="5">
        <v>10</v>
      </c>
      <c r="I203" s="4" t="str">
        <f>CONCATENATE("(",A203,",'",B203,"','",C203,"','",TEXT(D203,"aaaa-mm-jj"),"','",TEXT(E203,"aaaa-mm-jj"),"',",F203,",",G203,",",H203,"),")</f>
        <v>(200,'RGG1','Pipeline RGG1','2019-01-01','2019-01-01',NULL,1,10),</v>
      </c>
    </row>
    <row r="204" spans="1:9" ht="20.149999999999999" customHeight="1" x14ac:dyDescent="0.35">
      <c r="A204" s="3">
        <v>201</v>
      </c>
      <c r="B204" s="17" t="s">
        <v>5158</v>
      </c>
      <c r="C204" s="4" t="s">
        <v>5213</v>
      </c>
      <c r="D204" s="22">
        <v>34222</v>
      </c>
      <c r="E204" s="22">
        <v>35389</v>
      </c>
      <c r="F204" s="5" t="s">
        <v>972</v>
      </c>
      <c r="G204" s="5">
        <v>1</v>
      </c>
      <c r="H204" s="5">
        <v>10</v>
      </c>
      <c r="I204" s="4" t="str">
        <f>CONCATENATE("(",A204,",'",B204,"','",C204,"','",TEXT(D204,"aaaa-mm-jj"),"','",TEXT(E204,"aaaa-mm-jj"),"',",F204,",",G204,",",H204,"),")</f>
        <v>(201,'GM1','Pipeline GM1','1993-09-10','1996-11-20',NULL,1,10),</v>
      </c>
    </row>
    <row r="205" spans="1:9" ht="20.149999999999999" customHeight="1" x14ac:dyDescent="0.35">
      <c r="A205" s="3">
        <v>202</v>
      </c>
      <c r="B205" s="17" t="s">
        <v>5159</v>
      </c>
      <c r="C205" s="4" t="s">
        <v>5214</v>
      </c>
      <c r="D205" s="22" t="s">
        <v>5258</v>
      </c>
      <c r="E205" s="22" t="s">
        <v>5258</v>
      </c>
      <c r="F205" s="5" t="s">
        <v>972</v>
      </c>
      <c r="G205" s="5">
        <v>1</v>
      </c>
      <c r="H205" s="5">
        <v>10</v>
      </c>
      <c r="I205" s="4" t="str">
        <f>CONCATENATE("(",A205,",'",B205,"','",C205,"','",TEXT(D205,"aaaa-mm-jj"),"','",TEXT(E205,"aaaa-mm-jj"),"',",F205,",",G205,",",H205,"),")</f>
        <v>(202,'GR1','Pipeline GR1','1986-01-01','1986-01-01',NULL,1,10),</v>
      </c>
    </row>
    <row r="206" spans="1:9" ht="20.149999999999999" customHeight="1" x14ac:dyDescent="0.35">
      <c r="A206" s="3">
        <v>203</v>
      </c>
      <c r="B206" s="17" t="s">
        <v>5160</v>
      </c>
      <c r="C206" s="4" t="s">
        <v>5215</v>
      </c>
      <c r="D206" s="22" t="s">
        <v>5233</v>
      </c>
      <c r="E206" s="22" t="s">
        <v>5233</v>
      </c>
      <c r="F206" s="5" t="s">
        <v>972</v>
      </c>
      <c r="G206" s="5">
        <v>1</v>
      </c>
      <c r="H206" s="5">
        <v>10</v>
      </c>
      <c r="I206" s="4" t="str">
        <f>CONCATENATE("(",A206,",'",B206,"','",C206,"','",TEXT(D206,"aaaa-mm-jj"),"','",TEXT(E206,"aaaa-mm-jj"),"',",F206,",",G206,",",H206,"),")</f>
        <v>(203,'GR2','Pipeline GR2','1999-01-01','1999-01-01',NULL,1,10),</v>
      </c>
    </row>
    <row r="207" spans="1:9" ht="20.149999999999999" customHeight="1" x14ac:dyDescent="0.35">
      <c r="A207" s="3">
        <v>204</v>
      </c>
      <c r="B207" s="17" t="s">
        <v>5161</v>
      </c>
      <c r="C207" s="4" t="s">
        <v>5216</v>
      </c>
      <c r="D207" s="22">
        <v>38064</v>
      </c>
      <c r="E207" s="22">
        <v>39285</v>
      </c>
      <c r="F207" s="5" t="s">
        <v>972</v>
      </c>
      <c r="G207" s="5">
        <v>1</v>
      </c>
      <c r="H207" s="5">
        <v>10</v>
      </c>
      <c r="I207" s="4" t="str">
        <f>CONCATENATE("(",A207,",'",B207,"','",C207,"','",TEXT(D207,"aaaa-mm-jj"),"','",TEXT(E207,"aaaa-mm-jj"),"',",F207,",",G207,",",H207,"),")</f>
        <v>(204,'GR3','Pipeline GR3','2004-03-18','2007-07-22',NULL,1,10),</v>
      </c>
    </row>
    <row r="208" spans="1:9" ht="20.149999999999999" customHeight="1" x14ac:dyDescent="0.35">
      <c r="A208" s="3">
        <v>205</v>
      </c>
      <c r="B208" s="17" t="s">
        <v>5162</v>
      </c>
      <c r="C208" s="4" t="s">
        <v>5217</v>
      </c>
      <c r="D208" s="22" t="s">
        <v>5241</v>
      </c>
      <c r="E208" s="22" t="s">
        <v>5241</v>
      </c>
      <c r="F208" s="5" t="s">
        <v>972</v>
      </c>
      <c r="G208" s="5">
        <v>1</v>
      </c>
      <c r="H208" s="5">
        <v>10</v>
      </c>
      <c r="I208" s="4" t="str">
        <f>CONCATENATE("(",A208,",'",B208,"','",C208,"','",TEXT(D208,"aaaa-mm-jj"),"','",TEXT(E208,"aaaa-mm-jj"),"',",F208,",",G208,",",H208,"),")</f>
        <v>(205,'GR4','Pipeline GR4','2014-01-01','2014-01-01',NULL,1,10),</v>
      </c>
    </row>
    <row r="209" spans="1:9" ht="20.149999999999999" customHeight="1" x14ac:dyDescent="0.35">
      <c r="A209" s="3">
        <v>206</v>
      </c>
      <c r="B209" s="17" t="s">
        <v>5163</v>
      </c>
      <c r="C209" s="4" t="s">
        <v>5218</v>
      </c>
      <c r="D209" s="22" t="s">
        <v>5260</v>
      </c>
      <c r="E209" s="22" t="s">
        <v>5260</v>
      </c>
      <c r="F209" s="5" t="s">
        <v>972</v>
      </c>
      <c r="G209" s="5">
        <v>1</v>
      </c>
      <c r="H209" s="5">
        <v>10</v>
      </c>
      <c r="I209" s="4" t="str">
        <f>CONCATENATE("(",A209,",'",B209,"','",C209,"','",TEXT(D209,"aaaa-mm-jj"),"','",TEXT(E209,"aaaa-mm-jj"),"',",F209,",",G209,",",H209,"),")</f>
        <v>(206,'GR5','Pipeline GR5','2017-06-01','2017-06-01',NULL,1,10),</v>
      </c>
    </row>
    <row r="210" spans="1:9" ht="20.149999999999999" customHeight="1" x14ac:dyDescent="0.35">
      <c r="A210" s="3">
        <v>207</v>
      </c>
      <c r="B210" s="17" t="s">
        <v>5164</v>
      </c>
      <c r="C210" s="4" t="s">
        <v>5219</v>
      </c>
      <c r="D210" s="22" t="s">
        <v>5259</v>
      </c>
      <c r="E210" s="22" t="s">
        <v>5259</v>
      </c>
      <c r="F210" s="5" t="s">
        <v>972</v>
      </c>
      <c r="G210" s="5">
        <v>1</v>
      </c>
      <c r="H210" s="5">
        <v>10</v>
      </c>
      <c r="I210" s="4" t="str">
        <f>CONCATENATE("(",A210,",'",B210,"','",C210,"','",TEXT(D210,"aaaa-mm-jj"),"','",TEXT(E210,"aaaa-mm-jj"),"',",F210,",",G210,",",H210,"),")</f>
        <v>(207,'GR6','Pipeline GR6','2017-01-01','2017-01-01',NULL,1,10),</v>
      </c>
    </row>
    <row r="211" spans="1:9" ht="20.149999999999999" customHeight="1" x14ac:dyDescent="0.35">
      <c r="A211" s="3">
        <v>208</v>
      </c>
      <c r="B211" s="17" t="s">
        <v>5165</v>
      </c>
      <c r="C211" s="4" t="s">
        <v>5220</v>
      </c>
      <c r="D211" s="22" t="s">
        <v>5261</v>
      </c>
      <c r="E211" s="22" t="s">
        <v>5261</v>
      </c>
      <c r="F211" s="5" t="s">
        <v>972</v>
      </c>
      <c r="G211" s="5">
        <v>1</v>
      </c>
      <c r="H211" s="5">
        <v>10</v>
      </c>
      <c r="I211" s="4" t="str">
        <f>CONCATENATE("(",A211,",'",B211,"','",C211,"','",TEXT(D211,"aaaa-mm-jj"),"','",TEXT(E211,"aaaa-mm-jj"),"',",F211,",",G211,",",H211,"),")</f>
        <v>(208,'GR7','Pipeline GR7','2019-12-01','2019-12-01',NULL,1,10),</v>
      </c>
    </row>
    <row r="212" spans="1:9" ht="20.149999999999999" customHeight="1" x14ac:dyDescent="0.35">
      <c r="A212" s="3">
        <v>209</v>
      </c>
      <c r="B212" s="17" t="s">
        <v>4153</v>
      </c>
      <c r="C212" s="4" t="s">
        <v>5221</v>
      </c>
      <c r="D212" s="22" t="s">
        <v>5239</v>
      </c>
      <c r="E212" s="22" t="s">
        <v>5239</v>
      </c>
      <c r="F212" s="5" t="s">
        <v>972</v>
      </c>
      <c r="G212" s="5">
        <v>1</v>
      </c>
      <c r="H212" s="5">
        <v>10</v>
      </c>
      <c r="I212" s="4" t="str">
        <f>CONCATENATE("(",A212,",'",B212,"','",C212,"','",TEXT(D212,"aaaa-mm-jj"),"','",TEXT(E212,"aaaa-mm-jj"),"',",F212,",",G212,",",H212,"),")</f>
        <v>(209,'GPDF','Pipeline GPDF','1996-01-01','1996-01-01',NULL,1,10),</v>
      </c>
    </row>
    <row r="213" spans="1:9" ht="20.149999999999999" customHeight="1" x14ac:dyDescent="0.35">
      <c r="A213" s="3">
        <v>210</v>
      </c>
      <c r="B213" s="17" t="s">
        <v>5166</v>
      </c>
      <c r="C213" s="4" t="s">
        <v>5222</v>
      </c>
      <c r="D213" s="22" t="s">
        <v>5247</v>
      </c>
      <c r="E213" s="22" t="s">
        <v>5247</v>
      </c>
      <c r="F213" s="5" t="s">
        <v>972</v>
      </c>
      <c r="G213" s="5">
        <v>1</v>
      </c>
      <c r="H213" s="5">
        <v>10</v>
      </c>
      <c r="I213" s="4" t="str">
        <f>CONCATENATE("(",A213,",'",B213,"','",C213,"','",TEXT(D213,"aaaa-mm-jj"),"','",TEXT(E213,"aaaa-mm-jj"),"',",F213,",",G213,",",H213,"),")</f>
        <v>(210,'EGPDF','Pipeline EGPDF','2021-01-01','2021-01-01',NULL,1,10),</v>
      </c>
    </row>
    <row r="214" spans="1:9" ht="20.149999999999999" customHeight="1" x14ac:dyDescent="0.35">
      <c r="A214" s="3">
        <v>211</v>
      </c>
      <c r="B214" s="17" t="s">
        <v>5167</v>
      </c>
      <c r="C214" s="4" t="s">
        <v>5223</v>
      </c>
      <c r="D214" s="22" t="s">
        <v>5230</v>
      </c>
      <c r="E214" s="22" t="s">
        <v>5230</v>
      </c>
      <c r="F214" s="5" t="s">
        <v>972</v>
      </c>
      <c r="G214" s="5">
        <v>1</v>
      </c>
      <c r="H214" s="5">
        <v>10</v>
      </c>
      <c r="I214" s="4" t="str">
        <f>CONCATENATE("(",A214,",'",B214,"','",C214,"','",TEXT(D214,"aaaa-mm-jj"),"','",TEXT(E214,"aaaa-mm-jj"),"',",F214,",",G214,",",H214,"),")</f>
        <v>(211,'GO1','Pipeline GO1','1982-01-01','1982-01-01',NULL,1,10),</v>
      </c>
    </row>
    <row r="215" spans="1:9" ht="20.149999999999999" customHeight="1" x14ac:dyDescent="0.35">
      <c r="A215" s="3">
        <v>212</v>
      </c>
      <c r="B215" s="17" t="s">
        <v>5168</v>
      </c>
      <c r="C215" s="4" t="s">
        <v>5224</v>
      </c>
      <c r="D215" s="22" t="s">
        <v>5253</v>
      </c>
      <c r="E215" s="5" t="s">
        <v>5253</v>
      </c>
      <c r="F215" s="5" t="s">
        <v>972</v>
      </c>
      <c r="G215" s="5">
        <v>1</v>
      </c>
      <c r="H215" s="5">
        <v>10</v>
      </c>
      <c r="I215" s="4" t="str">
        <f>CONCATENATE("(",A215,",'",B215,"','",C215,"','",TEXT(D215,"aaaa-mm-jj"),"','",TEXT(E215,"aaaa-mm-jj"),"',",F215,",",G215,",",H215,"),")</f>
        <v>(212,'GO2','Pipeline GO2','1987-01-01','1987-01-01',NULL,1,10),</v>
      </c>
    </row>
    <row r="216" spans="1:9" ht="20.149999999999999" customHeight="1" x14ac:dyDescent="0.35">
      <c r="A216" s="3">
        <v>213</v>
      </c>
      <c r="B216" s="17" t="s">
        <v>5169</v>
      </c>
      <c r="C216" s="4" t="s">
        <v>5225</v>
      </c>
      <c r="D216" s="22" t="s">
        <v>5254</v>
      </c>
      <c r="E216" s="5" t="s">
        <v>5255</v>
      </c>
      <c r="F216" s="5" t="s">
        <v>972</v>
      </c>
      <c r="G216" s="5">
        <v>1</v>
      </c>
      <c r="H216" s="5">
        <v>10</v>
      </c>
      <c r="I216" s="4" t="str">
        <f>CONCATENATE("(",A216,",'",B216,"','",C216,"','",TEXT(D216,"aaaa-mm-jj"),"','",TEXT(E216,"aaaa-mm-jj"),"',",F216,",",G216,",",H216,"),")</f>
        <v>(213,'GO3','Pipeline GO3','2008-01-01','2010-01-01',NULL,1,10),</v>
      </c>
    </row>
    <row r="217" spans="1:9" ht="20.149999999999999" customHeight="1" x14ac:dyDescent="0.35">
      <c r="A217" s="3">
        <v>214</v>
      </c>
      <c r="B217" s="17" t="s">
        <v>6810</v>
      </c>
      <c r="C217" s="4" t="s">
        <v>6818</v>
      </c>
      <c r="D217" s="22">
        <v>24053</v>
      </c>
      <c r="E217" s="5" t="s">
        <v>972</v>
      </c>
      <c r="F217" s="5" t="s">
        <v>972</v>
      </c>
      <c r="G217" s="5">
        <v>1</v>
      </c>
      <c r="H217" s="5">
        <v>10</v>
      </c>
      <c r="I217" s="4" t="str">
        <f>CONCATENATE("(",A217,",'",B217,"','",C217,"','",TEXT(D217,"aaaa-mm-jj"),"','",TEXT(E217,"aaaa-mm-jj"),"',",F217,",",G217,",",H217,"),")</f>
        <v>(214,'S01-OZ1','Segment 01-OZ1','1965-11-07','NULL',NULL,1,10),</v>
      </c>
    </row>
    <row r="218" spans="1:9" ht="20.149999999999999" customHeight="1" x14ac:dyDescent="0.35">
      <c r="A218" s="3">
        <v>215</v>
      </c>
      <c r="B218" s="17" t="s">
        <v>6812</v>
      </c>
      <c r="C218" s="4" t="s">
        <v>6830</v>
      </c>
      <c r="D218" s="22">
        <v>24053</v>
      </c>
      <c r="E218" s="5" t="s">
        <v>972</v>
      </c>
      <c r="F218" s="5" t="s">
        <v>972</v>
      </c>
      <c r="G218" s="5">
        <v>1</v>
      </c>
      <c r="H218" s="5">
        <v>10</v>
      </c>
      <c r="I218" s="4" t="str">
        <f>CONCATENATE("(",A218,",'",B218,"','",C218,"','",TEXT(D218,"aaaa-mm-jj"),"','",TEXT(E218,"aaaa-mm-jj"),"',",F218,",",G218,",",H218,"),")</f>
        <v>(215,'S02-OZ1','Segment 02-OZ1','1965-11-07','NULL',NULL,1,10),</v>
      </c>
    </row>
    <row r="219" spans="1:9" ht="20.149999999999999" customHeight="1" x14ac:dyDescent="0.35">
      <c r="A219" s="3">
        <v>216</v>
      </c>
      <c r="B219" s="17" t="s">
        <v>6813</v>
      </c>
      <c r="C219" s="4" t="s">
        <v>6831</v>
      </c>
      <c r="D219" s="22">
        <v>24053</v>
      </c>
      <c r="E219" s="5" t="s">
        <v>972</v>
      </c>
      <c r="F219" s="5" t="s">
        <v>972</v>
      </c>
      <c r="G219" s="5">
        <v>1</v>
      </c>
      <c r="H219" s="5">
        <v>10</v>
      </c>
      <c r="I219" s="4" t="str">
        <f>CONCATENATE("(",A219,",'",B219,"','",C219,"','",TEXT(D219,"aaaa-mm-jj"),"','",TEXT(E219,"aaaa-mm-jj"),"',",F219,",",G219,",",H219,"),")</f>
        <v>(216,'S03-OZ1','Segment 03-OZ1','1965-11-07','NULL',NULL,1,10),</v>
      </c>
    </row>
    <row r="220" spans="1:9" ht="20.149999999999999" customHeight="1" x14ac:dyDescent="0.35">
      <c r="A220" s="3">
        <v>217</v>
      </c>
      <c r="B220" s="17" t="s">
        <v>6814</v>
      </c>
      <c r="C220" s="4" t="s">
        <v>6832</v>
      </c>
      <c r="D220" s="22">
        <v>24053</v>
      </c>
      <c r="E220" s="5" t="s">
        <v>972</v>
      </c>
      <c r="F220" s="5" t="s">
        <v>972</v>
      </c>
      <c r="G220" s="5">
        <v>1</v>
      </c>
      <c r="H220" s="5">
        <v>10</v>
      </c>
      <c r="I220" s="4" t="str">
        <f>CONCATENATE("(",A220,",'",B220,"','",C220,"','",TEXT(D220,"aaaa-mm-jj"),"','",TEXT(E220,"aaaa-mm-jj"),"',",F220,",",G220,",",H220,"),")</f>
        <v>(217,'S04-OZ1','Segment 04-OZ1','1965-11-07','NULL',NULL,1,10),</v>
      </c>
    </row>
    <row r="221" spans="1:9" ht="20.149999999999999" customHeight="1" x14ac:dyDescent="0.35">
      <c r="A221" s="3">
        <v>218</v>
      </c>
      <c r="B221" s="17" t="s">
        <v>6815</v>
      </c>
      <c r="C221" s="4" t="s">
        <v>6833</v>
      </c>
      <c r="D221" s="22">
        <v>24053</v>
      </c>
      <c r="E221" s="5" t="s">
        <v>972</v>
      </c>
      <c r="F221" s="5" t="s">
        <v>972</v>
      </c>
      <c r="G221" s="5">
        <v>1</v>
      </c>
      <c r="H221" s="5">
        <v>10</v>
      </c>
      <c r="I221" s="4" t="str">
        <f>CONCATENATE("(",A221,",'",B221,"','",C221,"','",TEXT(D221,"aaaa-mm-jj"),"','",TEXT(E221,"aaaa-mm-jj"),"',",F221,",",G221,",",H221,"),")</f>
        <v>(218,'S05-OZ1','Segment 05-OZ1','1965-11-07','NULL',NULL,1,10),</v>
      </c>
    </row>
    <row r="222" spans="1:9" ht="20.149999999999999" customHeight="1" x14ac:dyDescent="0.35">
      <c r="A222" s="3">
        <v>219</v>
      </c>
      <c r="B222" s="17" t="s">
        <v>6816</v>
      </c>
      <c r="C222" s="4" t="s">
        <v>6834</v>
      </c>
      <c r="D222" s="22">
        <v>24053</v>
      </c>
      <c r="E222" s="5" t="s">
        <v>972</v>
      </c>
      <c r="F222" s="5" t="s">
        <v>972</v>
      </c>
      <c r="G222" s="5">
        <v>1</v>
      </c>
      <c r="H222" s="5">
        <v>10</v>
      </c>
      <c r="I222" s="4" t="str">
        <f>CONCATENATE("(",A222,",'",B222,"','",C222,"','",TEXT(D222,"aaaa-mm-jj"),"','",TEXT(E222,"aaaa-mm-jj"),"',",F222,",",G222,",",H222,"),")</f>
        <v>(219,'S06-OZ1','Segment 06-OZ1','1965-11-07','NULL',NULL,1,10),</v>
      </c>
    </row>
    <row r="223" spans="1:9" ht="20.149999999999999" customHeight="1" x14ac:dyDescent="0.35">
      <c r="A223" s="3">
        <v>220</v>
      </c>
      <c r="B223" s="17" t="s">
        <v>6817</v>
      </c>
      <c r="C223" s="4" t="s">
        <v>6835</v>
      </c>
      <c r="D223" s="22">
        <v>24053</v>
      </c>
      <c r="E223" s="5" t="s">
        <v>972</v>
      </c>
      <c r="F223" s="5" t="s">
        <v>972</v>
      </c>
      <c r="G223" s="5">
        <v>1</v>
      </c>
      <c r="H223" s="5">
        <v>10</v>
      </c>
      <c r="I223" s="4" t="str">
        <f>CONCATENATE("(",A223,",'",B223,"','",C223,"','",TEXT(D223,"aaaa-mm-jj"),"','",TEXT(E223,"aaaa-mm-jj"),"',",F223,",",G223,",",H223,"),")</f>
        <v>(220,'S07-OZ1','Segment 07-OZ1','1965-11-07','NULL',NULL,1,10),</v>
      </c>
    </row>
    <row r="224" spans="1:9" ht="20.149999999999999" customHeight="1" x14ac:dyDescent="0.35">
      <c r="A224" s="3">
        <v>221</v>
      </c>
      <c r="B224" s="17" t="s">
        <v>6836</v>
      </c>
      <c r="C224" s="4" t="s">
        <v>6843</v>
      </c>
      <c r="D224" s="22">
        <v>37851</v>
      </c>
      <c r="E224" s="5" t="s">
        <v>972</v>
      </c>
      <c r="F224" s="5" t="s">
        <v>972</v>
      </c>
      <c r="G224" s="5">
        <v>1</v>
      </c>
      <c r="H224" s="5">
        <v>10</v>
      </c>
      <c r="I224" s="4" t="str">
        <f>CONCATENATE("(",A224,",'",B224,"','",C224,"','",TEXT(D224,"aaaa-mm-jj"),"','",TEXT(E224,"aaaa-mm-jj"),"',",F224,",",G224,",",H224,"),")</f>
        <v>(221,'S01-OZ2','Segment 01-OZ2','2003-08-18','NULL',NULL,1,10),</v>
      </c>
    </row>
    <row r="225" spans="1:9" ht="20.149999999999999" customHeight="1" x14ac:dyDescent="0.35">
      <c r="A225" s="3">
        <v>222</v>
      </c>
      <c r="B225" s="17" t="s">
        <v>6837</v>
      </c>
      <c r="C225" s="4" t="s">
        <v>6819</v>
      </c>
      <c r="D225" s="22">
        <v>37851</v>
      </c>
      <c r="E225" s="5" t="s">
        <v>972</v>
      </c>
      <c r="F225" s="5" t="s">
        <v>972</v>
      </c>
      <c r="G225" s="5">
        <v>1</v>
      </c>
      <c r="H225" s="5">
        <v>10</v>
      </c>
      <c r="I225" s="4" t="str">
        <f>CONCATENATE("(",A225,",'",B225,"','",C225,"','",TEXT(D225,"aaaa-mm-jj"),"','",TEXT(E225,"aaaa-mm-jj"),"',",F225,",",G225,",",H225,"),")</f>
        <v>(222,'S02-OZ2','Segment 02-OZ2','2003-08-18','NULL',NULL,1,10),</v>
      </c>
    </row>
    <row r="226" spans="1:9" ht="20.149999999999999" customHeight="1" x14ac:dyDescent="0.35">
      <c r="A226" s="3">
        <v>223</v>
      </c>
      <c r="B226" s="17" t="s">
        <v>6838</v>
      </c>
      <c r="C226" s="4" t="s">
        <v>6844</v>
      </c>
      <c r="D226" s="22">
        <v>37851</v>
      </c>
      <c r="E226" s="5" t="s">
        <v>972</v>
      </c>
      <c r="F226" s="5" t="s">
        <v>972</v>
      </c>
      <c r="G226" s="5">
        <v>1</v>
      </c>
      <c r="H226" s="5">
        <v>10</v>
      </c>
      <c r="I226" s="4" t="str">
        <f>CONCATENATE("(",A226,",'",B226,"','",C226,"','",TEXT(D226,"aaaa-mm-jj"),"','",TEXT(E226,"aaaa-mm-jj"),"',",F226,",",G226,",",H226,"),")</f>
        <v>(223,'S03-OZ2','Segment 03-OZ2','2003-08-18','NULL',NULL,1,10),</v>
      </c>
    </row>
    <row r="227" spans="1:9" ht="20.149999999999999" customHeight="1" x14ac:dyDescent="0.35">
      <c r="A227" s="3">
        <v>224</v>
      </c>
      <c r="B227" s="17" t="s">
        <v>6839</v>
      </c>
      <c r="C227" s="4" t="s">
        <v>6845</v>
      </c>
      <c r="D227" s="22">
        <v>37851</v>
      </c>
      <c r="E227" s="5" t="s">
        <v>972</v>
      </c>
      <c r="F227" s="5" t="s">
        <v>972</v>
      </c>
      <c r="G227" s="5">
        <v>1</v>
      </c>
      <c r="H227" s="5">
        <v>10</v>
      </c>
      <c r="I227" s="4" t="str">
        <f>CONCATENATE("(",A227,",'",B227,"','",C227,"','",TEXT(D227,"aaaa-mm-jj"),"','",TEXT(E227,"aaaa-mm-jj"),"',",F227,",",G227,",",H227,"),")</f>
        <v>(224,'S04-OZ2','Segment 04-OZ2','2003-08-18','NULL',NULL,1,10),</v>
      </c>
    </row>
    <row r="228" spans="1:9" ht="20.149999999999999" customHeight="1" x14ac:dyDescent="0.35">
      <c r="A228" s="3">
        <v>225</v>
      </c>
      <c r="B228" s="17" t="s">
        <v>6840</v>
      </c>
      <c r="C228" s="4" t="s">
        <v>6846</v>
      </c>
      <c r="D228" s="22">
        <v>37851</v>
      </c>
      <c r="E228" s="5" t="s">
        <v>972</v>
      </c>
      <c r="F228" s="5" t="s">
        <v>972</v>
      </c>
      <c r="G228" s="5">
        <v>1</v>
      </c>
      <c r="H228" s="5">
        <v>10</v>
      </c>
      <c r="I228" s="4" t="str">
        <f>CONCATENATE("(",A228,",'",B228,"','",C228,"','",TEXT(D228,"aaaa-mm-jj"),"','",TEXT(E228,"aaaa-mm-jj"),"',",F228,",",G228,",",H228,"),")</f>
        <v>(225,'S05-OZ2','Segment 05-OZ2','2003-08-18','NULL',NULL,1,10),</v>
      </c>
    </row>
    <row r="229" spans="1:9" ht="20.149999999999999" customHeight="1" x14ac:dyDescent="0.35">
      <c r="A229" s="3">
        <v>226</v>
      </c>
      <c r="B229" s="17" t="s">
        <v>6841</v>
      </c>
      <c r="C229" s="4" t="s">
        <v>6847</v>
      </c>
      <c r="D229" s="22">
        <v>37851</v>
      </c>
      <c r="E229" s="5" t="s">
        <v>972</v>
      </c>
      <c r="F229" s="5" t="s">
        <v>972</v>
      </c>
      <c r="G229" s="5">
        <v>1</v>
      </c>
      <c r="H229" s="5">
        <v>10</v>
      </c>
      <c r="I229" s="4" t="str">
        <f>CONCATENATE("(",A229,",'",B229,"','",C229,"','",TEXT(D229,"aaaa-mm-jj"),"','",TEXT(E229,"aaaa-mm-jj"),"',",F229,",",G229,",",H229,"),")</f>
        <v>(226,'S06-OZ2','Segment 06-OZ2','2003-08-18','NULL',NULL,1,10),</v>
      </c>
    </row>
    <row r="230" spans="1:9" ht="20.149999999999999" customHeight="1" x14ac:dyDescent="0.35">
      <c r="A230" s="3">
        <v>227</v>
      </c>
      <c r="B230" s="17" t="s">
        <v>6842</v>
      </c>
      <c r="C230" s="4" t="s">
        <v>6848</v>
      </c>
      <c r="D230" s="22">
        <v>37851</v>
      </c>
      <c r="E230" s="5" t="s">
        <v>972</v>
      </c>
      <c r="F230" s="5" t="s">
        <v>972</v>
      </c>
      <c r="G230" s="5">
        <v>1</v>
      </c>
      <c r="H230" s="5">
        <v>10</v>
      </c>
      <c r="I230" s="4" t="str">
        <f>CONCATENATE("(",A230,",'",B230,"','",C230,"','",TEXT(D230,"aaaa-mm-jj"),"','",TEXT(E230,"aaaa-mm-jj"),"',",F230,",",G230,",",H230,"),")</f>
        <v>(227,'S07-OZ2','Segment 07-OZ2','2003-08-18','NULL',NULL,1,10),</v>
      </c>
    </row>
    <row r="231" spans="1:9" ht="20.149999999999999" customHeight="1" x14ac:dyDescent="0.35">
      <c r="A231" s="3"/>
      <c r="B231" s="17"/>
      <c r="C231" s="4"/>
      <c r="D231" s="22"/>
      <c r="E231" s="5" t="s">
        <v>972</v>
      </c>
      <c r="F231" s="5" t="s">
        <v>972</v>
      </c>
      <c r="G231" s="5">
        <v>1</v>
      </c>
      <c r="H231" s="5">
        <v>10</v>
      </c>
      <c r="I231" s="4" t="str">
        <f>CONCATENATE("(",A231,",'",B231,"','",C231,"','",TEXT(D231,"aaaa-mm-jj"),"','",TEXT(E231,"aaaa-mm-jj"),"',",F231,",",G231,",",H231,"),")</f>
        <v>(,'','','1900-01-00','NULL',NULL,1,10),</v>
      </c>
    </row>
    <row r="232" spans="1:9" ht="20.149999999999999" customHeight="1" x14ac:dyDescent="0.35">
      <c r="A232" s="3"/>
      <c r="B232" s="17"/>
      <c r="C232" s="4"/>
      <c r="D232" s="22"/>
      <c r="E232" s="5" t="s">
        <v>972</v>
      </c>
      <c r="F232" s="5" t="s">
        <v>972</v>
      </c>
      <c r="G232" s="5">
        <v>1</v>
      </c>
      <c r="H232" s="5">
        <v>10</v>
      </c>
      <c r="I232" s="4" t="str">
        <f>CONCATENATE("(",A232,",'",B232,"','",C232,"','",TEXT(D232,"aaaa-mm-jj"),"','",TEXT(E232,"aaaa-mm-jj"),"',",F232,",",G232,",",H232,"),")</f>
        <v>(,'','','1900-01-00','NULL',NULL,1,10),</v>
      </c>
    </row>
  </sheetData>
  <autoFilter ref="A2:H179" xr:uid="{00000000-0009-0000-0000-00001F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D157"/>
  <sheetViews>
    <sheetView workbookViewId="0">
      <selection activeCell="C11" sqref="C11"/>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5492</v>
      </c>
      <c r="C1" s="1" t="s">
        <v>4798</v>
      </c>
      <c r="D1" s="1" t="s">
        <v>5600</v>
      </c>
    </row>
    <row r="2" spans="1:4" ht="20.149999999999999" customHeight="1" x14ac:dyDescent="0.35">
      <c r="A2" s="1" t="s">
        <v>44</v>
      </c>
      <c r="B2" s="1" t="s">
        <v>4350</v>
      </c>
      <c r="C2" s="1" t="s">
        <v>4351</v>
      </c>
      <c r="D2" s="1" t="s">
        <v>5603</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20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D89"/>
  <sheetViews>
    <sheetView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5533</v>
      </c>
      <c r="D1" s="1" t="s">
        <v>5600</v>
      </c>
    </row>
    <row r="2" spans="1:4" ht="20.149999999999999" customHeight="1" x14ac:dyDescent="0.35">
      <c r="A2" s="1" t="s">
        <v>44</v>
      </c>
      <c r="B2" s="1" t="s">
        <v>5534</v>
      </c>
      <c r="C2" s="1" t="s">
        <v>5535</v>
      </c>
      <c r="D2" s="1" t="s">
        <v>5606</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21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7" tint="0.79998168889431442"/>
  </sheetPr>
  <dimension ref="A1:F92"/>
  <sheetViews>
    <sheetView topLeftCell="A46" workbookViewId="0">
      <selection activeCell="E54" sqref="E5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6" ht="20.149999999999999" customHeight="1" x14ac:dyDescent="0.35">
      <c r="A1" s="1" t="s">
        <v>6083</v>
      </c>
      <c r="B1" s="1" t="s">
        <v>6084</v>
      </c>
      <c r="C1" s="1" t="s">
        <v>5600</v>
      </c>
    </row>
    <row r="2" spans="1:6" ht="20.149999999999999" customHeight="1" x14ac:dyDescent="0.35">
      <c r="A2" s="1" t="s">
        <v>41</v>
      </c>
      <c r="B2" s="1" t="s">
        <v>42</v>
      </c>
      <c r="C2" s="1" t="s">
        <v>6080</v>
      </c>
    </row>
    <row r="3" spans="1:6" ht="20.149999999999999" customHeight="1" x14ac:dyDescent="0.35">
      <c r="A3" s="53">
        <v>37</v>
      </c>
      <c r="B3" s="54">
        <v>156</v>
      </c>
      <c r="C3" s="4" t="str">
        <f t="shared" ref="C3:C34" si="0">CONCATENATE("(",A3,",",B3,"),")</f>
        <v>(37,156),</v>
      </c>
      <c r="E3" s="3">
        <v>156</v>
      </c>
      <c r="F3" s="27" t="s">
        <v>5115</v>
      </c>
    </row>
    <row r="4" spans="1:6" ht="20.149999999999999" customHeight="1" x14ac:dyDescent="0.35">
      <c r="A4" s="53">
        <v>37</v>
      </c>
      <c r="B4" s="54">
        <v>157</v>
      </c>
      <c r="C4" s="4" t="str">
        <f t="shared" si="0"/>
        <v>(37,157),</v>
      </c>
      <c r="E4" s="3">
        <v>157</v>
      </c>
      <c r="F4" s="27" t="s">
        <v>5116</v>
      </c>
    </row>
    <row r="5" spans="1:6" ht="20.149999999999999" customHeight="1" x14ac:dyDescent="0.35">
      <c r="A5" s="53">
        <v>39</v>
      </c>
      <c r="B5" s="54">
        <v>156</v>
      </c>
      <c r="C5" s="4" t="str">
        <f t="shared" si="0"/>
        <v>(39,156),</v>
      </c>
      <c r="E5" s="3">
        <v>158</v>
      </c>
      <c r="F5" s="27" t="s">
        <v>5117</v>
      </c>
    </row>
    <row r="6" spans="1:6" ht="20.149999999999999" customHeight="1" x14ac:dyDescent="0.35">
      <c r="A6" s="53">
        <v>39</v>
      </c>
      <c r="B6" s="54">
        <v>157</v>
      </c>
      <c r="C6" s="4" t="str">
        <f t="shared" si="0"/>
        <v>(39,157),</v>
      </c>
      <c r="E6" s="3">
        <v>159</v>
      </c>
      <c r="F6" s="27" t="s">
        <v>5118</v>
      </c>
    </row>
    <row r="7" spans="1:6" ht="20.149999999999999" customHeight="1" x14ac:dyDescent="0.35">
      <c r="A7" s="53">
        <v>41</v>
      </c>
      <c r="B7" s="54">
        <v>156</v>
      </c>
      <c r="C7" s="4" t="str">
        <f t="shared" si="0"/>
        <v>(41,156),</v>
      </c>
      <c r="E7" s="3">
        <v>160</v>
      </c>
      <c r="F7" s="27" t="s">
        <v>5119</v>
      </c>
    </row>
    <row r="8" spans="1:6" ht="20.149999999999999" customHeight="1" x14ac:dyDescent="0.35">
      <c r="A8" s="53">
        <v>41</v>
      </c>
      <c r="B8" s="54">
        <v>157</v>
      </c>
      <c r="C8" s="4" t="str">
        <f t="shared" si="0"/>
        <v>(41,157),</v>
      </c>
      <c r="E8" s="3">
        <v>161</v>
      </c>
      <c r="F8" s="27" t="s">
        <v>5120</v>
      </c>
    </row>
    <row r="9" spans="1:6" ht="20.149999999999999" customHeight="1" x14ac:dyDescent="0.35">
      <c r="A9" s="53">
        <v>43</v>
      </c>
      <c r="B9" s="54">
        <v>156</v>
      </c>
      <c r="C9" s="4" t="str">
        <f t="shared" si="0"/>
        <v>(43,156),</v>
      </c>
      <c r="E9" s="3">
        <v>162</v>
      </c>
      <c r="F9" s="27" t="s">
        <v>5121</v>
      </c>
    </row>
    <row r="10" spans="1:6" ht="20.149999999999999" customHeight="1" x14ac:dyDescent="0.35">
      <c r="A10" s="53">
        <v>43</v>
      </c>
      <c r="B10" s="54">
        <v>157</v>
      </c>
      <c r="C10" s="4" t="str">
        <f t="shared" si="0"/>
        <v>(43,157),</v>
      </c>
      <c r="E10" s="3">
        <v>163</v>
      </c>
      <c r="F10" s="27" t="s">
        <v>5122</v>
      </c>
    </row>
    <row r="11" spans="1:6" ht="20.149999999999999" customHeight="1" x14ac:dyDescent="0.35">
      <c r="A11" s="53">
        <v>45</v>
      </c>
      <c r="B11" s="54">
        <v>156</v>
      </c>
      <c r="C11" s="4" t="str">
        <f t="shared" si="0"/>
        <v>(45,156),</v>
      </c>
      <c r="E11" s="3">
        <v>164</v>
      </c>
      <c r="F11" s="27" t="s">
        <v>5123</v>
      </c>
    </row>
    <row r="12" spans="1:6" ht="20.149999999999999" customHeight="1" x14ac:dyDescent="0.35">
      <c r="A12" s="53">
        <v>45</v>
      </c>
      <c r="B12" s="54">
        <v>157</v>
      </c>
      <c r="C12" s="4" t="str">
        <f t="shared" si="0"/>
        <v>(45,157),</v>
      </c>
      <c r="E12" s="3">
        <v>165</v>
      </c>
      <c r="F12" s="28" t="s">
        <v>5124</v>
      </c>
    </row>
    <row r="13" spans="1:6" ht="20.149999999999999" customHeight="1" x14ac:dyDescent="0.35">
      <c r="A13" s="53">
        <v>47</v>
      </c>
      <c r="B13" s="54">
        <v>156</v>
      </c>
      <c r="C13" s="4" t="str">
        <f t="shared" si="0"/>
        <v>(47,156),</v>
      </c>
      <c r="E13" s="3">
        <v>166</v>
      </c>
      <c r="F13" s="27" t="s">
        <v>5125</v>
      </c>
    </row>
    <row r="14" spans="1:6" ht="20.149999999999999" customHeight="1" x14ac:dyDescent="0.35">
      <c r="A14" s="53">
        <v>47</v>
      </c>
      <c r="B14" s="54">
        <v>157</v>
      </c>
      <c r="C14" s="4" t="str">
        <f t="shared" si="0"/>
        <v>(47,157),</v>
      </c>
      <c r="E14" s="3">
        <v>167</v>
      </c>
      <c r="F14" s="27" t="s">
        <v>5126</v>
      </c>
    </row>
    <row r="15" spans="1:6" ht="20.149999999999999" customHeight="1" x14ac:dyDescent="0.35">
      <c r="A15" s="53">
        <v>49</v>
      </c>
      <c r="B15" s="54">
        <v>156</v>
      </c>
      <c r="C15" s="4" t="str">
        <f t="shared" si="0"/>
        <v>(49,156),</v>
      </c>
      <c r="E15" s="3">
        <v>168</v>
      </c>
      <c r="F15" s="27" t="s">
        <v>5127</v>
      </c>
    </row>
    <row r="16" spans="1:6" ht="20.149999999999999" customHeight="1" x14ac:dyDescent="0.35">
      <c r="A16" s="53">
        <v>49</v>
      </c>
      <c r="B16" s="54">
        <v>157</v>
      </c>
      <c r="C16" s="4" t="str">
        <f t="shared" si="0"/>
        <v>(49,157),</v>
      </c>
      <c r="E16" s="3">
        <v>169</v>
      </c>
      <c r="F16" s="27" t="s">
        <v>5128</v>
      </c>
    </row>
    <row r="17" spans="1:6" ht="20.149999999999999" customHeight="1" x14ac:dyDescent="0.35">
      <c r="A17" s="53">
        <v>51</v>
      </c>
      <c r="B17" s="54">
        <v>158</v>
      </c>
      <c r="C17" s="4" t="str">
        <f t="shared" si="0"/>
        <v>(51,158),</v>
      </c>
      <c r="E17" s="3">
        <v>170</v>
      </c>
      <c r="F17" s="27" t="s">
        <v>5129</v>
      </c>
    </row>
    <row r="18" spans="1:6" ht="20.149999999999999" customHeight="1" x14ac:dyDescent="0.35">
      <c r="A18" s="53">
        <v>52</v>
      </c>
      <c r="B18" s="54">
        <v>158</v>
      </c>
      <c r="C18" s="4" t="str">
        <f t="shared" si="0"/>
        <v>(52,158),</v>
      </c>
      <c r="E18" s="3">
        <v>171</v>
      </c>
      <c r="F18" s="27" t="s">
        <v>5130</v>
      </c>
    </row>
    <row r="19" spans="1:6" ht="20.149999999999999" customHeight="1" x14ac:dyDescent="0.35">
      <c r="A19" s="53">
        <v>53</v>
      </c>
      <c r="B19" s="54">
        <v>158</v>
      </c>
      <c r="C19" s="4" t="str">
        <f t="shared" si="0"/>
        <v>(53,158),</v>
      </c>
      <c r="E19" s="3">
        <v>172</v>
      </c>
      <c r="F19" s="27" t="s">
        <v>5131</v>
      </c>
    </row>
    <row r="20" spans="1:6" ht="20.149999999999999" customHeight="1" x14ac:dyDescent="0.35">
      <c r="A20" s="53">
        <v>54</v>
      </c>
      <c r="B20" s="54">
        <v>158</v>
      </c>
      <c r="C20" s="4" t="str">
        <f t="shared" si="0"/>
        <v>(54,158),</v>
      </c>
      <c r="E20" s="3">
        <v>173</v>
      </c>
      <c r="F20" s="27" t="s">
        <v>5132</v>
      </c>
    </row>
    <row r="21" spans="1:6" ht="20.149999999999999" customHeight="1" x14ac:dyDescent="0.35">
      <c r="A21" s="53">
        <v>55</v>
      </c>
      <c r="B21" s="54">
        <v>158</v>
      </c>
      <c r="C21" s="4" t="str">
        <f t="shared" si="0"/>
        <v>(55,158),</v>
      </c>
      <c r="E21" s="3">
        <v>174</v>
      </c>
      <c r="F21" s="27" t="s">
        <v>5133</v>
      </c>
    </row>
    <row r="22" spans="1:6" ht="20.149999999999999" customHeight="1" x14ac:dyDescent="0.35">
      <c r="A22" s="53">
        <v>56</v>
      </c>
      <c r="B22" s="54">
        <v>158</v>
      </c>
      <c r="C22" s="4" t="str">
        <f t="shared" si="0"/>
        <v>(56,158),</v>
      </c>
      <c r="E22" s="3">
        <v>175</v>
      </c>
      <c r="F22" s="27" t="s">
        <v>5134</v>
      </c>
    </row>
    <row r="23" spans="1:6" ht="20.149999999999999" customHeight="1" x14ac:dyDescent="0.35">
      <c r="A23" s="53">
        <v>57</v>
      </c>
      <c r="B23" s="54">
        <v>159</v>
      </c>
      <c r="C23" s="4" t="str">
        <f t="shared" si="0"/>
        <v>(57,159),</v>
      </c>
      <c r="E23" s="3">
        <v>176</v>
      </c>
      <c r="F23" s="27" t="s">
        <v>6163</v>
      </c>
    </row>
    <row r="24" spans="1:6" ht="20.149999999999999" customHeight="1" x14ac:dyDescent="0.35">
      <c r="A24" s="53">
        <v>58</v>
      </c>
      <c r="B24" s="54">
        <v>159</v>
      </c>
      <c r="C24" s="4" t="str">
        <f t="shared" si="0"/>
        <v>(58,159),</v>
      </c>
      <c r="E24" s="3">
        <v>177</v>
      </c>
      <c r="F24" s="27" t="s">
        <v>5136</v>
      </c>
    </row>
    <row r="25" spans="1:6" ht="20.149999999999999" customHeight="1" x14ac:dyDescent="0.35">
      <c r="A25" s="53">
        <v>59</v>
      </c>
      <c r="B25" s="54">
        <v>159</v>
      </c>
      <c r="C25" s="4" t="str">
        <f t="shared" si="0"/>
        <v>(59,159),</v>
      </c>
      <c r="E25" s="3">
        <v>178</v>
      </c>
      <c r="F25" s="27" t="s">
        <v>5137</v>
      </c>
    </row>
    <row r="26" spans="1:6" ht="20.149999999999999" customHeight="1" x14ac:dyDescent="0.35">
      <c r="A26" s="53">
        <v>60</v>
      </c>
      <c r="B26" s="54">
        <v>159</v>
      </c>
      <c r="C26" s="4" t="str">
        <f t="shared" si="0"/>
        <v>(60,159),</v>
      </c>
      <c r="E26" s="3">
        <v>179</v>
      </c>
      <c r="F26" s="27" t="s">
        <v>5138</v>
      </c>
    </row>
    <row r="27" spans="1:6" ht="20.149999999999999" customHeight="1" x14ac:dyDescent="0.35">
      <c r="A27" s="53">
        <v>61</v>
      </c>
      <c r="B27" s="54">
        <v>162</v>
      </c>
      <c r="C27" s="4" t="str">
        <f t="shared" si="0"/>
        <v>(61,162),</v>
      </c>
      <c r="E27" s="3">
        <v>179</v>
      </c>
      <c r="F27" s="48" t="s">
        <v>6164</v>
      </c>
    </row>
    <row r="28" spans="1:6" ht="20.149999999999999" customHeight="1" x14ac:dyDescent="0.35">
      <c r="A28" s="53">
        <v>62</v>
      </c>
      <c r="B28" s="54">
        <v>163</v>
      </c>
      <c r="C28" s="4" t="str">
        <f t="shared" si="0"/>
        <v>(62,163),</v>
      </c>
      <c r="E28" s="3">
        <v>180</v>
      </c>
      <c r="F28" s="27" t="s">
        <v>5139</v>
      </c>
    </row>
    <row r="29" spans="1:6" ht="20.149999999999999" customHeight="1" x14ac:dyDescent="0.35">
      <c r="A29" s="53">
        <v>63</v>
      </c>
      <c r="B29" s="54">
        <v>163</v>
      </c>
      <c r="C29" s="4" t="str">
        <f t="shared" si="0"/>
        <v>(63,163),</v>
      </c>
      <c r="E29" s="3">
        <v>181</v>
      </c>
      <c r="F29" s="27" t="s">
        <v>5140</v>
      </c>
    </row>
    <row r="30" spans="1:6" ht="20.149999999999999" customHeight="1" x14ac:dyDescent="0.35">
      <c r="A30" s="59">
        <v>64</v>
      </c>
      <c r="B30" s="55">
        <v>164</v>
      </c>
      <c r="C30" s="4" t="str">
        <f t="shared" si="0"/>
        <v>(64,164),</v>
      </c>
      <c r="E30" s="3">
        <v>182</v>
      </c>
      <c r="F30" s="27" t="s">
        <v>5141</v>
      </c>
    </row>
    <row r="31" spans="1:6" ht="20.149999999999999" customHeight="1" x14ac:dyDescent="0.35">
      <c r="A31" s="59">
        <v>65</v>
      </c>
      <c r="B31" s="55">
        <v>164</v>
      </c>
      <c r="C31" s="4" t="str">
        <f t="shared" si="0"/>
        <v>(65,164),</v>
      </c>
      <c r="E31" s="3">
        <v>183</v>
      </c>
      <c r="F31" s="27" t="s">
        <v>5142</v>
      </c>
    </row>
    <row r="32" spans="1:6" ht="20.149999999999999" customHeight="1" x14ac:dyDescent="0.35">
      <c r="A32" s="59">
        <v>66</v>
      </c>
      <c r="B32" s="55">
        <v>164</v>
      </c>
      <c r="C32" s="4" t="str">
        <f t="shared" si="0"/>
        <v>(66,164),</v>
      </c>
      <c r="E32" s="3">
        <v>184</v>
      </c>
      <c r="F32" s="27" t="s">
        <v>5143</v>
      </c>
    </row>
    <row r="33" spans="1:6" ht="20.149999999999999" customHeight="1" x14ac:dyDescent="0.35">
      <c r="A33" s="53">
        <v>67</v>
      </c>
      <c r="B33" s="54">
        <v>169</v>
      </c>
      <c r="C33" s="4" t="str">
        <f t="shared" si="0"/>
        <v>(67,169),</v>
      </c>
      <c r="E33" s="3">
        <v>185</v>
      </c>
      <c r="F33" s="27" t="s">
        <v>5144</v>
      </c>
    </row>
    <row r="34" spans="1:6" ht="20.149999999999999" customHeight="1" x14ac:dyDescent="0.35">
      <c r="A34" s="53">
        <v>68</v>
      </c>
      <c r="B34" s="54">
        <v>166</v>
      </c>
      <c r="C34" s="4" t="str">
        <f t="shared" si="0"/>
        <v>(68,166),</v>
      </c>
      <c r="E34" s="3">
        <v>186</v>
      </c>
      <c r="F34" s="27" t="s">
        <v>5145</v>
      </c>
    </row>
    <row r="35" spans="1:6" ht="20.149999999999999" customHeight="1" x14ac:dyDescent="0.35">
      <c r="A35" s="53">
        <v>69</v>
      </c>
      <c r="B35" s="54">
        <v>167</v>
      </c>
      <c r="C35" s="4" t="str">
        <f t="shared" ref="C35:C66" si="1">CONCATENATE("(",A35,",",B35,"),")</f>
        <v>(69,167),</v>
      </c>
      <c r="E35" s="3">
        <v>187</v>
      </c>
      <c r="F35" s="27" t="s">
        <v>5146</v>
      </c>
    </row>
    <row r="36" spans="1:6" ht="20.149999999999999" customHeight="1" x14ac:dyDescent="0.35">
      <c r="A36" s="53">
        <v>69</v>
      </c>
      <c r="B36" s="54">
        <v>168</v>
      </c>
      <c r="C36" s="4" t="str">
        <f t="shared" si="1"/>
        <v>(69,168),</v>
      </c>
      <c r="E36" s="3">
        <v>188</v>
      </c>
      <c r="F36" s="27" t="s">
        <v>5147</v>
      </c>
    </row>
    <row r="37" spans="1:6" ht="20.149999999999999" customHeight="1" x14ac:dyDescent="0.35">
      <c r="A37" s="53">
        <v>70</v>
      </c>
      <c r="B37" s="54">
        <v>167</v>
      </c>
      <c r="C37" s="4" t="str">
        <f t="shared" si="1"/>
        <v>(70,167),</v>
      </c>
      <c r="E37" s="3">
        <v>189</v>
      </c>
      <c r="F37" s="27" t="s">
        <v>5148</v>
      </c>
    </row>
    <row r="38" spans="1:6" ht="20.149999999999999" customHeight="1" x14ac:dyDescent="0.35">
      <c r="A38" s="53">
        <v>70</v>
      </c>
      <c r="B38" s="54">
        <v>168</v>
      </c>
      <c r="C38" s="4" t="str">
        <f t="shared" si="1"/>
        <v>(70,168),</v>
      </c>
      <c r="E38" s="3">
        <v>190</v>
      </c>
      <c r="F38" s="27" t="s">
        <v>5149</v>
      </c>
    </row>
    <row r="39" spans="1:6" ht="20.149999999999999" customHeight="1" x14ac:dyDescent="0.35">
      <c r="A39" s="53">
        <v>71</v>
      </c>
      <c r="B39" s="54">
        <v>173</v>
      </c>
      <c r="C39" s="4" t="str">
        <f t="shared" si="1"/>
        <v>(71,173),</v>
      </c>
      <c r="E39" s="3">
        <v>191</v>
      </c>
      <c r="F39" s="27" t="s">
        <v>5150</v>
      </c>
    </row>
    <row r="40" spans="1:6" ht="20.149999999999999" customHeight="1" x14ac:dyDescent="0.35">
      <c r="A40" s="53">
        <v>72</v>
      </c>
      <c r="B40" s="54">
        <v>173</v>
      </c>
      <c r="C40" s="4" t="str">
        <f t="shared" si="1"/>
        <v>(72,173),</v>
      </c>
      <c r="E40" s="3">
        <v>192</v>
      </c>
      <c r="F40" s="27" t="s">
        <v>5151</v>
      </c>
    </row>
    <row r="41" spans="1:6" ht="20.149999999999999" customHeight="1" x14ac:dyDescent="0.35">
      <c r="A41" s="53">
        <v>73</v>
      </c>
      <c r="B41" s="54">
        <v>173</v>
      </c>
      <c r="C41" s="4" t="str">
        <f t="shared" si="1"/>
        <v>(73,173),</v>
      </c>
      <c r="E41" s="3">
        <v>193</v>
      </c>
      <c r="F41" s="27" t="s">
        <v>5152</v>
      </c>
    </row>
    <row r="42" spans="1:6" ht="20.149999999999999" customHeight="1" x14ac:dyDescent="0.35">
      <c r="A42" s="53">
        <v>74</v>
      </c>
      <c r="B42" s="54">
        <v>173</v>
      </c>
      <c r="C42" s="4" t="str">
        <f t="shared" si="1"/>
        <v>(74,173),</v>
      </c>
      <c r="E42" s="3">
        <v>194</v>
      </c>
      <c r="F42" s="27" t="s">
        <v>5153</v>
      </c>
    </row>
    <row r="43" spans="1:6" ht="20.149999999999999" customHeight="1" x14ac:dyDescent="0.35">
      <c r="A43" s="53">
        <v>75</v>
      </c>
      <c r="B43" s="54">
        <v>174</v>
      </c>
      <c r="C43" s="4" t="str">
        <f t="shared" si="1"/>
        <v>(75,174),</v>
      </c>
      <c r="E43" s="3">
        <v>195</v>
      </c>
      <c r="F43" s="27" t="s">
        <v>5154</v>
      </c>
    </row>
    <row r="44" spans="1:6" ht="20.149999999999999" customHeight="1" x14ac:dyDescent="0.35">
      <c r="A44" s="53">
        <v>76</v>
      </c>
      <c r="B44" s="54">
        <v>174</v>
      </c>
      <c r="C44" s="4" t="str">
        <f t="shared" si="1"/>
        <v>(76,174),</v>
      </c>
      <c r="E44" s="3">
        <v>196</v>
      </c>
      <c r="F44" s="27" t="s">
        <v>5155</v>
      </c>
    </row>
    <row r="45" spans="1:6" ht="20.149999999999999" customHeight="1" x14ac:dyDescent="0.35">
      <c r="A45" s="53">
        <v>77</v>
      </c>
      <c r="B45" s="54">
        <v>176</v>
      </c>
      <c r="C45" s="4" t="str">
        <f t="shared" si="1"/>
        <v>(77,176),</v>
      </c>
      <c r="E45" s="3">
        <v>197</v>
      </c>
      <c r="F45" s="27" t="s">
        <v>5156</v>
      </c>
    </row>
    <row r="46" spans="1:6" ht="20.149999999999999" customHeight="1" x14ac:dyDescent="0.35">
      <c r="A46" s="53">
        <v>78</v>
      </c>
      <c r="B46" s="54">
        <v>176</v>
      </c>
      <c r="C46" s="4" t="str">
        <f t="shared" si="1"/>
        <v>(78,176),</v>
      </c>
      <c r="E46" s="3">
        <v>198</v>
      </c>
      <c r="F46" s="27" t="s">
        <v>5157</v>
      </c>
    </row>
    <row r="47" spans="1:6" ht="20.149999999999999" customHeight="1" x14ac:dyDescent="0.35">
      <c r="A47" s="53">
        <v>79</v>
      </c>
      <c r="B47" s="54">
        <v>176</v>
      </c>
      <c r="C47" s="4" t="str">
        <f t="shared" si="1"/>
        <v>(79,176),</v>
      </c>
      <c r="E47" s="3">
        <v>199</v>
      </c>
      <c r="F47" s="27" t="s">
        <v>5158</v>
      </c>
    </row>
    <row r="48" spans="1:6" ht="20.149999999999999" customHeight="1" x14ac:dyDescent="0.35">
      <c r="A48" s="5">
        <v>80</v>
      </c>
      <c r="B48" s="3">
        <v>177</v>
      </c>
      <c r="C48" s="4" t="str">
        <f t="shared" si="1"/>
        <v>(80,177),</v>
      </c>
      <c r="E48" s="3">
        <v>200</v>
      </c>
      <c r="F48" s="27" t="s">
        <v>5159</v>
      </c>
    </row>
    <row r="49" spans="1:6" ht="20.149999999999999" customHeight="1" x14ac:dyDescent="0.35">
      <c r="A49" s="5">
        <v>81</v>
      </c>
      <c r="B49" s="3">
        <v>177</v>
      </c>
      <c r="C49" s="4" t="str">
        <f t="shared" si="1"/>
        <v>(81,177),</v>
      </c>
      <c r="E49" s="3">
        <v>201</v>
      </c>
      <c r="F49" s="27" t="s">
        <v>5160</v>
      </c>
    </row>
    <row r="50" spans="1:6" ht="20.149999999999999" customHeight="1" x14ac:dyDescent="0.35">
      <c r="A50" s="5">
        <v>82</v>
      </c>
      <c r="B50" s="3">
        <v>178</v>
      </c>
      <c r="C50" s="4" t="str">
        <f t="shared" si="1"/>
        <v>(82,178),</v>
      </c>
      <c r="E50" s="3">
        <v>202</v>
      </c>
      <c r="F50" s="27" t="s">
        <v>5161</v>
      </c>
    </row>
    <row r="51" spans="1:6" ht="20.149999999999999" customHeight="1" x14ac:dyDescent="0.35">
      <c r="A51" s="5">
        <v>83</v>
      </c>
      <c r="B51" s="3">
        <v>177</v>
      </c>
      <c r="C51" s="4" t="str">
        <f t="shared" si="1"/>
        <v>(83,177),</v>
      </c>
      <c r="E51" s="3">
        <v>203</v>
      </c>
      <c r="F51" s="27" t="s">
        <v>5162</v>
      </c>
    </row>
    <row r="52" spans="1:6" ht="20.149999999999999" customHeight="1" x14ac:dyDescent="0.35">
      <c r="A52" s="5">
        <v>83</v>
      </c>
      <c r="B52" s="3">
        <v>178</v>
      </c>
      <c r="C52" s="4" t="str">
        <f t="shared" si="1"/>
        <v>(83,178),</v>
      </c>
      <c r="E52" s="3">
        <v>204</v>
      </c>
      <c r="F52" s="27" t="s">
        <v>5163</v>
      </c>
    </row>
    <row r="53" spans="1:6" ht="20.149999999999999" customHeight="1" x14ac:dyDescent="0.35">
      <c r="A53" s="5">
        <v>84</v>
      </c>
      <c r="B53" s="3">
        <v>179</v>
      </c>
      <c r="C53" s="4" t="str">
        <f t="shared" si="1"/>
        <v>(84,179),</v>
      </c>
      <c r="E53" s="3">
        <v>205</v>
      </c>
      <c r="F53" s="27" t="s">
        <v>5164</v>
      </c>
    </row>
    <row r="54" spans="1:6" ht="20.149999999999999" customHeight="1" x14ac:dyDescent="0.35">
      <c r="A54" s="5">
        <v>85</v>
      </c>
      <c r="B54" s="3">
        <v>179</v>
      </c>
      <c r="C54" s="4" t="str">
        <f t="shared" si="1"/>
        <v>(85,179),</v>
      </c>
      <c r="E54" s="3">
        <v>206</v>
      </c>
      <c r="F54" s="27" t="s">
        <v>5165</v>
      </c>
    </row>
    <row r="55" spans="1:6" ht="20.149999999999999" customHeight="1" x14ac:dyDescent="0.35">
      <c r="A55" s="5">
        <v>86</v>
      </c>
      <c r="B55" s="3">
        <v>179</v>
      </c>
      <c r="C55" s="4" t="str">
        <f t="shared" si="1"/>
        <v>(86,179),</v>
      </c>
      <c r="E55" s="3">
        <v>207</v>
      </c>
      <c r="F55" s="27" t="s">
        <v>4153</v>
      </c>
    </row>
    <row r="56" spans="1:6" ht="20.149999999999999" customHeight="1" x14ac:dyDescent="0.35">
      <c r="A56" s="5">
        <v>87</v>
      </c>
      <c r="B56" s="3">
        <v>179</v>
      </c>
      <c r="C56" s="4" t="str">
        <f t="shared" si="1"/>
        <v>(87,179),</v>
      </c>
      <c r="E56" s="3">
        <v>208</v>
      </c>
      <c r="F56" s="27" t="s">
        <v>5166</v>
      </c>
    </row>
    <row r="57" spans="1:6" ht="20.149999999999999" customHeight="1" x14ac:dyDescent="0.35">
      <c r="A57" s="5">
        <v>88</v>
      </c>
      <c r="B57" s="3">
        <v>176</v>
      </c>
      <c r="C57" s="4" t="str">
        <f t="shared" si="1"/>
        <v>(88,176),</v>
      </c>
      <c r="E57" s="3">
        <v>209</v>
      </c>
      <c r="F57" s="27" t="s">
        <v>5167</v>
      </c>
    </row>
    <row r="58" spans="1:6" ht="20.149999999999999" customHeight="1" x14ac:dyDescent="0.35">
      <c r="A58" s="5">
        <v>89</v>
      </c>
      <c r="B58" s="3">
        <v>176</v>
      </c>
      <c r="C58" s="4" t="str">
        <f t="shared" si="1"/>
        <v>(89,176),</v>
      </c>
      <c r="E58" s="3">
        <v>210</v>
      </c>
      <c r="F58" s="27" t="s">
        <v>5168</v>
      </c>
    </row>
    <row r="59" spans="1:6" ht="20.149999999999999" customHeight="1" x14ac:dyDescent="0.35">
      <c r="A59" s="5">
        <v>90</v>
      </c>
      <c r="B59" s="3">
        <v>182</v>
      </c>
      <c r="C59" s="4" t="str">
        <f t="shared" si="1"/>
        <v>(90,182),</v>
      </c>
      <c r="E59" s="3">
        <v>211</v>
      </c>
      <c r="F59" s="27" t="s">
        <v>5169</v>
      </c>
    </row>
    <row r="60" spans="1:6" ht="20.149999999999999" customHeight="1" x14ac:dyDescent="0.35">
      <c r="A60" s="5">
        <v>91</v>
      </c>
      <c r="B60" s="3">
        <v>182</v>
      </c>
      <c r="C60" s="4" t="str">
        <f t="shared" si="1"/>
        <v>(91,182),</v>
      </c>
    </row>
    <row r="61" spans="1:6" ht="20.149999999999999" customHeight="1" x14ac:dyDescent="0.35">
      <c r="A61" s="5">
        <v>92</v>
      </c>
      <c r="B61" s="3">
        <v>182</v>
      </c>
      <c r="C61" s="4" t="str">
        <f t="shared" si="1"/>
        <v>(92,182),</v>
      </c>
    </row>
    <row r="62" spans="1:6" ht="20.149999999999999" customHeight="1" x14ac:dyDescent="0.35">
      <c r="A62" s="5">
        <v>93</v>
      </c>
      <c r="B62" s="3">
        <v>182</v>
      </c>
      <c r="C62" s="4" t="str">
        <f t="shared" si="1"/>
        <v>(93,182),</v>
      </c>
    </row>
    <row r="63" spans="1:6" ht="20.149999999999999" customHeight="1" x14ac:dyDescent="0.35">
      <c r="A63" s="5">
        <v>94</v>
      </c>
      <c r="B63" s="3">
        <v>184</v>
      </c>
      <c r="C63" s="4" t="str">
        <f t="shared" si="1"/>
        <v>(94,184),</v>
      </c>
    </row>
    <row r="64" spans="1:6" ht="20.149999999999999" customHeight="1" x14ac:dyDescent="0.35">
      <c r="A64" s="5">
        <v>95</v>
      </c>
      <c r="B64" s="3">
        <v>185</v>
      </c>
      <c r="C64" s="4" t="str">
        <f t="shared" si="1"/>
        <v>(95,185),</v>
      </c>
    </row>
    <row r="65" spans="1:3" ht="20.149999999999999" customHeight="1" x14ac:dyDescent="0.35">
      <c r="A65" s="5">
        <v>96</v>
      </c>
      <c r="B65" s="5">
        <v>187</v>
      </c>
      <c r="C65" s="4" t="str">
        <f t="shared" si="1"/>
        <v>(96,187),</v>
      </c>
    </row>
    <row r="66" spans="1:3" ht="20.149999999999999" customHeight="1" x14ac:dyDescent="0.35">
      <c r="A66" s="5">
        <v>97</v>
      </c>
      <c r="B66" s="3">
        <v>184</v>
      </c>
      <c r="C66" s="4" t="str">
        <f t="shared" si="1"/>
        <v>(97,184),</v>
      </c>
    </row>
    <row r="67" spans="1:3" ht="20.149999999999999" customHeight="1" x14ac:dyDescent="0.35">
      <c r="A67" s="5">
        <v>98</v>
      </c>
      <c r="B67" s="3">
        <v>185</v>
      </c>
      <c r="C67" s="4" t="str">
        <f t="shared" ref="C67:C98" si="2">CONCATENATE("(",A67,",",B67,"),")</f>
        <v>(98,185),</v>
      </c>
    </row>
    <row r="68" spans="1:3" ht="20.149999999999999" customHeight="1" x14ac:dyDescent="0.35">
      <c r="A68" s="5">
        <v>99</v>
      </c>
      <c r="B68" s="5">
        <v>187</v>
      </c>
      <c r="C68" s="4" t="str">
        <f t="shared" si="2"/>
        <v>(99,187),</v>
      </c>
    </row>
    <row r="69" spans="1:3" ht="20.149999999999999" customHeight="1" x14ac:dyDescent="0.35">
      <c r="A69" s="5">
        <v>100</v>
      </c>
      <c r="B69" s="3">
        <v>184</v>
      </c>
      <c r="C69" s="4" t="str">
        <f t="shared" si="2"/>
        <v>(100,184),</v>
      </c>
    </row>
    <row r="70" spans="1:3" ht="20.149999999999999" customHeight="1" x14ac:dyDescent="0.35">
      <c r="A70" s="5">
        <v>101</v>
      </c>
      <c r="B70" s="3">
        <v>185</v>
      </c>
      <c r="C70" s="4" t="str">
        <f t="shared" si="2"/>
        <v>(101,185),</v>
      </c>
    </row>
    <row r="71" spans="1:3" ht="20.149999999999999" customHeight="1" x14ac:dyDescent="0.35">
      <c r="A71" s="5">
        <v>102</v>
      </c>
      <c r="B71" s="5">
        <v>187</v>
      </c>
      <c r="C71" s="4" t="str">
        <f t="shared" si="2"/>
        <v>(102,187),</v>
      </c>
    </row>
    <row r="72" spans="1:3" ht="20.149999999999999" customHeight="1" x14ac:dyDescent="0.35">
      <c r="A72" s="5">
        <v>103</v>
      </c>
      <c r="B72" s="3">
        <v>184</v>
      </c>
      <c r="C72" s="4" t="str">
        <f t="shared" si="2"/>
        <v>(103,184),</v>
      </c>
    </row>
    <row r="73" spans="1:3" ht="20.149999999999999" customHeight="1" x14ac:dyDescent="0.35">
      <c r="A73" s="5">
        <v>104</v>
      </c>
      <c r="B73" s="3">
        <v>185</v>
      </c>
      <c r="C73" s="4" t="str">
        <f t="shared" si="2"/>
        <v>(104,185),</v>
      </c>
    </row>
    <row r="74" spans="1:3" ht="20.149999999999999" customHeight="1" x14ac:dyDescent="0.35">
      <c r="A74" s="5">
        <v>105</v>
      </c>
      <c r="B74" s="5">
        <v>187</v>
      </c>
      <c r="C74" s="4" t="str">
        <f t="shared" si="2"/>
        <v>(105,187),</v>
      </c>
    </row>
    <row r="75" spans="1:3" ht="20.149999999999999" customHeight="1" x14ac:dyDescent="0.35">
      <c r="A75" s="5">
        <v>106</v>
      </c>
      <c r="B75" s="3">
        <v>184</v>
      </c>
      <c r="C75" s="4" t="str">
        <f t="shared" si="2"/>
        <v>(106,184),</v>
      </c>
    </row>
    <row r="76" spans="1:3" ht="20.149999999999999" customHeight="1" x14ac:dyDescent="0.35">
      <c r="A76" s="5">
        <v>107</v>
      </c>
      <c r="B76" s="3">
        <v>185</v>
      </c>
      <c r="C76" s="4" t="str">
        <f t="shared" si="2"/>
        <v>(107,185),</v>
      </c>
    </row>
    <row r="77" spans="1:3" ht="20.149999999999999" customHeight="1" x14ac:dyDescent="0.35">
      <c r="A77" s="5">
        <v>108</v>
      </c>
      <c r="B77" s="5">
        <v>187</v>
      </c>
      <c r="C77" s="4" t="str">
        <f t="shared" si="2"/>
        <v>(108,187),</v>
      </c>
    </row>
    <row r="78" spans="1:3" ht="20.149999999999999" customHeight="1" x14ac:dyDescent="0.35">
      <c r="A78" s="5">
        <v>109</v>
      </c>
      <c r="B78" s="3">
        <v>207</v>
      </c>
      <c r="C78" s="4" t="str">
        <f t="shared" si="2"/>
        <v>(109,207),</v>
      </c>
    </row>
    <row r="79" spans="1:3" ht="20.149999999999999" customHeight="1" x14ac:dyDescent="0.35">
      <c r="A79" s="5">
        <v>110</v>
      </c>
      <c r="B79" s="3">
        <v>193</v>
      </c>
      <c r="C79" s="4" t="str">
        <f t="shared" si="2"/>
        <v>(110,193),</v>
      </c>
    </row>
    <row r="80" spans="1:3" ht="20.149999999999999" customHeight="1" x14ac:dyDescent="0.35">
      <c r="A80" s="5">
        <v>111</v>
      </c>
      <c r="B80" s="3">
        <v>193</v>
      </c>
      <c r="C80" s="4" t="str">
        <f t="shared" si="2"/>
        <v>(111,193),</v>
      </c>
    </row>
    <row r="81" spans="1:3" ht="20.149999999999999" customHeight="1" x14ac:dyDescent="0.35">
      <c r="A81" s="5">
        <v>112</v>
      </c>
      <c r="B81" s="3">
        <v>193</v>
      </c>
      <c r="C81" s="4" t="str">
        <f t="shared" si="2"/>
        <v>(112,193),</v>
      </c>
    </row>
    <row r="82" spans="1:3" ht="20.149999999999999" customHeight="1" x14ac:dyDescent="0.35">
      <c r="A82" s="5">
        <v>113</v>
      </c>
      <c r="B82" s="3">
        <v>193</v>
      </c>
      <c r="C82" s="4" t="str">
        <f t="shared" si="2"/>
        <v>(113,193),</v>
      </c>
    </row>
    <row r="83" spans="1:3" ht="20.149999999999999" customHeight="1" x14ac:dyDescent="0.35">
      <c r="A83" s="5">
        <v>114</v>
      </c>
      <c r="B83" s="3">
        <v>193</v>
      </c>
      <c r="C83" s="4" t="str">
        <f t="shared" si="2"/>
        <v>(114,193),</v>
      </c>
    </row>
    <row r="84" spans="1:3" ht="20.149999999999999" customHeight="1" x14ac:dyDescent="0.35">
      <c r="A84" s="5">
        <v>115</v>
      </c>
      <c r="B84" s="3">
        <v>210</v>
      </c>
      <c r="C84" s="4" t="str">
        <f t="shared" si="2"/>
        <v>(115,210),</v>
      </c>
    </row>
    <row r="85" spans="1:3" ht="20.149999999999999" customHeight="1" x14ac:dyDescent="0.35">
      <c r="A85" s="5">
        <v>116</v>
      </c>
      <c r="B85" s="3">
        <v>197</v>
      </c>
      <c r="C85" s="4" t="str">
        <f t="shared" si="2"/>
        <v>(116,197),</v>
      </c>
    </row>
    <row r="86" spans="1:3" ht="20.149999999999999" customHeight="1" x14ac:dyDescent="0.35">
      <c r="A86" s="5">
        <v>117</v>
      </c>
      <c r="B86" s="3">
        <v>204</v>
      </c>
      <c r="C86" s="4" t="str">
        <f t="shared" si="2"/>
        <v>(117,204),</v>
      </c>
    </row>
    <row r="87" spans="1:3" ht="20.149999999999999" customHeight="1" x14ac:dyDescent="0.35">
      <c r="A87" s="5">
        <v>118</v>
      </c>
      <c r="B87" s="3">
        <v>206</v>
      </c>
      <c r="C87" s="4" t="str">
        <f t="shared" si="2"/>
        <v>(118,206),</v>
      </c>
    </row>
    <row r="88" spans="1:3" ht="20.149999999999999" customHeight="1" x14ac:dyDescent="0.35">
      <c r="A88" s="5">
        <v>119</v>
      </c>
      <c r="B88" s="3">
        <v>201</v>
      </c>
      <c r="C88" s="4" t="str">
        <f t="shared" si="2"/>
        <v>(119,201),</v>
      </c>
    </row>
    <row r="89" spans="1:3" ht="20.149999999999999" customHeight="1" x14ac:dyDescent="0.35">
      <c r="A89" s="5">
        <v>120</v>
      </c>
      <c r="B89" s="3">
        <v>201</v>
      </c>
      <c r="C89" s="4" t="str">
        <f t="shared" si="2"/>
        <v>(120,201),</v>
      </c>
    </row>
    <row r="90" spans="1:3" ht="20.149999999999999" customHeight="1" x14ac:dyDescent="0.35">
      <c r="A90" s="5">
        <v>121</v>
      </c>
      <c r="B90" s="3">
        <v>201</v>
      </c>
      <c r="C90" s="4" t="str">
        <f t="shared" si="2"/>
        <v>(121,201),</v>
      </c>
    </row>
    <row r="91" spans="1:3" ht="20.149999999999999" customHeight="1" x14ac:dyDescent="0.35">
      <c r="A91" s="5">
        <v>122</v>
      </c>
      <c r="B91" s="3">
        <v>201</v>
      </c>
      <c r="C91" s="4" t="str">
        <f t="shared" si="2"/>
        <v>(122,201),</v>
      </c>
    </row>
    <row r="92" spans="1:3" ht="20.149999999999999" customHeight="1" x14ac:dyDescent="0.35">
      <c r="A92" s="5">
        <v>123</v>
      </c>
      <c r="B92" s="3">
        <v>201</v>
      </c>
      <c r="C92" s="4" t="str">
        <f t="shared" si="2"/>
        <v>(123,201),</v>
      </c>
    </row>
  </sheetData>
  <autoFilter ref="A2:C92" xr:uid="{00000000-0009-0000-0000-000022000000}">
    <sortState xmlns:xlrd2="http://schemas.microsoft.com/office/spreadsheetml/2017/richdata2" ref="A3:C92">
      <sortCondition ref="A2:A92"/>
    </sortState>
  </autoFilter>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FFFF00"/>
  </sheetPr>
  <dimension ref="A1:C36"/>
  <sheetViews>
    <sheetView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5600</v>
      </c>
    </row>
    <row r="2" spans="1:3" ht="20.149999999999999" customHeight="1" x14ac:dyDescent="0.35">
      <c r="A2" s="1" t="s">
        <v>44</v>
      </c>
      <c r="B2" s="1" t="s">
        <v>5534</v>
      </c>
      <c r="C2" s="1" t="s">
        <v>5605</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23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6085</v>
      </c>
      <c r="B1" s="1" t="s">
        <v>6086</v>
      </c>
      <c r="C1" s="1" t="s">
        <v>5600</v>
      </c>
    </row>
    <row r="2" spans="1:3" ht="20.149999999999999" customHeight="1" x14ac:dyDescent="0.35">
      <c r="A2" s="1" t="s">
        <v>41</v>
      </c>
      <c r="B2" s="1" t="s">
        <v>42</v>
      </c>
      <c r="C2" s="1" t="s">
        <v>6079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4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6085</v>
      </c>
      <c r="B1" s="1" t="s">
        <v>6084</v>
      </c>
      <c r="C1" s="1" t="s">
        <v>5600</v>
      </c>
    </row>
    <row r="2" spans="1:3" ht="20.149999999999999" customHeight="1" x14ac:dyDescent="0.35">
      <c r="A2" s="1" t="s">
        <v>41</v>
      </c>
      <c r="B2" s="1" t="s">
        <v>42</v>
      </c>
      <c r="C2" s="1" t="s">
        <v>6079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5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FF00"/>
  </sheetPr>
  <dimension ref="A1:D36"/>
  <sheetViews>
    <sheetView topLeftCell="A8" workbookViewId="0">
      <selection activeCell="D16" sqref="D1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5570</v>
      </c>
      <c r="C1" s="1" t="s">
        <v>4083</v>
      </c>
      <c r="D1" s="1" t="s">
        <v>5600</v>
      </c>
    </row>
    <row r="2" spans="1:4" ht="20.149999999999999" customHeight="1" x14ac:dyDescent="0.35">
      <c r="A2" s="1" t="s">
        <v>44</v>
      </c>
      <c r="B2" s="1" t="s">
        <v>5534</v>
      </c>
      <c r="C2" s="1" t="s">
        <v>5535</v>
      </c>
      <c r="D2" s="1" t="s">
        <v>5604</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26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5572</v>
      </c>
      <c r="B1" s="1" t="s">
        <v>5536</v>
      </c>
      <c r="C1" s="1" t="s">
        <v>5600</v>
      </c>
    </row>
    <row r="2" spans="1:3" ht="20.149999999999999" customHeight="1" x14ac:dyDescent="0.35">
      <c r="A2" s="1" t="s">
        <v>41</v>
      </c>
      <c r="B2" s="1" t="s">
        <v>42</v>
      </c>
      <c r="C2" s="1" t="s">
        <v>6090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7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5572</v>
      </c>
      <c r="B1" s="1" t="s">
        <v>6088</v>
      </c>
      <c r="C1" s="1" t="s">
        <v>5600</v>
      </c>
    </row>
    <row r="2" spans="1:3" ht="20.149999999999999" customHeight="1" x14ac:dyDescent="0.35">
      <c r="A2" s="1" t="s">
        <v>41</v>
      </c>
      <c r="B2" s="1" t="s">
        <v>42</v>
      </c>
      <c r="C2" s="1" t="s">
        <v>6089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8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5572</v>
      </c>
      <c r="B1" s="1" t="s">
        <v>6084</v>
      </c>
      <c r="C1" s="1" t="s">
        <v>5600</v>
      </c>
    </row>
    <row r="2" spans="1:3" ht="20.149999999999999" customHeight="1" x14ac:dyDescent="0.35">
      <c r="A2" s="1" t="s">
        <v>41</v>
      </c>
      <c r="B2" s="1" t="s">
        <v>42</v>
      </c>
      <c r="C2" s="1" t="s">
        <v>6087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9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5570</v>
      </c>
      <c r="C1" s="1" t="s">
        <v>4083</v>
      </c>
      <c r="D1" s="1" t="s">
        <v>5572</v>
      </c>
      <c r="E1" s="1" t="s">
        <v>5600</v>
      </c>
    </row>
    <row r="2" spans="1:5" ht="20.149999999999999" customHeight="1" x14ac:dyDescent="0.35">
      <c r="A2" s="1" t="s">
        <v>44</v>
      </c>
      <c r="B2" s="1" t="s">
        <v>5534</v>
      </c>
      <c r="C2" s="1" t="s">
        <v>5535</v>
      </c>
      <c r="D2" s="1" t="s">
        <v>5571</v>
      </c>
      <c r="E2" s="1" t="s">
        <v>5607</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A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6092</v>
      </c>
      <c r="B1" s="1" t="s">
        <v>5536</v>
      </c>
      <c r="C1" s="1" t="s">
        <v>5600</v>
      </c>
    </row>
    <row r="2" spans="1:3" ht="20.149999999999999" customHeight="1" x14ac:dyDescent="0.35">
      <c r="A2" s="1" t="s">
        <v>41</v>
      </c>
      <c r="B2" s="1" t="s">
        <v>42</v>
      </c>
      <c r="C2" s="1" t="s">
        <v>6091</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B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6092</v>
      </c>
      <c r="B1" s="1" t="s">
        <v>6088</v>
      </c>
      <c r="C1" s="1" t="s">
        <v>5600</v>
      </c>
    </row>
    <row r="2" spans="1:3" ht="20.149999999999999" customHeight="1" x14ac:dyDescent="0.35">
      <c r="A2" s="1" t="s">
        <v>41</v>
      </c>
      <c r="B2" s="1" t="s">
        <v>42</v>
      </c>
      <c r="C2" s="1" t="s">
        <v>6093</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C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FFF00"/>
  </sheetPr>
  <dimension ref="A1:G24"/>
  <sheetViews>
    <sheetView workbookViewId="0">
      <selection activeCell="B14" sqref="B14"/>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5536</v>
      </c>
      <c r="E1" s="1" t="s">
        <v>4710</v>
      </c>
      <c r="F1" s="1" t="s">
        <v>4711</v>
      </c>
      <c r="G1" s="1" t="s">
        <v>5600</v>
      </c>
    </row>
    <row r="2" spans="1:7" ht="20.149999999999999" customHeight="1" x14ac:dyDescent="0.35">
      <c r="A2" s="1" t="s">
        <v>44</v>
      </c>
      <c r="B2" s="1" t="s">
        <v>41</v>
      </c>
      <c r="C2" s="1" t="s">
        <v>42</v>
      </c>
      <c r="D2" s="1" t="s">
        <v>43</v>
      </c>
      <c r="E2" s="1" t="s">
        <v>53</v>
      </c>
      <c r="F2" s="1" t="s">
        <v>2094</v>
      </c>
      <c r="G2" s="1" t="s">
        <v>5601</v>
      </c>
    </row>
    <row r="3" spans="1:7" ht="20.149999999999999" customHeight="1" x14ac:dyDescent="0.35">
      <c r="A3" s="3">
        <v>1</v>
      </c>
      <c r="B3" s="18" t="s">
        <v>5537</v>
      </c>
      <c r="C3" s="4" t="s">
        <v>5538</v>
      </c>
      <c r="D3" s="15">
        <v>2</v>
      </c>
      <c r="E3" s="15">
        <v>1</v>
      </c>
      <c r="F3" s="5">
        <v>10</v>
      </c>
      <c r="G3" s="4" t="str">
        <f>CONCATENATE("(",A3,",'",B3,"','",C3,"',",D3,",",E3,",",F3,"),")</f>
        <v>(1,'OZ1/OZ2','STC OZ1/OZ2',2,1,10),</v>
      </c>
    </row>
    <row r="4" spans="1:7" ht="20.149999999999999" customHeight="1" x14ac:dyDescent="0.35">
      <c r="A4" s="3">
        <v>2</v>
      </c>
      <c r="B4" s="17" t="s">
        <v>5117</v>
      </c>
      <c r="C4" s="4" t="s">
        <v>5539</v>
      </c>
      <c r="D4" s="15">
        <v>2</v>
      </c>
      <c r="E4" s="15">
        <v>1</v>
      </c>
      <c r="F4" s="5">
        <v>10</v>
      </c>
      <c r="G4" s="4" t="str">
        <f t="shared" ref="G4:G24" si="0">CONCATENATE("(",A4,",'",B4,"','",C4,"',",D4,",",E4,",",F4,"),")</f>
        <v>(2,'OK1','STC OK1',2,1,10),</v>
      </c>
    </row>
    <row r="5" spans="1:7" ht="20.149999999999999" customHeight="1" x14ac:dyDescent="0.35">
      <c r="A5" s="3">
        <v>3</v>
      </c>
      <c r="B5" s="17" t="s">
        <v>5540</v>
      </c>
      <c r="C5" s="4" t="s">
        <v>5541</v>
      </c>
      <c r="D5" s="15">
        <v>2</v>
      </c>
      <c r="E5" s="15">
        <v>1</v>
      </c>
      <c r="F5" s="5">
        <v>10</v>
      </c>
      <c r="G5" s="4" t="str">
        <f t="shared" si="0"/>
        <v>(3,'OB1/OG1','STC OB1/OG1',2,1,10),</v>
      </c>
    </row>
    <row r="6" spans="1:7" ht="20.149999999999999" customHeight="1" x14ac:dyDescent="0.35">
      <c r="A6" s="3">
        <v>4</v>
      </c>
      <c r="B6" s="17" t="s">
        <v>5122</v>
      </c>
      <c r="C6" s="4" t="s">
        <v>5542</v>
      </c>
      <c r="D6" s="15">
        <v>2</v>
      </c>
      <c r="E6" s="15">
        <v>1</v>
      </c>
      <c r="F6" s="5">
        <v>10</v>
      </c>
      <c r="G6" s="4" t="str">
        <f t="shared" si="0"/>
        <v>(4,'OT1','STC OT1',2,1,10),</v>
      </c>
    </row>
    <row r="7" spans="1:7" ht="20.149999999999999" customHeight="1" x14ac:dyDescent="0.35">
      <c r="A7" s="3">
        <v>5</v>
      </c>
      <c r="B7" s="17" t="s">
        <v>5123</v>
      </c>
      <c r="C7" s="4" t="s">
        <v>5543</v>
      </c>
      <c r="D7" s="15">
        <v>2</v>
      </c>
      <c r="E7" s="15">
        <v>1</v>
      </c>
      <c r="F7" s="5">
        <v>10</v>
      </c>
      <c r="G7" s="4" t="str">
        <f t="shared" si="0"/>
        <v>(5,'OH1','STC OH1',2,1,10),</v>
      </c>
    </row>
    <row r="8" spans="1:7" ht="20.149999999999999" customHeight="1" x14ac:dyDescent="0.35">
      <c r="A8" s="3">
        <v>6</v>
      </c>
      <c r="B8" s="17" t="s">
        <v>5544</v>
      </c>
      <c r="C8" s="4" t="s">
        <v>5545</v>
      </c>
      <c r="D8" s="15">
        <v>2</v>
      </c>
      <c r="E8" s="15">
        <v>1</v>
      </c>
      <c r="F8" s="5">
        <v>10</v>
      </c>
      <c r="G8" s="4" t="str">
        <f t="shared" si="0"/>
        <v>(6,'OD1/OD3/OH2','STC OD1/OD3/OH2',2,1,10),</v>
      </c>
    </row>
    <row r="9" spans="1:7" ht="20.149999999999999" customHeight="1" x14ac:dyDescent="0.35">
      <c r="A9" s="3">
        <v>7</v>
      </c>
      <c r="B9" s="17" t="s">
        <v>5546</v>
      </c>
      <c r="C9" s="4" t="s">
        <v>5547</v>
      </c>
      <c r="D9" s="15">
        <v>2</v>
      </c>
      <c r="E9" s="15">
        <v>1</v>
      </c>
      <c r="F9" s="5">
        <v>10</v>
      </c>
      <c r="G9" s="4" t="str">
        <f t="shared" si="0"/>
        <v>(7,'OH3/OH4','STC OH3/OH4',2,1,10),</v>
      </c>
    </row>
    <row r="10" spans="1:7" ht="20.149999999999999" customHeight="1" x14ac:dyDescent="0.35">
      <c r="A10" s="3">
        <v>8</v>
      </c>
      <c r="B10" s="17" t="s">
        <v>5132</v>
      </c>
      <c r="C10" s="4" t="s">
        <v>5548</v>
      </c>
      <c r="D10" s="15">
        <v>3</v>
      </c>
      <c r="E10" s="15">
        <v>1</v>
      </c>
      <c r="F10" s="5">
        <v>10</v>
      </c>
      <c r="G10" s="4" t="str">
        <f t="shared" si="0"/>
        <v>(8,'NZ1','STC NZ1',3,1,10),</v>
      </c>
    </row>
    <row r="11" spans="1:7" ht="20.149999999999999" customHeight="1" x14ac:dyDescent="0.35">
      <c r="A11" s="3">
        <v>9</v>
      </c>
      <c r="B11" s="17" t="s">
        <v>5133</v>
      </c>
      <c r="C11" s="4" t="s">
        <v>5549</v>
      </c>
      <c r="D11" s="15">
        <v>3</v>
      </c>
      <c r="E11" s="15">
        <v>1</v>
      </c>
      <c r="F11" s="5">
        <v>10</v>
      </c>
      <c r="G11" s="4" t="str">
        <f t="shared" si="0"/>
        <v>(9,'NK1','STC NK1',3,1,10),</v>
      </c>
    </row>
    <row r="12" spans="1:7" ht="20.149999999999999" customHeight="1" x14ac:dyDescent="0.35">
      <c r="A12" s="3">
        <v>10</v>
      </c>
      <c r="B12" s="17" t="s">
        <v>5134</v>
      </c>
      <c r="C12" s="4" t="s">
        <v>5550</v>
      </c>
      <c r="D12" s="15">
        <v>3</v>
      </c>
      <c r="E12" s="15">
        <v>1</v>
      </c>
      <c r="F12" s="5">
        <v>10</v>
      </c>
      <c r="G12" s="4" t="str">
        <f t="shared" si="0"/>
        <v>(10,'NH2','STC NH2',3,1,10),</v>
      </c>
    </row>
    <row r="13" spans="1:7" ht="20.149999999999999" customHeight="1" x14ac:dyDescent="0.35">
      <c r="A13" s="3">
        <v>11</v>
      </c>
      <c r="B13" s="17" t="s">
        <v>5551</v>
      </c>
      <c r="C13" s="4" t="s">
        <v>5552</v>
      </c>
      <c r="D13" s="15">
        <v>4</v>
      </c>
      <c r="E13" s="15">
        <v>1</v>
      </c>
      <c r="F13" s="5">
        <v>10</v>
      </c>
      <c r="G13" s="4" t="str">
        <f t="shared" si="0"/>
        <v>(11,'LZ1/LZ2','STC LZ1/LZ2',4,1,10),</v>
      </c>
    </row>
    <row r="14" spans="1:7" ht="20.149999999999999" customHeight="1" x14ac:dyDescent="0.35">
      <c r="A14" s="3">
        <v>12</v>
      </c>
      <c r="B14" s="17" t="s">
        <v>5553</v>
      </c>
      <c r="C14" s="4" t="s">
        <v>5554</v>
      </c>
      <c r="D14" s="15">
        <v>4</v>
      </c>
      <c r="E14" s="15">
        <v>1</v>
      </c>
      <c r="F14" s="5">
        <v>10</v>
      </c>
      <c r="G14" s="4" t="str">
        <f t="shared" si="0"/>
        <v>(12,'LR1/DLR1/ELR1','STC LR1/DLR1/ELR1',4,1,10),</v>
      </c>
    </row>
    <row r="15" spans="1:7" ht="20.149999999999999" customHeight="1" x14ac:dyDescent="0.35">
      <c r="A15" s="3">
        <v>13</v>
      </c>
      <c r="B15" s="17" t="s">
        <v>5141</v>
      </c>
      <c r="C15" s="4" t="s">
        <v>5555</v>
      </c>
      <c r="D15" s="15">
        <v>1</v>
      </c>
      <c r="E15" s="15">
        <v>1</v>
      </c>
      <c r="F15" s="5">
        <v>10</v>
      </c>
      <c r="G15" s="4" t="str">
        <f t="shared" si="0"/>
        <v>(13,'GZ0','STC GZ0',1,1,10),</v>
      </c>
    </row>
    <row r="16" spans="1:7" ht="20.149999999999999" customHeight="1" x14ac:dyDescent="0.35">
      <c r="A16" s="3">
        <v>14</v>
      </c>
      <c r="B16" s="17" t="s">
        <v>5556</v>
      </c>
      <c r="C16" s="4" t="s">
        <v>5557</v>
      </c>
      <c r="D16" s="15">
        <v>1</v>
      </c>
      <c r="E16" s="15">
        <v>1</v>
      </c>
      <c r="F16" s="5">
        <v>10</v>
      </c>
      <c r="G16" s="4" t="str">
        <f t="shared" si="0"/>
        <v>(14,'GZ1/GZ2/GZ3','STC GZ1/GZ2/GZ3',1,1,10),</v>
      </c>
    </row>
    <row r="17" spans="1:7" ht="20.149999999999999" customHeight="1" x14ac:dyDescent="0.35">
      <c r="A17" s="3">
        <v>15</v>
      </c>
      <c r="B17" s="17" t="s">
        <v>5262</v>
      </c>
      <c r="C17" s="4" t="s">
        <v>5558</v>
      </c>
      <c r="D17" s="15">
        <v>1</v>
      </c>
      <c r="E17" s="15">
        <v>1</v>
      </c>
      <c r="F17" s="5">
        <v>10</v>
      </c>
      <c r="G17" s="4" t="str">
        <f t="shared" si="0"/>
        <v>(15,'GZ4','STC GZ4',1,1,10),</v>
      </c>
    </row>
    <row r="18" spans="1:7" ht="20.149999999999999" customHeight="1" x14ac:dyDescent="0.35">
      <c r="A18" s="3">
        <v>16</v>
      </c>
      <c r="B18" s="17" t="s">
        <v>4153</v>
      </c>
      <c r="C18" s="4" t="s">
        <v>5559</v>
      </c>
      <c r="D18" s="15">
        <v>1</v>
      </c>
      <c r="E18" s="15">
        <v>1</v>
      </c>
      <c r="F18" s="5">
        <v>10</v>
      </c>
      <c r="G18" s="4" t="str">
        <f t="shared" si="0"/>
        <v>(16,'GPDF','STC GPDF',1,1,10),</v>
      </c>
    </row>
    <row r="19" spans="1:7" ht="20.149999999999999" customHeight="1" x14ac:dyDescent="0.35">
      <c r="A19" s="3">
        <v>17</v>
      </c>
      <c r="B19" s="17" t="s">
        <v>5560</v>
      </c>
      <c r="C19" s="4" t="s">
        <v>5561</v>
      </c>
      <c r="D19" s="15">
        <v>1</v>
      </c>
      <c r="E19" s="15">
        <v>1</v>
      </c>
      <c r="F19" s="5">
        <v>10</v>
      </c>
      <c r="G19" s="4" t="str">
        <f t="shared" si="0"/>
        <v>(17,'GK1/GK2','STC GK1/GK2',1,1,10),</v>
      </c>
    </row>
    <row r="20" spans="1:7" ht="20.149999999999999" customHeight="1" x14ac:dyDescent="0.35">
      <c r="A20" s="3">
        <v>18</v>
      </c>
      <c r="B20" s="17" t="s">
        <v>5263</v>
      </c>
      <c r="C20" s="4" t="s">
        <v>5562</v>
      </c>
      <c r="D20" s="15">
        <v>1</v>
      </c>
      <c r="E20" s="15">
        <v>1</v>
      </c>
      <c r="F20" s="5">
        <v>10</v>
      </c>
      <c r="G20" s="4" t="str">
        <f t="shared" si="0"/>
        <v>(18,'GK3','STC GK3',1,1,10),</v>
      </c>
    </row>
    <row r="21" spans="1:7" ht="20.149999999999999" customHeight="1" x14ac:dyDescent="0.35">
      <c r="A21" s="3">
        <v>19</v>
      </c>
      <c r="B21" s="17" t="s">
        <v>5563</v>
      </c>
      <c r="C21" s="4" t="s">
        <v>5564</v>
      </c>
      <c r="D21" s="15">
        <v>1</v>
      </c>
      <c r="E21" s="15">
        <v>1</v>
      </c>
      <c r="F21" s="5">
        <v>10</v>
      </c>
      <c r="G21" s="4" t="str">
        <f t="shared" si="0"/>
        <v>(19,'GO1/GO2/GO3','STC GO1/GO2/GO3',1,1,10),</v>
      </c>
    </row>
    <row r="22" spans="1:7" ht="20.149999999999999" customHeight="1" x14ac:dyDescent="0.35">
      <c r="A22" s="3">
        <v>20</v>
      </c>
      <c r="B22" s="17" t="s">
        <v>5156</v>
      </c>
      <c r="C22" s="4" t="s">
        <v>5565</v>
      </c>
      <c r="D22" s="15">
        <v>1</v>
      </c>
      <c r="E22" s="15">
        <v>1</v>
      </c>
      <c r="F22" s="5">
        <v>10</v>
      </c>
      <c r="G22" s="4" t="str">
        <f t="shared" si="0"/>
        <v>(20,'GG1','STC GG1',1,1,10),</v>
      </c>
    </row>
    <row r="23" spans="1:7" ht="20.149999999999999" customHeight="1" x14ac:dyDescent="0.35">
      <c r="A23" s="3">
        <v>21</v>
      </c>
      <c r="B23" s="17" t="s">
        <v>5566</v>
      </c>
      <c r="C23" s="4" t="s">
        <v>5567</v>
      </c>
      <c r="D23" s="15">
        <v>1</v>
      </c>
      <c r="E23" s="15">
        <v>1</v>
      </c>
      <c r="F23" s="5">
        <v>10</v>
      </c>
      <c r="G23" s="4" t="str">
        <f t="shared" si="0"/>
        <v>(21,'GR1/GR2/GR4/GR6','STC GR1/GR2/GR4/GR6',1,1,10),</v>
      </c>
    </row>
    <row r="24" spans="1:7" ht="20.149999999999999" customHeight="1" x14ac:dyDescent="0.35">
      <c r="A24" s="3">
        <v>22</v>
      </c>
      <c r="B24" s="17" t="s">
        <v>5569</v>
      </c>
      <c r="C24" s="4" t="s">
        <v>5568</v>
      </c>
      <c r="D24" s="15">
        <v>1</v>
      </c>
      <c r="E24" s="15">
        <v>1</v>
      </c>
      <c r="F24" s="5">
        <v>10</v>
      </c>
      <c r="G24" s="4" t="str">
        <f t="shared" si="0"/>
        <v>(22,'GR5/GR7','STC GR5/GR7',1,1,10),</v>
      </c>
    </row>
  </sheetData>
  <autoFilter ref="A2:F24" xr:uid="{00000000-0009-0000-0000-00002D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FFF00"/>
  </sheetPr>
  <dimension ref="A1:AH59"/>
  <sheetViews>
    <sheetView topLeftCell="A46" workbookViewId="0">
      <selection activeCell="H12" sqref="H12"/>
    </sheetView>
  </sheetViews>
  <sheetFormatPr baseColWidth="10" defaultColWidth="10.81640625" defaultRowHeight="15.5" x14ac:dyDescent="0.35"/>
  <cols>
    <col min="1" max="1" width="5.54296875" style="2" customWidth="1"/>
    <col min="2" max="2" width="10.54296875" style="2" customWidth="1"/>
    <col min="3" max="3" width="12.7265625" style="2" customWidth="1"/>
    <col min="4" max="7" width="12.7265625" style="2" hidden="1" customWidth="1"/>
    <col min="8" max="8" width="19.7265625" style="2" customWidth="1"/>
    <col min="9" max="9" width="12.7265625" style="2" customWidth="1"/>
    <col min="10" max="10" width="36" style="2" customWidth="1"/>
    <col min="11" max="30" width="12.7265625" style="2" customWidth="1"/>
    <col min="31" max="31" width="21.453125" style="2" customWidth="1"/>
    <col min="32" max="32" width="12.7265625" style="2" customWidth="1"/>
    <col min="33" max="33" width="117.36328125" style="2" bestFit="1" customWidth="1"/>
    <col min="34" max="16384" width="10.81640625" style="2"/>
  </cols>
  <sheetData>
    <row r="1" spans="1:34" ht="20.149999999999999" customHeight="1" x14ac:dyDescent="0.35">
      <c r="A1" s="1" t="s">
        <v>37</v>
      </c>
      <c r="B1" s="26" t="s">
        <v>54</v>
      </c>
      <c r="C1" s="1" t="s">
        <v>5641</v>
      </c>
      <c r="D1" s="1" t="s">
        <v>4710</v>
      </c>
      <c r="E1" s="1" t="s">
        <v>6206</v>
      </c>
      <c r="F1" s="1" t="s">
        <v>6208</v>
      </c>
      <c r="G1" s="1" t="s">
        <v>6209</v>
      </c>
      <c r="H1" s="1" t="s">
        <v>5573</v>
      </c>
      <c r="I1" s="1" t="s">
        <v>5574</v>
      </c>
      <c r="J1" s="1" t="s">
        <v>5575</v>
      </c>
      <c r="K1" s="1" t="s">
        <v>5576</v>
      </c>
      <c r="L1" s="1" t="s">
        <v>5577</v>
      </c>
      <c r="M1" s="1" t="s">
        <v>5578</v>
      </c>
      <c r="N1" s="1" t="s">
        <v>5579</v>
      </c>
      <c r="O1" s="1" t="s">
        <v>5580</v>
      </c>
      <c r="P1" s="1" t="s">
        <v>5581</v>
      </c>
      <c r="Q1" s="1" t="s">
        <v>5582</v>
      </c>
      <c r="R1" s="1" t="s">
        <v>5583</v>
      </c>
      <c r="S1" s="1" t="s">
        <v>6220</v>
      </c>
      <c r="T1" s="1" t="s">
        <v>5584</v>
      </c>
      <c r="U1" s="1" t="s">
        <v>6219</v>
      </c>
      <c r="V1" s="1" t="s">
        <v>5585</v>
      </c>
      <c r="W1" s="1" t="s">
        <v>6218</v>
      </c>
      <c r="X1" s="1" t="s">
        <v>5533</v>
      </c>
      <c r="Y1" s="1" t="s">
        <v>6207</v>
      </c>
      <c r="Z1" s="1" t="s">
        <v>5586</v>
      </c>
      <c r="AA1" s="1" t="s">
        <v>6210</v>
      </c>
      <c r="AB1" s="1" t="s">
        <v>5587</v>
      </c>
      <c r="AC1" s="1" t="s">
        <v>6211</v>
      </c>
      <c r="AD1" s="1" t="s">
        <v>6804</v>
      </c>
      <c r="AE1" s="1" t="s">
        <v>5492</v>
      </c>
      <c r="AF1" s="1" t="s">
        <v>6232</v>
      </c>
    </row>
    <row r="2" spans="1:34" ht="20.149999999999999" customHeight="1" x14ac:dyDescent="0.35">
      <c r="A2" s="1" t="s">
        <v>44</v>
      </c>
      <c r="B2" s="26" t="s">
        <v>41</v>
      </c>
      <c r="C2" s="26" t="s">
        <v>43</v>
      </c>
      <c r="D2" s="26" t="s">
        <v>4077</v>
      </c>
      <c r="E2" s="1"/>
      <c r="F2" s="1" t="s">
        <v>4349</v>
      </c>
      <c r="G2" s="1" t="s">
        <v>5599</v>
      </c>
      <c r="H2" s="1" t="s">
        <v>4350</v>
      </c>
      <c r="I2" s="1" t="s">
        <v>4351</v>
      </c>
      <c r="J2" s="1" t="s">
        <v>5534</v>
      </c>
      <c r="K2" s="1" t="s">
        <v>5535</v>
      </c>
      <c r="L2" s="1" t="s">
        <v>5571</v>
      </c>
      <c r="M2" s="1" t="s">
        <v>5588</v>
      </c>
      <c r="N2" s="1" t="s">
        <v>5589</v>
      </c>
      <c r="O2" s="1" t="s">
        <v>5590</v>
      </c>
      <c r="P2" s="1" t="s">
        <v>5591</v>
      </c>
      <c r="Q2" s="1" t="s">
        <v>5592</v>
      </c>
      <c r="R2" s="1"/>
      <c r="S2" s="1" t="s">
        <v>5593</v>
      </c>
      <c r="T2" s="1"/>
      <c r="U2" s="1" t="s">
        <v>5594</v>
      </c>
      <c r="V2" s="1"/>
      <c r="W2" s="1" t="s">
        <v>5595</v>
      </c>
      <c r="X2" s="1"/>
      <c r="Y2" s="1" t="s">
        <v>5596</v>
      </c>
      <c r="Z2" s="1"/>
      <c r="AA2" s="1" t="s">
        <v>5597</v>
      </c>
      <c r="AB2" s="1"/>
      <c r="AC2" s="1" t="s">
        <v>5598</v>
      </c>
      <c r="AD2" s="1" t="s">
        <v>5599</v>
      </c>
      <c r="AE2" s="1"/>
      <c r="AF2" s="1" t="s">
        <v>6319</v>
      </c>
      <c r="AG2" s="46" t="s">
        <v>6805</v>
      </c>
    </row>
    <row r="3" spans="1:34" ht="20.149999999999999" customHeight="1" x14ac:dyDescent="0.35">
      <c r="A3" s="3">
        <v>156</v>
      </c>
      <c r="B3" s="27" t="s">
        <v>5115</v>
      </c>
      <c r="C3" s="22">
        <v>24053</v>
      </c>
      <c r="D3" s="15">
        <v>1</v>
      </c>
      <c r="E3" s="5" t="s">
        <v>4125</v>
      </c>
      <c r="F3" s="5">
        <v>11</v>
      </c>
      <c r="G3" s="5">
        <v>12</v>
      </c>
      <c r="H3" s="7">
        <v>28</v>
      </c>
      <c r="I3" s="31" t="s">
        <v>5628</v>
      </c>
      <c r="J3" s="5" t="s">
        <v>5629</v>
      </c>
      <c r="K3" s="5">
        <v>4.5699999999999998E-2</v>
      </c>
      <c r="L3" s="5">
        <v>63</v>
      </c>
      <c r="M3" s="5">
        <v>54</v>
      </c>
      <c r="N3" s="5">
        <v>0</v>
      </c>
      <c r="O3" s="5">
        <v>0</v>
      </c>
      <c r="P3" s="5">
        <v>21</v>
      </c>
      <c r="Q3" s="5">
        <v>11</v>
      </c>
      <c r="R3" s="5" t="s">
        <v>5630</v>
      </c>
      <c r="S3" s="5">
        <v>3</v>
      </c>
      <c r="T3" s="5" t="s">
        <v>5631</v>
      </c>
      <c r="U3" s="5">
        <v>14</v>
      </c>
      <c r="V3" s="5" t="s">
        <v>972</v>
      </c>
      <c r="W3" s="5" t="s">
        <v>972</v>
      </c>
      <c r="X3" s="5" t="s">
        <v>5537</v>
      </c>
      <c r="Y3" s="5">
        <v>1</v>
      </c>
      <c r="Z3" s="35" t="s">
        <v>4854</v>
      </c>
      <c r="AA3" s="36">
        <v>7</v>
      </c>
      <c r="AB3" s="35" t="s">
        <v>1824</v>
      </c>
      <c r="AC3" s="36">
        <v>21</v>
      </c>
      <c r="AD3" s="5">
        <v>12</v>
      </c>
      <c r="AE3" s="5" t="s">
        <v>5632</v>
      </c>
      <c r="AF3" s="5"/>
      <c r="AG3" s="47" t="str">
        <f>CONCATENATE("(",A3,"*'",H3,"'*",I3,"*'",J3,"'*'",K3,"'*",L3,"*",M3,"*",N3,"*",O3,"*",P3,"*",Q3,"*",S3,"*",U3,"*",W3,"*",Y3,"*",AA3,"*",AC3,"*",AD3,")*")</f>
        <v>(156*'28'*801.478*'6.35 / 7.14 / 7.92 / 8.74 / 9.52 /  11.91 / 12.70'*'0,0457'*63*54*0*0*21*11*3*14*NULL*1*7*21*12)*</v>
      </c>
      <c r="AH3" s="37"/>
    </row>
    <row r="4" spans="1:34" ht="20.149999999999999" customHeight="1" x14ac:dyDescent="0.35">
      <c r="A4" s="3">
        <v>157</v>
      </c>
      <c r="B4" s="27" t="s">
        <v>5116</v>
      </c>
      <c r="C4" s="22">
        <v>37851</v>
      </c>
      <c r="D4" s="15">
        <v>1</v>
      </c>
      <c r="E4" s="5" t="s">
        <v>4125</v>
      </c>
      <c r="F4" s="5">
        <v>11</v>
      </c>
      <c r="G4" s="5">
        <v>12</v>
      </c>
      <c r="H4" s="7">
        <v>34</v>
      </c>
      <c r="I4" s="31">
        <v>821</v>
      </c>
      <c r="J4" s="5" t="s">
        <v>5633</v>
      </c>
      <c r="K4" s="5">
        <v>4.5699999999999998E-2</v>
      </c>
      <c r="L4" s="5">
        <v>70</v>
      </c>
      <c r="M4" s="5">
        <v>70</v>
      </c>
      <c r="N4" s="5">
        <v>0</v>
      </c>
      <c r="O4" s="5">
        <v>0</v>
      </c>
      <c r="P4" s="5">
        <v>34</v>
      </c>
      <c r="Q4" s="5">
        <v>34</v>
      </c>
      <c r="R4" s="5" t="s">
        <v>5634</v>
      </c>
      <c r="S4" s="5">
        <v>4</v>
      </c>
      <c r="T4" s="5" t="s">
        <v>5635</v>
      </c>
      <c r="U4" s="5">
        <v>11</v>
      </c>
      <c r="V4" s="5" t="s">
        <v>972</v>
      </c>
      <c r="W4" s="5" t="s">
        <v>972</v>
      </c>
      <c r="X4" s="5" t="s">
        <v>5537</v>
      </c>
      <c r="Y4" s="5">
        <v>1</v>
      </c>
      <c r="Z4" s="35" t="s">
        <v>4854</v>
      </c>
      <c r="AA4" s="5">
        <v>7</v>
      </c>
      <c r="AB4" s="35" t="s">
        <v>1824</v>
      </c>
      <c r="AC4" s="5">
        <v>21</v>
      </c>
      <c r="AD4" s="5">
        <v>12</v>
      </c>
      <c r="AE4" s="30" t="s">
        <v>5636</v>
      </c>
      <c r="AF4" s="30"/>
      <c r="AG4" s="47" t="str">
        <f t="shared" ref="AG4:AG11" si="0">CONCATENATE("(",A4,"*'",H4,"'*",I4,"*'",J4,"'*'",K4,"'*",L4,"*",M4,"*",N4,"*",O4,"*",P4,"*",Q4,"*",S4,"*",U4,"*",W4,"*",Y4,"*",AA4,"*",AC4,"*",AD4,")*")</f>
        <v>(157*'34'*821*'7.92 - 17.48'*'0,0457'*70*70*0*0*34*34*4*11*NULL*1*7*21*12)*</v>
      </c>
    </row>
    <row r="5" spans="1:34" ht="20.149999999999999" customHeight="1" x14ac:dyDescent="0.35">
      <c r="A5" s="3">
        <v>158</v>
      </c>
      <c r="B5" s="27" t="s">
        <v>5117</v>
      </c>
      <c r="C5" s="22">
        <v>26299</v>
      </c>
      <c r="D5" s="15">
        <v>1</v>
      </c>
      <c r="E5" s="5" t="s">
        <v>4133</v>
      </c>
      <c r="F5" s="5">
        <v>13</v>
      </c>
      <c r="G5" s="5">
        <v>12</v>
      </c>
      <c r="H5" s="7">
        <v>34</v>
      </c>
      <c r="I5" s="31">
        <v>646</v>
      </c>
      <c r="J5" s="30" t="s">
        <v>5637</v>
      </c>
      <c r="K5" s="5">
        <v>4.5699999999999998E-2</v>
      </c>
      <c r="L5" s="5">
        <v>75</v>
      </c>
      <c r="M5" s="5">
        <v>75</v>
      </c>
      <c r="N5" s="5">
        <v>0</v>
      </c>
      <c r="O5" s="5">
        <v>0</v>
      </c>
      <c r="P5" s="5">
        <v>30</v>
      </c>
      <c r="Q5" s="5">
        <v>30</v>
      </c>
      <c r="R5" s="5" t="s">
        <v>5638</v>
      </c>
      <c r="S5" s="5">
        <v>3</v>
      </c>
      <c r="T5" s="30" t="s">
        <v>5639</v>
      </c>
      <c r="U5" s="5">
        <v>14</v>
      </c>
      <c r="V5" s="5" t="s">
        <v>972</v>
      </c>
      <c r="W5" s="5" t="s">
        <v>972</v>
      </c>
      <c r="X5" s="5" t="s">
        <v>5117</v>
      </c>
      <c r="Y5" s="5">
        <v>2</v>
      </c>
      <c r="Z5" s="35" t="s">
        <v>4854</v>
      </c>
      <c r="AA5" s="5">
        <v>7</v>
      </c>
      <c r="AB5" s="35" t="s">
        <v>1012</v>
      </c>
      <c r="AC5" s="5">
        <v>34</v>
      </c>
      <c r="AD5" s="5">
        <v>12</v>
      </c>
      <c r="AE5" s="5" t="s">
        <v>5640</v>
      </c>
      <c r="AF5" s="5"/>
      <c r="AG5" s="47" t="str">
        <f t="shared" si="0"/>
        <v>(158*'34'*646*'7,92 / 8,74 / 9,52 / 10,31 / 11,13 / 11,91 / 12,70 / 14,27 / 15,88 / 17,48 / 22,22'*'0,0457'*75*75*0*0*30*30*3*14*NULL*2*7*34*12)*</v>
      </c>
    </row>
    <row r="6" spans="1:34" ht="20.149999999999999" customHeight="1" x14ac:dyDescent="0.35">
      <c r="A6" s="3">
        <v>159</v>
      </c>
      <c r="B6" s="27" t="s">
        <v>5118</v>
      </c>
      <c r="C6" s="22">
        <v>21864</v>
      </c>
      <c r="D6" s="15">
        <v>1</v>
      </c>
      <c r="E6" s="5" t="s">
        <v>4141</v>
      </c>
      <c r="F6" s="5">
        <v>15</v>
      </c>
      <c r="G6" s="5">
        <v>12</v>
      </c>
      <c r="H6" s="7" t="s">
        <v>6204</v>
      </c>
      <c r="I6" s="31">
        <v>672</v>
      </c>
      <c r="J6" s="5" t="s">
        <v>5642</v>
      </c>
      <c r="K6" s="5">
        <v>1.4999999999999999E-2</v>
      </c>
      <c r="L6" s="5">
        <v>83</v>
      </c>
      <c r="M6" s="5">
        <v>0</v>
      </c>
      <c r="N6" s="5">
        <v>0</v>
      </c>
      <c r="O6" s="5">
        <v>0</v>
      </c>
      <c r="P6" s="5">
        <v>14</v>
      </c>
      <c r="Q6" s="5" t="s">
        <v>5646</v>
      </c>
      <c r="R6" s="5" t="s">
        <v>5643</v>
      </c>
      <c r="S6" s="5">
        <v>2</v>
      </c>
      <c r="T6" s="5" t="s">
        <v>5644</v>
      </c>
      <c r="U6" s="5">
        <v>14</v>
      </c>
      <c r="V6" s="5" t="s">
        <v>972</v>
      </c>
      <c r="W6" s="5" t="s">
        <v>972</v>
      </c>
      <c r="X6" s="5" t="s">
        <v>5540</v>
      </c>
      <c r="Y6" s="5">
        <v>3</v>
      </c>
      <c r="Z6" s="35" t="s">
        <v>4854</v>
      </c>
      <c r="AA6" s="5">
        <v>7</v>
      </c>
      <c r="AB6" s="35" t="s">
        <v>1091</v>
      </c>
      <c r="AC6" s="5">
        <v>22</v>
      </c>
      <c r="AD6" s="5">
        <v>12</v>
      </c>
      <c r="AE6" s="5" t="s">
        <v>5645</v>
      </c>
      <c r="AF6" s="5"/>
      <c r="AG6" s="47" t="str">
        <f t="shared" si="0"/>
        <v>(159*'24 / 22'*672*'2,7 / 9,52 / 9,0 / 8,73 / 7,92 / 7,13 / 6,35'*'0,015'*83*0*0*0*14*11.4*2*14*NULL*3*7*22*12)*</v>
      </c>
    </row>
    <row r="7" spans="1:34" ht="20.149999999999999" customHeight="1" x14ac:dyDescent="0.35">
      <c r="A7" s="3">
        <v>160</v>
      </c>
      <c r="B7" s="27" t="s">
        <v>5119</v>
      </c>
      <c r="C7" s="22">
        <v>44738</v>
      </c>
      <c r="D7" s="15">
        <v>1</v>
      </c>
      <c r="E7" s="5" t="s">
        <v>4141</v>
      </c>
      <c r="F7" s="5">
        <v>15</v>
      </c>
      <c r="G7" s="5">
        <v>12</v>
      </c>
      <c r="H7" s="7" t="s">
        <v>6204</v>
      </c>
      <c r="I7" s="31">
        <v>174</v>
      </c>
      <c r="J7" s="5" t="s">
        <v>5647</v>
      </c>
      <c r="K7" s="5">
        <v>4.5999999999999999E-2</v>
      </c>
      <c r="L7" s="5">
        <v>83</v>
      </c>
      <c r="M7" s="5">
        <v>0</v>
      </c>
      <c r="N7" s="5">
        <v>0</v>
      </c>
      <c r="O7" s="5">
        <v>0</v>
      </c>
      <c r="P7" s="5">
        <v>0</v>
      </c>
      <c r="Q7" s="5">
        <v>0</v>
      </c>
      <c r="R7" s="5" t="s">
        <v>5634</v>
      </c>
      <c r="S7" s="5">
        <v>4</v>
      </c>
      <c r="T7" s="5" t="s">
        <v>5650</v>
      </c>
      <c r="U7" s="5">
        <v>10</v>
      </c>
      <c r="V7" s="5" t="s">
        <v>972</v>
      </c>
      <c r="W7" s="5" t="s">
        <v>972</v>
      </c>
      <c r="X7" s="5" t="s">
        <v>5540</v>
      </c>
      <c r="Y7" s="5">
        <v>3</v>
      </c>
      <c r="Z7" s="35" t="s">
        <v>1026</v>
      </c>
      <c r="AA7" s="5">
        <v>10</v>
      </c>
      <c r="AB7" s="35" t="s">
        <v>1091</v>
      </c>
      <c r="AC7" s="5">
        <v>22</v>
      </c>
      <c r="AD7" s="5">
        <v>12</v>
      </c>
      <c r="AE7" s="5"/>
      <c r="AF7" s="5"/>
      <c r="AG7" s="47" t="str">
        <f t="shared" si="0"/>
        <v>(160*'24 / 22'*174*'8,74 / 9,53 / 11,3 / 12,7'*'0,046'*83*0*0*0*0*0*4*10*NULL*3*10*22*12)*</v>
      </c>
    </row>
    <row r="8" spans="1:34" ht="20.149999999999999" customHeight="1" x14ac:dyDescent="0.35">
      <c r="A8" s="3">
        <v>161</v>
      </c>
      <c r="B8" s="27" t="s">
        <v>5120</v>
      </c>
      <c r="C8" s="22">
        <v>46388</v>
      </c>
      <c r="D8" s="15">
        <v>1</v>
      </c>
      <c r="E8" s="5" t="s">
        <v>4141</v>
      </c>
      <c r="F8" s="5">
        <v>15</v>
      </c>
      <c r="G8" s="5">
        <v>12</v>
      </c>
      <c r="H8" s="7">
        <v>24</v>
      </c>
      <c r="I8" s="31">
        <v>504</v>
      </c>
      <c r="J8" s="5" t="s">
        <v>5648</v>
      </c>
      <c r="K8" s="5">
        <v>4.5999999999999999E-2</v>
      </c>
      <c r="L8" s="5">
        <v>0</v>
      </c>
      <c r="M8" s="5">
        <v>0</v>
      </c>
      <c r="N8" s="5">
        <v>0</v>
      </c>
      <c r="O8" s="5">
        <v>0</v>
      </c>
      <c r="P8" s="5">
        <v>0</v>
      </c>
      <c r="Q8" s="5">
        <v>0</v>
      </c>
      <c r="R8" s="5" t="s">
        <v>5634</v>
      </c>
      <c r="S8" s="5">
        <v>4</v>
      </c>
      <c r="T8" s="5" t="s">
        <v>5649</v>
      </c>
      <c r="U8" s="5">
        <v>21</v>
      </c>
      <c r="V8" s="5" t="s">
        <v>972</v>
      </c>
      <c r="W8" s="5" t="s">
        <v>972</v>
      </c>
      <c r="X8" s="5" t="s">
        <v>5540</v>
      </c>
      <c r="Y8" s="5">
        <v>3</v>
      </c>
      <c r="Z8" s="35" t="s">
        <v>4854</v>
      </c>
      <c r="AA8" s="5">
        <v>7</v>
      </c>
      <c r="AB8" s="35" t="s">
        <v>1916</v>
      </c>
      <c r="AC8" s="5">
        <v>11</v>
      </c>
      <c r="AD8" s="5">
        <v>12</v>
      </c>
      <c r="AE8" s="5"/>
      <c r="AF8" s="5"/>
      <c r="AG8" s="47" t="str">
        <f t="shared" si="0"/>
        <v>(161*'24'*504*'12,7 / 11,13 / 9,53 / 7,9'*'0,046'*0*0*0*0*0*0*4*21*NULL*3*7*11*12)*</v>
      </c>
    </row>
    <row r="9" spans="1:34" ht="20.149999999999999" customHeight="1" x14ac:dyDescent="0.35">
      <c r="A9" s="3">
        <v>162</v>
      </c>
      <c r="B9" s="27" t="s">
        <v>5121</v>
      </c>
      <c r="C9" s="22">
        <v>38537</v>
      </c>
      <c r="D9" s="15">
        <v>1</v>
      </c>
      <c r="E9" s="5" t="s">
        <v>4141</v>
      </c>
      <c r="F9" s="5">
        <v>15</v>
      </c>
      <c r="G9" s="5">
        <v>12</v>
      </c>
      <c r="H9" s="7">
        <v>20</v>
      </c>
      <c r="I9" s="31" t="s">
        <v>5651</v>
      </c>
      <c r="J9" s="5" t="s">
        <v>5652</v>
      </c>
      <c r="K9" s="5">
        <v>4.5699999999999998E-2</v>
      </c>
      <c r="L9" s="5">
        <v>72</v>
      </c>
      <c r="M9" s="5">
        <v>72</v>
      </c>
      <c r="N9" s="5">
        <v>0</v>
      </c>
      <c r="O9" s="5">
        <v>0</v>
      </c>
      <c r="P9" s="5">
        <v>4</v>
      </c>
      <c r="Q9" s="5">
        <v>4</v>
      </c>
      <c r="R9" s="5" t="s">
        <v>5634</v>
      </c>
      <c r="S9" s="5">
        <v>4</v>
      </c>
      <c r="T9" s="5" t="s">
        <v>5635</v>
      </c>
      <c r="U9" s="5">
        <v>11</v>
      </c>
      <c r="V9" s="5" t="s">
        <v>972</v>
      </c>
      <c r="W9" s="5" t="s">
        <v>972</v>
      </c>
      <c r="X9" s="5" t="s">
        <v>5540</v>
      </c>
      <c r="Y9" s="5">
        <v>3</v>
      </c>
      <c r="Z9" s="35" t="s">
        <v>5654</v>
      </c>
      <c r="AA9" s="5">
        <v>13</v>
      </c>
      <c r="AB9" s="35" t="s">
        <v>5522</v>
      </c>
      <c r="AC9" s="50">
        <v>128</v>
      </c>
      <c r="AD9" s="5">
        <v>12</v>
      </c>
      <c r="AE9" s="5" t="s">
        <v>5653</v>
      </c>
      <c r="AF9" s="5"/>
      <c r="AG9" s="47" t="str">
        <f t="shared" si="0"/>
        <v>(162*'20'*144.74*'8,74 / 10,31'*'0,0457'*72*72*0*0*4*4*4*11*NULL*3*13*128*12)*</v>
      </c>
    </row>
    <row r="10" spans="1:34" ht="20.149999999999999" customHeight="1" x14ac:dyDescent="0.35">
      <c r="A10" s="3">
        <v>163</v>
      </c>
      <c r="B10" s="27" t="s">
        <v>5122</v>
      </c>
      <c r="C10" s="22">
        <v>21916</v>
      </c>
      <c r="D10" s="15">
        <v>1</v>
      </c>
      <c r="E10" s="5" t="s">
        <v>4137</v>
      </c>
      <c r="F10" s="5">
        <v>14</v>
      </c>
      <c r="G10" s="5">
        <v>12</v>
      </c>
      <c r="H10" s="7">
        <v>24</v>
      </c>
      <c r="I10" s="31">
        <v>265</v>
      </c>
      <c r="J10" s="5" t="s">
        <v>5661</v>
      </c>
      <c r="K10" s="5">
        <v>1.4999999999999999E-2</v>
      </c>
      <c r="L10" s="5">
        <v>70</v>
      </c>
      <c r="M10" s="5">
        <v>70</v>
      </c>
      <c r="N10" s="5">
        <v>0</v>
      </c>
      <c r="O10" s="5">
        <v>0</v>
      </c>
      <c r="P10" s="5" t="s">
        <v>5659</v>
      </c>
      <c r="Q10" s="5" t="s">
        <v>5660</v>
      </c>
      <c r="R10" s="5" t="s">
        <v>5630</v>
      </c>
      <c r="S10" s="5">
        <v>3</v>
      </c>
      <c r="T10" s="5" t="s">
        <v>5658</v>
      </c>
      <c r="U10" s="5">
        <v>14</v>
      </c>
      <c r="V10" s="5" t="s">
        <v>5657</v>
      </c>
      <c r="W10" s="5">
        <v>17</v>
      </c>
      <c r="X10" s="5" t="s">
        <v>5122</v>
      </c>
      <c r="Y10" s="5">
        <v>4</v>
      </c>
      <c r="Z10" s="35" t="s">
        <v>1848</v>
      </c>
      <c r="AA10" s="5">
        <v>29</v>
      </c>
      <c r="AB10" s="35" t="s">
        <v>5655</v>
      </c>
      <c r="AC10" s="5">
        <v>1</v>
      </c>
      <c r="AD10" s="5">
        <v>12</v>
      </c>
      <c r="AE10" s="5" t="s">
        <v>5656</v>
      </c>
      <c r="AF10" s="5"/>
      <c r="AG10" s="47" t="str">
        <f t="shared" si="0"/>
        <v>(163*'24'*265*'7,94 / 8,74 / 10,31'*'0,015'*70*70*0*0*13.9*7.8*3*14*17*4*29*1*12)*</v>
      </c>
    </row>
    <row r="11" spans="1:34" ht="20.149999999999999" customHeight="1" x14ac:dyDescent="0.35">
      <c r="A11" s="3">
        <v>164</v>
      </c>
      <c r="B11" s="27" t="s">
        <v>5123</v>
      </c>
      <c r="C11" s="22">
        <v>29952</v>
      </c>
      <c r="D11" s="15">
        <v>1</v>
      </c>
      <c r="E11" s="5" t="s">
        <v>4137</v>
      </c>
      <c r="F11" s="5">
        <v>14</v>
      </c>
      <c r="G11" s="5">
        <v>12</v>
      </c>
      <c r="H11" s="7">
        <v>30</v>
      </c>
      <c r="I11" s="31">
        <v>630</v>
      </c>
      <c r="J11" s="5" t="s">
        <v>5662</v>
      </c>
      <c r="K11" s="5">
        <v>0.06</v>
      </c>
      <c r="L11" s="5">
        <v>67</v>
      </c>
      <c r="M11" s="5">
        <v>49</v>
      </c>
      <c r="N11" s="5" t="s">
        <v>5663</v>
      </c>
      <c r="O11" s="5">
        <v>0</v>
      </c>
      <c r="P11" s="5">
        <v>18</v>
      </c>
      <c r="Q11" s="5" t="s">
        <v>5664</v>
      </c>
      <c r="R11" s="5" t="s">
        <v>5630</v>
      </c>
      <c r="S11" s="5">
        <v>3</v>
      </c>
      <c r="T11" s="5" t="s">
        <v>5665</v>
      </c>
      <c r="U11" s="5">
        <v>14</v>
      </c>
      <c r="V11" s="5" t="s">
        <v>5657</v>
      </c>
      <c r="W11" s="5">
        <v>17</v>
      </c>
      <c r="X11" s="5" t="s">
        <v>5123</v>
      </c>
      <c r="Y11" s="5">
        <v>5</v>
      </c>
      <c r="Z11" s="35" t="s">
        <v>1848</v>
      </c>
      <c r="AA11" s="5">
        <v>29</v>
      </c>
      <c r="AB11" s="35" t="s">
        <v>4854</v>
      </c>
      <c r="AC11" s="5">
        <v>7</v>
      </c>
      <c r="AD11" s="5">
        <v>12</v>
      </c>
      <c r="AE11" s="5" t="s">
        <v>5666</v>
      </c>
      <c r="AF11" s="5"/>
      <c r="AG11" s="47" t="str">
        <f t="shared" si="0"/>
        <v>(164*'30'*630*'7,14 / 7,92'*'0,06'*67*49*1.4*0*18*8.9*3*14*17*5*29*7*12)*</v>
      </c>
    </row>
    <row r="12" spans="1:34" ht="20.149999999999999" customHeight="1" x14ac:dyDescent="0.35">
      <c r="A12" s="3">
        <v>165</v>
      </c>
      <c r="B12" s="28" t="s">
        <v>5124</v>
      </c>
      <c r="C12" s="22">
        <v>38353</v>
      </c>
      <c r="D12" s="15">
        <v>1</v>
      </c>
      <c r="E12" s="5" t="s">
        <v>4137</v>
      </c>
      <c r="F12" s="5">
        <v>14</v>
      </c>
      <c r="G12" s="5">
        <v>12</v>
      </c>
      <c r="H12" s="7">
        <v>30</v>
      </c>
      <c r="I12" s="31" t="s">
        <v>5667</v>
      </c>
      <c r="J12" s="5" t="s">
        <v>5668</v>
      </c>
      <c r="K12" s="5">
        <v>4.5699999999999998E-2</v>
      </c>
      <c r="L12" s="5">
        <v>49</v>
      </c>
      <c r="M12" s="5">
        <v>0</v>
      </c>
      <c r="N12" s="5">
        <v>0</v>
      </c>
      <c r="O12" s="5">
        <v>0</v>
      </c>
      <c r="P12" s="5">
        <v>0</v>
      </c>
      <c r="Q12" s="5">
        <v>0</v>
      </c>
      <c r="R12" s="5" t="s">
        <v>5634</v>
      </c>
      <c r="S12" s="5">
        <v>4</v>
      </c>
      <c r="T12" s="5" t="s">
        <v>5669</v>
      </c>
      <c r="U12" s="5">
        <v>11</v>
      </c>
      <c r="V12" s="5" t="s">
        <v>972</v>
      </c>
      <c r="W12" s="5" t="s">
        <v>972</v>
      </c>
      <c r="X12" s="5" t="s">
        <v>5123</v>
      </c>
      <c r="Y12" s="5">
        <v>5</v>
      </c>
      <c r="Z12" s="35" t="s">
        <v>5670</v>
      </c>
      <c r="AA12" s="50" t="s">
        <v>5670</v>
      </c>
      <c r="AB12" s="35" t="s">
        <v>4044</v>
      </c>
      <c r="AC12" s="50" t="s">
        <v>4044</v>
      </c>
      <c r="AD12" s="5"/>
      <c r="AE12" s="5"/>
      <c r="AF12" s="5"/>
      <c r="AG12" s="47" t="str">
        <f t="shared" ref="AG12:AG54" si="1">CONCATENATE("(",A12,"*'",H12,"'*",I12,"*'",J12,"'*'",K12,"'*",L12,"*",M12,"*",N12,"*",O12,"*",P12,"*",Q12,"*",S12,"*",U12,"*",W12,"*",Y12,"*",AA12,"*",AC12,")*")</f>
        <v>(165*'30'*44.5*'10.31'*'0,0457'*49*0*0*0*0*0*4*11*NULL*5*TFT*Nezla)*</v>
      </c>
    </row>
    <row r="13" spans="1:34" ht="20.149999999999999" customHeight="1" x14ac:dyDescent="0.35">
      <c r="A13" s="3">
        <v>166</v>
      </c>
      <c r="B13" s="27" t="s">
        <v>5125</v>
      </c>
      <c r="C13" s="22">
        <v>26399</v>
      </c>
      <c r="D13" s="15">
        <v>1</v>
      </c>
      <c r="E13" s="5" t="s">
        <v>5673</v>
      </c>
      <c r="F13" s="5">
        <v>12</v>
      </c>
      <c r="G13" s="5">
        <v>12</v>
      </c>
      <c r="H13" s="7">
        <v>26</v>
      </c>
      <c r="I13" s="31">
        <v>108.372</v>
      </c>
      <c r="J13" s="5" t="s">
        <v>6100</v>
      </c>
      <c r="K13" s="5">
        <v>4.5699999999999998E-2</v>
      </c>
      <c r="L13" s="5">
        <v>40</v>
      </c>
      <c r="M13" s="5">
        <v>40</v>
      </c>
      <c r="N13" s="5">
        <v>0</v>
      </c>
      <c r="O13" s="5">
        <v>0</v>
      </c>
      <c r="P13" s="5">
        <v>12</v>
      </c>
      <c r="Q13" s="5">
        <v>12</v>
      </c>
      <c r="R13" s="5" t="s">
        <v>5630</v>
      </c>
      <c r="S13" s="5">
        <v>3</v>
      </c>
      <c r="T13" s="5" t="s">
        <v>5665</v>
      </c>
      <c r="U13" s="5">
        <v>14</v>
      </c>
      <c r="V13" s="5" t="s">
        <v>972</v>
      </c>
      <c r="W13" s="5" t="s">
        <v>972</v>
      </c>
      <c r="X13" s="5" t="s">
        <v>5676</v>
      </c>
      <c r="Y13" s="5">
        <v>6</v>
      </c>
      <c r="Z13" s="35" t="s">
        <v>5348</v>
      </c>
      <c r="AA13" s="5">
        <v>15</v>
      </c>
      <c r="AB13" s="35" t="s">
        <v>4854</v>
      </c>
      <c r="AC13" s="5">
        <v>7</v>
      </c>
      <c r="AD13" s="5">
        <v>12</v>
      </c>
      <c r="AE13" s="5" t="s">
        <v>5679</v>
      </c>
      <c r="AF13" s="5"/>
      <c r="AG13" s="47" t="str">
        <f t="shared" ref="AG13:AG33" si="2">CONCATENATE("(",A13,"*'",H13,"'*",I13,"*'",J13,"'*'",K13,"'*",L13,"*",M13,"*",N13,"*",O13,"*",P13,"*",Q13,"*",S13,"*",U13,"*",W13,"*",Y13,"*",AA13,"*",AC13,"*",AD13,")*")</f>
        <v>(166*'26'*108,372*'7,14 / 8,74'*'0,0457'*40*40*0*0*12*12*3*14*NULL*6*15*7*12)*</v>
      </c>
    </row>
    <row r="14" spans="1:34" ht="20.149999999999999" customHeight="1" x14ac:dyDescent="0.35">
      <c r="A14" s="3">
        <v>167</v>
      </c>
      <c r="B14" s="27" t="s">
        <v>5126</v>
      </c>
      <c r="C14" s="22">
        <v>36161</v>
      </c>
      <c r="D14" s="15">
        <v>1</v>
      </c>
      <c r="E14" s="5" t="s">
        <v>5673</v>
      </c>
      <c r="F14" s="5">
        <v>12</v>
      </c>
      <c r="G14" s="5">
        <v>12</v>
      </c>
      <c r="H14" s="7">
        <v>30</v>
      </c>
      <c r="I14" s="31">
        <v>292</v>
      </c>
      <c r="J14" s="5" t="s">
        <v>5680</v>
      </c>
      <c r="K14" s="5">
        <v>4.5699999999999998E-2</v>
      </c>
      <c r="L14" s="5">
        <v>70</v>
      </c>
      <c r="M14" s="5">
        <v>70</v>
      </c>
      <c r="N14" s="5">
        <v>0</v>
      </c>
      <c r="O14" s="5">
        <v>0</v>
      </c>
      <c r="P14" s="5">
        <v>30</v>
      </c>
      <c r="Q14" s="5">
        <v>30</v>
      </c>
      <c r="R14" s="5" t="s">
        <v>5630</v>
      </c>
      <c r="S14" s="5">
        <v>3</v>
      </c>
      <c r="T14" s="5" t="s">
        <v>5681</v>
      </c>
      <c r="U14" s="5">
        <v>11</v>
      </c>
      <c r="V14" s="5" t="s">
        <v>972</v>
      </c>
      <c r="W14" s="5" t="s">
        <v>972</v>
      </c>
      <c r="X14" s="5" t="s">
        <v>5546</v>
      </c>
      <c r="Y14" s="5">
        <v>7</v>
      </c>
      <c r="Z14" s="35" t="s">
        <v>5352</v>
      </c>
      <c r="AA14" s="5">
        <v>27</v>
      </c>
      <c r="AB14" s="35" t="s">
        <v>4854</v>
      </c>
      <c r="AC14" s="5">
        <v>7</v>
      </c>
      <c r="AD14" s="5">
        <v>12</v>
      </c>
      <c r="AE14" s="30" t="s">
        <v>6212</v>
      </c>
      <c r="AF14" s="30"/>
      <c r="AG14" s="47" t="str">
        <f t="shared" si="2"/>
        <v>(167*'30'*292*'10,31 - 12,7'*'0,0457'*70*70*0*0*30*30*3*11*NULL*7*27*7*12)*</v>
      </c>
    </row>
    <row r="15" spans="1:34" ht="20.149999999999999" customHeight="1" x14ac:dyDescent="0.35">
      <c r="A15" s="3">
        <v>168</v>
      </c>
      <c r="B15" s="27" t="s">
        <v>5127</v>
      </c>
      <c r="C15" s="22">
        <v>38718</v>
      </c>
      <c r="D15" s="15">
        <v>1</v>
      </c>
      <c r="E15" s="5" t="s">
        <v>5673</v>
      </c>
      <c r="F15" s="5">
        <v>12</v>
      </c>
      <c r="G15" s="5">
        <v>12</v>
      </c>
      <c r="H15" s="7">
        <v>30</v>
      </c>
      <c r="I15" s="31">
        <v>292</v>
      </c>
      <c r="J15" s="5" t="s">
        <v>5680</v>
      </c>
      <c r="K15" s="5">
        <v>4.5699999999999998E-2</v>
      </c>
      <c r="L15" s="5">
        <v>70</v>
      </c>
      <c r="M15" s="5">
        <v>70</v>
      </c>
      <c r="N15" s="5">
        <v>0</v>
      </c>
      <c r="O15" s="5">
        <v>0</v>
      </c>
      <c r="P15" s="5">
        <v>30</v>
      </c>
      <c r="Q15" s="5">
        <v>30</v>
      </c>
      <c r="R15" s="5" t="s">
        <v>5634</v>
      </c>
      <c r="S15" s="5">
        <v>4</v>
      </c>
      <c r="T15" s="5" t="s">
        <v>5681</v>
      </c>
      <c r="U15" s="5">
        <v>11</v>
      </c>
      <c r="V15" s="5" t="s">
        <v>972</v>
      </c>
      <c r="W15" s="5" t="s">
        <v>972</v>
      </c>
      <c r="X15" s="5" t="s">
        <v>5546</v>
      </c>
      <c r="Y15" s="5">
        <v>7</v>
      </c>
      <c r="Z15" s="35" t="s">
        <v>5352</v>
      </c>
      <c r="AA15" s="5">
        <v>27</v>
      </c>
      <c r="AB15" s="35" t="s">
        <v>4854</v>
      </c>
      <c r="AC15" s="5">
        <v>7</v>
      </c>
      <c r="AD15" s="5">
        <v>12</v>
      </c>
      <c r="AE15" s="30" t="s">
        <v>6212</v>
      </c>
      <c r="AF15" s="30"/>
      <c r="AG15" s="47" t="str">
        <f t="shared" si="2"/>
        <v>(168*'30'*292*'10,31 - 12,7'*'0,0457'*70*70*0*0*30*30*4*11*NULL*7*27*7*12)*</v>
      </c>
    </row>
    <row r="16" spans="1:34" ht="20.149999999999999" customHeight="1" x14ac:dyDescent="0.35">
      <c r="A16" s="3">
        <v>169</v>
      </c>
      <c r="B16" s="27" t="s">
        <v>5128</v>
      </c>
      <c r="C16" s="22">
        <v>28207</v>
      </c>
      <c r="D16" s="15">
        <v>1</v>
      </c>
      <c r="E16" s="5" t="s">
        <v>5673</v>
      </c>
      <c r="F16" s="5">
        <v>12</v>
      </c>
      <c r="G16" s="5">
        <v>12</v>
      </c>
      <c r="H16" s="7">
        <v>20</v>
      </c>
      <c r="I16" s="31">
        <v>272.35000000000002</v>
      </c>
      <c r="J16" s="5" t="s">
        <v>6221</v>
      </c>
      <c r="K16" s="5">
        <v>4.5699999999999998E-2</v>
      </c>
      <c r="L16" s="5">
        <v>72</v>
      </c>
      <c r="M16" s="5">
        <v>12</v>
      </c>
      <c r="N16" s="5">
        <v>0</v>
      </c>
      <c r="O16" s="5">
        <v>0</v>
      </c>
      <c r="P16" s="5">
        <v>5</v>
      </c>
      <c r="Q16" s="5">
        <v>2</v>
      </c>
      <c r="R16" s="5" t="s">
        <v>5630</v>
      </c>
      <c r="S16" s="5">
        <v>3</v>
      </c>
      <c r="T16" s="5" t="s">
        <v>972</v>
      </c>
      <c r="U16" s="5" t="s">
        <v>972</v>
      </c>
      <c r="V16" s="5" t="s">
        <v>972</v>
      </c>
      <c r="W16" s="5" t="s">
        <v>972</v>
      </c>
      <c r="X16" s="5" t="s">
        <v>5676</v>
      </c>
      <c r="Y16" s="5">
        <v>6</v>
      </c>
      <c r="Z16" s="35" t="s">
        <v>5675</v>
      </c>
      <c r="AA16" s="5">
        <v>25</v>
      </c>
      <c r="AB16" s="35" t="s">
        <v>5674</v>
      </c>
      <c r="AC16" s="5">
        <v>15</v>
      </c>
      <c r="AD16" s="5">
        <v>12</v>
      </c>
      <c r="AE16" s="5" t="s">
        <v>5672</v>
      </c>
      <c r="AF16" s="5"/>
      <c r="AG16" s="47" t="str">
        <f t="shared" si="2"/>
        <v>(169*'20'*272,35*'6,35 - 8,74'*'0,0457'*72*12*0*0*5*2*3*NULL*NULL*6*25*15*12)*</v>
      </c>
    </row>
    <row r="17" spans="1:33" ht="20.149999999999999" customHeight="1" x14ac:dyDescent="0.35">
      <c r="A17" s="3">
        <v>170</v>
      </c>
      <c r="B17" s="27" t="s">
        <v>5129</v>
      </c>
      <c r="C17" s="22">
        <v>45778</v>
      </c>
      <c r="D17" s="15">
        <v>1</v>
      </c>
      <c r="E17" s="5" t="s">
        <v>5673</v>
      </c>
      <c r="F17" s="5">
        <v>12</v>
      </c>
      <c r="G17" s="5">
        <v>12</v>
      </c>
      <c r="H17" s="7">
        <v>16</v>
      </c>
      <c r="I17" s="31">
        <v>271</v>
      </c>
      <c r="J17" s="5">
        <v>6.35</v>
      </c>
      <c r="K17" s="5">
        <v>4.5999999999999999E-2</v>
      </c>
      <c r="L17" s="5">
        <v>40</v>
      </c>
      <c r="M17" s="5">
        <v>0</v>
      </c>
      <c r="N17" s="5">
        <v>0</v>
      </c>
      <c r="O17" s="5">
        <v>0</v>
      </c>
      <c r="P17" s="5">
        <v>0</v>
      </c>
      <c r="Q17" s="5">
        <v>0</v>
      </c>
      <c r="R17" s="5" t="s">
        <v>5634</v>
      </c>
      <c r="S17" s="5">
        <v>4</v>
      </c>
      <c r="T17" s="5" t="s">
        <v>972</v>
      </c>
      <c r="U17" s="5" t="s">
        <v>972</v>
      </c>
      <c r="V17" s="5" t="s">
        <v>972</v>
      </c>
      <c r="W17" s="5" t="s">
        <v>972</v>
      </c>
      <c r="X17" s="5" t="s">
        <v>5676</v>
      </c>
      <c r="Y17" s="5">
        <v>6</v>
      </c>
      <c r="Z17" s="35" t="s">
        <v>5675</v>
      </c>
      <c r="AA17" s="5">
        <v>25</v>
      </c>
      <c r="AB17" s="35" t="s">
        <v>5674</v>
      </c>
      <c r="AC17" s="5">
        <v>15</v>
      </c>
      <c r="AD17" s="5">
        <v>12</v>
      </c>
      <c r="AE17" s="5"/>
      <c r="AF17" s="5"/>
      <c r="AG17" s="47" t="str">
        <f t="shared" si="2"/>
        <v>(170*'16'*271*'6,35'*'0,046'*40*0*0*0*0*0*4*NULL*NULL*6*25*15*12)*</v>
      </c>
    </row>
    <row r="18" spans="1:33" ht="20.149999999999999" customHeight="1" x14ac:dyDescent="0.35">
      <c r="A18" s="3">
        <v>171</v>
      </c>
      <c r="B18" s="27" t="s">
        <v>5130</v>
      </c>
      <c r="C18" s="22">
        <v>35431</v>
      </c>
      <c r="D18" s="15">
        <v>1</v>
      </c>
      <c r="E18" s="5" t="s">
        <v>4089</v>
      </c>
      <c r="F18" s="5">
        <v>2</v>
      </c>
      <c r="G18" s="5">
        <v>2</v>
      </c>
      <c r="H18" s="7">
        <v>20</v>
      </c>
      <c r="I18" s="31">
        <v>230</v>
      </c>
      <c r="J18" s="5"/>
      <c r="K18" s="5">
        <v>4.5699999999999998E-2</v>
      </c>
      <c r="L18" s="5">
        <v>0</v>
      </c>
      <c r="M18" s="5">
        <v>0</v>
      </c>
      <c r="N18" s="5">
        <v>0</v>
      </c>
      <c r="O18" s="5">
        <v>0</v>
      </c>
      <c r="P18" s="5">
        <v>0</v>
      </c>
      <c r="Q18" s="5">
        <v>0</v>
      </c>
      <c r="R18" s="5" t="s">
        <v>5634</v>
      </c>
      <c r="S18" s="5">
        <v>4</v>
      </c>
      <c r="T18" s="5" t="s">
        <v>972</v>
      </c>
      <c r="U18" s="5" t="s">
        <v>972</v>
      </c>
      <c r="V18" s="5" t="s">
        <v>972</v>
      </c>
      <c r="W18" s="5" t="s">
        <v>972</v>
      </c>
      <c r="X18" s="5" t="s">
        <v>5676</v>
      </c>
      <c r="Y18" s="5">
        <v>6</v>
      </c>
      <c r="Z18" s="35" t="s">
        <v>4903</v>
      </c>
      <c r="AA18" s="5">
        <v>32</v>
      </c>
      <c r="AB18" s="35" t="s">
        <v>4869</v>
      </c>
      <c r="AC18" s="5">
        <v>15</v>
      </c>
      <c r="AD18" s="5">
        <v>12</v>
      </c>
      <c r="AE18" s="5"/>
      <c r="AF18" s="5"/>
      <c r="AG18" s="47" t="str">
        <f t="shared" si="2"/>
        <v>(171*'20'*230*''*'0,0457'*0*0*0*0*0*0*4*NULL*NULL*6*32*15*12)*</v>
      </c>
    </row>
    <row r="19" spans="1:33" ht="20.149999999999999" customHeight="1" x14ac:dyDescent="0.35">
      <c r="A19" s="3">
        <v>172</v>
      </c>
      <c r="B19" s="27" t="s">
        <v>5131</v>
      </c>
      <c r="C19" s="22">
        <v>36505</v>
      </c>
      <c r="D19" s="15">
        <v>1</v>
      </c>
      <c r="E19" s="5" t="s">
        <v>5673</v>
      </c>
      <c r="F19" s="5">
        <v>12</v>
      </c>
      <c r="G19" s="5">
        <v>12</v>
      </c>
      <c r="H19" s="7">
        <v>20</v>
      </c>
      <c r="I19" s="31">
        <v>33</v>
      </c>
      <c r="J19" s="5" t="s">
        <v>6222</v>
      </c>
      <c r="K19" s="5">
        <v>4.5999999999999999E-2</v>
      </c>
      <c r="L19" s="5">
        <v>55</v>
      </c>
      <c r="M19" s="5">
        <v>55</v>
      </c>
      <c r="N19" s="5">
        <v>0</v>
      </c>
      <c r="O19" s="5">
        <v>0</v>
      </c>
      <c r="P19" s="5">
        <v>5</v>
      </c>
      <c r="Q19" s="5">
        <v>5</v>
      </c>
      <c r="R19" s="5" t="s">
        <v>5630</v>
      </c>
      <c r="S19" s="5">
        <v>3</v>
      </c>
      <c r="T19" s="5" t="s">
        <v>972</v>
      </c>
      <c r="U19" s="5" t="s">
        <v>972</v>
      </c>
      <c r="V19" s="5" t="s">
        <v>972</v>
      </c>
      <c r="W19" s="5" t="s">
        <v>972</v>
      </c>
      <c r="X19" s="5" t="s">
        <v>5676</v>
      </c>
      <c r="Y19" s="5">
        <v>6</v>
      </c>
      <c r="Z19" s="35" t="s">
        <v>5678</v>
      </c>
      <c r="AA19" s="5">
        <v>33</v>
      </c>
      <c r="AB19" s="35" t="s">
        <v>5674</v>
      </c>
      <c r="AC19" s="5">
        <v>15</v>
      </c>
      <c r="AD19" s="5">
        <v>12</v>
      </c>
      <c r="AE19" s="5" t="s">
        <v>4702</v>
      </c>
      <c r="AF19" s="5"/>
      <c r="AG19" s="47" t="str">
        <f t="shared" si="2"/>
        <v>(172*'20'*33*'7,14 - 8,74'*'0,046'*55*55*0*0*5*5*3*NULL*NULL*6*33*15*12)*</v>
      </c>
    </row>
    <row r="20" spans="1:33" ht="20.149999999999999" customHeight="1" x14ac:dyDescent="0.35">
      <c r="A20" s="3">
        <v>173</v>
      </c>
      <c r="B20" s="27" t="s">
        <v>5132</v>
      </c>
      <c r="C20" s="22">
        <v>28795</v>
      </c>
      <c r="D20" s="15">
        <v>1</v>
      </c>
      <c r="E20" s="5" t="s">
        <v>4125</v>
      </c>
      <c r="F20" s="5">
        <v>11</v>
      </c>
      <c r="G20" s="5">
        <v>12</v>
      </c>
      <c r="H20" s="7">
        <v>28</v>
      </c>
      <c r="I20" s="31">
        <v>507</v>
      </c>
      <c r="J20" s="5" t="s">
        <v>6205</v>
      </c>
      <c r="K20" s="5">
        <v>4.5699999999999998E-2</v>
      </c>
      <c r="L20" s="5">
        <v>66</v>
      </c>
      <c r="M20" s="5">
        <v>66</v>
      </c>
      <c r="N20" s="5">
        <v>0</v>
      </c>
      <c r="O20" s="5">
        <v>0</v>
      </c>
      <c r="P20" s="5">
        <v>21</v>
      </c>
      <c r="Q20" s="5">
        <v>13.6</v>
      </c>
      <c r="R20" s="5" t="s">
        <v>5630</v>
      </c>
      <c r="S20" s="5">
        <v>3</v>
      </c>
      <c r="T20" s="5" t="s">
        <v>5665</v>
      </c>
      <c r="U20" s="5">
        <v>14</v>
      </c>
      <c r="V20" s="5" t="s">
        <v>972</v>
      </c>
      <c r="W20" s="5" t="s">
        <v>972</v>
      </c>
      <c r="X20" s="5" t="s">
        <v>5132</v>
      </c>
      <c r="Y20" s="5">
        <v>8</v>
      </c>
      <c r="Z20" s="35" t="s">
        <v>4856</v>
      </c>
      <c r="AA20" s="5">
        <v>8</v>
      </c>
      <c r="AB20" s="35" t="s">
        <v>1824</v>
      </c>
      <c r="AC20" s="5">
        <v>21</v>
      </c>
      <c r="AD20" s="5">
        <v>12</v>
      </c>
      <c r="AE20" s="30" t="s">
        <v>6213</v>
      </c>
      <c r="AF20" s="30"/>
      <c r="AG20" s="47" t="str">
        <f t="shared" si="2"/>
        <v>(173*'28'*507*'6,35 / 7,14 / 7,22 / 8,74 / 9,25 / 12,7 / 14,27'*'0,0457'*66*66*0*0*21*13,6*3*14*NULL*8*8*21*12)*</v>
      </c>
    </row>
    <row r="21" spans="1:33" ht="20.149999999999999" customHeight="1" x14ac:dyDescent="0.35">
      <c r="A21" s="3">
        <v>174</v>
      </c>
      <c r="B21" s="27" t="s">
        <v>5133</v>
      </c>
      <c r="C21" s="22">
        <v>40029</v>
      </c>
      <c r="D21" s="15">
        <v>1</v>
      </c>
      <c r="E21" s="5" t="s">
        <v>4133</v>
      </c>
      <c r="F21" s="5">
        <v>13</v>
      </c>
      <c r="G21" s="5">
        <v>12</v>
      </c>
      <c r="H21" s="7">
        <v>30</v>
      </c>
      <c r="I21" s="31">
        <v>646</v>
      </c>
      <c r="J21" s="5" t="s">
        <v>6097</v>
      </c>
      <c r="K21" s="5">
        <v>4.5699999999999998E-2</v>
      </c>
      <c r="L21" s="5">
        <v>82.9</v>
      </c>
      <c r="M21" s="5">
        <v>82.9</v>
      </c>
      <c r="N21" s="5">
        <v>0</v>
      </c>
      <c r="O21" s="5">
        <v>0</v>
      </c>
      <c r="P21" s="5">
        <v>11.41</v>
      </c>
      <c r="Q21" s="5">
        <v>11.41</v>
      </c>
      <c r="R21" s="5" t="s">
        <v>5634</v>
      </c>
      <c r="S21" s="5">
        <v>4</v>
      </c>
      <c r="T21" s="5" t="s">
        <v>5635</v>
      </c>
      <c r="U21" s="5">
        <v>11</v>
      </c>
      <c r="V21" s="5" t="s">
        <v>972</v>
      </c>
      <c r="W21" s="5" t="s">
        <v>972</v>
      </c>
      <c r="X21" s="5" t="s">
        <v>5133</v>
      </c>
      <c r="Y21" s="5">
        <v>9</v>
      </c>
      <c r="Z21" s="35" t="s">
        <v>4856</v>
      </c>
      <c r="AA21" s="5">
        <v>8</v>
      </c>
      <c r="AB21" s="35" t="s">
        <v>1012</v>
      </c>
      <c r="AC21" s="5">
        <v>34</v>
      </c>
      <c r="AD21" s="5">
        <v>12</v>
      </c>
      <c r="AE21" s="5" t="s">
        <v>6098</v>
      </c>
      <c r="AF21" s="5"/>
      <c r="AG21" s="47" t="str">
        <f t="shared" si="2"/>
        <v>(174*'30'*646*'7,92/ 8,74/ 9,53/ 10,31/ 11,91/ 14,27'*'0,0457'*82,9*82,9*0*0*11,41*11,41*4*11*NULL*9*8*34*12)*</v>
      </c>
    </row>
    <row r="22" spans="1:33" ht="20.149999999999999" customHeight="1" x14ac:dyDescent="0.35">
      <c r="A22" s="3">
        <v>175</v>
      </c>
      <c r="B22" s="27" t="s">
        <v>5134</v>
      </c>
      <c r="C22" s="22">
        <v>21916</v>
      </c>
      <c r="D22" s="15">
        <v>1</v>
      </c>
      <c r="E22" s="5" t="s">
        <v>4137</v>
      </c>
      <c r="F22" s="5">
        <v>14</v>
      </c>
      <c r="G22" s="5">
        <v>12</v>
      </c>
      <c r="H22" s="7" t="s">
        <v>6099</v>
      </c>
      <c r="I22" s="31">
        <v>565</v>
      </c>
      <c r="J22" s="5" t="s">
        <v>6100</v>
      </c>
      <c r="K22" s="5">
        <v>4.5699999999999998E-2</v>
      </c>
      <c r="L22" s="5">
        <v>49</v>
      </c>
      <c r="M22" s="5">
        <v>11</v>
      </c>
      <c r="N22" s="5">
        <v>0</v>
      </c>
      <c r="O22" s="5">
        <v>0</v>
      </c>
      <c r="P22" s="5">
        <v>7.9</v>
      </c>
      <c r="Q22" s="5">
        <v>7.9</v>
      </c>
      <c r="R22" s="5" t="s">
        <v>5630</v>
      </c>
      <c r="S22" s="5">
        <v>3</v>
      </c>
      <c r="T22" s="5" t="s">
        <v>5665</v>
      </c>
      <c r="U22" s="5">
        <v>14</v>
      </c>
      <c r="V22" s="5" t="s">
        <v>5657</v>
      </c>
      <c r="W22" s="5">
        <v>17</v>
      </c>
      <c r="X22" s="5" t="s">
        <v>5134</v>
      </c>
      <c r="Y22" s="5">
        <v>10</v>
      </c>
      <c r="Z22" s="35" t="s">
        <v>6102</v>
      </c>
      <c r="AA22" s="5">
        <v>29</v>
      </c>
      <c r="AB22" s="35" t="s">
        <v>4854</v>
      </c>
      <c r="AC22" s="5">
        <v>7</v>
      </c>
      <c r="AD22" s="5">
        <v>12</v>
      </c>
      <c r="AE22" s="5" t="s">
        <v>6101</v>
      </c>
      <c r="AF22" s="5"/>
      <c r="AG22" s="47" t="str">
        <f t="shared" si="2"/>
        <v>(175*'24/30'*565*'7,14 / 8,74'*'0,0457'*49*11*0*0*7,9*7,9*3*14*17*10*29*7*12)*</v>
      </c>
    </row>
    <row r="23" spans="1:33" ht="20.149999999999999" customHeight="1" x14ac:dyDescent="0.35">
      <c r="A23" s="3">
        <v>176</v>
      </c>
      <c r="B23" s="27" t="s">
        <v>6163</v>
      </c>
      <c r="C23" s="22"/>
      <c r="D23" s="15">
        <v>1</v>
      </c>
      <c r="E23" s="5" t="s">
        <v>4125</v>
      </c>
      <c r="F23" s="5">
        <v>11</v>
      </c>
      <c r="G23" s="5">
        <v>12</v>
      </c>
      <c r="H23" s="29">
        <v>16</v>
      </c>
      <c r="I23" s="31"/>
      <c r="J23" s="5"/>
      <c r="K23" s="5">
        <v>4.5699999999999998E-2</v>
      </c>
      <c r="L23" s="5">
        <v>0</v>
      </c>
      <c r="M23" s="5">
        <v>0</v>
      </c>
      <c r="N23" s="5">
        <v>0</v>
      </c>
      <c r="O23" s="5">
        <v>0</v>
      </c>
      <c r="P23" s="5">
        <v>0</v>
      </c>
      <c r="Q23" s="5">
        <v>0</v>
      </c>
      <c r="R23" s="5" t="s">
        <v>5630</v>
      </c>
      <c r="S23" s="5">
        <v>3</v>
      </c>
      <c r="T23" s="5" t="s">
        <v>972</v>
      </c>
      <c r="U23" s="5" t="s">
        <v>972</v>
      </c>
      <c r="V23" s="5" t="s">
        <v>972</v>
      </c>
      <c r="W23" s="5" t="s">
        <v>972</v>
      </c>
      <c r="X23" s="5" t="s">
        <v>5551</v>
      </c>
      <c r="Y23" s="5">
        <v>11</v>
      </c>
      <c r="Z23" s="35" t="s">
        <v>4856</v>
      </c>
      <c r="AA23" s="5">
        <v>8</v>
      </c>
      <c r="AB23" s="35" t="s">
        <v>1824</v>
      </c>
      <c r="AC23" s="5">
        <v>21</v>
      </c>
      <c r="AD23" s="5">
        <v>12</v>
      </c>
      <c r="AE23" s="5"/>
      <c r="AF23" s="5"/>
      <c r="AG23" s="47" t="str">
        <f t="shared" si="2"/>
        <v>(176*'16'**''*'0,0457'*0*0*0*0*0*0*3*NULL*NULL*11*8*21*12)*</v>
      </c>
    </row>
    <row r="24" spans="1:33" ht="20.149999999999999" customHeight="1" x14ac:dyDescent="0.35">
      <c r="A24" s="3">
        <v>177</v>
      </c>
      <c r="B24" s="27" t="s">
        <v>5136</v>
      </c>
      <c r="C24" s="22">
        <v>30720</v>
      </c>
      <c r="D24" s="15">
        <v>1</v>
      </c>
      <c r="E24" s="5" t="s">
        <v>4125</v>
      </c>
      <c r="F24" s="5">
        <v>11</v>
      </c>
      <c r="G24" s="5">
        <v>12</v>
      </c>
      <c r="H24" s="7">
        <v>24</v>
      </c>
      <c r="I24" s="31">
        <v>503.46</v>
      </c>
      <c r="J24" s="5" t="s">
        <v>6154</v>
      </c>
      <c r="K24" s="5">
        <v>0.05</v>
      </c>
      <c r="L24" s="5">
        <v>84</v>
      </c>
      <c r="M24" s="5">
        <v>84</v>
      </c>
      <c r="N24" s="5">
        <v>0</v>
      </c>
      <c r="O24" s="5">
        <v>0</v>
      </c>
      <c r="P24" s="5">
        <v>9</v>
      </c>
      <c r="Q24" s="5">
        <v>9</v>
      </c>
      <c r="R24" s="5" t="s">
        <v>5638</v>
      </c>
      <c r="S24" s="5">
        <v>3</v>
      </c>
      <c r="T24" s="5" t="s">
        <v>5665</v>
      </c>
      <c r="U24" s="5">
        <v>14</v>
      </c>
      <c r="V24" s="5" t="s">
        <v>972</v>
      </c>
      <c r="W24" s="5" t="s">
        <v>972</v>
      </c>
      <c r="X24" s="5" t="s">
        <v>5551</v>
      </c>
      <c r="Y24" s="5">
        <v>11</v>
      </c>
      <c r="Z24" s="35" t="s">
        <v>4856</v>
      </c>
      <c r="AA24" s="5">
        <v>8</v>
      </c>
      <c r="AB24" s="35" t="s">
        <v>1824</v>
      </c>
      <c r="AC24" s="5">
        <v>21</v>
      </c>
      <c r="AD24" s="5">
        <v>12</v>
      </c>
      <c r="AE24" s="5" t="s">
        <v>6157</v>
      </c>
      <c r="AF24" s="5"/>
      <c r="AG24" s="47" t="str">
        <f t="shared" si="2"/>
        <v>(177*'24'*503,46*'9,52 / 11,91 '*'0,05'*84*84*0*0*9*9*3*14*NULL*11*8*21*12)*</v>
      </c>
    </row>
    <row r="25" spans="1:33" ht="20.149999999999999" customHeight="1" x14ac:dyDescent="0.35">
      <c r="A25" s="3">
        <v>178</v>
      </c>
      <c r="B25" s="27" t="s">
        <v>5137</v>
      </c>
      <c r="C25" s="22">
        <v>39814</v>
      </c>
      <c r="D25" s="15">
        <v>1</v>
      </c>
      <c r="E25" s="5" t="s">
        <v>4125</v>
      </c>
      <c r="F25" s="5">
        <v>11</v>
      </c>
      <c r="G25" s="5">
        <v>12</v>
      </c>
      <c r="H25" s="7">
        <v>24</v>
      </c>
      <c r="I25" s="31">
        <v>495</v>
      </c>
      <c r="J25" s="30" t="s">
        <v>6155</v>
      </c>
      <c r="K25" s="5">
        <v>0.05</v>
      </c>
      <c r="L25" s="5">
        <v>114.1</v>
      </c>
      <c r="M25" s="5">
        <v>114.1</v>
      </c>
      <c r="N25" s="5">
        <v>0</v>
      </c>
      <c r="O25" s="5">
        <v>0</v>
      </c>
      <c r="P25" s="5">
        <v>6</v>
      </c>
      <c r="Q25" s="5">
        <v>6</v>
      </c>
      <c r="R25" s="5" t="s">
        <v>6156</v>
      </c>
      <c r="S25" s="5">
        <v>4</v>
      </c>
      <c r="T25" s="5" t="s">
        <v>5635</v>
      </c>
      <c r="U25" s="5">
        <v>11</v>
      </c>
      <c r="V25" s="5" t="s">
        <v>972</v>
      </c>
      <c r="W25" s="5" t="s">
        <v>972</v>
      </c>
      <c r="X25" s="5" t="s">
        <v>5551</v>
      </c>
      <c r="Y25" s="5">
        <v>11</v>
      </c>
      <c r="Z25" s="35" t="s">
        <v>4856</v>
      </c>
      <c r="AA25" s="5">
        <v>8</v>
      </c>
      <c r="AB25" s="35" t="s">
        <v>1824</v>
      </c>
      <c r="AC25" s="5">
        <v>21</v>
      </c>
      <c r="AD25" s="5">
        <v>12</v>
      </c>
      <c r="AE25" s="5" t="s">
        <v>4624</v>
      </c>
      <c r="AF25" s="5"/>
      <c r="AG25" s="47" t="str">
        <f t="shared" si="2"/>
        <v>(178*'24'*495*'8,74 / 9,52 / 10,31 / 12,70 / 14,27 / 15,88 / 19,05 / 17,5'*'0,05'*114,1*114,1*0*0*6*6*4*11*NULL*11*8*21*12)*</v>
      </c>
    </row>
    <row r="26" spans="1:33" ht="20.149999999999999" customHeight="1" x14ac:dyDescent="0.35">
      <c r="A26" s="3">
        <v>179</v>
      </c>
      <c r="B26" s="27" t="s">
        <v>5138</v>
      </c>
      <c r="C26" s="22">
        <v>35065</v>
      </c>
      <c r="D26" s="15">
        <v>1</v>
      </c>
      <c r="E26" s="5" t="s">
        <v>5673</v>
      </c>
      <c r="F26" s="5">
        <v>12</v>
      </c>
      <c r="G26" s="5">
        <v>12</v>
      </c>
      <c r="H26" s="7" t="s">
        <v>6203</v>
      </c>
      <c r="I26" s="31">
        <v>989</v>
      </c>
      <c r="J26" s="5" t="s">
        <v>6154</v>
      </c>
      <c r="K26" s="5">
        <v>0.05</v>
      </c>
      <c r="L26" s="5">
        <v>91.7</v>
      </c>
      <c r="M26" s="5">
        <v>91.7</v>
      </c>
      <c r="N26" s="5">
        <v>0</v>
      </c>
      <c r="O26" s="5">
        <v>0</v>
      </c>
      <c r="P26" s="5">
        <v>6.5</v>
      </c>
      <c r="Q26" s="5">
        <v>5.7</v>
      </c>
      <c r="R26" s="5" t="s">
        <v>5634</v>
      </c>
      <c r="S26" s="5">
        <v>4</v>
      </c>
      <c r="T26" s="5" t="s">
        <v>5635</v>
      </c>
      <c r="U26" s="5">
        <v>11</v>
      </c>
      <c r="V26" s="5" t="s">
        <v>972</v>
      </c>
      <c r="W26" s="5" t="s">
        <v>972</v>
      </c>
      <c r="X26" s="5" t="s">
        <v>6726</v>
      </c>
      <c r="Y26" s="5">
        <v>12</v>
      </c>
      <c r="Z26" s="35" t="s">
        <v>5389</v>
      </c>
      <c r="AA26" s="5">
        <v>20</v>
      </c>
      <c r="AB26" s="35" t="s">
        <v>4856</v>
      </c>
      <c r="AC26" s="5">
        <v>8</v>
      </c>
      <c r="AD26" s="5">
        <v>12</v>
      </c>
      <c r="AE26" s="5" t="s">
        <v>6158</v>
      </c>
      <c r="AF26" s="5"/>
      <c r="AG26" s="47" t="str">
        <f t="shared" si="2"/>
        <v>(179*'10 / 12 / 14 / 16 / 20 / 24'*989*'9,52 / 11,91 '*'0,05'*91,7*91,7*0*0*6,5*5,7*4*11*NULL*12*20*8*12)*</v>
      </c>
    </row>
    <row r="27" spans="1:33" ht="20.149999999999999" customHeight="1" x14ac:dyDescent="0.35">
      <c r="A27" s="3">
        <v>179</v>
      </c>
      <c r="B27" s="48" t="s">
        <v>6164</v>
      </c>
      <c r="C27" s="22"/>
      <c r="D27" s="15">
        <v>1</v>
      </c>
      <c r="E27" s="5" t="s">
        <v>4125</v>
      </c>
      <c r="F27" s="5">
        <v>11</v>
      </c>
      <c r="G27" s="5">
        <v>12</v>
      </c>
      <c r="H27" s="29">
        <v>12</v>
      </c>
      <c r="I27" s="31"/>
      <c r="J27" s="5" t="s">
        <v>6173</v>
      </c>
      <c r="K27" s="5">
        <v>0.05</v>
      </c>
      <c r="L27" s="5">
        <v>0</v>
      </c>
      <c r="M27" s="5">
        <v>0</v>
      </c>
      <c r="N27" s="5">
        <v>0</v>
      </c>
      <c r="O27" s="5">
        <v>0</v>
      </c>
      <c r="P27" s="5">
        <v>0</v>
      </c>
      <c r="Q27" s="5">
        <v>0</v>
      </c>
      <c r="R27" s="5" t="s">
        <v>5634</v>
      </c>
      <c r="S27" s="5">
        <v>4</v>
      </c>
      <c r="T27" s="5" t="s">
        <v>972</v>
      </c>
      <c r="U27" s="5" t="s">
        <v>972</v>
      </c>
      <c r="V27" s="5" t="s">
        <v>972</v>
      </c>
      <c r="W27" s="5" t="s">
        <v>972</v>
      </c>
      <c r="X27" s="5" t="s">
        <v>6726</v>
      </c>
      <c r="Y27" s="5">
        <v>12</v>
      </c>
      <c r="Z27" s="35" t="s">
        <v>4856</v>
      </c>
      <c r="AA27" s="5">
        <v>8</v>
      </c>
      <c r="AB27" s="35" t="s">
        <v>1824</v>
      </c>
      <c r="AC27" s="5">
        <v>21</v>
      </c>
      <c r="AD27" s="5">
        <v>12</v>
      </c>
      <c r="AE27" s="5"/>
      <c r="AF27" s="5"/>
      <c r="AG27" s="47" t="str">
        <f t="shared" si="2"/>
        <v>(179*'12'**'11,91 / 12,7 / 14,25 / 19,05'*'0,05'*0*0*0*0*0*0*4*NULL*NULL*12*8*21*12)*</v>
      </c>
    </row>
    <row r="28" spans="1:33" ht="20.149999999999999" customHeight="1" x14ac:dyDescent="0.35">
      <c r="A28" s="3">
        <v>180</v>
      </c>
      <c r="B28" s="27" t="s">
        <v>5139</v>
      </c>
      <c r="C28" s="22">
        <v>38264</v>
      </c>
      <c r="D28" s="15">
        <v>1</v>
      </c>
      <c r="E28" s="5" t="s">
        <v>5673</v>
      </c>
      <c r="F28" s="5">
        <v>12</v>
      </c>
      <c r="G28" s="5">
        <v>12</v>
      </c>
      <c r="H28" s="7">
        <v>16</v>
      </c>
      <c r="I28" s="31">
        <v>404</v>
      </c>
      <c r="J28" s="5" t="s">
        <v>6159</v>
      </c>
      <c r="K28" s="5">
        <v>4.5999999999999999E-2</v>
      </c>
      <c r="L28" s="5">
        <v>89.2</v>
      </c>
      <c r="M28" s="5">
        <v>89.2</v>
      </c>
      <c r="N28" s="5">
        <v>0</v>
      </c>
      <c r="O28" s="5">
        <v>0</v>
      </c>
      <c r="P28" s="5">
        <v>3.26</v>
      </c>
      <c r="Q28" s="5">
        <v>3.26</v>
      </c>
      <c r="R28" s="5" t="s">
        <v>5634</v>
      </c>
      <c r="S28" s="5">
        <v>4</v>
      </c>
      <c r="T28" s="5" t="s">
        <v>5635</v>
      </c>
      <c r="U28" s="5">
        <v>11</v>
      </c>
      <c r="V28" s="5" t="s">
        <v>972</v>
      </c>
      <c r="W28" s="5" t="s">
        <v>972</v>
      </c>
      <c r="X28" s="5" t="s">
        <v>6726</v>
      </c>
      <c r="Y28" s="5">
        <v>12</v>
      </c>
      <c r="Z28" s="35" t="s">
        <v>5344</v>
      </c>
      <c r="AA28" s="5">
        <v>16</v>
      </c>
      <c r="AB28" s="35" t="s">
        <v>5393</v>
      </c>
      <c r="AC28" s="5">
        <v>26</v>
      </c>
      <c r="AD28" s="5">
        <v>12</v>
      </c>
      <c r="AE28" s="5" t="s">
        <v>6160</v>
      </c>
      <c r="AF28" s="5"/>
      <c r="AG28" s="47" t="str">
        <f t="shared" si="2"/>
        <v>(180*'16'*404*'7,92 / 11,13'*'0,046'*89,2*89,2*0*0*3,26*3,26*4*11*NULL*12*16*26*12)*</v>
      </c>
    </row>
    <row r="29" spans="1:33" ht="20.149999999999999" customHeight="1" x14ac:dyDescent="0.35">
      <c r="A29" s="3">
        <v>181</v>
      </c>
      <c r="B29" s="27" t="s">
        <v>5140</v>
      </c>
      <c r="C29" s="22">
        <v>41640</v>
      </c>
      <c r="D29" s="15">
        <v>1</v>
      </c>
      <c r="E29" s="5" t="s">
        <v>5673</v>
      </c>
      <c r="F29" s="5">
        <v>12</v>
      </c>
      <c r="G29" s="5">
        <v>12</v>
      </c>
      <c r="H29" s="7">
        <v>24</v>
      </c>
      <c r="I29" s="31">
        <v>336</v>
      </c>
      <c r="J29" s="5" t="s">
        <v>6161</v>
      </c>
      <c r="K29" s="5">
        <v>4.5999999999999999E-2</v>
      </c>
      <c r="L29" s="5">
        <v>77</v>
      </c>
      <c r="M29" s="5">
        <v>77</v>
      </c>
      <c r="N29" s="5">
        <v>0</v>
      </c>
      <c r="O29" s="5">
        <v>0</v>
      </c>
      <c r="P29" s="5">
        <v>4.5</v>
      </c>
      <c r="Q29" s="5">
        <v>4.5</v>
      </c>
      <c r="R29" s="5" t="s">
        <v>5634</v>
      </c>
      <c r="S29" s="5">
        <v>4</v>
      </c>
      <c r="T29" s="5" t="s">
        <v>5649</v>
      </c>
      <c r="U29" s="5">
        <v>21</v>
      </c>
      <c r="V29" s="5" t="s">
        <v>972</v>
      </c>
      <c r="W29" s="5" t="s">
        <v>972</v>
      </c>
      <c r="X29" s="5" t="s">
        <v>6726</v>
      </c>
      <c r="Y29" s="5">
        <v>12</v>
      </c>
      <c r="Z29" s="35" t="s">
        <v>1812</v>
      </c>
      <c r="AA29" s="5">
        <v>14</v>
      </c>
      <c r="AB29" s="35" t="s">
        <v>4856</v>
      </c>
      <c r="AC29" s="5">
        <v>8</v>
      </c>
      <c r="AD29" s="5">
        <v>12</v>
      </c>
      <c r="AE29" s="5" t="s">
        <v>6162</v>
      </c>
      <c r="AF29" s="5"/>
      <c r="AG29" s="47" t="str">
        <f t="shared" si="2"/>
        <v>(181*'24'*336*'14,3 / 9,52 / 11,13 / 15,88 / 10,31'*'0,046'*77*77*0*0*4,5*4,5*4*21*NULL*12*14*8*12)*</v>
      </c>
    </row>
    <row r="30" spans="1:33" ht="20.149999999999999" customHeight="1" x14ac:dyDescent="0.35">
      <c r="A30" s="3">
        <v>182</v>
      </c>
      <c r="B30" s="27" t="s">
        <v>5141</v>
      </c>
      <c r="C30" s="22">
        <v>22282</v>
      </c>
      <c r="D30" s="15">
        <v>1</v>
      </c>
      <c r="E30" s="5" t="s">
        <v>4125</v>
      </c>
      <c r="F30" s="5">
        <v>11</v>
      </c>
      <c r="G30" s="5">
        <v>16</v>
      </c>
      <c r="H30" s="7" t="s">
        <v>6168</v>
      </c>
      <c r="I30" s="31">
        <v>509</v>
      </c>
      <c r="J30" s="5" t="s">
        <v>6167</v>
      </c>
      <c r="K30" s="5">
        <v>1.4999999999999999E-2</v>
      </c>
      <c r="L30" s="5">
        <v>65</v>
      </c>
      <c r="M30" s="5">
        <v>0</v>
      </c>
      <c r="N30" s="5">
        <v>0</v>
      </c>
      <c r="O30" s="5">
        <v>0</v>
      </c>
      <c r="P30" s="5">
        <v>3.56</v>
      </c>
      <c r="Q30" s="5">
        <v>0</v>
      </c>
      <c r="R30" s="5" t="s">
        <v>5638</v>
      </c>
      <c r="S30" s="5">
        <v>3</v>
      </c>
      <c r="T30" s="5" t="s">
        <v>6166</v>
      </c>
      <c r="U30" s="5">
        <v>14</v>
      </c>
      <c r="V30" s="5" t="s">
        <v>6165</v>
      </c>
      <c r="W30" s="5">
        <v>17</v>
      </c>
      <c r="X30" s="5" t="s">
        <v>5141</v>
      </c>
      <c r="Y30" s="5">
        <v>13</v>
      </c>
      <c r="Z30" s="35" t="s">
        <v>4856</v>
      </c>
      <c r="AA30" s="5">
        <v>8</v>
      </c>
      <c r="AB30" s="35" t="s">
        <v>1824</v>
      </c>
      <c r="AC30" s="5">
        <v>21</v>
      </c>
      <c r="AD30" s="5">
        <v>16</v>
      </c>
      <c r="AE30" s="5" t="s">
        <v>6169</v>
      </c>
      <c r="AF30" s="5"/>
      <c r="AG30" s="47" t="str">
        <f t="shared" si="2"/>
        <v>(182*'20 / 24'*509*'8,74 - 12,7 - 10,31 - 15,9'*'0,015'*65*0*0*0*3,56*0*3*14*17*13*8*21*16)*</v>
      </c>
    </row>
    <row r="31" spans="1:33" ht="20.149999999999999" customHeight="1" x14ac:dyDescent="0.35">
      <c r="A31" s="3">
        <v>183</v>
      </c>
      <c r="B31" s="27" t="s">
        <v>5142</v>
      </c>
      <c r="C31" s="22">
        <v>44805</v>
      </c>
      <c r="D31" s="15">
        <v>1</v>
      </c>
      <c r="E31" s="5" t="s">
        <v>4125</v>
      </c>
      <c r="F31" s="5">
        <v>11</v>
      </c>
      <c r="G31" s="5">
        <v>16</v>
      </c>
      <c r="H31" s="7">
        <v>20</v>
      </c>
      <c r="I31" s="31">
        <v>3.6</v>
      </c>
      <c r="J31" s="5">
        <v>11.13</v>
      </c>
      <c r="K31" s="5">
        <v>1.4999999999999999E-2</v>
      </c>
      <c r="L31" s="5">
        <v>70</v>
      </c>
      <c r="M31" s="5">
        <v>70</v>
      </c>
      <c r="N31" s="5">
        <v>0</v>
      </c>
      <c r="O31" s="5">
        <v>0</v>
      </c>
      <c r="P31" s="5">
        <v>0</v>
      </c>
      <c r="Q31" s="5">
        <v>0</v>
      </c>
      <c r="R31" s="5" t="s">
        <v>5634</v>
      </c>
      <c r="S31" s="5">
        <v>4</v>
      </c>
      <c r="T31" s="5" t="s">
        <v>5649</v>
      </c>
      <c r="U31" s="5">
        <v>21</v>
      </c>
      <c r="V31" s="5" t="s">
        <v>6165</v>
      </c>
      <c r="W31" s="5">
        <v>17</v>
      </c>
      <c r="X31" s="5" t="s">
        <v>5556</v>
      </c>
      <c r="Y31" s="5">
        <v>14</v>
      </c>
      <c r="Z31" s="35" t="s">
        <v>1824</v>
      </c>
      <c r="AA31" s="5">
        <v>21</v>
      </c>
      <c r="AB31" s="35" t="s">
        <v>6170</v>
      </c>
      <c r="AC31" s="50">
        <v>122</v>
      </c>
      <c r="AD31" s="5">
        <v>16</v>
      </c>
      <c r="AE31" s="5"/>
      <c r="AF31" s="5"/>
      <c r="AG31" s="47" t="str">
        <f t="shared" si="2"/>
        <v>(183*'20'*3,6*'11,13'*'0,015'*70*70*0*0*0*0*4*21*17*14*21*122*16)*</v>
      </c>
    </row>
    <row r="32" spans="1:33" ht="20.149999999999999" customHeight="1" x14ac:dyDescent="0.35">
      <c r="A32" s="3">
        <v>184</v>
      </c>
      <c r="B32" s="27" t="s">
        <v>5143</v>
      </c>
      <c r="C32" s="22">
        <v>27760</v>
      </c>
      <c r="D32" s="15">
        <v>1</v>
      </c>
      <c r="E32" s="5" t="s">
        <v>4125</v>
      </c>
      <c r="F32" s="5">
        <v>11</v>
      </c>
      <c r="G32" s="5">
        <v>16</v>
      </c>
      <c r="H32" s="7">
        <v>40</v>
      </c>
      <c r="I32" s="31">
        <v>507</v>
      </c>
      <c r="J32" s="5" t="s">
        <v>6172</v>
      </c>
      <c r="K32" s="5">
        <v>1.4999999999999999E-2</v>
      </c>
      <c r="L32" s="5">
        <v>69.8</v>
      </c>
      <c r="M32" s="5">
        <v>69.8</v>
      </c>
      <c r="N32" s="5">
        <v>0</v>
      </c>
      <c r="O32" s="5">
        <v>0</v>
      </c>
      <c r="P32" s="5">
        <v>13.679</v>
      </c>
      <c r="Q32" s="5">
        <v>13.679</v>
      </c>
      <c r="R32" s="5" t="s">
        <v>5638</v>
      </c>
      <c r="S32" s="5">
        <v>3</v>
      </c>
      <c r="T32" s="5" t="s">
        <v>6166</v>
      </c>
      <c r="U32" s="5">
        <v>14</v>
      </c>
      <c r="V32" s="5" t="s">
        <v>6165</v>
      </c>
      <c r="W32" s="5">
        <v>17</v>
      </c>
      <c r="X32" s="5" t="s">
        <v>5556</v>
      </c>
      <c r="Y32" s="5">
        <v>14</v>
      </c>
      <c r="Z32" s="35" t="s">
        <v>4856</v>
      </c>
      <c r="AA32" s="5">
        <v>8</v>
      </c>
      <c r="AB32" s="35" t="s">
        <v>1824</v>
      </c>
      <c r="AC32" s="5">
        <v>21</v>
      </c>
      <c r="AD32" s="5">
        <v>16</v>
      </c>
      <c r="AE32" s="5" t="s">
        <v>6171</v>
      </c>
      <c r="AF32" s="5"/>
      <c r="AG32" s="47" t="str">
        <f t="shared" si="2"/>
        <v>(184*'40'*507*'11,13 - 12,7 - 19,05'*'0,015'*69,8*69,8*0*0*13,679*13,679*3*14*17*14*8*21*16)*</v>
      </c>
    </row>
    <row r="33" spans="1:33" ht="20.149999999999999" customHeight="1" x14ac:dyDescent="0.35">
      <c r="A33" s="3">
        <v>185</v>
      </c>
      <c r="B33" s="27" t="s">
        <v>5144</v>
      </c>
      <c r="C33" s="22">
        <v>29952</v>
      </c>
      <c r="D33" s="15">
        <v>1</v>
      </c>
      <c r="E33" s="5" t="s">
        <v>4125</v>
      </c>
      <c r="F33" s="5">
        <v>11</v>
      </c>
      <c r="G33" s="5">
        <v>16</v>
      </c>
      <c r="H33" s="7">
        <v>40</v>
      </c>
      <c r="I33" s="31">
        <v>511</v>
      </c>
      <c r="J33" s="5" t="s">
        <v>6172</v>
      </c>
      <c r="K33" s="5">
        <v>1.4999999999999999E-2</v>
      </c>
      <c r="L33" s="5">
        <v>67</v>
      </c>
      <c r="M33" s="5">
        <v>67</v>
      </c>
      <c r="N33" s="5">
        <v>0</v>
      </c>
      <c r="O33" s="5">
        <v>0</v>
      </c>
      <c r="P33" s="5">
        <v>12.507</v>
      </c>
      <c r="Q33" s="5">
        <v>12.507</v>
      </c>
      <c r="R33" s="5" t="s">
        <v>5638</v>
      </c>
      <c r="S33" s="5">
        <v>3</v>
      </c>
      <c r="T33" s="5" t="s">
        <v>6166</v>
      </c>
      <c r="U33" s="5">
        <v>14</v>
      </c>
      <c r="V33" s="5" t="s">
        <v>6165</v>
      </c>
      <c r="W33" s="5">
        <v>17</v>
      </c>
      <c r="X33" s="5" t="s">
        <v>5556</v>
      </c>
      <c r="Y33" s="5">
        <v>14</v>
      </c>
      <c r="Z33" s="35" t="s">
        <v>4856</v>
      </c>
      <c r="AA33" s="5">
        <v>8</v>
      </c>
      <c r="AB33" s="35" t="s">
        <v>1824</v>
      </c>
      <c r="AC33" s="5">
        <v>21</v>
      </c>
      <c r="AD33" s="5">
        <v>16</v>
      </c>
      <c r="AE33" s="5" t="s">
        <v>6214</v>
      </c>
      <c r="AF33" s="5"/>
      <c r="AG33" s="47" t="str">
        <f t="shared" si="2"/>
        <v>(185*'40'*511*'11,13 - 12,7 - 19,05'*'0,015'*67*67*0*0*12,507*12,507*3*14*17*14*8*21*16)*</v>
      </c>
    </row>
    <row r="34" spans="1:33" ht="20.149999999999999" customHeight="1" x14ac:dyDescent="0.35">
      <c r="A34" s="3">
        <v>186</v>
      </c>
      <c r="B34" s="27" t="s">
        <v>5145</v>
      </c>
      <c r="C34" s="22"/>
      <c r="D34" s="15">
        <v>1</v>
      </c>
      <c r="E34" s="5" t="s">
        <v>4125</v>
      </c>
      <c r="F34" s="5">
        <v>11</v>
      </c>
      <c r="G34" s="5">
        <v>16</v>
      </c>
      <c r="H34" s="7">
        <v>40</v>
      </c>
      <c r="I34" s="31">
        <v>221</v>
      </c>
      <c r="J34" s="5" t="s">
        <v>6173</v>
      </c>
      <c r="K34" s="5">
        <v>1.4999999999999999E-2</v>
      </c>
      <c r="L34" s="5">
        <v>67</v>
      </c>
      <c r="M34" s="5">
        <v>0</v>
      </c>
      <c r="N34" s="5">
        <v>0</v>
      </c>
      <c r="O34" s="5">
        <v>0</v>
      </c>
      <c r="P34" s="5">
        <v>0</v>
      </c>
      <c r="Q34" s="5">
        <v>0</v>
      </c>
      <c r="R34" s="5" t="s">
        <v>5634</v>
      </c>
      <c r="S34" s="5">
        <v>4</v>
      </c>
      <c r="T34" s="5" t="s">
        <v>972</v>
      </c>
      <c r="U34" s="5" t="s">
        <v>972</v>
      </c>
      <c r="V34" s="5" t="s">
        <v>972</v>
      </c>
      <c r="W34" s="5" t="s">
        <v>972</v>
      </c>
      <c r="X34" s="5" t="s">
        <v>5556</v>
      </c>
      <c r="Y34" s="5">
        <v>14</v>
      </c>
      <c r="Z34" s="35"/>
      <c r="AA34" s="50"/>
      <c r="AB34" s="35"/>
      <c r="AC34" s="50"/>
      <c r="AD34" s="5"/>
      <c r="AE34" s="5"/>
      <c r="AF34" s="5"/>
      <c r="AG34" s="47" t="str">
        <f t="shared" si="1"/>
        <v>(186*'40'*221*'11,91 / 12,7 / 14,25 / 19,05'*'0,015'*67*0*0*0*0*0*4*NULL*NULL*14**)*</v>
      </c>
    </row>
    <row r="35" spans="1:33" ht="20.149999999999999" customHeight="1" x14ac:dyDescent="0.35">
      <c r="A35" s="3">
        <v>187</v>
      </c>
      <c r="B35" s="27" t="s">
        <v>5146</v>
      </c>
      <c r="C35" s="22">
        <v>32509</v>
      </c>
      <c r="D35" s="15">
        <v>1</v>
      </c>
      <c r="E35" s="5" t="s">
        <v>4125</v>
      </c>
      <c r="F35" s="5">
        <v>11</v>
      </c>
      <c r="G35" s="5">
        <v>16</v>
      </c>
      <c r="H35" s="7">
        <v>42</v>
      </c>
      <c r="I35" s="31">
        <v>517</v>
      </c>
      <c r="J35" s="5" t="s">
        <v>6174</v>
      </c>
      <c r="K35" s="5">
        <v>1.4999999999999999E-2</v>
      </c>
      <c r="L35" s="5">
        <v>65</v>
      </c>
      <c r="M35" s="5">
        <v>65</v>
      </c>
      <c r="N35" s="5">
        <v>0</v>
      </c>
      <c r="O35" s="5">
        <v>0</v>
      </c>
      <c r="P35" s="5">
        <v>14.462</v>
      </c>
      <c r="Q35" s="5">
        <v>14.462</v>
      </c>
      <c r="R35" s="5" t="s">
        <v>6175</v>
      </c>
      <c r="S35" s="5">
        <v>4</v>
      </c>
      <c r="T35" s="5" t="s">
        <v>6176</v>
      </c>
      <c r="U35" s="5">
        <v>14</v>
      </c>
      <c r="V35" s="5" t="s">
        <v>6165</v>
      </c>
      <c r="W35" s="5">
        <v>17</v>
      </c>
      <c r="X35" s="5" t="s">
        <v>5556</v>
      </c>
      <c r="Y35" s="5">
        <v>14</v>
      </c>
      <c r="Z35" s="35" t="s">
        <v>4856</v>
      </c>
      <c r="AA35" s="5">
        <v>8</v>
      </c>
      <c r="AB35" s="35" t="s">
        <v>1824</v>
      </c>
      <c r="AC35" s="5">
        <v>21</v>
      </c>
      <c r="AD35" s="5">
        <v>16</v>
      </c>
      <c r="AE35" s="5" t="s">
        <v>6177</v>
      </c>
      <c r="AF35" s="5"/>
      <c r="AG35" s="47" t="str">
        <f>CONCATENATE("(",A35,"*'",H35,"'*",I35,"*'",J35,"'*'",K35,"'*",L35,"*",M35,"*",N35,"*",O35,"*",P35,"*",Q35,"*",S35,"*",U35,"*",W35,"*",Y35,"*",AA35,"*",AC35,"*",AD35,")*")</f>
        <v>(187*'42'*517*'11,13 / 12,7 / 14,3 / 0,6 '*'0,015'*65*65*0*0*14,462*14,462*4*14*17*14*8*21*16)*</v>
      </c>
    </row>
    <row r="36" spans="1:33" ht="20.149999999999999" customHeight="1" x14ac:dyDescent="0.35">
      <c r="A36" s="3">
        <v>188</v>
      </c>
      <c r="B36" s="27" t="s">
        <v>5147</v>
      </c>
      <c r="C36" s="22"/>
      <c r="D36" s="15">
        <v>1</v>
      </c>
      <c r="E36" s="5" t="s">
        <v>4125</v>
      </c>
      <c r="F36" s="5">
        <v>11</v>
      </c>
      <c r="G36" s="5">
        <v>16</v>
      </c>
      <c r="H36" s="7"/>
      <c r="I36" s="31"/>
      <c r="J36" s="7" t="s">
        <v>6178</v>
      </c>
      <c r="K36" s="5">
        <v>1.4999999999999999E-2</v>
      </c>
      <c r="L36" s="5">
        <v>0</v>
      </c>
      <c r="M36" s="5">
        <v>0</v>
      </c>
      <c r="N36" s="5">
        <v>0</v>
      </c>
      <c r="O36" s="5">
        <v>0</v>
      </c>
      <c r="P36" s="5">
        <v>0</v>
      </c>
      <c r="Q36" s="5">
        <v>0</v>
      </c>
      <c r="R36" s="5" t="s">
        <v>5634</v>
      </c>
      <c r="S36" s="5">
        <v>4</v>
      </c>
      <c r="T36" s="5" t="s">
        <v>972</v>
      </c>
      <c r="U36" s="5" t="s">
        <v>972</v>
      </c>
      <c r="V36" s="5" t="s">
        <v>972</v>
      </c>
      <c r="W36" s="5" t="s">
        <v>972</v>
      </c>
      <c r="X36" s="5" t="s">
        <v>5556</v>
      </c>
      <c r="Y36" s="5">
        <v>14</v>
      </c>
      <c r="Z36" s="35"/>
      <c r="AA36" s="50"/>
      <c r="AB36" s="35"/>
      <c r="AC36" s="50"/>
      <c r="AD36" s="5"/>
      <c r="AE36" s="5"/>
      <c r="AF36" s="5"/>
      <c r="AG36" s="47" t="str">
        <f t="shared" si="1"/>
        <v>(188*''**'11,91 - 22,22'*'0,015'*0*0*0*0*0*0*4*NULL*NULL*14**)*</v>
      </c>
    </row>
    <row r="37" spans="1:33" ht="20.149999999999999" customHeight="1" x14ac:dyDescent="0.35">
      <c r="A37" s="3">
        <v>189</v>
      </c>
      <c r="B37" s="27" t="s">
        <v>5148</v>
      </c>
      <c r="C37" s="22"/>
      <c r="D37" s="15">
        <v>1</v>
      </c>
      <c r="E37" s="5" t="s">
        <v>4125</v>
      </c>
      <c r="F37" s="5">
        <v>11</v>
      </c>
      <c r="G37" s="5">
        <v>16</v>
      </c>
      <c r="H37" s="7"/>
      <c r="I37" s="31"/>
      <c r="J37" s="7" t="s">
        <v>6178</v>
      </c>
      <c r="K37" s="5">
        <v>1.4999999999999999E-2</v>
      </c>
      <c r="L37" s="5">
        <v>0</v>
      </c>
      <c r="M37" s="5">
        <v>0</v>
      </c>
      <c r="N37" s="5">
        <v>0</v>
      </c>
      <c r="O37" s="5">
        <v>0</v>
      </c>
      <c r="P37" s="5">
        <v>0</v>
      </c>
      <c r="Q37" s="5">
        <v>0</v>
      </c>
      <c r="R37" s="5" t="s">
        <v>5634</v>
      </c>
      <c r="S37" s="5">
        <v>4</v>
      </c>
      <c r="T37" s="5" t="s">
        <v>972</v>
      </c>
      <c r="U37" s="5" t="s">
        <v>972</v>
      </c>
      <c r="V37" s="5" t="s">
        <v>972</v>
      </c>
      <c r="W37" s="5" t="s">
        <v>972</v>
      </c>
      <c r="X37" s="5" t="s">
        <v>5556</v>
      </c>
      <c r="Y37" s="5">
        <v>14</v>
      </c>
      <c r="Z37" s="35"/>
      <c r="AA37" s="50"/>
      <c r="AB37" s="35"/>
      <c r="AC37" s="50"/>
      <c r="AD37" s="5"/>
      <c r="AE37" s="5"/>
      <c r="AF37" s="5"/>
      <c r="AG37" s="47" t="str">
        <f t="shared" si="1"/>
        <v>(189*''**'11,91 - 22,22'*'0,015'*0*0*0*0*0*0*4*NULL*NULL*14**)*</v>
      </c>
    </row>
    <row r="38" spans="1:33" ht="20.149999999999999" customHeight="1" x14ac:dyDescent="0.35">
      <c r="A38" s="3">
        <v>190</v>
      </c>
      <c r="B38" s="27" t="s">
        <v>5149</v>
      </c>
      <c r="C38" s="22">
        <v>39841</v>
      </c>
      <c r="D38" s="15">
        <v>1</v>
      </c>
      <c r="E38" s="5" t="s">
        <v>4125</v>
      </c>
      <c r="F38" s="5">
        <v>11</v>
      </c>
      <c r="G38" s="5">
        <v>16</v>
      </c>
      <c r="H38" s="7">
        <v>48</v>
      </c>
      <c r="I38" s="31">
        <v>513.17200000000003</v>
      </c>
      <c r="J38" s="7" t="s">
        <v>6178</v>
      </c>
      <c r="K38" s="5">
        <v>1.4999999999999999E-2</v>
      </c>
      <c r="L38" s="5">
        <v>70</v>
      </c>
      <c r="M38" s="5">
        <v>70</v>
      </c>
      <c r="N38" s="5">
        <v>0</v>
      </c>
      <c r="O38" s="5">
        <v>0</v>
      </c>
      <c r="P38" s="5">
        <v>0</v>
      </c>
      <c r="Q38" s="5">
        <v>0</v>
      </c>
      <c r="R38" s="5" t="s">
        <v>6180</v>
      </c>
      <c r="S38" s="5">
        <v>6</v>
      </c>
      <c r="T38" s="5" t="s">
        <v>5635</v>
      </c>
      <c r="U38" s="5">
        <v>11</v>
      </c>
      <c r="V38" s="5" t="s">
        <v>972</v>
      </c>
      <c r="W38" s="5" t="s">
        <v>972</v>
      </c>
      <c r="X38" s="5" t="s">
        <v>5262</v>
      </c>
      <c r="Y38" s="5">
        <v>15</v>
      </c>
      <c r="Z38" s="35" t="s">
        <v>4856</v>
      </c>
      <c r="AA38" s="5">
        <v>8</v>
      </c>
      <c r="AB38" s="35" t="s">
        <v>1824</v>
      </c>
      <c r="AC38" s="5">
        <v>21</v>
      </c>
      <c r="AD38" s="5">
        <v>16</v>
      </c>
      <c r="AE38" s="5" t="s">
        <v>6179</v>
      </c>
      <c r="AF38" s="5"/>
      <c r="AG38" s="47" t="str">
        <f>CONCATENATE("(",A38,"*'",H38,"'*",I38,"*'",J38,"'*'",K38,"'*",L38,"*",M38,"*",N38,"*",O38,"*",P38,"*",Q38,"*",S38,"*",U38,"*",W38,"*",Y38,"*",AA38,"*",AC38,"*",AD38,")*")</f>
        <v>(190*'48'*513,172*'11,91 - 22,22'*'0,015'*70*70*0*0*0*0*6*11*NULL*15*8*21*16)*</v>
      </c>
    </row>
    <row r="39" spans="1:33" ht="20.149999999999999" customHeight="1" x14ac:dyDescent="0.35">
      <c r="A39" s="3">
        <v>191</v>
      </c>
      <c r="B39" s="27" t="s">
        <v>5150</v>
      </c>
      <c r="C39" s="22">
        <v>40284</v>
      </c>
      <c r="D39" s="15">
        <v>1</v>
      </c>
      <c r="E39" s="5" t="s">
        <v>4125</v>
      </c>
      <c r="F39" s="5">
        <v>11</v>
      </c>
      <c r="G39" s="5">
        <v>16</v>
      </c>
      <c r="H39" s="7">
        <v>48</v>
      </c>
      <c r="I39" s="31">
        <v>120.37</v>
      </c>
      <c r="J39" s="7" t="s">
        <v>6178</v>
      </c>
      <c r="K39" s="5">
        <v>1.4999999999999999E-2</v>
      </c>
      <c r="L39" s="5">
        <v>70</v>
      </c>
      <c r="M39" s="5">
        <v>45</v>
      </c>
      <c r="N39" s="5">
        <v>0</v>
      </c>
      <c r="O39" s="5">
        <v>0</v>
      </c>
      <c r="P39" s="5">
        <v>0</v>
      </c>
      <c r="Q39" s="5">
        <v>0</v>
      </c>
      <c r="R39" s="5" t="s">
        <v>6180</v>
      </c>
      <c r="S39" s="5">
        <v>6</v>
      </c>
      <c r="T39" s="5" t="s">
        <v>5635</v>
      </c>
      <c r="U39" s="5">
        <v>11</v>
      </c>
      <c r="V39" s="5" t="s">
        <v>972</v>
      </c>
      <c r="W39" s="5" t="s">
        <v>972</v>
      </c>
      <c r="X39" s="5" t="s">
        <v>5262</v>
      </c>
      <c r="Y39" s="5">
        <v>15</v>
      </c>
      <c r="Z39" s="35" t="s">
        <v>6182</v>
      </c>
      <c r="AA39" s="50" t="s">
        <v>6182</v>
      </c>
      <c r="AB39" s="35" t="s">
        <v>2048</v>
      </c>
      <c r="AC39" s="5">
        <v>3</v>
      </c>
      <c r="AD39" s="5"/>
      <c r="AE39" s="5" t="s">
        <v>6181</v>
      </c>
      <c r="AF39" s="5"/>
      <c r="AG39" s="47" t="str">
        <f t="shared" si="1"/>
        <v>(191*'48'*120,37*'11,91 - 22,22'*'0,015'*70*45*0*0*0*0*6*11*NULL*15*Mactaa Douz*3)*</v>
      </c>
    </row>
    <row r="40" spans="1:33" ht="20.149999999999999" customHeight="1" x14ac:dyDescent="0.35">
      <c r="A40" s="3">
        <v>192</v>
      </c>
      <c r="B40" s="27" t="s">
        <v>5151</v>
      </c>
      <c r="C40" s="22"/>
      <c r="D40" s="15">
        <v>1</v>
      </c>
      <c r="E40" s="5" t="s">
        <v>4125</v>
      </c>
      <c r="F40" s="5">
        <v>11</v>
      </c>
      <c r="G40" s="5">
        <v>16</v>
      </c>
      <c r="H40" s="7"/>
      <c r="I40" s="31"/>
      <c r="J40" s="7" t="s">
        <v>6178</v>
      </c>
      <c r="K40" s="5">
        <v>1.4999999999999999E-2</v>
      </c>
      <c r="L40" s="5">
        <v>0</v>
      </c>
      <c r="M40" s="5">
        <v>0</v>
      </c>
      <c r="N40" s="5">
        <v>0</v>
      </c>
      <c r="O40" s="5">
        <v>0</v>
      </c>
      <c r="P40" s="5">
        <v>0</v>
      </c>
      <c r="Q40" s="5">
        <v>0</v>
      </c>
      <c r="R40" s="5" t="s">
        <v>5634</v>
      </c>
      <c r="S40" s="5">
        <v>4</v>
      </c>
      <c r="T40" s="5" t="s">
        <v>972</v>
      </c>
      <c r="U40" s="5" t="s">
        <v>972</v>
      </c>
      <c r="V40" s="5" t="s">
        <v>972</v>
      </c>
      <c r="W40" s="5" t="s">
        <v>972</v>
      </c>
      <c r="X40" s="5" t="s">
        <v>5262</v>
      </c>
      <c r="Y40" s="5">
        <v>15</v>
      </c>
      <c r="Z40" s="35"/>
      <c r="AA40" s="5"/>
      <c r="AB40" s="35" t="s">
        <v>4850</v>
      </c>
      <c r="AC40" s="5">
        <v>3</v>
      </c>
      <c r="AD40" s="5"/>
      <c r="AE40" s="5"/>
      <c r="AF40" s="5"/>
      <c r="AG40" s="47" t="str">
        <f t="shared" si="1"/>
        <v>(192*''**'11,91 - 22,22'*'0,015'*0*0*0*0*0*0*4*NULL*NULL*15**3)*</v>
      </c>
    </row>
    <row r="41" spans="1:33" ht="20.149999999999999" customHeight="1" x14ac:dyDescent="0.35">
      <c r="A41" s="3">
        <v>193</v>
      </c>
      <c r="B41" s="27" t="s">
        <v>5152</v>
      </c>
      <c r="C41" s="22">
        <v>25934</v>
      </c>
      <c r="D41" s="15">
        <v>1</v>
      </c>
      <c r="E41" s="5" t="s">
        <v>4133</v>
      </c>
      <c r="F41" s="5">
        <v>13</v>
      </c>
      <c r="G41" s="5">
        <v>16</v>
      </c>
      <c r="H41" s="7">
        <v>40</v>
      </c>
      <c r="I41" s="31">
        <v>574.87</v>
      </c>
      <c r="J41" s="5" t="s">
        <v>6193</v>
      </c>
      <c r="K41" s="5">
        <v>3.5000000000000003E-2</v>
      </c>
      <c r="L41" s="5">
        <v>70</v>
      </c>
      <c r="M41" s="5">
        <v>70</v>
      </c>
      <c r="N41" s="5">
        <v>0</v>
      </c>
      <c r="O41" s="5">
        <v>0</v>
      </c>
      <c r="P41" s="5">
        <v>20.47</v>
      </c>
      <c r="Q41" s="5">
        <v>20.47</v>
      </c>
      <c r="R41" s="5" t="s">
        <v>6192</v>
      </c>
      <c r="S41" s="5">
        <v>4</v>
      </c>
      <c r="T41" s="5" t="s">
        <v>6189</v>
      </c>
      <c r="U41" s="5">
        <v>14</v>
      </c>
      <c r="V41" s="5" t="s">
        <v>6165</v>
      </c>
      <c r="W41" s="5">
        <v>17</v>
      </c>
      <c r="X41" s="5" t="s">
        <v>5560</v>
      </c>
      <c r="Y41" s="5">
        <v>17</v>
      </c>
      <c r="Z41" s="35" t="s">
        <v>4856</v>
      </c>
      <c r="AA41" s="5">
        <v>8</v>
      </c>
      <c r="AB41" s="35" t="s">
        <v>1012</v>
      </c>
      <c r="AC41" s="5">
        <v>34</v>
      </c>
      <c r="AD41" s="5">
        <v>16</v>
      </c>
      <c r="AE41" s="5" t="s">
        <v>6215</v>
      </c>
      <c r="AF41" s="5"/>
      <c r="AG41" s="47" t="str">
        <f t="shared" ref="AG41:AG42" si="3">CONCATENATE("(",A41,"*'",H41,"'*",I41,"*'",J41,"'*'",K41,"'*",L41,"*",M41,"*",N41,"*",O41,"*",P41,"*",Q41,"*",S41,"*",U41,"*",W41,"*",Y41,"*",AA41,"*",AC41,"*",AD41,")*")</f>
        <v>(193*'40'*574,87*'12,7 / 15,88 / 19,43 / 19,05 '*'0,035'*70*70*0*0*20,47*20,47*4*14*17*17*8*34*16)*</v>
      </c>
    </row>
    <row r="42" spans="1:33" ht="20.149999999999999" customHeight="1" x14ac:dyDescent="0.35">
      <c r="A42" s="3">
        <v>194</v>
      </c>
      <c r="B42" s="27" t="s">
        <v>5153</v>
      </c>
      <c r="C42" s="22">
        <v>35796</v>
      </c>
      <c r="D42" s="15">
        <v>1</v>
      </c>
      <c r="E42" s="5" t="s">
        <v>4133</v>
      </c>
      <c r="F42" s="5">
        <v>13</v>
      </c>
      <c r="G42" s="5">
        <v>16</v>
      </c>
      <c r="H42" s="7">
        <v>42</v>
      </c>
      <c r="I42" s="31">
        <v>575.54499999999996</v>
      </c>
      <c r="J42" s="5" t="s">
        <v>6193</v>
      </c>
      <c r="K42" s="5">
        <v>1.4999999999999999E-2</v>
      </c>
      <c r="L42" s="5">
        <v>70</v>
      </c>
      <c r="M42" s="5">
        <v>70</v>
      </c>
      <c r="N42" s="5">
        <v>0</v>
      </c>
      <c r="O42" s="5">
        <v>0</v>
      </c>
      <c r="P42" s="5">
        <v>20.47</v>
      </c>
      <c r="Q42" s="5">
        <v>20.47</v>
      </c>
      <c r="R42" s="5" t="s">
        <v>6190</v>
      </c>
      <c r="S42" s="5">
        <v>4</v>
      </c>
      <c r="T42" s="5" t="s">
        <v>6189</v>
      </c>
      <c r="U42" s="5">
        <v>14</v>
      </c>
      <c r="V42" s="5" t="s">
        <v>6165</v>
      </c>
      <c r="W42" s="5">
        <v>17</v>
      </c>
      <c r="X42" s="5" t="s">
        <v>5560</v>
      </c>
      <c r="Y42" s="5">
        <v>17</v>
      </c>
      <c r="Z42" s="35" t="s">
        <v>4856</v>
      </c>
      <c r="AA42" s="5">
        <v>8</v>
      </c>
      <c r="AB42" s="35" t="s">
        <v>1012</v>
      </c>
      <c r="AC42" s="5">
        <v>34</v>
      </c>
      <c r="AD42" s="5">
        <v>16</v>
      </c>
      <c r="AE42" s="5" t="s">
        <v>6191</v>
      </c>
      <c r="AF42" s="5"/>
      <c r="AG42" s="47" t="str">
        <f t="shared" si="3"/>
        <v>(194*'42'*575,545*'12,7 / 15,88 / 19,43 / 19,05 '*'0,015'*70*70*0*0*20,47*20,47*4*14*17*17*8*34*16)*</v>
      </c>
    </row>
    <row r="43" spans="1:33" ht="20.149999999999999" customHeight="1" x14ac:dyDescent="0.35">
      <c r="A43" s="3">
        <v>195</v>
      </c>
      <c r="B43" s="27" t="s">
        <v>5154</v>
      </c>
      <c r="C43" s="22"/>
      <c r="D43" s="15">
        <v>1</v>
      </c>
      <c r="E43" s="5" t="s">
        <v>4133</v>
      </c>
      <c r="F43" s="5">
        <v>13</v>
      </c>
      <c r="G43" s="5">
        <v>16</v>
      </c>
      <c r="H43" s="7"/>
      <c r="I43" s="31"/>
      <c r="J43" s="5" t="s">
        <v>6194</v>
      </c>
      <c r="K43" s="5">
        <v>1.4999999999999999E-2</v>
      </c>
      <c r="L43" s="5">
        <v>0</v>
      </c>
      <c r="M43" s="5">
        <v>0</v>
      </c>
      <c r="N43" s="5">
        <v>0</v>
      </c>
      <c r="O43" s="5">
        <v>0</v>
      </c>
      <c r="P43" s="5">
        <v>9.66</v>
      </c>
      <c r="Q43" s="5">
        <v>9.66</v>
      </c>
      <c r="R43" s="5" t="s">
        <v>5634</v>
      </c>
      <c r="S43" s="5">
        <v>4</v>
      </c>
      <c r="T43" s="5" t="s">
        <v>972</v>
      </c>
      <c r="U43" s="5" t="s">
        <v>972</v>
      </c>
      <c r="V43" s="5" t="s">
        <v>972</v>
      </c>
      <c r="W43" s="5" t="s">
        <v>972</v>
      </c>
      <c r="X43" s="5" t="s">
        <v>5263</v>
      </c>
      <c r="Y43" s="5">
        <v>18</v>
      </c>
      <c r="Z43" s="35" t="s">
        <v>4856</v>
      </c>
      <c r="AA43" s="5">
        <v>8</v>
      </c>
      <c r="AB43" s="35" t="s">
        <v>6727</v>
      </c>
      <c r="AC43" s="49" t="s">
        <v>6727</v>
      </c>
      <c r="AD43" s="35"/>
      <c r="AE43" s="5"/>
      <c r="AF43" s="5"/>
      <c r="AG43" s="47" t="str">
        <f t="shared" si="1"/>
        <v>(195*''**'14,3 / 22,22'*'0,015'*0*0*0*0*9,66*9,66*4*NULL*NULL*18*8*EL Kala)*</v>
      </c>
    </row>
    <row r="44" spans="1:33" ht="20.149999999999999" customHeight="1" x14ac:dyDescent="0.35">
      <c r="A44" s="3">
        <v>196</v>
      </c>
      <c r="B44" s="27" t="s">
        <v>5155</v>
      </c>
      <c r="C44" s="22"/>
      <c r="D44" s="15">
        <v>1</v>
      </c>
      <c r="E44" s="5" t="s">
        <v>4133</v>
      </c>
      <c r="F44" s="5">
        <v>13</v>
      </c>
      <c r="G44" s="5">
        <v>16</v>
      </c>
      <c r="H44" s="7">
        <v>48</v>
      </c>
      <c r="I44" s="31">
        <v>87</v>
      </c>
      <c r="J44" s="5" t="s">
        <v>6194</v>
      </c>
      <c r="K44" s="5">
        <v>1.4999999999999999E-2</v>
      </c>
      <c r="L44" s="5">
        <v>71.5</v>
      </c>
      <c r="M44" s="5">
        <v>0</v>
      </c>
      <c r="N44" s="5">
        <v>0</v>
      </c>
      <c r="O44" s="5">
        <v>0</v>
      </c>
      <c r="P44" s="5">
        <v>0</v>
      </c>
      <c r="Q44" s="5">
        <v>0</v>
      </c>
      <c r="R44" s="5" t="s">
        <v>6184</v>
      </c>
      <c r="S44" s="5">
        <v>6</v>
      </c>
      <c r="T44" s="5" t="s">
        <v>972</v>
      </c>
      <c r="U44" s="5" t="s">
        <v>972</v>
      </c>
      <c r="V44" s="5" t="s">
        <v>972</v>
      </c>
      <c r="W44" s="5" t="s">
        <v>972</v>
      </c>
      <c r="X44" s="5" t="s">
        <v>5263</v>
      </c>
      <c r="Y44" s="5">
        <v>18</v>
      </c>
      <c r="Z44" s="35"/>
      <c r="AA44" s="50"/>
      <c r="AB44" s="35"/>
      <c r="AC44" s="50"/>
      <c r="AD44" s="5"/>
      <c r="AE44" s="5"/>
      <c r="AF44" s="5"/>
      <c r="AG44" s="47" t="str">
        <f t="shared" si="1"/>
        <v>(196*'48'*87*'14,3 / 22,22'*'0,015'*71,5*0*0*0*0*0*6*NULL*NULL*18**)*</v>
      </c>
    </row>
    <row r="45" spans="1:33" ht="20.149999999999999" customHeight="1" x14ac:dyDescent="0.35">
      <c r="A45" s="3">
        <v>197</v>
      </c>
      <c r="B45" s="27" t="s">
        <v>5156</v>
      </c>
      <c r="C45" s="22">
        <v>29587</v>
      </c>
      <c r="D45" s="15">
        <v>1</v>
      </c>
      <c r="E45" s="5" t="s">
        <v>4141</v>
      </c>
      <c r="F45" s="5">
        <v>15</v>
      </c>
      <c r="G45" s="5">
        <v>16</v>
      </c>
      <c r="H45" s="7">
        <v>42</v>
      </c>
      <c r="I45" s="31">
        <v>437</v>
      </c>
      <c r="J45" s="5" t="s">
        <v>6223</v>
      </c>
      <c r="K45" s="5">
        <v>1.4999999999999999E-2</v>
      </c>
      <c r="L45" s="5">
        <v>70</v>
      </c>
      <c r="M45" s="5">
        <v>70</v>
      </c>
      <c r="N45" s="5">
        <v>0</v>
      </c>
      <c r="O45" s="5">
        <v>0</v>
      </c>
      <c r="P45" s="5">
        <v>11.3</v>
      </c>
      <c r="Q45" s="5">
        <v>11.3</v>
      </c>
      <c r="R45" s="5" t="s">
        <v>5634</v>
      </c>
      <c r="S45" s="5">
        <v>4</v>
      </c>
      <c r="T45" s="5">
        <v>11.3</v>
      </c>
      <c r="U45" s="5">
        <v>14</v>
      </c>
      <c r="V45" s="5" t="s">
        <v>972</v>
      </c>
      <c r="W45" s="5" t="s">
        <v>972</v>
      </c>
      <c r="X45" s="5" t="s">
        <v>5156</v>
      </c>
      <c r="Y45" s="5">
        <v>20</v>
      </c>
      <c r="Z45" s="35" t="s">
        <v>4856</v>
      </c>
      <c r="AA45" s="5">
        <v>8</v>
      </c>
      <c r="AB45" s="35" t="s">
        <v>6226</v>
      </c>
      <c r="AC45" s="5">
        <v>24</v>
      </c>
      <c r="AD45" s="5">
        <v>16</v>
      </c>
      <c r="AE45" s="5" t="s">
        <v>6224</v>
      </c>
      <c r="AF45" s="5"/>
      <c r="AG45" s="47" t="str">
        <f t="shared" ref="AG45:AG46" si="4">CONCATENATE("(",A45,"*'",H45,"'*",I45,"*'",J45,"'*'",K45,"'*",L45,"*",M45,"*",N45,"*",O45,"*",P45,"*",Q45,"*",S45,"*",U45,"*",W45,"*",Y45,"*",AA45,"*",AC45,"*",AD45,")*")</f>
        <v>(197*'42'*437*'11,91 / 12,7 / 19,05'*'0,015'*70*70*0*0*11,3*11,3*4*14*NULL*20*8*24*16)*</v>
      </c>
    </row>
    <row r="46" spans="1:33" ht="20.149999999999999" customHeight="1" x14ac:dyDescent="0.35">
      <c r="A46" s="3">
        <v>198</v>
      </c>
      <c r="B46" s="27" t="s">
        <v>5157</v>
      </c>
      <c r="C46" s="22">
        <v>43800</v>
      </c>
      <c r="D46" s="15">
        <v>1</v>
      </c>
      <c r="E46" s="5" t="s">
        <v>4141</v>
      </c>
      <c r="F46" s="5">
        <v>15</v>
      </c>
      <c r="G46" s="5">
        <v>16</v>
      </c>
      <c r="H46" s="7">
        <v>42</v>
      </c>
      <c r="I46" s="31">
        <v>207</v>
      </c>
      <c r="J46" s="5" t="s">
        <v>6225</v>
      </c>
      <c r="K46" s="5">
        <v>1.4999999999999999E-2</v>
      </c>
      <c r="L46" s="5">
        <v>70</v>
      </c>
      <c r="M46" s="5">
        <v>70</v>
      </c>
      <c r="N46" s="5">
        <v>0</v>
      </c>
      <c r="O46" s="5">
        <v>0</v>
      </c>
      <c r="P46" s="5">
        <v>0</v>
      </c>
      <c r="Q46" s="5">
        <v>0</v>
      </c>
      <c r="R46" s="5" t="s">
        <v>6184</v>
      </c>
      <c r="S46" s="5">
        <v>6</v>
      </c>
      <c r="T46" s="5" t="s">
        <v>5649</v>
      </c>
      <c r="U46" s="5" t="s">
        <v>972</v>
      </c>
      <c r="V46" s="5" t="s">
        <v>972</v>
      </c>
      <c r="W46" s="5" t="s">
        <v>972</v>
      </c>
      <c r="X46" s="5" t="s">
        <v>5156</v>
      </c>
      <c r="Y46" s="5">
        <v>20</v>
      </c>
      <c r="Z46" s="35" t="s">
        <v>6227</v>
      </c>
      <c r="AA46" s="5">
        <v>9</v>
      </c>
      <c r="AB46" s="35" t="s">
        <v>6226</v>
      </c>
      <c r="AC46" s="5">
        <v>24</v>
      </c>
      <c r="AD46" s="5">
        <v>16</v>
      </c>
      <c r="AE46" s="5"/>
      <c r="AF46" s="5"/>
      <c r="AG46" s="47" t="str">
        <f t="shared" si="4"/>
        <v>(198*'42'*207*'20,62 / 14,27'*'0,015'*70*70*0*0*0*0*6*NULL*NULL*20*9*24*16)*</v>
      </c>
    </row>
    <row r="47" spans="1:33" ht="20.149999999999999" customHeight="1" x14ac:dyDescent="0.35">
      <c r="A47" s="3">
        <v>199</v>
      </c>
      <c r="B47" s="27" t="s">
        <v>5158</v>
      </c>
      <c r="C47" s="22"/>
      <c r="D47" s="15">
        <v>1</v>
      </c>
      <c r="E47" s="5" t="s">
        <v>4129</v>
      </c>
      <c r="F47" s="5"/>
      <c r="G47" s="5">
        <v>16</v>
      </c>
      <c r="H47" s="7"/>
      <c r="I47" s="31"/>
      <c r="J47" s="5" t="s">
        <v>6225</v>
      </c>
      <c r="K47" s="5">
        <v>1.4999999999999999E-2</v>
      </c>
      <c r="L47" s="5">
        <v>0</v>
      </c>
      <c r="M47" s="5">
        <v>0</v>
      </c>
      <c r="N47" s="5">
        <v>0</v>
      </c>
      <c r="O47" s="5">
        <v>0</v>
      </c>
      <c r="P47" s="5">
        <v>0</v>
      </c>
      <c r="Q47" s="5">
        <v>0</v>
      </c>
      <c r="R47" s="5" t="s">
        <v>5634</v>
      </c>
      <c r="S47" s="5">
        <v>4</v>
      </c>
      <c r="T47" s="5" t="s">
        <v>972</v>
      </c>
      <c r="U47" s="5" t="s">
        <v>972</v>
      </c>
      <c r="V47" s="5" t="s">
        <v>972</v>
      </c>
      <c r="W47" s="5" t="s">
        <v>972</v>
      </c>
      <c r="X47" s="5" t="s">
        <v>5566</v>
      </c>
      <c r="Y47" s="5">
        <v>21</v>
      </c>
      <c r="Z47" s="35"/>
      <c r="AA47" s="50"/>
      <c r="AB47" s="35"/>
      <c r="AC47" s="50"/>
      <c r="AD47" s="5"/>
      <c r="AE47" s="5"/>
      <c r="AF47" s="5"/>
      <c r="AG47" s="47" t="str">
        <f t="shared" si="1"/>
        <v>(199*''**'20,62 / 14,27'*'0,015'*0*0*0*0*0*0*4*NULL*NULL*21**)*</v>
      </c>
    </row>
    <row r="48" spans="1:33" ht="20.149999999999999" customHeight="1" x14ac:dyDescent="0.35">
      <c r="A48" s="3">
        <v>200</v>
      </c>
      <c r="B48" s="27" t="s">
        <v>5159</v>
      </c>
      <c r="C48" s="22">
        <v>31413</v>
      </c>
      <c r="D48" s="15">
        <v>1</v>
      </c>
      <c r="E48" s="5" t="s">
        <v>4137</v>
      </c>
      <c r="F48" s="5">
        <v>14</v>
      </c>
      <c r="G48" s="5">
        <v>16</v>
      </c>
      <c r="H48" s="7" t="s">
        <v>6198</v>
      </c>
      <c r="I48" s="31">
        <v>966</v>
      </c>
      <c r="J48" s="5" t="s">
        <v>6200</v>
      </c>
      <c r="K48" s="5">
        <v>1.4999999999999999E-2</v>
      </c>
      <c r="L48" s="5">
        <v>71</v>
      </c>
      <c r="M48" s="5">
        <v>71</v>
      </c>
      <c r="N48" s="5">
        <v>0</v>
      </c>
      <c r="O48" s="5">
        <v>0</v>
      </c>
      <c r="P48" s="5">
        <v>15.76</v>
      </c>
      <c r="Q48" s="5">
        <v>15.76</v>
      </c>
      <c r="R48" s="5" t="s">
        <v>6199</v>
      </c>
      <c r="S48" s="5">
        <v>6</v>
      </c>
      <c r="T48" s="5" t="s">
        <v>5665</v>
      </c>
      <c r="U48" s="5">
        <v>14</v>
      </c>
      <c r="V48" s="5" t="s">
        <v>6165</v>
      </c>
      <c r="W48" s="5">
        <v>17</v>
      </c>
      <c r="X48" s="5" t="s">
        <v>5566</v>
      </c>
      <c r="Y48" s="5">
        <v>21</v>
      </c>
      <c r="Z48" s="35" t="s">
        <v>5389</v>
      </c>
      <c r="AA48" s="5">
        <v>20</v>
      </c>
      <c r="AB48" s="35" t="s">
        <v>4856</v>
      </c>
      <c r="AC48" s="5">
        <v>8</v>
      </c>
      <c r="AD48" s="5">
        <v>16</v>
      </c>
      <c r="AE48" s="5" t="s">
        <v>6216</v>
      </c>
      <c r="AF48" s="5"/>
      <c r="AG48" s="47" t="str">
        <f t="shared" ref="AG48:AG49" si="5">CONCATENATE("(",A48,"*'",H48,"'*",I48,"*'",J48,"'*'",K48,"'*",L48,"*",M48,"*",N48,"*",O48,"*",P48,"*",Q48,"*",S48,"*",U48,"*",W48,"*",Y48,"*",AA48,"*",AC48,"*",AD48,")*")</f>
        <v>(200*'42 / 48'*966*'11,92 / 12,7 / 13,35 / 14,27 / 15,88 / 22,22'*'0,015'*71*71*0*0*15,76*15,76*6*14*17*21*20*8*16)*</v>
      </c>
    </row>
    <row r="49" spans="1:33" ht="20.149999999999999" customHeight="1" x14ac:dyDescent="0.35">
      <c r="A49" s="3">
        <v>201</v>
      </c>
      <c r="B49" s="27" t="s">
        <v>5160</v>
      </c>
      <c r="C49" s="22">
        <v>36161</v>
      </c>
      <c r="D49" s="15">
        <v>1</v>
      </c>
      <c r="E49" s="5" t="s">
        <v>4137</v>
      </c>
      <c r="F49" s="5">
        <v>14</v>
      </c>
      <c r="G49" s="5">
        <v>16</v>
      </c>
      <c r="H49" s="7" t="s">
        <v>6198</v>
      </c>
      <c r="I49" s="31">
        <v>966</v>
      </c>
      <c r="J49" s="5" t="s">
        <v>6201</v>
      </c>
      <c r="K49" s="5">
        <v>1.4999999999999999E-2</v>
      </c>
      <c r="L49" s="5">
        <v>71</v>
      </c>
      <c r="M49" s="5">
        <v>71</v>
      </c>
      <c r="N49" s="5">
        <v>0</v>
      </c>
      <c r="O49" s="5">
        <v>0</v>
      </c>
      <c r="P49" s="5">
        <v>15.77</v>
      </c>
      <c r="Q49" s="5">
        <v>15.77</v>
      </c>
      <c r="R49" s="5" t="s">
        <v>6184</v>
      </c>
      <c r="S49" s="5">
        <v>6</v>
      </c>
      <c r="T49" s="5" t="s">
        <v>5635</v>
      </c>
      <c r="U49" s="5">
        <v>11</v>
      </c>
      <c r="V49" s="5" t="s">
        <v>6165</v>
      </c>
      <c r="W49" s="5">
        <v>17</v>
      </c>
      <c r="X49" s="5" t="s">
        <v>5566</v>
      </c>
      <c r="Y49" s="5">
        <v>21</v>
      </c>
      <c r="Z49" s="35" t="s">
        <v>5389</v>
      </c>
      <c r="AA49" s="5">
        <v>20</v>
      </c>
      <c r="AB49" s="35" t="s">
        <v>4856</v>
      </c>
      <c r="AC49" s="5">
        <v>8</v>
      </c>
      <c r="AD49" s="5">
        <v>16</v>
      </c>
      <c r="AE49" s="5" t="s">
        <v>6217</v>
      </c>
      <c r="AF49" s="5"/>
      <c r="AG49" s="47" t="str">
        <f t="shared" si="5"/>
        <v>(201*'42 / 48'*966*'11,91 / 12,7 / 14,27 / 19,05 / 22,22'*'0,015'*71*71*0*0*15,77*15,77*6*11*17*21*20*8*16)*</v>
      </c>
    </row>
    <row r="50" spans="1:33" ht="20.149999999999999" customHeight="1" x14ac:dyDescent="0.35">
      <c r="A50" s="3">
        <v>202</v>
      </c>
      <c r="B50" s="27" t="s">
        <v>5161</v>
      </c>
      <c r="C50" s="22">
        <v>37622</v>
      </c>
      <c r="D50" s="15">
        <v>1</v>
      </c>
      <c r="E50" s="5" t="s">
        <v>4089</v>
      </c>
      <c r="F50" s="5">
        <v>2</v>
      </c>
      <c r="G50" s="5">
        <v>2</v>
      </c>
      <c r="H50" s="7">
        <v>48</v>
      </c>
      <c r="I50" s="31">
        <v>520</v>
      </c>
      <c r="J50" s="5" t="s">
        <v>6201</v>
      </c>
      <c r="K50" s="5">
        <v>1.4999999999999999E-2</v>
      </c>
      <c r="L50" s="5">
        <v>0</v>
      </c>
      <c r="M50" s="5">
        <v>0</v>
      </c>
      <c r="N50" s="5">
        <v>0</v>
      </c>
      <c r="O50" s="5">
        <v>0</v>
      </c>
      <c r="P50" s="5">
        <v>0</v>
      </c>
      <c r="Q50" s="5">
        <v>0</v>
      </c>
      <c r="R50" s="5" t="s">
        <v>5634</v>
      </c>
      <c r="S50" s="5">
        <v>4</v>
      </c>
      <c r="T50" s="5" t="s">
        <v>972</v>
      </c>
      <c r="U50" s="5" t="s">
        <v>972</v>
      </c>
      <c r="V50" s="5" t="s">
        <v>972</v>
      </c>
      <c r="W50" s="5" t="s">
        <v>972</v>
      </c>
      <c r="X50" s="5" t="s">
        <v>5566</v>
      </c>
      <c r="Y50" s="5">
        <v>21</v>
      </c>
      <c r="Z50" s="35"/>
      <c r="AA50" s="50"/>
      <c r="AB50" s="35"/>
      <c r="AC50" s="50"/>
      <c r="AD50" s="5"/>
      <c r="AE50" s="5"/>
      <c r="AF50" s="5"/>
      <c r="AG50" s="47" t="str">
        <f t="shared" si="1"/>
        <v>(202*'48'*520*'11,91 / 12,7 / 14,27 / 19,05 / 22,22'*'0,015'*0*0*0*0*0*0*4*NULL*NULL*21**)*</v>
      </c>
    </row>
    <row r="51" spans="1:33" ht="20.149999999999999" customHeight="1" x14ac:dyDescent="0.35">
      <c r="A51" s="3">
        <v>203</v>
      </c>
      <c r="B51" s="27" t="s">
        <v>5162</v>
      </c>
      <c r="C51" s="22">
        <v>41640</v>
      </c>
      <c r="D51" s="15">
        <v>1</v>
      </c>
      <c r="E51" s="5" t="s">
        <v>4137</v>
      </c>
      <c r="F51" s="5">
        <v>14</v>
      </c>
      <c r="G51" s="5">
        <v>16</v>
      </c>
      <c r="H51" s="7">
        <v>48</v>
      </c>
      <c r="I51" s="31">
        <v>535</v>
      </c>
      <c r="J51" s="5" t="s">
        <v>6183</v>
      </c>
      <c r="K51" s="5">
        <v>1.4999999999999999E-2</v>
      </c>
      <c r="L51" s="5">
        <v>71</v>
      </c>
      <c r="M51" s="5">
        <v>71</v>
      </c>
      <c r="N51" s="5">
        <v>0</v>
      </c>
      <c r="O51" s="5">
        <v>0</v>
      </c>
      <c r="P51" s="5">
        <v>11.05</v>
      </c>
      <c r="Q51" s="5">
        <v>11.05</v>
      </c>
      <c r="R51" s="5" t="s">
        <v>6184</v>
      </c>
      <c r="S51" s="5">
        <v>6</v>
      </c>
      <c r="T51" s="5" t="s">
        <v>972</v>
      </c>
      <c r="U51" s="5" t="s">
        <v>972</v>
      </c>
      <c r="V51" s="5" t="s">
        <v>972</v>
      </c>
      <c r="W51" s="5" t="s">
        <v>972</v>
      </c>
      <c r="X51" s="5" t="s">
        <v>5566</v>
      </c>
      <c r="Y51" s="5">
        <v>21</v>
      </c>
      <c r="Z51" s="35" t="s">
        <v>6202</v>
      </c>
      <c r="AA51" s="5">
        <v>18</v>
      </c>
      <c r="AB51" s="35" t="s">
        <v>4856</v>
      </c>
      <c r="AC51" s="5">
        <v>8</v>
      </c>
      <c r="AD51" s="5">
        <v>16</v>
      </c>
      <c r="AE51" s="5" t="s">
        <v>6181</v>
      </c>
      <c r="AF51" s="5"/>
      <c r="AG51" s="47" t="str">
        <f t="shared" ref="AG51:AG53" si="6">CONCATENATE("(",A51,"*'",H51,"'*",I51,"*'",J51,"'*'",K51,"'*",L51,"*",M51,"*",N51,"*",O51,"*",P51,"*",Q51,"*",S51,"*",U51,"*",W51,"*",Y51,"*",AA51,"*",AC51,"*",AD51,")*")</f>
        <v>(203*'48'*535*'12,7 / 14,27 / 22,22'*'0,015'*71*71*0*0*11,05*11,05*6*NULL*NULL*21*18*8*16)*</v>
      </c>
    </row>
    <row r="52" spans="1:33" ht="20.149999999999999" customHeight="1" x14ac:dyDescent="0.35">
      <c r="A52" s="3">
        <v>204</v>
      </c>
      <c r="B52" s="27" t="s">
        <v>5163</v>
      </c>
      <c r="C52" s="22">
        <v>42887</v>
      </c>
      <c r="D52" s="15">
        <v>1</v>
      </c>
      <c r="E52" s="5" t="s">
        <v>4145</v>
      </c>
      <c r="F52" s="5">
        <v>16</v>
      </c>
      <c r="G52" s="5">
        <v>16</v>
      </c>
      <c r="H52" s="7">
        <v>48</v>
      </c>
      <c r="I52" s="31">
        <v>770</v>
      </c>
      <c r="J52" s="30" t="s">
        <v>6228</v>
      </c>
      <c r="K52" s="5">
        <v>1.4999999999999999E-2</v>
      </c>
      <c r="L52" s="5">
        <v>70</v>
      </c>
      <c r="M52" s="5">
        <v>70</v>
      </c>
      <c r="N52" s="5">
        <v>45</v>
      </c>
      <c r="O52" s="5">
        <v>45</v>
      </c>
      <c r="P52" s="5">
        <v>0</v>
      </c>
      <c r="Q52" s="5">
        <v>0</v>
      </c>
      <c r="R52" s="5" t="s">
        <v>6184</v>
      </c>
      <c r="S52" s="5">
        <v>6</v>
      </c>
      <c r="T52" s="5" t="s">
        <v>972</v>
      </c>
      <c r="U52" s="5" t="s">
        <v>972</v>
      </c>
      <c r="V52" s="5" t="s">
        <v>972</v>
      </c>
      <c r="W52" s="5" t="s">
        <v>972</v>
      </c>
      <c r="X52" s="5" t="s">
        <v>5569</v>
      </c>
      <c r="Y52" s="5">
        <v>22</v>
      </c>
      <c r="Z52" s="35" t="s">
        <v>1123</v>
      </c>
      <c r="AA52" s="5">
        <v>32</v>
      </c>
      <c r="AB52" s="35" t="s">
        <v>4856</v>
      </c>
      <c r="AC52" s="5">
        <v>8</v>
      </c>
      <c r="AD52" s="5">
        <v>16</v>
      </c>
      <c r="AE52" s="5" t="s">
        <v>6229</v>
      </c>
      <c r="AF52" s="5"/>
      <c r="AG52" s="47" t="str">
        <f t="shared" si="6"/>
        <v>(204*'48'*770*'12,48 / 13,61 / 20,79 / 24,26'*'0,015'*70*70*45*45*0*0*6*NULL*NULL*22*32*8*16)*</v>
      </c>
    </row>
    <row r="53" spans="1:33" ht="20.149999999999999" customHeight="1" x14ac:dyDescent="0.35">
      <c r="A53" s="3">
        <v>205</v>
      </c>
      <c r="B53" s="27" t="s">
        <v>5164</v>
      </c>
      <c r="C53" s="22">
        <v>42736</v>
      </c>
      <c r="D53" s="15">
        <v>1</v>
      </c>
      <c r="E53" s="5" t="s">
        <v>4137</v>
      </c>
      <c r="F53" s="5">
        <v>14</v>
      </c>
      <c r="G53" s="5">
        <v>16</v>
      </c>
      <c r="H53" s="7">
        <v>48</v>
      </c>
      <c r="I53" s="31">
        <v>531</v>
      </c>
      <c r="J53" s="5" t="s">
        <v>6183</v>
      </c>
      <c r="K53" s="5">
        <v>1.4999999999999999E-2</v>
      </c>
      <c r="L53" s="5">
        <v>71</v>
      </c>
      <c r="M53" s="5">
        <v>71</v>
      </c>
      <c r="N53" s="5">
        <v>0</v>
      </c>
      <c r="O53" s="5">
        <v>0</v>
      </c>
      <c r="P53" s="5">
        <v>8.52</v>
      </c>
      <c r="Q53" s="5">
        <v>8.52</v>
      </c>
      <c r="R53" s="5" t="s">
        <v>6184</v>
      </c>
      <c r="S53" s="5">
        <v>6</v>
      </c>
      <c r="T53" s="5" t="s">
        <v>972</v>
      </c>
      <c r="U53" s="5" t="s">
        <v>972</v>
      </c>
      <c r="V53" s="5" t="s">
        <v>972</v>
      </c>
      <c r="W53" s="5" t="s">
        <v>972</v>
      </c>
      <c r="X53" s="5" t="s">
        <v>5566</v>
      </c>
      <c r="Y53" s="5">
        <v>21</v>
      </c>
      <c r="Z53" s="35" t="s">
        <v>6202</v>
      </c>
      <c r="AA53" s="5">
        <v>18</v>
      </c>
      <c r="AB53" s="35" t="s">
        <v>4856</v>
      </c>
      <c r="AC53" s="5">
        <v>8</v>
      </c>
      <c r="AD53" s="5">
        <v>16</v>
      </c>
      <c r="AE53" s="5" t="s">
        <v>6181</v>
      </c>
      <c r="AF53" s="5"/>
      <c r="AG53" s="47" t="str">
        <f t="shared" si="6"/>
        <v>(205*'48'*531*'12,7 / 14,27 / 22,22'*'0,015'*71*71*0*0*8,52*8,52*6*NULL*NULL*21*18*8*16)*</v>
      </c>
    </row>
    <row r="54" spans="1:33" ht="20.149999999999999" customHeight="1" x14ac:dyDescent="0.35">
      <c r="A54" s="3">
        <v>206</v>
      </c>
      <c r="B54" s="27" t="s">
        <v>5165</v>
      </c>
      <c r="C54" s="22">
        <v>43800</v>
      </c>
      <c r="D54" s="15">
        <v>1</v>
      </c>
      <c r="E54" s="5" t="s">
        <v>4145</v>
      </c>
      <c r="F54" s="5">
        <v>16</v>
      </c>
      <c r="G54" s="5">
        <v>16</v>
      </c>
      <c r="H54" s="7">
        <v>48</v>
      </c>
      <c r="I54" s="31">
        <v>345</v>
      </c>
      <c r="J54" s="5" t="s">
        <v>6230</v>
      </c>
      <c r="K54" s="5">
        <v>1.4999999999999999E-2</v>
      </c>
      <c r="L54" s="5">
        <v>70</v>
      </c>
      <c r="M54" s="5">
        <v>70</v>
      </c>
      <c r="N54" s="5">
        <v>45</v>
      </c>
      <c r="O54" s="5">
        <v>45</v>
      </c>
      <c r="P54" s="5">
        <v>0</v>
      </c>
      <c r="Q54" s="5">
        <v>0</v>
      </c>
      <c r="R54" s="5" t="s">
        <v>6184</v>
      </c>
      <c r="S54" s="5">
        <v>6</v>
      </c>
      <c r="T54" s="5" t="s">
        <v>972</v>
      </c>
      <c r="U54" s="5" t="s">
        <v>972</v>
      </c>
      <c r="V54" s="5" t="s">
        <v>972</v>
      </c>
      <c r="W54" s="5" t="s">
        <v>972</v>
      </c>
      <c r="X54" s="5" t="s">
        <v>5569</v>
      </c>
      <c r="Y54" s="5">
        <v>22</v>
      </c>
      <c r="Z54" s="35" t="s">
        <v>6231</v>
      </c>
      <c r="AA54" s="5"/>
      <c r="AB54" s="35" t="s">
        <v>4856</v>
      </c>
      <c r="AC54" s="5">
        <v>8</v>
      </c>
      <c r="AD54" s="5"/>
      <c r="AE54" s="5"/>
      <c r="AF54" s="5"/>
      <c r="AG54" s="47" t="str">
        <f t="shared" si="1"/>
        <v>(206*'48'*345*'12,95 / 14,27 / 22,23'*'0,015'*70*70*45*45*0*0*6*NULL*NULL*22**8)*</v>
      </c>
    </row>
    <row r="55" spans="1:33" ht="20.149999999999999" customHeight="1" x14ac:dyDescent="0.35">
      <c r="A55" s="3">
        <v>207</v>
      </c>
      <c r="B55" s="27" t="s">
        <v>4153</v>
      </c>
      <c r="C55" s="22">
        <v>35065</v>
      </c>
      <c r="D55" s="15">
        <v>1</v>
      </c>
      <c r="E55" s="5" t="s">
        <v>4153</v>
      </c>
      <c r="F55" s="5">
        <v>18</v>
      </c>
      <c r="G55" s="5">
        <v>16</v>
      </c>
      <c r="H55" s="7">
        <v>48</v>
      </c>
      <c r="I55" s="31">
        <v>521</v>
      </c>
      <c r="J55" s="5" t="s">
        <v>6183</v>
      </c>
      <c r="K55" s="5">
        <v>1.4999999999999999E-2</v>
      </c>
      <c r="L55" s="5">
        <v>71</v>
      </c>
      <c r="M55" s="5">
        <v>50.81</v>
      </c>
      <c r="N55" s="5">
        <v>0</v>
      </c>
      <c r="O55" s="5">
        <v>0</v>
      </c>
      <c r="P55" s="5">
        <v>11.47</v>
      </c>
      <c r="Q55" s="5">
        <v>11.47</v>
      </c>
      <c r="R55" s="5" t="s">
        <v>6184</v>
      </c>
      <c r="S55" s="5">
        <v>6</v>
      </c>
      <c r="T55" s="5" t="s">
        <v>6185</v>
      </c>
      <c r="U55" s="5">
        <v>9</v>
      </c>
      <c r="V55" s="5" t="s">
        <v>6165</v>
      </c>
      <c r="W55" s="5">
        <v>17</v>
      </c>
      <c r="X55" s="5" t="s">
        <v>6186</v>
      </c>
      <c r="Y55" s="5">
        <v>16</v>
      </c>
      <c r="Z55" s="35" t="s">
        <v>4856</v>
      </c>
      <c r="AA55" s="5">
        <v>8</v>
      </c>
      <c r="AB55" s="35" t="s">
        <v>6187</v>
      </c>
      <c r="AC55" s="5">
        <v>12</v>
      </c>
      <c r="AD55" s="5">
        <v>16</v>
      </c>
      <c r="AE55" s="5" t="s">
        <v>6157</v>
      </c>
      <c r="AF55" s="5"/>
      <c r="AG55" s="47" t="str">
        <f t="shared" ref="AG55:AG59" si="7">CONCATENATE("(",A55,"*'",H55,"'*",I55,"*'",J55,"'*'",K55,"'*",L55,"*",M55,"*",N55,"*",O55,"*",P55,"*",Q55,"*",S55,"*",U55,"*",W55,"*",Y55,"*",AA55,"*",AC55,"*",AD55,")*")</f>
        <v>(207*'48'*521*'12,7 / 14,27 / 22,22'*'0,015'*71*50,81*0*0*11,47*11,47*6*9*17*16*8*12*16)*</v>
      </c>
    </row>
    <row r="56" spans="1:33" ht="20.149999999999999" customHeight="1" x14ac:dyDescent="0.35">
      <c r="A56" s="3">
        <v>208</v>
      </c>
      <c r="B56" s="27" t="s">
        <v>5166</v>
      </c>
      <c r="C56" s="22">
        <v>44197</v>
      </c>
      <c r="D56" s="15">
        <v>1</v>
      </c>
      <c r="E56" s="5" t="s">
        <v>4153</v>
      </c>
      <c r="F56" s="5">
        <v>18</v>
      </c>
      <c r="G56" s="5">
        <v>16</v>
      </c>
      <c r="H56" s="7">
        <v>48</v>
      </c>
      <c r="I56" s="31">
        <v>198</v>
      </c>
      <c r="J56" s="5" t="s">
        <v>6188</v>
      </c>
      <c r="K56" s="5">
        <v>1.4999999999999999E-2</v>
      </c>
      <c r="L56" s="5">
        <v>70</v>
      </c>
      <c r="M56" s="5">
        <v>0</v>
      </c>
      <c r="N56" s="5">
        <v>0</v>
      </c>
      <c r="O56" s="5">
        <v>0</v>
      </c>
      <c r="P56" s="5">
        <v>9</v>
      </c>
      <c r="Q56" s="5">
        <v>9</v>
      </c>
      <c r="R56" s="5" t="s">
        <v>5634</v>
      </c>
      <c r="S56" s="5">
        <v>4</v>
      </c>
      <c r="T56" s="5" t="s">
        <v>972</v>
      </c>
      <c r="U56" s="5" t="s">
        <v>972</v>
      </c>
      <c r="V56" s="5" t="s">
        <v>972</v>
      </c>
      <c r="W56" s="5" t="s">
        <v>972</v>
      </c>
      <c r="X56" s="5" t="s">
        <v>6186</v>
      </c>
      <c r="Y56" s="5">
        <v>16</v>
      </c>
      <c r="Z56" s="35" t="s">
        <v>6187</v>
      </c>
      <c r="AA56" s="5">
        <v>12</v>
      </c>
      <c r="AB56" s="35" t="s">
        <v>2048</v>
      </c>
      <c r="AC56" s="5">
        <v>3</v>
      </c>
      <c r="AD56" s="5">
        <v>16</v>
      </c>
      <c r="AE56" s="5" t="s">
        <v>6162</v>
      </c>
      <c r="AF56" s="5"/>
      <c r="AG56" s="47" t="str">
        <f t="shared" si="7"/>
        <v>(208*'48'*198*'13,61/  14,27 / 20,79 / 22,23'*'0,015'*70*0*0*0*9*9*4*NULL*NULL*16*12*3*16)*</v>
      </c>
    </row>
    <row r="57" spans="1:33" ht="20.149999999999999" customHeight="1" x14ac:dyDescent="0.35">
      <c r="A57" s="3">
        <v>209</v>
      </c>
      <c r="B57" s="27" t="s">
        <v>5167</v>
      </c>
      <c r="C57" s="22">
        <v>29952</v>
      </c>
      <c r="D57" s="15">
        <v>1</v>
      </c>
      <c r="E57" s="5" t="s">
        <v>4149</v>
      </c>
      <c r="F57" s="5">
        <v>17</v>
      </c>
      <c r="G57" s="5">
        <v>16</v>
      </c>
      <c r="H57" s="7">
        <v>48</v>
      </c>
      <c r="I57" s="31">
        <v>548.28499999999997</v>
      </c>
      <c r="J57" s="5" t="s">
        <v>6183</v>
      </c>
      <c r="K57" s="5">
        <v>1.4999999999999999E-2</v>
      </c>
      <c r="L57" s="5">
        <v>70</v>
      </c>
      <c r="M57" s="5">
        <v>70</v>
      </c>
      <c r="N57" s="5">
        <v>0</v>
      </c>
      <c r="O57" s="5">
        <v>0</v>
      </c>
      <c r="P57" s="5">
        <v>11.99</v>
      </c>
      <c r="Q57" s="5">
        <v>11.99</v>
      </c>
      <c r="R57" s="5" t="s">
        <v>6156</v>
      </c>
      <c r="S57" s="5">
        <v>4</v>
      </c>
      <c r="T57" s="5" t="s">
        <v>5658</v>
      </c>
      <c r="U57" s="5">
        <v>14</v>
      </c>
      <c r="V57" s="5" t="s">
        <v>6165</v>
      </c>
      <c r="W57" s="5">
        <v>17</v>
      </c>
      <c r="X57" s="5" t="s">
        <v>5563</v>
      </c>
      <c r="Y57" s="5">
        <v>19</v>
      </c>
      <c r="Z57" s="35" t="s">
        <v>4856</v>
      </c>
      <c r="AA57" s="5">
        <v>8</v>
      </c>
      <c r="AB57" s="35" t="s">
        <v>5485</v>
      </c>
      <c r="AC57" s="5">
        <v>2</v>
      </c>
      <c r="AD57" s="5">
        <v>16</v>
      </c>
      <c r="AE57" s="5" t="s">
        <v>4624</v>
      </c>
      <c r="AF57" s="5"/>
      <c r="AG57" s="47" t="str">
        <f t="shared" si="7"/>
        <v>(209*'48'*548,285*'12,7 / 14,27 / 22,22'*'0,015'*70*70*0*0*11,99*11,99*4*14*17*19*8*2*16)*</v>
      </c>
    </row>
    <row r="58" spans="1:33" ht="20.149999999999999" customHeight="1" x14ac:dyDescent="0.35">
      <c r="A58" s="3">
        <v>210</v>
      </c>
      <c r="B58" s="27" t="s">
        <v>5168</v>
      </c>
      <c r="C58" s="22">
        <v>31778</v>
      </c>
      <c r="D58" s="15">
        <v>1</v>
      </c>
      <c r="E58" s="5" t="s">
        <v>4149</v>
      </c>
      <c r="F58" s="5">
        <v>17</v>
      </c>
      <c r="G58" s="5">
        <v>16</v>
      </c>
      <c r="H58" s="7">
        <v>48</v>
      </c>
      <c r="I58" s="31">
        <v>548.28499999999997</v>
      </c>
      <c r="J58" s="5" t="s">
        <v>6183</v>
      </c>
      <c r="K58" s="5">
        <v>1.4999999999999999E-2</v>
      </c>
      <c r="L58" s="5">
        <v>70</v>
      </c>
      <c r="M58" s="5">
        <v>70</v>
      </c>
      <c r="N58" s="5">
        <v>0</v>
      </c>
      <c r="O58" s="5">
        <v>0</v>
      </c>
      <c r="P58" s="5">
        <v>11.99</v>
      </c>
      <c r="Q58" s="5">
        <v>11.99</v>
      </c>
      <c r="R58" s="5" t="s">
        <v>6156</v>
      </c>
      <c r="S58" s="5">
        <v>4</v>
      </c>
      <c r="T58" s="5" t="s">
        <v>5658</v>
      </c>
      <c r="U58" s="5">
        <v>14</v>
      </c>
      <c r="V58" s="5" t="s">
        <v>6165</v>
      </c>
      <c r="W58" s="5">
        <v>17</v>
      </c>
      <c r="X58" s="5" t="s">
        <v>5563</v>
      </c>
      <c r="Y58" s="5">
        <v>19</v>
      </c>
      <c r="Z58" s="35" t="s">
        <v>4856</v>
      </c>
      <c r="AA58" s="5">
        <v>8</v>
      </c>
      <c r="AB58" s="35" t="s">
        <v>5485</v>
      </c>
      <c r="AC58" s="5">
        <v>2</v>
      </c>
      <c r="AD58" s="5">
        <v>16</v>
      </c>
      <c r="AE58" s="5" t="s">
        <v>6196</v>
      </c>
      <c r="AF58" s="5"/>
      <c r="AG58" s="47" t="str">
        <f t="shared" si="7"/>
        <v>(210*'48'*548,285*'12,7 / 14,27 / 22,22'*'0,015'*70*70*0*0*11,99*11,99*4*14*17*19*8*2*16)*</v>
      </c>
    </row>
    <row r="59" spans="1:33" ht="20.149999999999999" customHeight="1" x14ac:dyDescent="0.35">
      <c r="A59" s="3">
        <v>211</v>
      </c>
      <c r="B59" s="27" t="s">
        <v>5169</v>
      </c>
      <c r="C59" s="22">
        <v>39448</v>
      </c>
      <c r="D59" s="15">
        <v>1</v>
      </c>
      <c r="E59" s="5" t="s">
        <v>4149</v>
      </c>
      <c r="F59" s="5">
        <v>17</v>
      </c>
      <c r="G59" s="5">
        <v>16</v>
      </c>
      <c r="H59" s="7">
        <v>48</v>
      </c>
      <c r="I59" s="31">
        <v>548.28499999999997</v>
      </c>
      <c r="J59" s="5" t="s">
        <v>6183</v>
      </c>
      <c r="K59" s="5">
        <v>1.4999999999999999E-2</v>
      </c>
      <c r="L59" s="5">
        <v>70</v>
      </c>
      <c r="M59" s="5">
        <v>70</v>
      </c>
      <c r="N59" s="5">
        <v>0</v>
      </c>
      <c r="O59" s="5">
        <v>0</v>
      </c>
      <c r="P59" s="5">
        <v>8.74</v>
      </c>
      <c r="Q59" s="5">
        <v>8.74</v>
      </c>
      <c r="R59" s="5" t="s">
        <v>6156</v>
      </c>
      <c r="S59" s="5">
        <v>4</v>
      </c>
      <c r="T59" s="5" t="s">
        <v>6195</v>
      </c>
      <c r="U59" s="5">
        <v>11</v>
      </c>
      <c r="V59" s="5" t="s">
        <v>6165</v>
      </c>
      <c r="W59" s="5">
        <v>17</v>
      </c>
      <c r="X59" s="5" t="s">
        <v>5563</v>
      </c>
      <c r="Y59" s="5">
        <v>19</v>
      </c>
      <c r="Z59" s="35" t="s">
        <v>4856</v>
      </c>
      <c r="AA59" s="5">
        <v>8</v>
      </c>
      <c r="AB59" s="35" t="s">
        <v>5485</v>
      </c>
      <c r="AC59" s="5">
        <v>2</v>
      </c>
      <c r="AD59" s="5">
        <v>16</v>
      </c>
      <c r="AE59" s="5" t="s">
        <v>6197</v>
      </c>
      <c r="AF59" s="5"/>
      <c r="AG59" s="47" t="str">
        <f t="shared" si="7"/>
        <v>(211*'48'*548,285*'12,7 / 14,27 / 22,22'*'0,015'*70*70*0*0*8,74*8,74*4*11*17*19*8*2*16)*</v>
      </c>
    </row>
  </sheetData>
  <autoFilter ref="A1:AC59" xr:uid="{00000000-0009-0000-0000-00002E000000}"/>
  <phoneticPr fontId="2"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6084</v>
      </c>
      <c r="B1" s="1" t="s">
        <v>4798</v>
      </c>
      <c r="C1" s="1" t="s">
        <v>5600</v>
      </c>
    </row>
    <row r="2" spans="1:3" ht="20.149999999999999" customHeight="1" x14ac:dyDescent="0.35">
      <c r="A2" s="1" t="s">
        <v>41</v>
      </c>
      <c r="B2" s="1" t="s">
        <v>42</v>
      </c>
      <c r="C2" s="1" t="s">
        <v>6094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2F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C3EF2-9AD5-489F-99CE-C3F2F09E38D8}">
  <sheetPr>
    <tabColor rgb="FFFFFF00"/>
  </sheetPr>
  <dimension ref="A1:AE74"/>
  <sheetViews>
    <sheetView tabSelected="1" topLeftCell="A16" workbookViewId="0">
      <selection activeCell="A17" sqref="A17:AD20"/>
    </sheetView>
  </sheetViews>
  <sheetFormatPr baseColWidth="10" defaultColWidth="10.81640625" defaultRowHeight="15.5" x14ac:dyDescent="0.35"/>
  <cols>
    <col min="1" max="1" width="5.54296875" style="2" customWidth="1"/>
    <col min="2" max="2" width="10.54296875" style="2" customWidth="1"/>
    <col min="3" max="3" width="14.453125" style="2" bestFit="1" customWidth="1"/>
    <col min="4" max="4" width="12.7265625" style="2" customWidth="1"/>
    <col min="5" max="8" width="12.7265625" style="2" hidden="1" customWidth="1"/>
    <col min="9" max="14" width="10.6328125" style="2" customWidth="1"/>
    <col min="15" max="26" width="12.7265625" style="2" customWidth="1"/>
    <col min="27" max="27" width="12.7265625" style="2" hidden="1" customWidth="1"/>
    <col min="28" max="28" width="21.453125" style="2" hidden="1" customWidth="1"/>
    <col min="29" max="29" width="12.7265625" style="2" hidden="1" customWidth="1"/>
    <col min="30" max="30" width="117.36328125" style="2" bestFit="1" customWidth="1"/>
    <col min="31" max="16384" width="10.81640625" style="2"/>
  </cols>
  <sheetData>
    <row r="1" spans="1:31" ht="20.149999999999999" customHeight="1" x14ac:dyDescent="0.35">
      <c r="A1" s="1" t="s">
        <v>37</v>
      </c>
      <c r="B1" s="26" t="s">
        <v>54</v>
      </c>
      <c r="C1" s="26" t="s">
        <v>4572</v>
      </c>
      <c r="D1" s="1" t="s">
        <v>5641</v>
      </c>
      <c r="E1" s="1" t="s">
        <v>4710</v>
      </c>
      <c r="F1" s="1" t="s">
        <v>6206</v>
      </c>
      <c r="G1" s="1" t="s">
        <v>6208</v>
      </c>
      <c r="H1" s="1" t="s">
        <v>6209</v>
      </c>
      <c r="I1" s="1" t="s">
        <v>5573</v>
      </c>
      <c r="J1" s="1" t="s">
        <v>5574</v>
      </c>
      <c r="K1" s="1" t="s">
        <v>5575</v>
      </c>
      <c r="L1" s="1" t="s">
        <v>5576</v>
      </c>
      <c r="M1" s="1" t="s">
        <v>6820</v>
      </c>
      <c r="N1" s="1" t="s">
        <v>6821</v>
      </c>
      <c r="O1" s="1" t="s">
        <v>5583</v>
      </c>
      <c r="P1" s="1" t="s">
        <v>6220</v>
      </c>
      <c r="Q1" s="1" t="s">
        <v>5584</v>
      </c>
      <c r="R1" s="1" t="s">
        <v>6219</v>
      </c>
      <c r="S1" s="1" t="s">
        <v>5585</v>
      </c>
      <c r="T1" s="1" t="s">
        <v>6218</v>
      </c>
      <c r="U1" s="1" t="s">
        <v>6084</v>
      </c>
      <c r="V1" s="1" t="s">
        <v>6822</v>
      </c>
      <c r="W1" s="1" t="s">
        <v>5586</v>
      </c>
      <c r="X1" s="1" t="s">
        <v>6210</v>
      </c>
      <c r="Y1" s="1" t="s">
        <v>5587</v>
      </c>
      <c r="Z1" s="1" t="s">
        <v>6211</v>
      </c>
      <c r="AA1" s="1" t="s">
        <v>6804</v>
      </c>
      <c r="AB1" s="1" t="s">
        <v>5492</v>
      </c>
      <c r="AC1" s="1" t="s">
        <v>6232</v>
      </c>
    </row>
    <row r="2" spans="1:31" ht="20.149999999999999" customHeight="1" x14ac:dyDescent="0.35">
      <c r="A2" s="1" t="s">
        <v>44</v>
      </c>
      <c r="B2" s="26" t="s">
        <v>41</v>
      </c>
      <c r="C2" s="26" t="s">
        <v>42</v>
      </c>
      <c r="D2" s="26" t="s">
        <v>43</v>
      </c>
      <c r="E2" s="26" t="s">
        <v>4077</v>
      </c>
      <c r="F2" s="1"/>
      <c r="G2" s="1" t="s">
        <v>4349</v>
      </c>
      <c r="H2" s="1" t="s">
        <v>5599</v>
      </c>
      <c r="I2" s="1" t="s">
        <v>4350</v>
      </c>
      <c r="J2" s="1" t="s">
        <v>4351</v>
      </c>
      <c r="K2" s="1" t="s">
        <v>5534</v>
      </c>
      <c r="L2" s="1" t="s">
        <v>5535</v>
      </c>
      <c r="M2" s="1" t="s">
        <v>5571</v>
      </c>
      <c r="N2" s="1" t="s">
        <v>5588</v>
      </c>
      <c r="O2" s="1"/>
      <c r="P2" s="1" t="s">
        <v>5589</v>
      </c>
      <c r="Q2" s="1"/>
      <c r="R2" s="1" t="s">
        <v>5590</v>
      </c>
      <c r="S2" s="1"/>
      <c r="T2" s="1" t="s">
        <v>5591</v>
      </c>
      <c r="U2" s="1"/>
      <c r="V2" s="1" t="s">
        <v>5592</v>
      </c>
      <c r="W2" s="1"/>
      <c r="X2" s="1" t="s">
        <v>5593</v>
      </c>
      <c r="Y2" s="1"/>
      <c r="Z2" s="1" t="s">
        <v>5594</v>
      </c>
      <c r="AA2" s="1" t="s">
        <v>5599</v>
      </c>
      <c r="AB2" s="1"/>
      <c r="AC2" s="1" t="s">
        <v>6319</v>
      </c>
      <c r="AD2" s="46" t="s">
        <v>6856</v>
      </c>
    </row>
    <row r="3" spans="1:31" ht="20.149999999999999" customHeight="1" x14ac:dyDescent="0.35">
      <c r="A3" s="55">
        <v>214</v>
      </c>
      <c r="B3" s="56" t="s">
        <v>6810</v>
      </c>
      <c r="C3" s="56" t="s">
        <v>6818</v>
      </c>
      <c r="D3" s="58">
        <v>24053</v>
      </c>
      <c r="E3" s="60">
        <v>1</v>
      </c>
      <c r="F3" s="59" t="s">
        <v>4125</v>
      </c>
      <c r="G3" s="59">
        <v>11</v>
      </c>
      <c r="H3" s="59">
        <v>12</v>
      </c>
      <c r="I3" s="61">
        <v>28</v>
      </c>
      <c r="J3" s="62">
        <v>124.8</v>
      </c>
      <c r="K3" s="59" t="s">
        <v>6811</v>
      </c>
      <c r="L3" s="59">
        <v>4.5699999999999998E-2</v>
      </c>
      <c r="M3" s="63">
        <v>0</v>
      </c>
      <c r="N3" s="63">
        <v>124.8</v>
      </c>
      <c r="O3" s="59" t="s">
        <v>5630</v>
      </c>
      <c r="P3" s="59">
        <v>3</v>
      </c>
      <c r="Q3" s="59" t="s">
        <v>5631</v>
      </c>
      <c r="R3" s="59">
        <v>14</v>
      </c>
      <c r="S3" s="59" t="s">
        <v>972</v>
      </c>
      <c r="T3" s="59" t="s">
        <v>972</v>
      </c>
      <c r="U3" s="59" t="s">
        <v>5115</v>
      </c>
      <c r="V3" s="59">
        <v>156</v>
      </c>
      <c r="W3" s="64" t="s">
        <v>6823</v>
      </c>
      <c r="X3" s="65">
        <v>37</v>
      </c>
      <c r="Y3" s="64" t="s">
        <v>6824</v>
      </c>
      <c r="Z3" s="65">
        <v>39</v>
      </c>
      <c r="AA3" s="59">
        <v>12</v>
      </c>
      <c r="AB3" s="59" t="s">
        <v>5632</v>
      </c>
      <c r="AC3" s="59"/>
      <c r="AD3" s="66" t="str">
        <f>CONCATENATE("(",A3,"*",I3,"*",J3,"*",K3,"*",L3,"*",M3,"*",N3,"*",P3,"*",R3,"*",T3,"*",V3,"*",X3,"*",Z3,")*")</f>
        <v>(214*28*124,8*8.74*0,0457*0*124,8*3*14*NULL*156*37*39)*</v>
      </c>
      <c r="AE3" s="37"/>
    </row>
    <row r="4" spans="1:31" ht="20.149999999999999" customHeight="1" x14ac:dyDescent="0.35">
      <c r="A4" s="55">
        <v>215</v>
      </c>
      <c r="B4" s="56" t="s">
        <v>6812</v>
      </c>
      <c r="C4" s="56" t="s">
        <v>6830</v>
      </c>
      <c r="D4" s="58">
        <v>24053</v>
      </c>
      <c r="E4" s="60"/>
      <c r="F4" s="59"/>
      <c r="G4" s="59"/>
      <c r="H4" s="59"/>
      <c r="I4" s="61">
        <v>28</v>
      </c>
      <c r="J4" s="62">
        <v>93.274999999999991</v>
      </c>
      <c r="K4" s="59" t="s">
        <v>6811</v>
      </c>
      <c r="L4" s="59">
        <v>4.5699999999999998E-2</v>
      </c>
      <c r="M4" s="63">
        <v>124.8</v>
      </c>
      <c r="N4" s="63">
        <v>218.07499999999999</v>
      </c>
      <c r="O4" s="59" t="s">
        <v>5630</v>
      </c>
      <c r="P4" s="59">
        <v>3</v>
      </c>
      <c r="Q4" s="59" t="s">
        <v>5631</v>
      </c>
      <c r="R4" s="59">
        <v>14</v>
      </c>
      <c r="S4" s="59" t="s">
        <v>972</v>
      </c>
      <c r="T4" s="59" t="s">
        <v>972</v>
      </c>
      <c r="U4" s="59" t="s">
        <v>5115</v>
      </c>
      <c r="V4" s="59">
        <v>156</v>
      </c>
      <c r="W4" s="64" t="s">
        <v>6824</v>
      </c>
      <c r="X4" s="65">
        <v>39</v>
      </c>
      <c r="Y4" s="64" t="s">
        <v>6825</v>
      </c>
      <c r="Z4" s="65">
        <v>41</v>
      </c>
      <c r="AA4" s="59"/>
      <c r="AB4" s="59"/>
      <c r="AC4" s="59"/>
      <c r="AD4" s="66" t="str">
        <f t="shared" ref="AD4:AD20" si="0">CONCATENATE("(",A4,"*",I4,"*",J4,"*",K4,"*",L4,"*",M4,"*",N4,"*",P4,"*",R4,"*",T4,"*",V4,"*",X4,"*",Z4,")*")</f>
        <v>(215*28*93,275*8.74*0,0457*124,8*218,075*3*14*NULL*156*39*41)*</v>
      </c>
      <c r="AE4" s="37"/>
    </row>
    <row r="5" spans="1:31" ht="20.149999999999999" customHeight="1" x14ac:dyDescent="0.35">
      <c r="A5" s="55">
        <v>216</v>
      </c>
      <c r="B5" s="56" t="s">
        <v>6813</v>
      </c>
      <c r="C5" s="56" t="s">
        <v>6831</v>
      </c>
      <c r="D5" s="58">
        <v>24053</v>
      </c>
      <c r="E5" s="60"/>
      <c r="F5" s="59"/>
      <c r="G5" s="59"/>
      <c r="H5" s="59"/>
      <c r="I5" s="61">
        <v>28</v>
      </c>
      <c r="J5" s="62">
        <v>87.925000000000011</v>
      </c>
      <c r="K5" s="59" t="s">
        <v>6811</v>
      </c>
      <c r="L5" s="59">
        <v>4.5699999999999998E-2</v>
      </c>
      <c r="M5" s="63">
        <v>218.07499999999999</v>
      </c>
      <c r="N5" s="63">
        <v>306</v>
      </c>
      <c r="O5" s="59" t="s">
        <v>5630</v>
      </c>
      <c r="P5" s="59">
        <v>3</v>
      </c>
      <c r="Q5" s="59" t="s">
        <v>5631</v>
      </c>
      <c r="R5" s="59">
        <v>14</v>
      </c>
      <c r="S5" s="59" t="s">
        <v>972</v>
      </c>
      <c r="T5" s="59" t="s">
        <v>972</v>
      </c>
      <c r="U5" s="59" t="s">
        <v>5115</v>
      </c>
      <c r="V5" s="59">
        <v>156</v>
      </c>
      <c r="W5" s="64" t="s">
        <v>6825</v>
      </c>
      <c r="X5" s="65">
        <v>41</v>
      </c>
      <c r="Y5" s="64" t="s">
        <v>6826</v>
      </c>
      <c r="Z5" s="65">
        <v>43</v>
      </c>
      <c r="AA5" s="59"/>
      <c r="AB5" s="59"/>
      <c r="AC5" s="59"/>
      <c r="AD5" s="66" t="str">
        <f t="shared" si="0"/>
        <v>(216*28*87,925*8.74*0,0457*218,075*306*3*14*NULL*156*41*43)*</v>
      </c>
      <c r="AE5" s="37"/>
    </row>
    <row r="6" spans="1:31" ht="20.149999999999999" customHeight="1" x14ac:dyDescent="0.35">
      <c r="A6" s="55">
        <v>217</v>
      </c>
      <c r="B6" s="56" t="s">
        <v>6814</v>
      </c>
      <c r="C6" s="56" t="s">
        <v>6832</v>
      </c>
      <c r="D6" s="58">
        <v>24053</v>
      </c>
      <c r="E6" s="60"/>
      <c r="F6" s="59"/>
      <c r="G6" s="59"/>
      <c r="H6" s="59"/>
      <c r="I6" s="61">
        <v>28</v>
      </c>
      <c r="J6" s="62">
        <v>109.10000000000002</v>
      </c>
      <c r="K6" s="59" t="s">
        <v>6811</v>
      </c>
      <c r="L6" s="59">
        <v>4.5699999999999998E-2</v>
      </c>
      <c r="M6" s="63">
        <v>306</v>
      </c>
      <c r="N6" s="63">
        <v>415.1</v>
      </c>
      <c r="O6" s="59" t="s">
        <v>5630</v>
      </c>
      <c r="P6" s="59">
        <v>3</v>
      </c>
      <c r="Q6" s="59" t="s">
        <v>5631</v>
      </c>
      <c r="R6" s="59">
        <v>14</v>
      </c>
      <c r="S6" s="59" t="s">
        <v>972</v>
      </c>
      <c r="T6" s="59" t="s">
        <v>972</v>
      </c>
      <c r="U6" s="59" t="s">
        <v>5115</v>
      </c>
      <c r="V6" s="59">
        <v>156</v>
      </c>
      <c r="W6" s="64" t="s">
        <v>6826</v>
      </c>
      <c r="X6" s="65">
        <v>43</v>
      </c>
      <c r="Y6" s="64" t="s">
        <v>6827</v>
      </c>
      <c r="Z6" s="65">
        <v>45</v>
      </c>
      <c r="AA6" s="59"/>
      <c r="AB6" s="59"/>
      <c r="AC6" s="59"/>
      <c r="AD6" s="66" t="str">
        <f t="shared" si="0"/>
        <v>(217*28*109,1*8.74*0,0457*306*415,1*3*14*NULL*156*43*45)*</v>
      </c>
      <c r="AE6" s="37"/>
    </row>
    <row r="7" spans="1:31" ht="20.149999999999999" customHeight="1" x14ac:dyDescent="0.35">
      <c r="A7" s="55">
        <v>218</v>
      </c>
      <c r="B7" s="56" t="s">
        <v>6815</v>
      </c>
      <c r="C7" s="56" t="s">
        <v>6833</v>
      </c>
      <c r="D7" s="58">
        <v>24053</v>
      </c>
      <c r="E7" s="60"/>
      <c r="F7" s="59"/>
      <c r="G7" s="59"/>
      <c r="H7" s="59"/>
      <c r="I7" s="61">
        <v>28</v>
      </c>
      <c r="J7" s="62">
        <v>119.79999999999995</v>
      </c>
      <c r="K7" s="59" t="s">
        <v>6811</v>
      </c>
      <c r="L7" s="59">
        <v>4.5699999999999998E-2</v>
      </c>
      <c r="M7" s="63">
        <v>415.1</v>
      </c>
      <c r="N7" s="63">
        <v>534.9</v>
      </c>
      <c r="O7" s="59" t="s">
        <v>5630</v>
      </c>
      <c r="P7" s="59">
        <v>3</v>
      </c>
      <c r="Q7" s="59" t="s">
        <v>5631</v>
      </c>
      <c r="R7" s="59">
        <v>14</v>
      </c>
      <c r="S7" s="59" t="s">
        <v>972</v>
      </c>
      <c r="T7" s="59" t="s">
        <v>972</v>
      </c>
      <c r="U7" s="59" t="s">
        <v>5115</v>
      </c>
      <c r="V7" s="59">
        <v>156</v>
      </c>
      <c r="W7" s="64" t="s">
        <v>6827</v>
      </c>
      <c r="X7" s="65">
        <v>45</v>
      </c>
      <c r="Y7" s="64" t="s">
        <v>6828</v>
      </c>
      <c r="Z7" s="65">
        <v>47</v>
      </c>
      <c r="AA7" s="59"/>
      <c r="AB7" s="59"/>
      <c r="AC7" s="59"/>
      <c r="AD7" s="66" t="str">
        <f t="shared" si="0"/>
        <v>(218*28*119,8*8.74*0,0457*415,1*534,9*3*14*NULL*156*45*47)*</v>
      </c>
      <c r="AE7" s="37"/>
    </row>
    <row r="8" spans="1:31" ht="20.149999999999999" customHeight="1" x14ac:dyDescent="0.35">
      <c r="A8" s="55">
        <v>219</v>
      </c>
      <c r="B8" s="56" t="s">
        <v>6816</v>
      </c>
      <c r="C8" s="56" t="s">
        <v>6834</v>
      </c>
      <c r="D8" s="58">
        <v>24053</v>
      </c>
      <c r="E8" s="60"/>
      <c r="F8" s="59"/>
      <c r="G8" s="59"/>
      <c r="H8" s="59"/>
      <c r="I8" s="61">
        <v>28</v>
      </c>
      <c r="J8" s="62">
        <v>170.673</v>
      </c>
      <c r="K8" s="59" t="s">
        <v>6811</v>
      </c>
      <c r="L8" s="59">
        <v>4.5699999999999998E-2</v>
      </c>
      <c r="M8" s="63">
        <v>534.9</v>
      </c>
      <c r="N8" s="63">
        <v>705.57299999999998</v>
      </c>
      <c r="O8" s="59" t="s">
        <v>5630</v>
      </c>
      <c r="P8" s="59">
        <v>3</v>
      </c>
      <c r="Q8" s="59" t="s">
        <v>5631</v>
      </c>
      <c r="R8" s="59">
        <v>14</v>
      </c>
      <c r="S8" s="59" t="s">
        <v>972</v>
      </c>
      <c r="T8" s="59" t="s">
        <v>972</v>
      </c>
      <c r="U8" s="59" t="s">
        <v>5115</v>
      </c>
      <c r="V8" s="59">
        <v>156</v>
      </c>
      <c r="W8" s="64" t="s">
        <v>6828</v>
      </c>
      <c r="X8" s="65">
        <v>47</v>
      </c>
      <c r="Y8" s="64" t="s">
        <v>6829</v>
      </c>
      <c r="Z8" s="65">
        <v>49</v>
      </c>
      <c r="AA8" s="59"/>
      <c r="AB8" s="59"/>
      <c r="AC8" s="59"/>
      <c r="AD8" s="66" t="str">
        <f t="shared" si="0"/>
        <v>(219*28*170,673*8.74*0,0457*534,9*705,573*3*14*NULL*156*47*49)*</v>
      </c>
      <c r="AE8" s="37"/>
    </row>
    <row r="9" spans="1:31" ht="20.149999999999999" customHeight="1" x14ac:dyDescent="0.35">
      <c r="A9" s="55">
        <v>220</v>
      </c>
      <c r="B9" s="56" t="s">
        <v>6817</v>
      </c>
      <c r="C9" s="56" t="s">
        <v>6835</v>
      </c>
      <c r="D9" s="58">
        <v>24053</v>
      </c>
      <c r="E9" s="60"/>
      <c r="F9" s="59"/>
      <c r="G9" s="59"/>
      <c r="H9" s="59"/>
      <c r="I9" s="61">
        <v>28</v>
      </c>
      <c r="J9" s="62">
        <v>95.427000000000021</v>
      </c>
      <c r="K9" s="59" t="s">
        <v>6811</v>
      </c>
      <c r="L9" s="59">
        <v>4.5699999999999998E-2</v>
      </c>
      <c r="M9" s="63">
        <v>705.57299999999998</v>
      </c>
      <c r="N9" s="63">
        <v>801</v>
      </c>
      <c r="O9" s="59" t="s">
        <v>5630</v>
      </c>
      <c r="P9" s="59">
        <v>3</v>
      </c>
      <c r="Q9" s="59" t="s">
        <v>5631</v>
      </c>
      <c r="R9" s="59">
        <v>14</v>
      </c>
      <c r="S9" s="59" t="s">
        <v>972</v>
      </c>
      <c r="T9" s="59" t="s">
        <v>972</v>
      </c>
      <c r="U9" s="59" t="s">
        <v>5115</v>
      </c>
      <c r="V9" s="59">
        <v>156</v>
      </c>
      <c r="W9" s="64" t="s">
        <v>6829</v>
      </c>
      <c r="X9" s="65">
        <v>49</v>
      </c>
      <c r="Y9" s="64" t="s">
        <v>1824</v>
      </c>
      <c r="Z9" s="65">
        <v>21</v>
      </c>
      <c r="AA9" s="59"/>
      <c r="AB9" s="59"/>
      <c r="AC9" s="59"/>
      <c r="AD9" s="66" t="str">
        <f t="shared" si="0"/>
        <v>(220*28*95,427*8.74*0,0457*705,573*801*3*14*NULL*156*49*21)*</v>
      </c>
      <c r="AE9" s="37"/>
    </row>
    <row r="10" spans="1:31" ht="20.149999999999999" customHeight="1" x14ac:dyDescent="0.35">
      <c r="A10" s="55">
        <v>221</v>
      </c>
      <c r="B10" s="56" t="s">
        <v>6836</v>
      </c>
      <c r="C10" s="56" t="s">
        <v>6843</v>
      </c>
      <c r="D10" s="58">
        <v>37851</v>
      </c>
      <c r="E10" s="60">
        <v>1</v>
      </c>
      <c r="F10" s="59" t="s">
        <v>4125</v>
      </c>
      <c r="G10" s="59">
        <v>11</v>
      </c>
      <c r="H10" s="59">
        <v>12</v>
      </c>
      <c r="I10" s="61">
        <v>34</v>
      </c>
      <c r="J10" s="62">
        <v>127.6</v>
      </c>
      <c r="K10" s="59" t="s">
        <v>6849</v>
      </c>
      <c r="L10" s="59">
        <v>4.5699999999999998E-2</v>
      </c>
      <c r="M10" s="63">
        <v>0</v>
      </c>
      <c r="N10" s="63">
        <v>127.6</v>
      </c>
      <c r="O10" s="59" t="s">
        <v>5634</v>
      </c>
      <c r="P10" s="59">
        <v>4</v>
      </c>
      <c r="Q10" s="59" t="s">
        <v>5635</v>
      </c>
      <c r="R10" s="59">
        <v>11</v>
      </c>
      <c r="S10" s="59" t="s">
        <v>972</v>
      </c>
      <c r="T10" s="59" t="s">
        <v>972</v>
      </c>
      <c r="U10" s="59" t="s">
        <v>5116</v>
      </c>
      <c r="V10" s="59">
        <v>157</v>
      </c>
      <c r="W10" s="64" t="s">
        <v>6823</v>
      </c>
      <c r="X10" s="59">
        <v>37</v>
      </c>
      <c r="Y10" s="64" t="s">
        <v>6824</v>
      </c>
      <c r="Z10" s="59">
        <v>39</v>
      </c>
      <c r="AA10" s="59">
        <v>12</v>
      </c>
      <c r="AB10" s="67" t="s">
        <v>5636</v>
      </c>
      <c r="AC10" s="67"/>
      <c r="AD10" s="66" t="str">
        <f t="shared" si="0"/>
        <v>(221*34*127,6*7.92*0,0457*0*127,6*4*11*NULL*157*37*39)*</v>
      </c>
    </row>
    <row r="11" spans="1:31" ht="20.149999999999999" customHeight="1" x14ac:dyDescent="0.35">
      <c r="A11" s="55">
        <v>222</v>
      </c>
      <c r="B11" s="56" t="s">
        <v>6837</v>
      </c>
      <c r="C11" s="56" t="s">
        <v>6819</v>
      </c>
      <c r="D11" s="58">
        <v>37851</v>
      </c>
      <c r="E11" s="60"/>
      <c r="F11" s="59"/>
      <c r="G11" s="59"/>
      <c r="H11" s="59"/>
      <c r="I11" s="61">
        <v>34</v>
      </c>
      <c r="J11" s="62">
        <v>93.200000000000017</v>
      </c>
      <c r="K11" s="59" t="s">
        <v>6850</v>
      </c>
      <c r="L11" s="59">
        <v>1.0457000000000001</v>
      </c>
      <c r="M11" s="63">
        <v>127.6</v>
      </c>
      <c r="N11" s="63">
        <v>220.8</v>
      </c>
      <c r="O11" s="59" t="s">
        <v>5634</v>
      </c>
      <c r="P11" s="59">
        <v>4</v>
      </c>
      <c r="Q11" s="59" t="s">
        <v>5635</v>
      </c>
      <c r="R11" s="59">
        <v>11</v>
      </c>
      <c r="S11" s="59" t="s">
        <v>972</v>
      </c>
      <c r="T11" s="59" t="s">
        <v>972</v>
      </c>
      <c r="U11" s="59" t="s">
        <v>5116</v>
      </c>
      <c r="V11" s="59">
        <v>157</v>
      </c>
      <c r="W11" s="64" t="s">
        <v>6824</v>
      </c>
      <c r="X11" s="59">
        <v>39</v>
      </c>
      <c r="Y11" s="64" t="s">
        <v>6825</v>
      </c>
      <c r="Z11" s="59">
        <v>41</v>
      </c>
      <c r="AA11" s="59"/>
      <c r="AB11" s="67"/>
      <c r="AC11" s="67"/>
      <c r="AD11" s="66" t="str">
        <f t="shared" si="0"/>
        <v>(222*34*93,2*7.93*1,0457*127,6*220,8*4*11*NULL*157*39*41)*</v>
      </c>
    </row>
    <row r="12" spans="1:31" ht="20.149999999999999" customHeight="1" x14ac:dyDescent="0.35">
      <c r="A12" s="55">
        <v>223</v>
      </c>
      <c r="B12" s="56" t="s">
        <v>6838</v>
      </c>
      <c r="C12" s="56" t="s">
        <v>6844</v>
      </c>
      <c r="D12" s="58">
        <v>37851</v>
      </c>
      <c r="E12" s="60"/>
      <c r="F12" s="59"/>
      <c r="G12" s="59"/>
      <c r="H12" s="59"/>
      <c r="I12" s="61">
        <v>34</v>
      </c>
      <c r="J12" s="62">
        <v>87.099999999999966</v>
      </c>
      <c r="K12" s="59" t="s">
        <v>6851</v>
      </c>
      <c r="L12" s="59">
        <v>2.0457000000000001</v>
      </c>
      <c r="M12" s="63">
        <v>220.8</v>
      </c>
      <c r="N12" s="63">
        <v>307.89999999999998</v>
      </c>
      <c r="O12" s="59" t="s">
        <v>5634</v>
      </c>
      <c r="P12" s="59">
        <v>4</v>
      </c>
      <c r="Q12" s="59" t="s">
        <v>5635</v>
      </c>
      <c r="R12" s="59">
        <v>11</v>
      </c>
      <c r="S12" s="59" t="s">
        <v>972</v>
      </c>
      <c r="T12" s="59" t="s">
        <v>972</v>
      </c>
      <c r="U12" s="59" t="s">
        <v>5116</v>
      </c>
      <c r="V12" s="59">
        <v>157</v>
      </c>
      <c r="W12" s="64" t="s">
        <v>6825</v>
      </c>
      <c r="X12" s="59">
        <v>41</v>
      </c>
      <c r="Y12" s="64" t="s">
        <v>6826</v>
      </c>
      <c r="Z12" s="59">
        <v>43</v>
      </c>
      <c r="AA12" s="59"/>
      <c r="AB12" s="67"/>
      <c r="AC12" s="67"/>
      <c r="AD12" s="66" t="str">
        <f t="shared" si="0"/>
        <v>(223*34*87,1*7.94*2,0457*220,8*307,9*4*11*NULL*157*41*43)*</v>
      </c>
    </row>
    <row r="13" spans="1:31" ht="20.149999999999999" customHeight="1" x14ac:dyDescent="0.35">
      <c r="A13" s="55">
        <v>224</v>
      </c>
      <c r="B13" s="56" t="s">
        <v>6839</v>
      </c>
      <c r="C13" s="56" t="s">
        <v>6845</v>
      </c>
      <c r="D13" s="58">
        <v>37851</v>
      </c>
      <c r="E13" s="60"/>
      <c r="F13" s="59"/>
      <c r="G13" s="59"/>
      <c r="H13" s="59"/>
      <c r="I13" s="61">
        <v>34</v>
      </c>
      <c r="J13" s="62">
        <v>109.30000000000001</v>
      </c>
      <c r="K13" s="59" t="s">
        <v>6852</v>
      </c>
      <c r="L13" s="59">
        <v>3.0457000000000001</v>
      </c>
      <c r="M13" s="63">
        <v>307.89999999999998</v>
      </c>
      <c r="N13" s="63">
        <v>417.2</v>
      </c>
      <c r="O13" s="59" t="s">
        <v>5634</v>
      </c>
      <c r="P13" s="59">
        <v>4</v>
      </c>
      <c r="Q13" s="59" t="s">
        <v>5635</v>
      </c>
      <c r="R13" s="59">
        <v>11</v>
      </c>
      <c r="S13" s="59" t="s">
        <v>972</v>
      </c>
      <c r="T13" s="59" t="s">
        <v>972</v>
      </c>
      <c r="U13" s="59" t="s">
        <v>5116</v>
      </c>
      <c r="V13" s="59">
        <v>157</v>
      </c>
      <c r="W13" s="64" t="s">
        <v>6826</v>
      </c>
      <c r="X13" s="59">
        <v>43</v>
      </c>
      <c r="Y13" s="64" t="s">
        <v>6827</v>
      </c>
      <c r="Z13" s="59">
        <v>45</v>
      </c>
      <c r="AA13" s="59"/>
      <c r="AB13" s="67"/>
      <c r="AC13" s="67"/>
      <c r="AD13" s="66" t="str">
        <f t="shared" si="0"/>
        <v>(224*34*109,3*7.95*3,0457*307,9*417,2*4*11*NULL*157*43*45)*</v>
      </c>
    </row>
    <row r="14" spans="1:31" ht="20.149999999999999" customHeight="1" x14ac:dyDescent="0.35">
      <c r="A14" s="55">
        <v>225</v>
      </c>
      <c r="B14" s="56" t="s">
        <v>6840</v>
      </c>
      <c r="C14" s="56" t="s">
        <v>6846</v>
      </c>
      <c r="D14" s="58">
        <v>37851</v>
      </c>
      <c r="E14" s="60"/>
      <c r="F14" s="59"/>
      <c r="G14" s="59"/>
      <c r="H14" s="59"/>
      <c r="I14" s="61">
        <v>34</v>
      </c>
      <c r="J14" s="62">
        <v>121.00000000000006</v>
      </c>
      <c r="K14" s="59" t="s">
        <v>6853</v>
      </c>
      <c r="L14" s="59">
        <v>4.0457000000000001</v>
      </c>
      <c r="M14" s="63">
        <v>417.2</v>
      </c>
      <c r="N14" s="63">
        <v>538.20000000000005</v>
      </c>
      <c r="O14" s="59" t="s">
        <v>5634</v>
      </c>
      <c r="P14" s="59">
        <v>4</v>
      </c>
      <c r="Q14" s="59" t="s">
        <v>5635</v>
      </c>
      <c r="R14" s="59">
        <v>11</v>
      </c>
      <c r="S14" s="59" t="s">
        <v>972</v>
      </c>
      <c r="T14" s="59" t="s">
        <v>972</v>
      </c>
      <c r="U14" s="59" t="s">
        <v>5116</v>
      </c>
      <c r="V14" s="59">
        <v>157</v>
      </c>
      <c r="W14" s="64" t="s">
        <v>6827</v>
      </c>
      <c r="X14" s="59">
        <v>45</v>
      </c>
      <c r="Y14" s="64" t="s">
        <v>6828</v>
      </c>
      <c r="Z14" s="59">
        <v>47</v>
      </c>
      <c r="AA14" s="59"/>
      <c r="AB14" s="67"/>
      <c r="AC14" s="67"/>
      <c r="AD14" s="66" t="str">
        <f t="shared" si="0"/>
        <v>(225*34*121*7.96*4,0457*417,2*538,2*4*11*NULL*157*45*47)*</v>
      </c>
    </row>
    <row r="15" spans="1:31" ht="20.149999999999999" customHeight="1" x14ac:dyDescent="0.35">
      <c r="A15" s="55">
        <v>226</v>
      </c>
      <c r="B15" s="56" t="s">
        <v>6841</v>
      </c>
      <c r="C15" s="56" t="s">
        <v>6847</v>
      </c>
      <c r="D15" s="58">
        <v>37851</v>
      </c>
      <c r="E15" s="60"/>
      <c r="F15" s="59"/>
      <c r="G15" s="59"/>
      <c r="H15" s="59"/>
      <c r="I15" s="61">
        <v>34</v>
      </c>
      <c r="J15" s="62">
        <v>167.37299999999993</v>
      </c>
      <c r="K15" s="59" t="s">
        <v>6854</v>
      </c>
      <c r="L15" s="59">
        <v>5.0457000000000001</v>
      </c>
      <c r="M15" s="63">
        <v>538.20000000000005</v>
      </c>
      <c r="N15" s="63">
        <v>705.57299999999998</v>
      </c>
      <c r="O15" s="59" t="s">
        <v>5634</v>
      </c>
      <c r="P15" s="59">
        <v>4</v>
      </c>
      <c r="Q15" s="59" t="s">
        <v>5635</v>
      </c>
      <c r="R15" s="59">
        <v>11</v>
      </c>
      <c r="S15" s="59" t="s">
        <v>972</v>
      </c>
      <c r="T15" s="59" t="s">
        <v>972</v>
      </c>
      <c r="U15" s="59" t="s">
        <v>5116</v>
      </c>
      <c r="V15" s="59">
        <v>157</v>
      </c>
      <c r="W15" s="64" t="s">
        <v>6828</v>
      </c>
      <c r="X15" s="59">
        <v>47</v>
      </c>
      <c r="Y15" s="64" t="s">
        <v>6829</v>
      </c>
      <c r="Z15" s="59">
        <v>49</v>
      </c>
      <c r="AA15" s="59"/>
      <c r="AB15" s="67"/>
      <c r="AC15" s="67"/>
      <c r="AD15" s="66" t="str">
        <f t="shared" si="0"/>
        <v>(226*34*167,373*7.97*5,0457*538,2*705,573*4*11*NULL*157*47*49)*</v>
      </c>
    </row>
    <row r="16" spans="1:31" ht="20.149999999999999" customHeight="1" x14ac:dyDescent="0.35">
      <c r="A16" s="55">
        <v>227</v>
      </c>
      <c r="B16" s="56" t="s">
        <v>6842</v>
      </c>
      <c r="C16" s="56" t="s">
        <v>6848</v>
      </c>
      <c r="D16" s="58">
        <v>37851</v>
      </c>
      <c r="E16" s="60"/>
      <c r="F16" s="59"/>
      <c r="G16" s="59"/>
      <c r="H16" s="59"/>
      <c r="I16" s="61">
        <v>34</v>
      </c>
      <c r="J16" s="62">
        <v>115.42700000000002</v>
      </c>
      <c r="K16" s="59" t="s">
        <v>6855</v>
      </c>
      <c r="L16" s="59">
        <v>6.0457000000000001</v>
      </c>
      <c r="M16" s="63">
        <v>705.57299999999998</v>
      </c>
      <c r="N16" s="63">
        <v>821</v>
      </c>
      <c r="O16" s="59" t="s">
        <v>5634</v>
      </c>
      <c r="P16" s="59">
        <v>4</v>
      </c>
      <c r="Q16" s="59" t="s">
        <v>5635</v>
      </c>
      <c r="R16" s="59">
        <v>11</v>
      </c>
      <c r="S16" s="59" t="s">
        <v>972</v>
      </c>
      <c r="T16" s="59" t="s">
        <v>972</v>
      </c>
      <c r="U16" s="59" t="s">
        <v>5116</v>
      </c>
      <c r="V16" s="59">
        <v>157</v>
      </c>
      <c r="W16" s="64" t="s">
        <v>6829</v>
      </c>
      <c r="X16" s="59">
        <v>49</v>
      </c>
      <c r="Y16" s="64" t="s">
        <v>1824</v>
      </c>
      <c r="Z16" s="59">
        <v>21</v>
      </c>
      <c r="AA16" s="59"/>
      <c r="AB16" s="67"/>
      <c r="AC16" s="67"/>
      <c r="AD16" s="66" t="str">
        <f t="shared" si="0"/>
        <v>(227*34*115,427*7.98*6,0457*705,573*821*4*11*NULL*157*49*21)*</v>
      </c>
    </row>
    <row r="17" spans="1:30" ht="20.149999999999999" customHeight="1" x14ac:dyDescent="0.35">
      <c r="A17" s="55">
        <v>228</v>
      </c>
      <c r="B17" s="56" t="s">
        <v>6836</v>
      </c>
      <c r="C17" s="56" t="s">
        <v>6857</v>
      </c>
      <c r="D17" s="58">
        <v>26299</v>
      </c>
      <c r="E17" s="60">
        <v>1</v>
      </c>
      <c r="F17" s="59" t="s">
        <v>4133</v>
      </c>
      <c r="G17" s="59">
        <v>13</v>
      </c>
      <c r="H17" s="59">
        <v>12</v>
      </c>
      <c r="I17" s="61">
        <v>34</v>
      </c>
      <c r="J17" s="62">
        <v>190.56</v>
      </c>
      <c r="K17" s="67">
        <v>7.92</v>
      </c>
      <c r="L17" s="59">
        <v>4.5699999999999998E-2</v>
      </c>
      <c r="M17" s="63">
        <v>0</v>
      </c>
      <c r="N17" s="63">
        <v>190.56</v>
      </c>
      <c r="O17" s="59" t="s">
        <v>5630</v>
      </c>
      <c r="P17" s="59">
        <v>3</v>
      </c>
      <c r="Q17" s="67" t="s">
        <v>5639</v>
      </c>
      <c r="R17" s="59">
        <v>14</v>
      </c>
      <c r="S17" s="59" t="s">
        <v>972</v>
      </c>
      <c r="T17" s="59" t="s">
        <v>972</v>
      </c>
      <c r="U17" s="59" t="s">
        <v>5117</v>
      </c>
      <c r="V17" s="59">
        <v>158</v>
      </c>
      <c r="W17" s="56" t="s">
        <v>4918</v>
      </c>
      <c r="X17" s="55">
        <v>51</v>
      </c>
      <c r="Y17" s="56" t="s">
        <v>4922</v>
      </c>
      <c r="Z17" s="55">
        <v>53</v>
      </c>
      <c r="AA17" s="59">
        <v>12</v>
      </c>
      <c r="AB17" s="59" t="s">
        <v>5640</v>
      </c>
      <c r="AC17" s="59"/>
      <c r="AD17" s="66" t="str">
        <f t="shared" si="0"/>
        <v>(228*34*190,56*7,92*0,0457*0*190,56*3*14*NULL*158*51*53)*</v>
      </c>
    </row>
    <row r="18" spans="1:30" ht="20.149999999999999" customHeight="1" x14ac:dyDescent="0.35">
      <c r="A18" s="55">
        <v>229</v>
      </c>
      <c r="B18" s="56" t="s">
        <v>6837</v>
      </c>
      <c r="C18" s="56" t="s">
        <v>6858</v>
      </c>
      <c r="D18" s="58">
        <v>26299</v>
      </c>
      <c r="E18" s="60">
        <v>1</v>
      </c>
      <c r="F18" s="59" t="s">
        <v>4133</v>
      </c>
      <c r="G18" s="59">
        <v>13</v>
      </c>
      <c r="H18" s="59">
        <v>12</v>
      </c>
      <c r="I18" s="61">
        <v>34</v>
      </c>
      <c r="J18" s="62">
        <v>148.08299999999997</v>
      </c>
      <c r="K18" s="67">
        <v>7.92</v>
      </c>
      <c r="L18" s="59">
        <v>4.5699999999999998E-2</v>
      </c>
      <c r="M18" s="63">
        <v>190.56</v>
      </c>
      <c r="N18" s="63">
        <v>338.64299999999997</v>
      </c>
      <c r="O18" s="59" t="s">
        <v>5630</v>
      </c>
      <c r="P18" s="59">
        <v>3</v>
      </c>
      <c r="Q18" s="67" t="s">
        <v>5639</v>
      </c>
      <c r="R18" s="59">
        <v>14</v>
      </c>
      <c r="S18" s="59" t="s">
        <v>972</v>
      </c>
      <c r="T18" s="59" t="s">
        <v>972</v>
      </c>
      <c r="U18" s="59" t="s">
        <v>5117</v>
      </c>
      <c r="V18" s="59">
        <v>158</v>
      </c>
      <c r="W18" s="56" t="s">
        <v>4922</v>
      </c>
      <c r="X18" s="55">
        <v>53</v>
      </c>
      <c r="Y18" s="56" t="s">
        <v>4924</v>
      </c>
      <c r="Z18" s="55">
        <v>54</v>
      </c>
      <c r="AA18" s="59"/>
      <c r="AB18" s="59"/>
      <c r="AC18" s="59"/>
      <c r="AD18" s="66" t="str">
        <f t="shared" si="0"/>
        <v>(229*34*148,083*7,92*0,0457*190,56*338,643*3*14*NULL*158*53*54)*</v>
      </c>
    </row>
    <row r="19" spans="1:30" ht="20.149999999999999" customHeight="1" x14ac:dyDescent="0.35">
      <c r="A19" s="55">
        <v>230</v>
      </c>
      <c r="B19" s="56" t="s">
        <v>6838</v>
      </c>
      <c r="C19" s="56" t="s">
        <v>6859</v>
      </c>
      <c r="D19" s="58">
        <v>26299</v>
      </c>
      <c r="E19" s="60">
        <v>1</v>
      </c>
      <c r="F19" s="59" t="s">
        <v>4133</v>
      </c>
      <c r="G19" s="59">
        <v>13</v>
      </c>
      <c r="H19" s="59">
        <v>12</v>
      </c>
      <c r="I19" s="61">
        <v>34</v>
      </c>
      <c r="J19" s="62">
        <v>92.784000000000049</v>
      </c>
      <c r="K19" s="67">
        <v>7.92</v>
      </c>
      <c r="L19" s="59">
        <v>4.5699999999999998E-2</v>
      </c>
      <c r="M19" s="63">
        <v>338.64299999999997</v>
      </c>
      <c r="N19" s="63">
        <v>431.42700000000002</v>
      </c>
      <c r="O19" s="59" t="s">
        <v>5634</v>
      </c>
      <c r="P19" s="59">
        <v>4</v>
      </c>
      <c r="Q19" s="67" t="s">
        <v>5639</v>
      </c>
      <c r="R19" s="59">
        <v>14</v>
      </c>
      <c r="S19" s="59" t="s">
        <v>972</v>
      </c>
      <c r="T19" s="59" t="s">
        <v>972</v>
      </c>
      <c r="U19" s="59" t="s">
        <v>5117</v>
      </c>
      <c r="V19" s="59">
        <v>158</v>
      </c>
      <c r="W19" s="56" t="s">
        <v>4924</v>
      </c>
      <c r="X19" s="55">
        <v>54</v>
      </c>
      <c r="Y19" s="56" t="s">
        <v>4928</v>
      </c>
      <c r="Z19" s="55">
        <v>56</v>
      </c>
      <c r="AA19" s="59"/>
      <c r="AB19" s="59"/>
      <c r="AC19" s="59"/>
      <c r="AD19" s="66" t="str">
        <f t="shared" si="0"/>
        <v>(230*34*92,784*7,92*0,0457*338,643*431,427*4*14*NULL*158*54*56)*</v>
      </c>
    </row>
    <row r="20" spans="1:30" ht="20.149999999999999" customHeight="1" x14ac:dyDescent="0.35">
      <c r="A20" s="55">
        <v>231</v>
      </c>
      <c r="B20" s="56" t="s">
        <v>6839</v>
      </c>
      <c r="C20" s="56" t="s">
        <v>6860</v>
      </c>
      <c r="D20" s="58">
        <v>26299</v>
      </c>
      <c r="E20" s="60">
        <v>1</v>
      </c>
      <c r="F20" s="59" t="s">
        <v>4133</v>
      </c>
      <c r="G20" s="59">
        <v>13</v>
      </c>
      <c r="H20" s="59">
        <v>12</v>
      </c>
      <c r="I20" s="61">
        <v>34</v>
      </c>
      <c r="J20" s="62">
        <v>215.31999999999994</v>
      </c>
      <c r="K20" s="67">
        <v>7.92</v>
      </c>
      <c r="L20" s="59">
        <v>4.5699999999999998E-2</v>
      </c>
      <c r="M20" s="63">
        <v>431.42700000000002</v>
      </c>
      <c r="N20" s="63">
        <v>646.74699999999996</v>
      </c>
      <c r="O20" s="59" t="s">
        <v>5634</v>
      </c>
      <c r="P20" s="59">
        <v>4</v>
      </c>
      <c r="Q20" s="67" t="s">
        <v>5639</v>
      </c>
      <c r="R20" s="59">
        <v>14</v>
      </c>
      <c r="S20" s="59" t="s">
        <v>972</v>
      </c>
      <c r="T20" s="59" t="s">
        <v>972</v>
      </c>
      <c r="U20" s="59" t="s">
        <v>5117</v>
      </c>
      <c r="V20" s="59">
        <v>158</v>
      </c>
      <c r="W20" s="56" t="s">
        <v>4928</v>
      </c>
      <c r="X20" s="55">
        <v>56</v>
      </c>
      <c r="Y20" s="68" t="s">
        <v>1012</v>
      </c>
      <c r="Z20" s="59">
        <v>34</v>
      </c>
      <c r="AA20" s="59"/>
      <c r="AB20" s="59"/>
      <c r="AC20" s="59"/>
      <c r="AD20" s="66" t="str">
        <f t="shared" si="0"/>
        <v>(231*34*215,32*7,92*0,0457*431,427*646,747*4*14*NULL*158*56*34)*</v>
      </c>
    </row>
    <row r="21" spans="1:30" ht="20.149999999999999" customHeight="1" x14ac:dyDescent="0.35">
      <c r="A21" s="3">
        <v>159</v>
      </c>
      <c r="B21" s="27" t="s">
        <v>5118</v>
      </c>
      <c r="C21" s="27"/>
      <c r="D21" s="22">
        <v>21864</v>
      </c>
      <c r="E21" s="15">
        <v>1</v>
      </c>
      <c r="F21" s="5" t="s">
        <v>4141</v>
      </c>
      <c r="G21" s="5">
        <v>15</v>
      </c>
      <c r="H21" s="5">
        <v>12</v>
      </c>
      <c r="I21" s="7" t="s">
        <v>6204</v>
      </c>
      <c r="J21" s="31">
        <v>672</v>
      </c>
      <c r="K21" s="5" t="s">
        <v>5642</v>
      </c>
      <c r="L21" s="5">
        <v>1.4999999999999999E-2</v>
      </c>
      <c r="M21" s="5"/>
      <c r="N21" s="5"/>
      <c r="O21" s="5" t="s">
        <v>5643</v>
      </c>
      <c r="P21" s="5">
        <v>2</v>
      </c>
      <c r="Q21" s="5" t="s">
        <v>5644</v>
      </c>
      <c r="R21" s="5">
        <v>14</v>
      </c>
      <c r="S21" s="5" t="s">
        <v>972</v>
      </c>
      <c r="T21" s="5" t="s">
        <v>972</v>
      </c>
      <c r="U21" s="5" t="s">
        <v>5540</v>
      </c>
      <c r="V21" s="5">
        <v>3</v>
      </c>
      <c r="W21" s="35" t="s">
        <v>4854</v>
      </c>
      <c r="X21" s="5">
        <v>7</v>
      </c>
      <c r="Y21" s="35" t="s">
        <v>1091</v>
      </c>
      <c r="Z21" s="5">
        <v>22</v>
      </c>
      <c r="AA21" s="5">
        <v>12</v>
      </c>
      <c r="AB21" s="5" t="s">
        <v>5645</v>
      </c>
      <c r="AC21" s="5"/>
      <c r="AD21" s="47" t="str">
        <f t="shared" ref="AD17:AD70" si="1">CONCATENATE("(",A21,"*'",I21,"'*",J21,"*'",K21,"'*'",L21,"'*",M21,"*",N21,"*",P21,"*",R21,"*",T21,"*",V21,"*",X21,"*",Z21,")*")</f>
        <v>(159*'24 / 22'*672*'2,7 / 9,52 / 9,0 / 8,73 / 7,92 / 7,13 / 6,35'*'0,015'***2*14*NULL*3*7*22)*</v>
      </c>
    </row>
    <row r="22" spans="1:30" ht="20.149999999999999" customHeight="1" x14ac:dyDescent="0.35">
      <c r="A22" s="3">
        <v>160</v>
      </c>
      <c r="B22" s="27" t="s">
        <v>5119</v>
      </c>
      <c r="C22" s="27"/>
      <c r="D22" s="22">
        <v>44738</v>
      </c>
      <c r="E22" s="15">
        <v>1</v>
      </c>
      <c r="F22" s="5" t="s">
        <v>4141</v>
      </c>
      <c r="G22" s="5">
        <v>15</v>
      </c>
      <c r="H22" s="5">
        <v>12</v>
      </c>
      <c r="I22" s="7" t="s">
        <v>6204</v>
      </c>
      <c r="J22" s="31">
        <v>174</v>
      </c>
      <c r="K22" s="5" t="s">
        <v>5647</v>
      </c>
      <c r="L22" s="5">
        <v>4.5999999999999999E-2</v>
      </c>
      <c r="M22" s="5"/>
      <c r="N22" s="5"/>
      <c r="O22" s="5" t="s">
        <v>5634</v>
      </c>
      <c r="P22" s="5">
        <v>4</v>
      </c>
      <c r="Q22" s="5" t="s">
        <v>5650</v>
      </c>
      <c r="R22" s="5">
        <v>10</v>
      </c>
      <c r="S22" s="5" t="s">
        <v>972</v>
      </c>
      <c r="T22" s="5" t="s">
        <v>972</v>
      </c>
      <c r="U22" s="5" t="s">
        <v>5540</v>
      </c>
      <c r="V22" s="5">
        <v>3</v>
      </c>
      <c r="W22" s="35" t="s">
        <v>1026</v>
      </c>
      <c r="X22" s="5">
        <v>10</v>
      </c>
      <c r="Y22" s="35" t="s">
        <v>1091</v>
      </c>
      <c r="Z22" s="5">
        <v>22</v>
      </c>
      <c r="AA22" s="5">
        <v>12</v>
      </c>
      <c r="AB22" s="5"/>
      <c r="AC22" s="5"/>
      <c r="AD22" s="47" t="str">
        <f t="shared" si="1"/>
        <v>(160*'24 / 22'*174*'8,74 / 9,53 / 11,3 / 12,7'*'0,046'***4*10*NULL*3*10*22)*</v>
      </c>
    </row>
    <row r="23" spans="1:30" ht="20.149999999999999" customHeight="1" x14ac:dyDescent="0.35">
      <c r="A23" s="3">
        <v>161</v>
      </c>
      <c r="B23" s="27" t="s">
        <v>5120</v>
      </c>
      <c r="C23" s="27"/>
      <c r="D23" s="22">
        <v>46388</v>
      </c>
      <c r="E23" s="15">
        <v>1</v>
      </c>
      <c r="F23" s="5" t="s">
        <v>4141</v>
      </c>
      <c r="G23" s="5">
        <v>15</v>
      </c>
      <c r="H23" s="5">
        <v>12</v>
      </c>
      <c r="I23" s="7">
        <v>24</v>
      </c>
      <c r="J23" s="31">
        <v>504</v>
      </c>
      <c r="K23" s="5" t="s">
        <v>5648</v>
      </c>
      <c r="L23" s="5">
        <v>4.5999999999999999E-2</v>
      </c>
      <c r="M23" s="5"/>
      <c r="N23" s="5"/>
      <c r="O23" s="5" t="s">
        <v>5634</v>
      </c>
      <c r="P23" s="5">
        <v>4</v>
      </c>
      <c r="Q23" s="5" t="s">
        <v>5649</v>
      </c>
      <c r="R23" s="5">
        <v>21</v>
      </c>
      <c r="S23" s="5" t="s">
        <v>972</v>
      </c>
      <c r="T23" s="5" t="s">
        <v>972</v>
      </c>
      <c r="U23" s="5" t="s">
        <v>5540</v>
      </c>
      <c r="V23" s="5">
        <v>3</v>
      </c>
      <c r="W23" s="35" t="s">
        <v>4854</v>
      </c>
      <c r="X23" s="5">
        <v>7</v>
      </c>
      <c r="Y23" s="35" t="s">
        <v>1916</v>
      </c>
      <c r="Z23" s="5">
        <v>11</v>
      </c>
      <c r="AA23" s="5">
        <v>12</v>
      </c>
      <c r="AB23" s="5"/>
      <c r="AC23" s="5"/>
      <c r="AD23" s="47" t="str">
        <f t="shared" si="1"/>
        <v>(161*'24'*504*'12,7 / 11,13 / 9,53 / 7,9'*'0,046'***4*21*NULL*3*7*11)*</v>
      </c>
    </row>
    <row r="24" spans="1:30" ht="20.149999999999999" customHeight="1" x14ac:dyDescent="0.35">
      <c r="A24" s="3">
        <v>162</v>
      </c>
      <c r="B24" s="27" t="s">
        <v>5121</v>
      </c>
      <c r="C24" s="27"/>
      <c r="D24" s="22">
        <v>38537</v>
      </c>
      <c r="E24" s="15">
        <v>1</v>
      </c>
      <c r="F24" s="5" t="s">
        <v>4141</v>
      </c>
      <c r="G24" s="5">
        <v>15</v>
      </c>
      <c r="H24" s="5">
        <v>12</v>
      </c>
      <c r="I24" s="7">
        <v>20</v>
      </c>
      <c r="J24" s="31" t="s">
        <v>5651</v>
      </c>
      <c r="K24" s="5" t="s">
        <v>5652</v>
      </c>
      <c r="L24" s="5">
        <v>4.5699999999999998E-2</v>
      </c>
      <c r="M24" s="5"/>
      <c r="N24" s="5"/>
      <c r="O24" s="5" t="s">
        <v>5634</v>
      </c>
      <c r="P24" s="5">
        <v>4</v>
      </c>
      <c r="Q24" s="5" t="s">
        <v>5635</v>
      </c>
      <c r="R24" s="5">
        <v>11</v>
      </c>
      <c r="S24" s="5" t="s">
        <v>972</v>
      </c>
      <c r="T24" s="5" t="s">
        <v>972</v>
      </c>
      <c r="U24" s="5" t="s">
        <v>5540</v>
      </c>
      <c r="V24" s="5">
        <v>3</v>
      </c>
      <c r="W24" s="35" t="s">
        <v>5654</v>
      </c>
      <c r="X24" s="5">
        <v>13</v>
      </c>
      <c r="Y24" s="35" t="s">
        <v>5522</v>
      </c>
      <c r="Z24" s="50">
        <v>128</v>
      </c>
      <c r="AA24" s="5">
        <v>12</v>
      </c>
      <c r="AB24" s="5" t="s">
        <v>5653</v>
      </c>
      <c r="AC24" s="5"/>
      <c r="AD24" s="47" t="str">
        <f t="shared" si="1"/>
        <v>(162*'20'*144.74*'8,74 / 10,31'*'0,0457'***4*11*NULL*3*13*128)*</v>
      </c>
    </row>
    <row r="25" spans="1:30" ht="20.149999999999999" customHeight="1" x14ac:dyDescent="0.35">
      <c r="A25" s="3">
        <v>163</v>
      </c>
      <c r="B25" s="27" t="s">
        <v>5122</v>
      </c>
      <c r="C25" s="27"/>
      <c r="D25" s="22">
        <v>21916</v>
      </c>
      <c r="E25" s="15">
        <v>1</v>
      </c>
      <c r="F25" s="5" t="s">
        <v>4137</v>
      </c>
      <c r="G25" s="5">
        <v>14</v>
      </c>
      <c r="H25" s="5">
        <v>12</v>
      </c>
      <c r="I25" s="7">
        <v>24</v>
      </c>
      <c r="J25" s="31">
        <v>265</v>
      </c>
      <c r="K25" s="5" t="s">
        <v>5661</v>
      </c>
      <c r="L25" s="5">
        <v>1.4999999999999999E-2</v>
      </c>
      <c r="M25" s="5"/>
      <c r="N25" s="5"/>
      <c r="O25" s="5" t="s">
        <v>5630</v>
      </c>
      <c r="P25" s="5">
        <v>3</v>
      </c>
      <c r="Q25" s="5" t="s">
        <v>5658</v>
      </c>
      <c r="R25" s="5">
        <v>14</v>
      </c>
      <c r="S25" s="5" t="s">
        <v>5657</v>
      </c>
      <c r="T25" s="5">
        <v>17</v>
      </c>
      <c r="U25" s="5" t="s">
        <v>5122</v>
      </c>
      <c r="V25" s="5">
        <v>4</v>
      </c>
      <c r="W25" s="35" t="s">
        <v>1848</v>
      </c>
      <c r="X25" s="5">
        <v>29</v>
      </c>
      <c r="Y25" s="35" t="s">
        <v>5655</v>
      </c>
      <c r="Z25" s="5">
        <v>1</v>
      </c>
      <c r="AA25" s="5">
        <v>12</v>
      </c>
      <c r="AB25" s="5" t="s">
        <v>5656</v>
      </c>
      <c r="AC25" s="5"/>
      <c r="AD25" s="47" t="str">
        <f t="shared" si="1"/>
        <v>(163*'24'*265*'7,94 / 8,74 / 10,31'*'0,015'***3*14*17*4*29*1)*</v>
      </c>
    </row>
    <row r="26" spans="1:30" ht="20.149999999999999" customHeight="1" x14ac:dyDescent="0.35">
      <c r="A26" s="3">
        <v>164</v>
      </c>
      <c r="B26" s="27" t="s">
        <v>5123</v>
      </c>
      <c r="C26" s="27"/>
      <c r="D26" s="22">
        <v>29952</v>
      </c>
      <c r="E26" s="15">
        <v>1</v>
      </c>
      <c r="F26" s="5" t="s">
        <v>4137</v>
      </c>
      <c r="G26" s="5">
        <v>14</v>
      </c>
      <c r="H26" s="5">
        <v>12</v>
      </c>
      <c r="I26" s="7">
        <v>30</v>
      </c>
      <c r="J26" s="31">
        <v>630</v>
      </c>
      <c r="K26" s="5" t="s">
        <v>5662</v>
      </c>
      <c r="L26" s="5">
        <v>0.06</v>
      </c>
      <c r="M26" s="5"/>
      <c r="N26" s="5"/>
      <c r="O26" s="5" t="s">
        <v>5630</v>
      </c>
      <c r="P26" s="5">
        <v>3</v>
      </c>
      <c r="Q26" s="5" t="s">
        <v>5665</v>
      </c>
      <c r="R26" s="5">
        <v>14</v>
      </c>
      <c r="S26" s="5" t="s">
        <v>5657</v>
      </c>
      <c r="T26" s="5">
        <v>17</v>
      </c>
      <c r="U26" s="5" t="s">
        <v>5123</v>
      </c>
      <c r="V26" s="5">
        <v>5</v>
      </c>
      <c r="W26" s="35" t="s">
        <v>1848</v>
      </c>
      <c r="X26" s="5">
        <v>29</v>
      </c>
      <c r="Y26" s="35" t="s">
        <v>4854</v>
      </c>
      <c r="Z26" s="5">
        <v>7</v>
      </c>
      <c r="AA26" s="5">
        <v>12</v>
      </c>
      <c r="AB26" s="5" t="s">
        <v>5666</v>
      </c>
      <c r="AC26" s="5"/>
      <c r="AD26" s="47" t="str">
        <f t="shared" si="1"/>
        <v>(164*'30'*630*'7,14 / 7,92'*'0,06'***3*14*17*5*29*7)*</v>
      </c>
    </row>
    <row r="27" spans="1:30" ht="20.149999999999999" customHeight="1" x14ac:dyDescent="0.35">
      <c r="A27" s="3">
        <v>165</v>
      </c>
      <c r="B27" s="28" t="s">
        <v>5124</v>
      </c>
      <c r="C27" s="28"/>
      <c r="D27" s="22">
        <v>38353</v>
      </c>
      <c r="E27" s="15">
        <v>1</v>
      </c>
      <c r="F27" s="5" t="s">
        <v>4137</v>
      </c>
      <c r="G27" s="5">
        <v>14</v>
      </c>
      <c r="H27" s="5">
        <v>12</v>
      </c>
      <c r="I27" s="7">
        <v>30</v>
      </c>
      <c r="J27" s="31" t="s">
        <v>5667</v>
      </c>
      <c r="K27" s="5" t="s">
        <v>5668</v>
      </c>
      <c r="L27" s="5">
        <v>4.5699999999999998E-2</v>
      </c>
      <c r="M27" s="5"/>
      <c r="N27" s="5"/>
      <c r="O27" s="5" t="s">
        <v>5634</v>
      </c>
      <c r="P27" s="5">
        <v>4</v>
      </c>
      <c r="Q27" s="5" t="s">
        <v>5669</v>
      </c>
      <c r="R27" s="5">
        <v>11</v>
      </c>
      <c r="S27" s="5" t="s">
        <v>972</v>
      </c>
      <c r="T27" s="5" t="s">
        <v>972</v>
      </c>
      <c r="U27" s="5" t="s">
        <v>5123</v>
      </c>
      <c r="V27" s="5">
        <v>5</v>
      </c>
      <c r="W27" s="35" t="s">
        <v>5670</v>
      </c>
      <c r="X27" s="50" t="s">
        <v>5670</v>
      </c>
      <c r="Y27" s="35" t="s">
        <v>4044</v>
      </c>
      <c r="Z27" s="50" t="s">
        <v>4044</v>
      </c>
      <c r="AA27" s="5"/>
      <c r="AB27" s="5"/>
      <c r="AC27" s="5"/>
      <c r="AD27" s="47" t="str">
        <f t="shared" si="1"/>
        <v>(165*'30'*44.5*'10.31'*'0,0457'***4*11*NULL*5*TFT*Nezla)*</v>
      </c>
    </row>
    <row r="28" spans="1:30" ht="20.149999999999999" customHeight="1" x14ac:dyDescent="0.35">
      <c r="A28" s="3">
        <v>166</v>
      </c>
      <c r="B28" s="27" t="s">
        <v>5125</v>
      </c>
      <c r="C28" s="27"/>
      <c r="D28" s="22">
        <v>26399</v>
      </c>
      <c r="E28" s="15">
        <v>1</v>
      </c>
      <c r="F28" s="5" t="s">
        <v>5673</v>
      </c>
      <c r="G28" s="5">
        <v>12</v>
      </c>
      <c r="H28" s="5">
        <v>12</v>
      </c>
      <c r="I28" s="7">
        <v>26</v>
      </c>
      <c r="J28" s="31">
        <v>108.372</v>
      </c>
      <c r="K28" s="5" t="s">
        <v>6100</v>
      </c>
      <c r="L28" s="5">
        <v>4.5699999999999998E-2</v>
      </c>
      <c r="M28" s="5"/>
      <c r="N28" s="5"/>
      <c r="O28" s="5" t="s">
        <v>5630</v>
      </c>
      <c r="P28" s="5">
        <v>3</v>
      </c>
      <c r="Q28" s="5" t="s">
        <v>5665</v>
      </c>
      <c r="R28" s="5">
        <v>14</v>
      </c>
      <c r="S28" s="5" t="s">
        <v>972</v>
      </c>
      <c r="T28" s="5" t="s">
        <v>972</v>
      </c>
      <c r="U28" s="5" t="s">
        <v>5676</v>
      </c>
      <c r="V28" s="5">
        <v>6</v>
      </c>
      <c r="W28" s="35" t="s">
        <v>5348</v>
      </c>
      <c r="X28" s="5">
        <v>15</v>
      </c>
      <c r="Y28" s="35" t="s">
        <v>4854</v>
      </c>
      <c r="Z28" s="5">
        <v>7</v>
      </c>
      <c r="AA28" s="5">
        <v>12</v>
      </c>
      <c r="AB28" s="5" t="s">
        <v>5679</v>
      </c>
      <c r="AC28" s="5"/>
      <c r="AD28" s="47" t="str">
        <f t="shared" si="1"/>
        <v>(166*'26'*108,372*'7,14 / 8,74'*'0,0457'***3*14*NULL*6*15*7)*</v>
      </c>
    </row>
    <row r="29" spans="1:30" ht="20.149999999999999" customHeight="1" x14ac:dyDescent="0.35">
      <c r="A29" s="3">
        <v>167</v>
      </c>
      <c r="B29" s="27" t="s">
        <v>5126</v>
      </c>
      <c r="C29" s="27"/>
      <c r="D29" s="22">
        <v>36161</v>
      </c>
      <c r="E29" s="15">
        <v>1</v>
      </c>
      <c r="F29" s="5" t="s">
        <v>5673</v>
      </c>
      <c r="G29" s="5">
        <v>12</v>
      </c>
      <c r="H29" s="5">
        <v>12</v>
      </c>
      <c r="I29" s="7">
        <v>30</v>
      </c>
      <c r="J29" s="31">
        <v>292</v>
      </c>
      <c r="K29" s="5" t="s">
        <v>5680</v>
      </c>
      <c r="L29" s="5">
        <v>4.5699999999999998E-2</v>
      </c>
      <c r="M29" s="5"/>
      <c r="N29" s="5"/>
      <c r="O29" s="5" t="s">
        <v>5630</v>
      </c>
      <c r="P29" s="5">
        <v>3</v>
      </c>
      <c r="Q29" s="5" t="s">
        <v>5681</v>
      </c>
      <c r="R29" s="5">
        <v>11</v>
      </c>
      <c r="S29" s="5" t="s">
        <v>972</v>
      </c>
      <c r="T29" s="5" t="s">
        <v>972</v>
      </c>
      <c r="U29" s="5" t="s">
        <v>5546</v>
      </c>
      <c r="V29" s="5">
        <v>7</v>
      </c>
      <c r="W29" s="35" t="s">
        <v>5352</v>
      </c>
      <c r="X29" s="5">
        <v>27</v>
      </c>
      <c r="Y29" s="35" t="s">
        <v>4854</v>
      </c>
      <c r="Z29" s="5">
        <v>7</v>
      </c>
      <c r="AA29" s="5">
        <v>12</v>
      </c>
      <c r="AB29" s="30" t="s">
        <v>6212</v>
      </c>
      <c r="AC29" s="30"/>
      <c r="AD29" s="47" t="str">
        <f t="shared" si="1"/>
        <v>(167*'30'*292*'10,31 - 12,7'*'0,0457'***3*11*NULL*7*27*7)*</v>
      </c>
    </row>
    <row r="30" spans="1:30" ht="20.149999999999999" customHeight="1" x14ac:dyDescent="0.35">
      <c r="A30" s="3">
        <v>168</v>
      </c>
      <c r="B30" s="27" t="s">
        <v>5127</v>
      </c>
      <c r="C30" s="27"/>
      <c r="D30" s="22">
        <v>38718</v>
      </c>
      <c r="E30" s="15">
        <v>1</v>
      </c>
      <c r="F30" s="5" t="s">
        <v>5673</v>
      </c>
      <c r="G30" s="5">
        <v>12</v>
      </c>
      <c r="H30" s="5">
        <v>12</v>
      </c>
      <c r="I30" s="7">
        <v>30</v>
      </c>
      <c r="J30" s="31">
        <v>292</v>
      </c>
      <c r="K30" s="5" t="s">
        <v>5680</v>
      </c>
      <c r="L30" s="5">
        <v>4.5699999999999998E-2</v>
      </c>
      <c r="M30" s="5"/>
      <c r="N30" s="5"/>
      <c r="O30" s="5" t="s">
        <v>5634</v>
      </c>
      <c r="P30" s="5">
        <v>4</v>
      </c>
      <c r="Q30" s="5" t="s">
        <v>5681</v>
      </c>
      <c r="R30" s="5">
        <v>11</v>
      </c>
      <c r="S30" s="5" t="s">
        <v>972</v>
      </c>
      <c r="T30" s="5" t="s">
        <v>972</v>
      </c>
      <c r="U30" s="5" t="s">
        <v>5546</v>
      </c>
      <c r="V30" s="5">
        <v>7</v>
      </c>
      <c r="W30" s="35" t="s">
        <v>5352</v>
      </c>
      <c r="X30" s="5">
        <v>27</v>
      </c>
      <c r="Y30" s="35" t="s">
        <v>4854</v>
      </c>
      <c r="Z30" s="5">
        <v>7</v>
      </c>
      <c r="AA30" s="5">
        <v>12</v>
      </c>
      <c r="AB30" s="30" t="s">
        <v>6212</v>
      </c>
      <c r="AC30" s="30"/>
      <c r="AD30" s="47" t="str">
        <f t="shared" si="1"/>
        <v>(168*'30'*292*'10,31 - 12,7'*'0,0457'***4*11*NULL*7*27*7)*</v>
      </c>
    </row>
    <row r="31" spans="1:30" ht="20.149999999999999" customHeight="1" x14ac:dyDescent="0.35">
      <c r="A31" s="3">
        <v>169</v>
      </c>
      <c r="B31" s="27" t="s">
        <v>5128</v>
      </c>
      <c r="C31" s="27"/>
      <c r="D31" s="22">
        <v>28207</v>
      </c>
      <c r="E31" s="15">
        <v>1</v>
      </c>
      <c r="F31" s="5" t="s">
        <v>5673</v>
      </c>
      <c r="G31" s="5">
        <v>12</v>
      </c>
      <c r="H31" s="5">
        <v>12</v>
      </c>
      <c r="I31" s="7">
        <v>20</v>
      </c>
      <c r="J31" s="31">
        <v>272.35000000000002</v>
      </c>
      <c r="K31" s="5" t="s">
        <v>6221</v>
      </c>
      <c r="L31" s="5">
        <v>4.5699999999999998E-2</v>
      </c>
      <c r="M31" s="5"/>
      <c r="N31" s="5"/>
      <c r="O31" s="5" t="s">
        <v>5630</v>
      </c>
      <c r="P31" s="5">
        <v>3</v>
      </c>
      <c r="Q31" s="5" t="s">
        <v>972</v>
      </c>
      <c r="R31" s="5" t="s">
        <v>972</v>
      </c>
      <c r="S31" s="5" t="s">
        <v>972</v>
      </c>
      <c r="T31" s="5" t="s">
        <v>972</v>
      </c>
      <c r="U31" s="5" t="s">
        <v>5676</v>
      </c>
      <c r="V31" s="5">
        <v>6</v>
      </c>
      <c r="W31" s="35" t="s">
        <v>5675</v>
      </c>
      <c r="X31" s="5">
        <v>25</v>
      </c>
      <c r="Y31" s="35" t="s">
        <v>5674</v>
      </c>
      <c r="Z31" s="5">
        <v>15</v>
      </c>
      <c r="AA31" s="5">
        <v>12</v>
      </c>
      <c r="AB31" s="5" t="s">
        <v>5672</v>
      </c>
      <c r="AC31" s="5"/>
      <c r="AD31" s="47" t="str">
        <f t="shared" si="1"/>
        <v>(169*'20'*272,35*'6,35 - 8,74'*'0,0457'***3*NULL*NULL*6*25*15)*</v>
      </c>
    </row>
    <row r="32" spans="1:30" ht="20.149999999999999" customHeight="1" x14ac:dyDescent="0.35">
      <c r="A32" s="3">
        <v>170</v>
      </c>
      <c r="B32" s="27" t="s">
        <v>5129</v>
      </c>
      <c r="C32" s="27"/>
      <c r="D32" s="22">
        <v>45778</v>
      </c>
      <c r="E32" s="15">
        <v>1</v>
      </c>
      <c r="F32" s="5" t="s">
        <v>5673</v>
      </c>
      <c r="G32" s="5">
        <v>12</v>
      </c>
      <c r="H32" s="5">
        <v>12</v>
      </c>
      <c r="I32" s="7">
        <v>16</v>
      </c>
      <c r="J32" s="31">
        <v>271</v>
      </c>
      <c r="K32" s="5">
        <v>6.35</v>
      </c>
      <c r="L32" s="5">
        <v>4.5999999999999999E-2</v>
      </c>
      <c r="M32" s="5"/>
      <c r="N32" s="5"/>
      <c r="O32" s="5" t="s">
        <v>5634</v>
      </c>
      <c r="P32" s="5">
        <v>4</v>
      </c>
      <c r="Q32" s="5" t="s">
        <v>972</v>
      </c>
      <c r="R32" s="5" t="s">
        <v>972</v>
      </c>
      <c r="S32" s="5" t="s">
        <v>972</v>
      </c>
      <c r="T32" s="5" t="s">
        <v>972</v>
      </c>
      <c r="U32" s="5" t="s">
        <v>5676</v>
      </c>
      <c r="V32" s="5">
        <v>6</v>
      </c>
      <c r="W32" s="35" t="s">
        <v>5675</v>
      </c>
      <c r="X32" s="5">
        <v>25</v>
      </c>
      <c r="Y32" s="35" t="s">
        <v>5674</v>
      </c>
      <c r="Z32" s="5">
        <v>15</v>
      </c>
      <c r="AA32" s="5">
        <v>12</v>
      </c>
      <c r="AB32" s="5"/>
      <c r="AC32" s="5"/>
      <c r="AD32" s="47" t="str">
        <f t="shared" si="1"/>
        <v>(170*'16'*271*'6,35'*'0,046'***4*NULL*NULL*6*25*15)*</v>
      </c>
    </row>
    <row r="33" spans="1:30" ht="20.149999999999999" customHeight="1" x14ac:dyDescent="0.35">
      <c r="A33" s="3">
        <v>171</v>
      </c>
      <c r="B33" s="27" t="s">
        <v>5130</v>
      </c>
      <c r="C33" s="27"/>
      <c r="D33" s="22">
        <v>35431</v>
      </c>
      <c r="E33" s="15">
        <v>1</v>
      </c>
      <c r="F33" s="5" t="s">
        <v>4089</v>
      </c>
      <c r="G33" s="5">
        <v>2</v>
      </c>
      <c r="H33" s="5">
        <v>2</v>
      </c>
      <c r="I33" s="7">
        <v>20</v>
      </c>
      <c r="J33" s="31">
        <v>230</v>
      </c>
      <c r="K33" s="5"/>
      <c r="L33" s="5">
        <v>4.5699999999999998E-2</v>
      </c>
      <c r="M33" s="5"/>
      <c r="N33" s="5"/>
      <c r="O33" s="5" t="s">
        <v>5634</v>
      </c>
      <c r="P33" s="5">
        <v>4</v>
      </c>
      <c r="Q33" s="5" t="s">
        <v>972</v>
      </c>
      <c r="R33" s="5" t="s">
        <v>972</v>
      </c>
      <c r="S33" s="5" t="s">
        <v>972</v>
      </c>
      <c r="T33" s="5" t="s">
        <v>972</v>
      </c>
      <c r="U33" s="5" t="s">
        <v>5676</v>
      </c>
      <c r="V33" s="5">
        <v>6</v>
      </c>
      <c r="W33" s="35" t="s">
        <v>4903</v>
      </c>
      <c r="X33" s="5">
        <v>32</v>
      </c>
      <c r="Y33" s="35" t="s">
        <v>4869</v>
      </c>
      <c r="Z33" s="5">
        <v>15</v>
      </c>
      <c r="AA33" s="5">
        <v>12</v>
      </c>
      <c r="AB33" s="5"/>
      <c r="AC33" s="5"/>
      <c r="AD33" s="47" t="str">
        <f t="shared" si="1"/>
        <v>(171*'20'*230*''*'0,0457'***4*NULL*NULL*6*32*15)*</v>
      </c>
    </row>
    <row r="34" spans="1:30" ht="20.149999999999999" customHeight="1" x14ac:dyDescent="0.35">
      <c r="A34" s="3">
        <v>172</v>
      </c>
      <c r="B34" s="27" t="s">
        <v>5131</v>
      </c>
      <c r="C34" s="27"/>
      <c r="D34" s="22">
        <v>36505</v>
      </c>
      <c r="E34" s="15">
        <v>1</v>
      </c>
      <c r="F34" s="5" t="s">
        <v>5673</v>
      </c>
      <c r="G34" s="5">
        <v>12</v>
      </c>
      <c r="H34" s="5">
        <v>12</v>
      </c>
      <c r="I34" s="7">
        <v>20</v>
      </c>
      <c r="J34" s="31">
        <v>33</v>
      </c>
      <c r="K34" s="5" t="s">
        <v>6222</v>
      </c>
      <c r="L34" s="5">
        <v>4.5999999999999999E-2</v>
      </c>
      <c r="M34" s="5"/>
      <c r="N34" s="5"/>
      <c r="O34" s="5" t="s">
        <v>5630</v>
      </c>
      <c r="P34" s="5">
        <v>3</v>
      </c>
      <c r="Q34" s="5" t="s">
        <v>972</v>
      </c>
      <c r="R34" s="5" t="s">
        <v>972</v>
      </c>
      <c r="S34" s="5" t="s">
        <v>972</v>
      </c>
      <c r="T34" s="5" t="s">
        <v>972</v>
      </c>
      <c r="U34" s="5" t="s">
        <v>5676</v>
      </c>
      <c r="V34" s="5">
        <v>6</v>
      </c>
      <c r="W34" s="35" t="s">
        <v>5678</v>
      </c>
      <c r="X34" s="5">
        <v>33</v>
      </c>
      <c r="Y34" s="35" t="s">
        <v>5674</v>
      </c>
      <c r="Z34" s="5">
        <v>15</v>
      </c>
      <c r="AA34" s="5">
        <v>12</v>
      </c>
      <c r="AB34" s="5" t="s">
        <v>4702</v>
      </c>
      <c r="AC34" s="5"/>
      <c r="AD34" s="47" t="str">
        <f t="shared" si="1"/>
        <v>(172*'20'*33*'7,14 - 8,74'*'0,046'***3*NULL*NULL*6*33*15)*</v>
      </c>
    </row>
    <row r="35" spans="1:30" ht="20.149999999999999" customHeight="1" x14ac:dyDescent="0.35">
      <c r="A35" s="3">
        <v>173</v>
      </c>
      <c r="B35" s="27" t="s">
        <v>5132</v>
      </c>
      <c r="C35" s="27"/>
      <c r="D35" s="22">
        <v>28795</v>
      </c>
      <c r="E35" s="15">
        <v>1</v>
      </c>
      <c r="F35" s="5" t="s">
        <v>4125</v>
      </c>
      <c r="G35" s="5">
        <v>11</v>
      </c>
      <c r="H35" s="5">
        <v>12</v>
      </c>
      <c r="I35" s="7">
        <v>28</v>
      </c>
      <c r="J35" s="31">
        <v>507</v>
      </c>
      <c r="K35" s="5" t="s">
        <v>6205</v>
      </c>
      <c r="L35" s="5">
        <v>4.5699999999999998E-2</v>
      </c>
      <c r="M35" s="5"/>
      <c r="N35" s="5"/>
      <c r="O35" s="5" t="s">
        <v>5630</v>
      </c>
      <c r="P35" s="5">
        <v>3</v>
      </c>
      <c r="Q35" s="5" t="s">
        <v>5665</v>
      </c>
      <c r="R35" s="5">
        <v>14</v>
      </c>
      <c r="S35" s="5" t="s">
        <v>972</v>
      </c>
      <c r="T35" s="5" t="s">
        <v>972</v>
      </c>
      <c r="U35" s="5" t="s">
        <v>5132</v>
      </c>
      <c r="V35" s="5">
        <v>8</v>
      </c>
      <c r="W35" s="35" t="s">
        <v>4856</v>
      </c>
      <c r="X35" s="5">
        <v>8</v>
      </c>
      <c r="Y35" s="35" t="s">
        <v>1824</v>
      </c>
      <c r="Z35" s="5">
        <v>21</v>
      </c>
      <c r="AA35" s="5">
        <v>12</v>
      </c>
      <c r="AB35" s="30" t="s">
        <v>6213</v>
      </c>
      <c r="AC35" s="30"/>
      <c r="AD35" s="47" t="str">
        <f t="shared" si="1"/>
        <v>(173*'28'*507*'6,35 / 7,14 / 7,22 / 8,74 / 9,25 / 12,7 / 14,27'*'0,0457'***3*14*NULL*8*8*21)*</v>
      </c>
    </row>
    <row r="36" spans="1:30" ht="20.149999999999999" customHeight="1" x14ac:dyDescent="0.35">
      <c r="A36" s="3">
        <v>174</v>
      </c>
      <c r="B36" s="27" t="s">
        <v>5133</v>
      </c>
      <c r="C36" s="27"/>
      <c r="D36" s="22">
        <v>40029</v>
      </c>
      <c r="E36" s="15">
        <v>1</v>
      </c>
      <c r="F36" s="5" t="s">
        <v>4133</v>
      </c>
      <c r="G36" s="5">
        <v>13</v>
      </c>
      <c r="H36" s="5">
        <v>12</v>
      </c>
      <c r="I36" s="7">
        <v>30</v>
      </c>
      <c r="J36" s="31">
        <v>646</v>
      </c>
      <c r="K36" s="5" t="s">
        <v>6097</v>
      </c>
      <c r="L36" s="5">
        <v>4.5699999999999998E-2</v>
      </c>
      <c r="M36" s="5"/>
      <c r="N36" s="5"/>
      <c r="O36" s="5" t="s">
        <v>5634</v>
      </c>
      <c r="P36" s="5">
        <v>4</v>
      </c>
      <c r="Q36" s="5" t="s">
        <v>5635</v>
      </c>
      <c r="R36" s="5">
        <v>11</v>
      </c>
      <c r="S36" s="5" t="s">
        <v>972</v>
      </c>
      <c r="T36" s="5" t="s">
        <v>972</v>
      </c>
      <c r="U36" s="5" t="s">
        <v>5133</v>
      </c>
      <c r="V36" s="5">
        <v>9</v>
      </c>
      <c r="W36" s="35" t="s">
        <v>4856</v>
      </c>
      <c r="X36" s="5">
        <v>8</v>
      </c>
      <c r="Y36" s="35" t="s">
        <v>1012</v>
      </c>
      <c r="Z36" s="5">
        <v>34</v>
      </c>
      <c r="AA36" s="5">
        <v>12</v>
      </c>
      <c r="AB36" s="5" t="s">
        <v>6098</v>
      </c>
      <c r="AC36" s="5"/>
      <c r="AD36" s="47" t="str">
        <f t="shared" si="1"/>
        <v>(174*'30'*646*'7,92/ 8,74/ 9,53/ 10,31/ 11,91/ 14,27'*'0,0457'***4*11*NULL*9*8*34)*</v>
      </c>
    </row>
    <row r="37" spans="1:30" ht="20.149999999999999" customHeight="1" x14ac:dyDescent="0.35">
      <c r="A37" s="3">
        <v>175</v>
      </c>
      <c r="B37" s="27" t="s">
        <v>5134</v>
      </c>
      <c r="C37" s="27"/>
      <c r="D37" s="22">
        <v>21916</v>
      </c>
      <c r="E37" s="15">
        <v>1</v>
      </c>
      <c r="F37" s="5" t="s">
        <v>4137</v>
      </c>
      <c r="G37" s="5">
        <v>14</v>
      </c>
      <c r="H37" s="5">
        <v>12</v>
      </c>
      <c r="I37" s="7" t="s">
        <v>6099</v>
      </c>
      <c r="J37" s="31">
        <v>565</v>
      </c>
      <c r="K37" s="5" t="s">
        <v>6100</v>
      </c>
      <c r="L37" s="5">
        <v>4.5699999999999998E-2</v>
      </c>
      <c r="M37" s="5"/>
      <c r="N37" s="5"/>
      <c r="O37" s="5" t="s">
        <v>5630</v>
      </c>
      <c r="P37" s="5">
        <v>3</v>
      </c>
      <c r="Q37" s="5" t="s">
        <v>5665</v>
      </c>
      <c r="R37" s="5">
        <v>14</v>
      </c>
      <c r="S37" s="5" t="s">
        <v>5657</v>
      </c>
      <c r="T37" s="5">
        <v>17</v>
      </c>
      <c r="U37" s="5" t="s">
        <v>5134</v>
      </c>
      <c r="V37" s="5">
        <v>10</v>
      </c>
      <c r="W37" s="35" t="s">
        <v>6102</v>
      </c>
      <c r="X37" s="5">
        <v>29</v>
      </c>
      <c r="Y37" s="35" t="s">
        <v>4854</v>
      </c>
      <c r="Z37" s="5">
        <v>7</v>
      </c>
      <c r="AA37" s="5">
        <v>12</v>
      </c>
      <c r="AB37" s="5" t="s">
        <v>6101</v>
      </c>
      <c r="AC37" s="5"/>
      <c r="AD37" s="47" t="str">
        <f t="shared" si="1"/>
        <v>(175*'24/30'*565*'7,14 / 8,74'*'0,0457'***3*14*17*10*29*7)*</v>
      </c>
    </row>
    <row r="38" spans="1:30" ht="20.149999999999999" customHeight="1" x14ac:dyDescent="0.35">
      <c r="A38" s="3">
        <v>176</v>
      </c>
      <c r="B38" s="27" t="s">
        <v>6163</v>
      </c>
      <c r="C38" s="27"/>
      <c r="D38" s="22"/>
      <c r="E38" s="15">
        <v>1</v>
      </c>
      <c r="F38" s="5" t="s">
        <v>4125</v>
      </c>
      <c r="G38" s="5">
        <v>11</v>
      </c>
      <c r="H38" s="5">
        <v>12</v>
      </c>
      <c r="I38" s="29">
        <v>16</v>
      </c>
      <c r="J38" s="31"/>
      <c r="K38" s="5"/>
      <c r="L38" s="5">
        <v>4.5699999999999998E-2</v>
      </c>
      <c r="M38" s="5"/>
      <c r="N38" s="5"/>
      <c r="O38" s="5" t="s">
        <v>5630</v>
      </c>
      <c r="P38" s="5">
        <v>3</v>
      </c>
      <c r="Q38" s="5" t="s">
        <v>972</v>
      </c>
      <c r="R38" s="5" t="s">
        <v>972</v>
      </c>
      <c r="S38" s="5" t="s">
        <v>972</v>
      </c>
      <c r="T38" s="5" t="s">
        <v>972</v>
      </c>
      <c r="U38" s="5" t="s">
        <v>5551</v>
      </c>
      <c r="V38" s="5">
        <v>11</v>
      </c>
      <c r="W38" s="35" t="s">
        <v>4856</v>
      </c>
      <c r="X38" s="5">
        <v>8</v>
      </c>
      <c r="Y38" s="35" t="s">
        <v>1824</v>
      </c>
      <c r="Z38" s="5">
        <v>21</v>
      </c>
      <c r="AA38" s="5">
        <v>12</v>
      </c>
      <c r="AB38" s="5"/>
      <c r="AC38" s="5"/>
      <c r="AD38" s="47" t="str">
        <f t="shared" si="1"/>
        <v>(176*'16'**''*'0,0457'***3*NULL*NULL*11*8*21)*</v>
      </c>
    </row>
    <row r="39" spans="1:30" ht="20.149999999999999" customHeight="1" x14ac:dyDescent="0.35">
      <c r="A39" s="3">
        <v>177</v>
      </c>
      <c r="B39" s="27" t="s">
        <v>5136</v>
      </c>
      <c r="C39" s="27"/>
      <c r="D39" s="22">
        <v>30720</v>
      </c>
      <c r="E39" s="15">
        <v>1</v>
      </c>
      <c r="F39" s="5" t="s">
        <v>4125</v>
      </c>
      <c r="G39" s="5">
        <v>11</v>
      </c>
      <c r="H39" s="5">
        <v>12</v>
      </c>
      <c r="I39" s="7">
        <v>24</v>
      </c>
      <c r="J39" s="31">
        <v>503.46</v>
      </c>
      <c r="K39" s="5" t="s">
        <v>6154</v>
      </c>
      <c r="L39" s="5">
        <v>0.05</v>
      </c>
      <c r="M39" s="5"/>
      <c r="N39" s="5"/>
      <c r="O39" s="5" t="s">
        <v>5638</v>
      </c>
      <c r="P39" s="5">
        <v>3</v>
      </c>
      <c r="Q39" s="5" t="s">
        <v>5665</v>
      </c>
      <c r="R39" s="5">
        <v>14</v>
      </c>
      <c r="S39" s="5" t="s">
        <v>972</v>
      </c>
      <c r="T39" s="5" t="s">
        <v>972</v>
      </c>
      <c r="U39" s="5" t="s">
        <v>5551</v>
      </c>
      <c r="V39" s="5">
        <v>11</v>
      </c>
      <c r="W39" s="35" t="s">
        <v>4856</v>
      </c>
      <c r="X39" s="5">
        <v>8</v>
      </c>
      <c r="Y39" s="35" t="s">
        <v>1824</v>
      </c>
      <c r="Z39" s="5">
        <v>21</v>
      </c>
      <c r="AA39" s="5">
        <v>12</v>
      </c>
      <c r="AB39" s="5" t="s">
        <v>6157</v>
      </c>
      <c r="AC39" s="5"/>
      <c r="AD39" s="47" t="str">
        <f t="shared" si="1"/>
        <v>(177*'24'*503,46*'9,52 / 11,91 '*'0,05'***3*14*NULL*11*8*21)*</v>
      </c>
    </row>
    <row r="40" spans="1:30" ht="20.149999999999999" customHeight="1" x14ac:dyDescent="0.35">
      <c r="A40" s="3">
        <v>178</v>
      </c>
      <c r="B40" s="27" t="s">
        <v>5137</v>
      </c>
      <c r="C40" s="27"/>
      <c r="D40" s="22">
        <v>39814</v>
      </c>
      <c r="E40" s="15">
        <v>1</v>
      </c>
      <c r="F40" s="5" t="s">
        <v>4125</v>
      </c>
      <c r="G40" s="5">
        <v>11</v>
      </c>
      <c r="H40" s="5">
        <v>12</v>
      </c>
      <c r="I40" s="7">
        <v>24</v>
      </c>
      <c r="J40" s="31">
        <v>495</v>
      </c>
      <c r="K40" s="30" t="s">
        <v>6155</v>
      </c>
      <c r="L40" s="5">
        <v>0.05</v>
      </c>
      <c r="M40" s="5"/>
      <c r="N40" s="5"/>
      <c r="O40" s="5" t="s">
        <v>6156</v>
      </c>
      <c r="P40" s="5">
        <v>4</v>
      </c>
      <c r="Q40" s="5" t="s">
        <v>5635</v>
      </c>
      <c r="R40" s="5">
        <v>11</v>
      </c>
      <c r="S40" s="5" t="s">
        <v>972</v>
      </c>
      <c r="T40" s="5" t="s">
        <v>972</v>
      </c>
      <c r="U40" s="5" t="s">
        <v>5551</v>
      </c>
      <c r="V40" s="5">
        <v>11</v>
      </c>
      <c r="W40" s="35" t="s">
        <v>4856</v>
      </c>
      <c r="X40" s="5">
        <v>8</v>
      </c>
      <c r="Y40" s="35" t="s">
        <v>1824</v>
      </c>
      <c r="Z40" s="5">
        <v>21</v>
      </c>
      <c r="AA40" s="5">
        <v>12</v>
      </c>
      <c r="AB40" s="5" t="s">
        <v>4624</v>
      </c>
      <c r="AC40" s="5"/>
      <c r="AD40" s="47" t="str">
        <f t="shared" si="1"/>
        <v>(178*'24'*495*'8,74 / 9,52 / 10,31 / 12,70 / 14,27 / 15,88 / 19,05 / 17,5'*'0,05'***4*11*NULL*11*8*21)*</v>
      </c>
    </row>
    <row r="41" spans="1:30" ht="20.149999999999999" customHeight="1" x14ac:dyDescent="0.35">
      <c r="A41" s="3">
        <v>179</v>
      </c>
      <c r="B41" s="27" t="s">
        <v>5138</v>
      </c>
      <c r="C41" s="27"/>
      <c r="D41" s="22">
        <v>35065</v>
      </c>
      <c r="E41" s="15">
        <v>1</v>
      </c>
      <c r="F41" s="5" t="s">
        <v>5673</v>
      </c>
      <c r="G41" s="5">
        <v>12</v>
      </c>
      <c r="H41" s="5">
        <v>12</v>
      </c>
      <c r="I41" s="7" t="s">
        <v>6203</v>
      </c>
      <c r="J41" s="31">
        <v>989</v>
      </c>
      <c r="K41" s="5" t="s">
        <v>6154</v>
      </c>
      <c r="L41" s="5">
        <v>0.05</v>
      </c>
      <c r="M41" s="5"/>
      <c r="N41" s="5"/>
      <c r="O41" s="5" t="s">
        <v>5634</v>
      </c>
      <c r="P41" s="5">
        <v>4</v>
      </c>
      <c r="Q41" s="5" t="s">
        <v>5635</v>
      </c>
      <c r="R41" s="5">
        <v>11</v>
      </c>
      <c r="S41" s="5" t="s">
        <v>972</v>
      </c>
      <c r="T41" s="5" t="s">
        <v>972</v>
      </c>
      <c r="U41" s="5" t="s">
        <v>6726</v>
      </c>
      <c r="V41" s="5">
        <v>12</v>
      </c>
      <c r="W41" s="35" t="s">
        <v>5389</v>
      </c>
      <c r="X41" s="5">
        <v>20</v>
      </c>
      <c r="Y41" s="35" t="s">
        <v>4856</v>
      </c>
      <c r="Z41" s="5">
        <v>8</v>
      </c>
      <c r="AA41" s="5">
        <v>12</v>
      </c>
      <c r="AB41" s="5" t="s">
        <v>6158</v>
      </c>
      <c r="AC41" s="5"/>
      <c r="AD41" s="47" t="str">
        <f t="shared" si="1"/>
        <v>(179*'10 / 12 / 14 / 16 / 20 / 24'*989*'9,52 / 11,91 '*'0,05'***4*11*NULL*12*20*8)*</v>
      </c>
    </row>
    <row r="42" spans="1:30" ht="20.149999999999999" customHeight="1" x14ac:dyDescent="0.35">
      <c r="A42" s="3">
        <v>179</v>
      </c>
      <c r="B42" s="48" t="s">
        <v>6164</v>
      </c>
      <c r="C42" s="48"/>
      <c r="D42" s="22"/>
      <c r="E42" s="15">
        <v>1</v>
      </c>
      <c r="F42" s="5" t="s">
        <v>4125</v>
      </c>
      <c r="G42" s="5">
        <v>11</v>
      </c>
      <c r="H42" s="5">
        <v>12</v>
      </c>
      <c r="I42" s="29">
        <v>12</v>
      </c>
      <c r="J42" s="31"/>
      <c r="K42" s="5" t="s">
        <v>6173</v>
      </c>
      <c r="L42" s="5">
        <v>0.05</v>
      </c>
      <c r="M42" s="5"/>
      <c r="N42" s="5"/>
      <c r="O42" s="5" t="s">
        <v>5634</v>
      </c>
      <c r="P42" s="5">
        <v>4</v>
      </c>
      <c r="Q42" s="5" t="s">
        <v>972</v>
      </c>
      <c r="R42" s="5" t="s">
        <v>972</v>
      </c>
      <c r="S42" s="5" t="s">
        <v>972</v>
      </c>
      <c r="T42" s="5" t="s">
        <v>972</v>
      </c>
      <c r="U42" s="5" t="s">
        <v>6726</v>
      </c>
      <c r="V42" s="5">
        <v>12</v>
      </c>
      <c r="W42" s="35" t="s">
        <v>4856</v>
      </c>
      <c r="X42" s="5">
        <v>8</v>
      </c>
      <c r="Y42" s="35" t="s">
        <v>1824</v>
      </c>
      <c r="Z42" s="5">
        <v>21</v>
      </c>
      <c r="AA42" s="5">
        <v>12</v>
      </c>
      <c r="AB42" s="5"/>
      <c r="AC42" s="5"/>
      <c r="AD42" s="47" t="str">
        <f t="shared" si="1"/>
        <v>(179*'12'**'11,91 / 12,7 / 14,25 / 19,05'*'0,05'***4*NULL*NULL*12*8*21)*</v>
      </c>
    </row>
    <row r="43" spans="1:30" ht="20.149999999999999" customHeight="1" x14ac:dyDescent="0.35">
      <c r="A43" s="3">
        <v>180</v>
      </c>
      <c r="B43" s="27" t="s">
        <v>5139</v>
      </c>
      <c r="C43" s="27"/>
      <c r="D43" s="22">
        <v>38264</v>
      </c>
      <c r="E43" s="15">
        <v>1</v>
      </c>
      <c r="F43" s="5" t="s">
        <v>5673</v>
      </c>
      <c r="G43" s="5">
        <v>12</v>
      </c>
      <c r="H43" s="5">
        <v>12</v>
      </c>
      <c r="I43" s="7">
        <v>16</v>
      </c>
      <c r="J43" s="31">
        <v>404</v>
      </c>
      <c r="K43" s="5" t="s">
        <v>6159</v>
      </c>
      <c r="L43" s="5">
        <v>4.5999999999999999E-2</v>
      </c>
      <c r="M43" s="5"/>
      <c r="N43" s="5"/>
      <c r="O43" s="5" t="s">
        <v>5634</v>
      </c>
      <c r="P43" s="5">
        <v>4</v>
      </c>
      <c r="Q43" s="5" t="s">
        <v>5635</v>
      </c>
      <c r="R43" s="5">
        <v>11</v>
      </c>
      <c r="S43" s="5" t="s">
        <v>972</v>
      </c>
      <c r="T43" s="5" t="s">
        <v>972</v>
      </c>
      <c r="U43" s="5" t="s">
        <v>6726</v>
      </c>
      <c r="V43" s="5">
        <v>12</v>
      </c>
      <c r="W43" s="35" t="s">
        <v>5344</v>
      </c>
      <c r="X43" s="5">
        <v>16</v>
      </c>
      <c r="Y43" s="35" t="s">
        <v>5393</v>
      </c>
      <c r="Z43" s="5">
        <v>26</v>
      </c>
      <c r="AA43" s="5">
        <v>12</v>
      </c>
      <c r="AB43" s="5" t="s">
        <v>6160</v>
      </c>
      <c r="AC43" s="5"/>
      <c r="AD43" s="47" t="str">
        <f t="shared" si="1"/>
        <v>(180*'16'*404*'7,92 / 11,13'*'0,046'***4*11*NULL*12*16*26)*</v>
      </c>
    </row>
    <row r="44" spans="1:30" ht="20.149999999999999" customHeight="1" x14ac:dyDescent="0.35">
      <c r="A44" s="3">
        <v>181</v>
      </c>
      <c r="B44" s="27" t="s">
        <v>5140</v>
      </c>
      <c r="C44" s="27"/>
      <c r="D44" s="22">
        <v>41640</v>
      </c>
      <c r="E44" s="15">
        <v>1</v>
      </c>
      <c r="F44" s="5" t="s">
        <v>5673</v>
      </c>
      <c r="G44" s="5">
        <v>12</v>
      </c>
      <c r="H44" s="5">
        <v>12</v>
      </c>
      <c r="I44" s="7">
        <v>24</v>
      </c>
      <c r="J44" s="31">
        <v>336</v>
      </c>
      <c r="K44" s="5" t="s">
        <v>6161</v>
      </c>
      <c r="L44" s="5">
        <v>4.5999999999999999E-2</v>
      </c>
      <c r="M44" s="5"/>
      <c r="N44" s="5"/>
      <c r="O44" s="5" t="s">
        <v>5634</v>
      </c>
      <c r="P44" s="5">
        <v>4</v>
      </c>
      <c r="Q44" s="5" t="s">
        <v>5649</v>
      </c>
      <c r="R44" s="5">
        <v>21</v>
      </c>
      <c r="S44" s="5" t="s">
        <v>972</v>
      </c>
      <c r="T44" s="5" t="s">
        <v>972</v>
      </c>
      <c r="U44" s="5" t="s">
        <v>6726</v>
      </c>
      <c r="V44" s="5">
        <v>12</v>
      </c>
      <c r="W44" s="35" t="s">
        <v>1812</v>
      </c>
      <c r="X44" s="5">
        <v>14</v>
      </c>
      <c r="Y44" s="35" t="s">
        <v>4856</v>
      </c>
      <c r="Z44" s="5">
        <v>8</v>
      </c>
      <c r="AA44" s="5">
        <v>12</v>
      </c>
      <c r="AB44" s="5" t="s">
        <v>6162</v>
      </c>
      <c r="AC44" s="5"/>
      <c r="AD44" s="47" t="str">
        <f t="shared" si="1"/>
        <v>(181*'24'*336*'14,3 / 9,52 / 11,13 / 15,88 / 10,31'*'0,046'***4*21*NULL*12*14*8)*</v>
      </c>
    </row>
    <row r="45" spans="1:30" ht="20.149999999999999" customHeight="1" x14ac:dyDescent="0.35">
      <c r="A45" s="3">
        <v>182</v>
      </c>
      <c r="B45" s="27" t="s">
        <v>5141</v>
      </c>
      <c r="C45" s="27"/>
      <c r="D45" s="22">
        <v>22282</v>
      </c>
      <c r="E45" s="15">
        <v>1</v>
      </c>
      <c r="F45" s="5" t="s">
        <v>4125</v>
      </c>
      <c r="G45" s="5">
        <v>11</v>
      </c>
      <c r="H45" s="5">
        <v>16</v>
      </c>
      <c r="I45" s="7" t="s">
        <v>6168</v>
      </c>
      <c r="J45" s="31">
        <v>509</v>
      </c>
      <c r="K45" s="5" t="s">
        <v>6167</v>
      </c>
      <c r="L45" s="5">
        <v>1.4999999999999999E-2</v>
      </c>
      <c r="M45" s="5"/>
      <c r="N45" s="5"/>
      <c r="O45" s="5" t="s">
        <v>5638</v>
      </c>
      <c r="P45" s="5">
        <v>3</v>
      </c>
      <c r="Q45" s="5" t="s">
        <v>6166</v>
      </c>
      <c r="R45" s="5">
        <v>14</v>
      </c>
      <c r="S45" s="5" t="s">
        <v>6165</v>
      </c>
      <c r="T45" s="5">
        <v>17</v>
      </c>
      <c r="U45" s="5" t="s">
        <v>5141</v>
      </c>
      <c r="V45" s="5">
        <v>13</v>
      </c>
      <c r="W45" s="35" t="s">
        <v>4856</v>
      </c>
      <c r="X45" s="5">
        <v>8</v>
      </c>
      <c r="Y45" s="35" t="s">
        <v>1824</v>
      </c>
      <c r="Z45" s="5">
        <v>21</v>
      </c>
      <c r="AA45" s="5">
        <v>16</v>
      </c>
      <c r="AB45" s="5" t="s">
        <v>6169</v>
      </c>
      <c r="AC45" s="5"/>
      <c r="AD45" s="47" t="str">
        <f t="shared" si="1"/>
        <v>(182*'20 / 24'*509*'8,74 - 12,7 - 10,31 - 15,9'*'0,015'***3*14*17*13*8*21)*</v>
      </c>
    </row>
    <row r="46" spans="1:30" ht="20.149999999999999" customHeight="1" x14ac:dyDescent="0.35">
      <c r="A46" s="3">
        <v>183</v>
      </c>
      <c r="B46" s="27" t="s">
        <v>5142</v>
      </c>
      <c r="C46" s="27"/>
      <c r="D46" s="22">
        <v>44805</v>
      </c>
      <c r="E46" s="15">
        <v>1</v>
      </c>
      <c r="F46" s="5" t="s">
        <v>4125</v>
      </c>
      <c r="G46" s="5">
        <v>11</v>
      </c>
      <c r="H46" s="5">
        <v>16</v>
      </c>
      <c r="I46" s="7">
        <v>20</v>
      </c>
      <c r="J46" s="31">
        <v>3.6</v>
      </c>
      <c r="K46" s="5">
        <v>11.13</v>
      </c>
      <c r="L46" s="5">
        <v>1.4999999999999999E-2</v>
      </c>
      <c r="M46" s="5"/>
      <c r="N46" s="5"/>
      <c r="O46" s="5" t="s">
        <v>5634</v>
      </c>
      <c r="P46" s="5">
        <v>4</v>
      </c>
      <c r="Q46" s="5" t="s">
        <v>5649</v>
      </c>
      <c r="R46" s="5">
        <v>21</v>
      </c>
      <c r="S46" s="5" t="s">
        <v>6165</v>
      </c>
      <c r="T46" s="5">
        <v>17</v>
      </c>
      <c r="U46" s="5" t="s">
        <v>5556</v>
      </c>
      <c r="V46" s="5">
        <v>14</v>
      </c>
      <c r="W46" s="35" t="s">
        <v>1824</v>
      </c>
      <c r="X46" s="5">
        <v>21</v>
      </c>
      <c r="Y46" s="35" t="s">
        <v>6170</v>
      </c>
      <c r="Z46" s="50">
        <v>122</v>
      </c>
      <c r="AA46" s="5">
        <v>16</v>
      </c>
      <c r="AB46" s="5"/>
      <c r="AC46" s="5"/>
      <c r="AD46" s="47" t="str">
        <f t="shared" si="1"/>
        <v>(183*'20'*3,6*'11,13'*'0,015'***4*21*17*14*21*122)*</v>
      </c>
    </row>
    <row r="47" spans="1:30" ht="20.149999999999999" customHeight="1" x14ac:dyDescent="0.35">
      <c r="A47" s="3">
        <v>184</v>
      </c>
      <c r="B47" s="27" t="s">
        <v>5143</v>
      </c>
      <c r="C47" s="27"/>
      <c r="D47" s="22">
        <v>27760</v>
      </c>
      <c r="E47" s="15">
        <v>1</v>
      </c>
      <c r="F47" s="5" t="s">
        <v>4125</v>
      </c>
      <c r="G47" s="5">
        <v>11</v>
      </c>
      <c r="H47" s="5">
        <v>16</v>
      </c>
      <c r="I47" s="7">
        <v>40</v>
      </c>
      <c r="J47" s="31">
        <v>507</v>
      </c>
      <c r="K47" s="5" t="s">
        <v>6172</v>
      </c>
      <c r="L47" s="5">
        <v>1.4999999999999999E-2</v>
      </c>
      <c r="M47" s="5"/>
      <c r="N47" s="5"/>
      <c r="O47" s="5" t="s">
        <v>5638</v>
      </c>
      <c r="P47" s="5">
        <v>3</v>
      </c>
      <c r="Q47" s="5" t="s">
        <v>6166</v>
      </c>
      <c r="R47" s="5">
        <v>14</v>
      </c>
      <c r="S47" s="5" t="s">
        <v>6165</v>
      </c>
      <c r="T47" s="5">
        <v>17</v>
      </c>
      <c r="U47" s="5" t="s">
        <v>5556</v>
      </c>
      <c r="V47" s="5">
        <v>14</v>
      </c>
      <c r="W47" s="35" t="s">
        <v>4856</v>
      </c>
      <c r="X47" s="5">
        <v>8</v>
      </c>
      <c r="Y47" s="35" t="s">
        <v>1824</v>
      </c>
      <c r="Z47" s="5">
        <v>21</v>
      </c>
      <c r="AA47" s="5">
        <v>16</v>
      </c>
      <c r="AB47" s="5" t="s">
        <v>6171</v>
      </c>
      <c r="AC47" s="5"/>
      <c r="AD47" s="47" t="str">
        <f t="shared" si="1"/>
        <v>(184*'40'*507*'11,13 - 12,7 - 19,05'*'0,015'***3*14*17*14*8*21)*</v>
      </c>
    </row>
    <row r="48" spans="1:30" ht="20.149999999999999" customHeight="1" x14ac:dyDescent="0.35">
      <c r="A48" s="3">
        <v>185</v>
      </c>
      <c r="B48" s="27" t="s">
        <v>5144</v>
      </c>
      <c r="C48" s="27"/>
      <c r="D48" s="22">
        <v>29952</v>
      </c>
      <c r="E48" s="15">
        <v>1</v>
      </c>
      <c r="F48" s="5" t="s">
        <v>4125</v>
      </c>
      <c r="G48" s="5">
        <v>11</v>
      </c>
      <c r="H48" s="5">
        <v>16</v>
      </c>
      <c r="I48" s="7">
        <v>40</v>
      </c>
      <c r="J48" s="31">
        <v>511</v>
      </c>
      <c r="K48" s="5" t="s">
        <v>6172</v>
      </c>
      <c r="L48" s="5">
        <v>1.4999999999999999E-2</v>
      </c>
      <c r="M48" s="5"/>
      <c r="N48" s="5"/>
      <c r="O48" s="5" t="s">
        <v>5638</v>
      </c>
      <c r="P48" s="5">
        <v>3</v>
      </c>
      <c r="Q48" s="5" t="s">
        <v>6166</v>
      </c>
      <c r="R48" s="5">
        <v>14</v>
      </c>
      <c r="S48" s="5" t="s">
        <v>6165</v>
      </c>
      <c r="T48" s="5">
        <v>17</v>
      </c>
      <c r="U48" s="5" t="s">
        <v>5556</v>
      </c>
      <c r="V48" s="5">
        <v>14</v>
      </c>
      <c r="W48" s="35" t="s">
        <v>4856</v>
      </c>
      <c r="X48" s="5">
        <v>8</v>
      </c>
      <c r="Y48" s="35" t="s">
        <v>1824</v>
      </c>
      <c r="Z48" s="5">
        <v>21</v>
      </c>
      <c r="AA48" s="5">
        <v>16</v>
      </c>
      <c r="AB48" s="5" t="s">
        <v>6214</v>
      </c>
      <c r="AC48" s="5"/>
      <c r="AD48" s="47" t="str">
        <f t="shared" si="1"/>
        <v>(185*'40'*511*'11,13 - 12,7 - 19,05'*'0,015'***3*14*17*14*8*21)*</v>
      </c>
    </row>
    <row r="49" spans="1:30" ht="20.149999999999999" customHeight="1" x14ac:dyDescent="0.35">
      <c r="A49" s="3">
        <v>186</v>
      </c>
      <c r="B49" s="27" t="s">
        <v>5145</v>
      </c>
      <c r="C49" s="27"/>
      <c r="D49" s="22"/>
      <c r="E49" s="15">
        <v>1</v>
      </c>
      <c r="F49" s="5" t="s">
        <v>4125</v>
      </c>
      <c r="G49" s="5">
        <v>11</v>
      </c>
      <c r="H49" s="5">
        <v>16</v>
      </c>
      <c r="I49" s="7">
        <v>40</v>
      </c>
      <c r="J49" s="31">
        <v>221</v>
      </c>
      <c r="K49" s="5" t="s">
        <v>6173</v>
      </c>
      <c r="L49" s="5">
        <v>1.4999999999999999E-2</v>
      </c>
      <c r="M49" s="5"/>
      <c r="N49" s="5"/>
      <c r="O49" s="5" t="s">
        <v>5634</v>
      </c>
      <c r="P49" s="5">
        <v>4</v>
      </c>
      <c r="Q49" s="5" t="s">
        <v>972</v>
      </c>
      <c r="R49" s="5" t="s">
        <v>972</v>
      </c>
      <c r="S49" s="5" t="s">
        <v>972</v>
      </c>
      <c r="T49" s="5" t="s">
        <v>972</v>
      </c>
      <c r="U49" s="5" t="s">
        <v>5556</v>
      </c>
      <c r="V49" s="5">
        <v>14</v>
      </c>
      <c r="W49" s="35"/>
      <c r="X49" s="50"/>
      <c r="Y49" s="35"/>
      <c r="Z49" s="50"/>
      <c r="AA49" s="5"/>
      <c r="AB49" s="5"/>
      <c r="AC49" s="5"/>
      <c r="AD49" s="47" t="str">
        <f t="shared" si="1"/>
        <v>(186*'40'*221*'11,91 / 12,7 / 14,25 / 19,05'*'0,015'***4*NULL*NULL*14**)*</v>
      </c>
    </row>
    <row r="50" spans="1:30" ht="20.149999999999999" customHeight="1" x14ac:dyDescent="0.35">
      <c r="A50" s="3">
        <v>187</v>
      </c>
      <c r="B50" s="27" t="s">
        <v>5146</v>
      </c>
      <c r="C50" s="27"/>
      <c r="D50" s="22">
        <v>32509</v>
      </c>
      <c r="E50" s="15">
        <v>1</v>
      </c>
      <c r="F50" s="5" t="s">
        <v>4125</v>
      </c>
      <c r="G50" s="5">
        <v>11</v>
      </c>
      <c r="H50" s="5">
        <v>16</v>
      </c>
      <c r="I50" s="7">
        <v>42</v>
      </c>
      <c r="J50" s="31">
        <v>517</v>
      </c>
      <c r="K50" s="5" t="s">
        <v>6174</v>
      </c>
      <c r="L50" s="5">
        <v>1.4999999999999999E-2</v>
      </c>
      <c r="M50" s="5"/>
      <c r="N50" s="5"/>
      <c r="O50" s="5" t="s">
        <v>6175</v>
      </c>
      <c r="P50" s="5">
        <v>4</v>
      </c>
      <c r="Q50" s="5" t="s">
        <v>6176</v>
      </c>
      <c r="R50" s="5">
        <v>14</v>
      </c>
      <c r="S50" s="5" t="s">
        <v>6165</v>
      </c>
      <c r="T50" s="5">
        <v>17</v>
      </c>
      <c r="U50" s="5" t="s">
        <v>5556</v>
      </c>
      <c r="V50" s="5">
        <v>14</v>
      </c>
      <c r="W50" s="35" t="s">
        <v>4856</v>
      </c>
      <c r="X50" s="5">
        <v>8</v>
      </c>
      <c r="Y50" s="35" t="s">
        <v>1824</v>
      </c>
      <c r="Z50" s="5">
        <v>21</v>
      </c>
      <c r="AA50" s="5">
        <v>16</v>
      </c>
      <c r="AB50" s="5" t="s">
        <v>6177</v>
      </c>
      <c r="AC50" s="5"/>
      <c r="AD50" s="47" t="str">
        <f t="shared" si="1"/>
        <v>(187*'42'*517*'11,13 / 12,7 / 14,3 / 0,6 '*'0,015'***4*14*17*14*8*21)*</v>
      </c>
    </row>
    <row r="51" spans="1:30" ht="20.149999999999999" customHeight="1" x14ac:dyDescent="0.35">
      <c r="A51" s="3">
        <v>188</v>
      </c>
      <c r="B51" s="27" t="s">
        <v>5147</v>
      </c>
      <c r="C51" s="27"/>
      <c r="D51" s="22"/>
      <c r="E51" s="15">
        <v>1</v>
      </c>
      <c r="F51" s="5" t="s">
        <v>4125</v>
      </c>
      <c r="G51" s="5">
        <v>11</v>
      </c>
      <c r="H51" s="5">
        <v>16</v>
      </c>
      <c r="I51" s="7"/>
      <c r="J51" s="31"/>
      <c r="K51" s="7" t="s">
        <v>6178</v>
      </c>
      <c r="L51" s="5">
        <v>1.4999999999999999E-2</v>
      </c>
      <c r="M51" s="5"/>
      <c r="N51" s="5"/>
      <c r="O51" s="5" t="s">
        <v>5634</v>
      </c>
      <c r="P51" s="5">
        <v>4</v>
      </c>
      <c r="Q51" s="5" t="s">
        <v>972</v>
      </c>
      <c r="R51" s="5" t="s">
        <v>972</v>
      </c>
      <c r="S51" s="5" t="s">
        <v>972</v>
      </c>
      <c r="T51" s="5" t="s">
        <v>972</v>
      </c>
      <c r="U51" s="5" t="s">
        <v>5556</v>
      </c>
      <c r="V51" s="5">
        <v>14</v>
      </c>
      <c r="W51" s="35"/>
      <c r="X51" s="50"/>
      <c r="Y51" s="35"/>
      <c r="Z51" s="50"/>
      <c r="AA51" s="5"/>
      <c r="AB51" s="5"/>
      <c r="AC51" s="5"/>
      <c r="AD51" s="47" t="str">
        <f t="shared" si="1"/>
        <v>(188*''**'11,91 - 22,22'*'0,015'***4*NULL*NULL*14**)*</v>
      </c>
    </row>
    <row r="52" spans="1:30" ht="20.149999999999999" customHeight="1" x14ac:dyDescent="0.35">
      <c r="A52" s="3">
        <v>189</v>
      </c>
      <c r="B52" s="27" t="s">
        <v>5148</v>
      </c>
      <c r="C52" s="27"/>
      <c r="D52" s="22"/>
      <c r="E52" s="15">
        <v>1</v>
      </c>
      <c r="F52" s="5" t="s">
        <v>4125</v>
      </c>
      <c r="G52" s="5">
        <v>11</v>
      </c>
      <c r="H52" s="5">
        <v>16</v>
      </c>
      <c r="I52" s="7"/>
      <c r="J52" s="31"/>
      <c r="K52" s="7" t="s">
        <v>6178</v>
      </c>
      <c r="L52" s="5">
        <v>1.4999999999999999E-2</v>
      </c>
      <c r="M52" s="5"/>
      <c r="N52" s="5"/>
      <c r="O52" s="5" t="s">
        <v>5634</v>
      </c>
      <c r="P52" s="5">
        <v>4</v>
      </c>
      <c r="Q52" s="5" t="s">
        <v>972</v>
      </c>
      <c r="R52" s="5" t="s">
        <v>972</v>
      </c>
      <c r="S52" s="5" t="s">
        <v>972</v>
      </c>
      <c r="T52" s="5" t="s">
        <v>972</v>
      </c>
      <c r="U52" s="5" t="s">
        <v>5556</v>
      </c>
      <c r="V52" s="5">
        <v>14</v>
      </c>
      <c r="W52" s="35"/>
      <c r="X52" s="50"/>
      <c r="Y52" s="35"/>
      <c r="Z52" s="50"/>
      <c r="AA52" s="5"/>
      <c r="AB52" s="5"/>
      <c r="AC52" s="5"/>
      <c r="AD52" s="47" t="str">
        <f t="shared" si="1"/>
        <v>(189*''**'11,91 - 22,22'*'0,015'***4*NULL*NULL*14**)*</v>
      </c>
    </row>
    <row r="53" spans="1:30" ht="20.149999999999999" customHeight="1" x14ac:dyDescent="0.35">
      <c r="A53" s="3">
        <v>190</v>
      </c>
      <c r="B53" s="27" t="s">
        <v>5149</v>
      </c>
      <c r="C53" s="27"/>
      <c r="D53" s="22">
        <v>39841</v>
      </c>
      <c r="E53" s="15">
        <v>1</v>
      </c>
      <c r="F53" s="5" t="s">
        <v>4125</v>
      </c>
      <c r="G53" s="5">
        <v>11</v>
      </c>
      <c r="H53" s="5">
        <v>16</v>
      </c>
      <c r="I53" s="7">
        <v>48</v>
      </c>
      <c r="J53" s="31">
        <v>513.17200000000003</v>
      </c>
      <c r="K53" s="7" t="s">
        <v>6178</v>
      </c>
      <c r="L53" s="5">
        <v>1.4999999999999999E-2</v>
      </c>
      <c r="M53" s="5"/>
      <c r="N53" s="5"/>
      <c r="O53" s="5" t="s">
        <v>6180</v>
      </c>
      <c r="P53" s="5">
        <v>6</v>
      </c>
      <c r="Q53" s="5" t="s">
        <v>5635</v>
      </c>
      <c r="R53" s="5">
        <v>11</v>
      </c>
      <c r="S53" s="5" t="s">
        <v>972</v>
      </c>
      <c r="T53" s="5" t="s">
        <v>972</v>
      </c>
      <c r="U53" s="5" t="s">
        <v>5262</v>
      </c>
      <c r="V53" s="5">
        <v>15</v>
      </c>
      <c r="W53" s="35" t="s">
        <v>4856</v>
      </c>
      <c r="X53" s="5">
        <v>8</v>
      </c>
      <c r="Y53" s="35" t="s">
        <v>1824</v>
      </c>
      <c r="Z53" s="5">
        <v>21</v>
      </c>
      <c r="AA53" s="5">
        <v>16</v>
      </c>
      <c r="AB53" s="5" t="s">
        <v>6179</v>
      </c>
      <c r="AC53" s="5"/>
      <c r="AD53" s="47" t="str">
        <f t="shared" si="1"/>
        <v>(190*'48'*513,172*'11,91 - 22,22'*'0,015'***6*11*NULL*15*8*21)*</v>
      </c>
    </row>
    <row r="54" spans="1:30" ht="20.149999999999999" customHeight="1" x14ac:dyDescent="0.35">
      <c r="A54" s="3">
        <v>191</v>
      </c>
      <c r="B54" s="27" t="s">
        <v>5150</v>
      </c>
      <c r="C54" s="27"/>
      <c r="D54" s="22">
        <v>40284</v>
      </c>
      <c r="E54" s="15">
        <v>1</v>
      </c>
      <c r="F54" s="5" t="s">
        <v>4125</v>
      </c>
      <c r="G54" s="5">
        <v>11</v>
      </c>
      <c r="H54" s="5">
        <v>16</v>
      </c>
      <c r="I54" s="7">
        <v>48</v>
      </c>
      <c r="J54" s="31">
        <v>120.37</v>
      </c>
      <c r="K54" s="7" t="s">
        <v>6178</v>
      </c>
      <c r="L54" s="5">
        <v>1.4999999999999999E-2</v>
      </c>
      <c r="M54" s="5"/>
      <c r="N54" s="5"/>
      <c r="O54" s="5" t="s">
        <v>6180</v>
      </c>
      <c r="P54" s="5">
        <v>6</v>
      </c>
      <c r="Q54" s="5" t="s">
        <v>5635</v>
      </c>
      <c r="R54" s="5">
        <v>11</v>
      </c>
      <c r="S54" s="5" t="s">
        <v>972</v>
      </c>
      <c r="T54" s="5" t="s">
        <v>972</v>
      </c>
      <c r="U54" s="5" t="s">
        <v>5262</v>
      </c>
      <c r="V54" s="5">
        <v>15</v>
      </c>
      <c r="W54" s="35" t="s">
        <v>6182</v>
      </c>
      <c r="X54" s="50" t="s">
        <v>6182</v>
      </c>
      <c r="Y54" s="35" t="s">
        <v>2048</v>
      </c>
      <c r="Z54" s="5">
        <v>3</v>
      </c>
      <c r="AA54" s="5"/>
      <c r="AB54" s="5" t="s">
        <v>6181</v>
      </c>
      <c r="AC54" s="5"/>
      <c r="AD54" s="47" t="str">
        <f t="shared" si="1"/>
        <v>(191*'48'*120,37*'11,91 - 22,22'*'0,015'***6*11*NULL*15*Mactaa Douz*3)*</v>
      </c>
    </row>
    <row r="55" spans="1:30" ht="20.149999999999999" customHeight="1" x14ac:dyDescent="0.35">
      <c r="A55" s="3">
        <v>192</v>
      </c>
      <c r="B55" s="27" t="s">
        <v>5151</v>
      </c>
      <c r="C55" s="27"/>
      <c r="D55" s="22"/>
      <c r="E55" s="15">
        <v>1</v>
      </c>
      <c r="F55" s="5" t="s">
        <v>4125</v>
      </c>
      <c r="G55" s="5">
        <v>11</v>
      </c>
      <c r="H55" s="5">
        <v>16</v>
      </c>
      <c r="I55" s="7"/>
      <c r="J55" s="31"/>
      <c r="K55" s="7" t="s">
        <v>6178</v>
      </c>
      <c r="L55" s="5">
        <v>1.4999999999999999E-2</v>
      </c>
      <c r="M55" s="5"/>
      <c r="N55" s="5"/>
      <c r="O55" s="5" t="s">
        <v>5634</v>
      </c>
      <c r="P55" s="5">
        <v>4</v>
      </c>
      <c r="Q55" s="5" t="s">
        <v>972</v>
      </c>
      <c r="R55" s="5" t="s">
        <v>972</v>
      </c>
      <c r="S55" s="5" t="s">
        <v>972</v>
      </c>
      <c r="T55" s="5" t="s">
        <v>972</v>
      </c>
      <c r="U55" s="5" t="s">
        <v>5262</v>
      </c>
      <c r="V55" s="5">
        <v>15</v>
      </c>
      <c r="W55" s="35"/>
      <c r="X55" s="5"/>
      <c r="Y55" s="35" t="s">
        <v>4850</v>
      </c>
      <c r="Z55" s="5">
        <v>3</v>
      </c>
      <c r="AA55" s="5"/>
      <c r="AB55" s="5"/>
      <c r="AC55" s="5"/>
      <c r="AD55" s="47" t="str">
        <f t="shared" si="1"/>
        <v>(192*''**'11,91 - 22,22'*'0,015'***4*NULL*NULL*15**3)*</v>
      </c>
    </row>
    <row r="56" spans="1:30" ht="20.149999999999999" customHeight="1" x14ac:dyDescent="0.35">
      <c r="A56" s="3">
        <v>193</v>
      </c>
      <c r="B56" s="27" t="s">
        <v>5152</v>
      </c>
      <c r="C56" s="27"/>
      <c r="D56" s="22">
        <v>25934</v>
      </c>
      <c r="E56" s="15">
        <v>1</v>
      </c>
      <c r="F56" s="5" t="s">
        <v>4133</v>
      </c>
      <c r="G56" s="5">
        <v>13</v>
      </c>
      <c r="H56" s="5">
        <v>16</v>
      </c>
      <c r="I56" s="7">
        <v>40</v>
      </c>
      <c r="J56" s="31">
        <v>574.87</v>
      </c>
      <c r="K56" s="5" t="s">
        <v>6193</v>
      </c>
      <c r="L56" s="5">
        <v>3.5000000000000003E-2</v>
      </c>
      <c r="M56" s="5"/>
      <c r="N56" s="5"/>
      <c r="O56" s="5" t="s">
        <v>6192</v>
      </c>
      <c r="P56" s="5">
        <v>4</v>
      </c>
      <c r="Q56" s="5" t="s">
        <v>6189</v>
      </c>
      <c r="R56" s="5">
        <v>14</v>
      </c>
      <c r="S56" s="5" t="s">
        <v>6165</v>
      </c>
      <c r="T56" s="5">
        <v>17</v>
      </c>
      <c r="U56" s="5" t="s">
        <v>5560</v>
      </c>
      <c r="V56" s="5">
        <v>17</v>
      </c>
      <c r="W56" s="35" t="s">
        <v>4856</v>
      </c>
      <c r="X56" s="5">
        <v>8</v>
      </c>
      <c r="Y56" s="35" t="s">
        <v>1012</v>
      </c>
      <c r="Z56" s="5">
        <v>34</v>
      </c>
      <c r="AA56" s="5">
        <v>16</v>
      </c>
      <c r="AB56" s="5" t="s">
        <v>6215</v>
      </c>
      <c r="AC56" s="5"/>
      <c r="AD56" s="47" t="str">
        <f t="shared" si="1"/>
        <v>(193*'40'*574,87*'12,7 / 15,88 / 19,43 / 19,05 '*'0,035'***4*14*17*17*8*34)*</v>
      </c>
    </row>
    <row r="57" spans="1:30" ht="20.149999999999999" customHeight="1" x14ac:dyDescent="0.35">
      <c r="A57" s="3">
        <v>194</v>
      </c>
      <c r="B57" s="27" t="s">
        <v>5153</v>
      </c>
      <c r="C57" s="27"/>
      <c r="D57" s="22">
        <v>35796</v>
      </c>
      <c r="E57" s="15">
        <v>1</v>
      </c>
      <c r="F57" s="5" t="s">
        <v>4133</v>
      </c>
      <c r="G57" s="5">
        <v>13</v>
      </c>
      <c r="H57" s="5">
        <v>16</v>
      </c>
      <c r="I57" s="7">
        <v>42</v>
      </c>
      <c r="J57" s="31">
        <v>575.54499999999996</v>
      </c>
      <c r="K57" s="5" t="s">
        <v>6193</v>
      </c>
      <c r="L57" s="5">
        <v>1.4999999999999999E-2</v>
      </c>
      <c r="M57" s="5"/>
      <c r="N57" s="5"/>
      <c r="O57" s="5" t="s">
        <v>6190</v>
      </c>
      <c r="P57" s="5">
        <v>4</v>
      </c>
      <c r="Q57" s="5" t="s">
        <v>6189</v>
      </c>
      <c r="R57" s="5">
        <v>14</v>
      </c>
      <c r="S57" s="5" t="s">
        <v>6165</v>
      </c>
      <c r="T57" s="5">
        <v>17</v>
      </c>
      <c r="U57" s="5" t="s">
        <v>5560</v>
      </c>
      <c r="V57" s="5">
        <v>17</v>
      </c>
      <c r="W57" s="35" t="s">
        <v>4856</v>
      </c>
      <c r="X57" s="5">
        <v>8</v>
      </c>
      <c r="Y57" s="35" t="s">
        <v>1012</v>
      </c>
      <c r="Z57" s="5">
        <v>34</v>
      </c>
      <c r="AA57" s="5">
        <v>16</v>
      </c>
      <c r="AB57" s="5" t="s">
        <v>6191</v>
      </c>
      <c r="AC57" s="5"/>
      <c r="AD57" s="47" t="str">
        <f t="shared" si="1"/>
        <v>(194*'42'*575,545*'12,7 / 15,88 / 19,43 / 19,05 '*'0,015'***4*14*17*17*8*34)*</v>
      </c>
    </row>
    <row r="58" spans="1:30" ht="20.149999999999999" customHeight="1" x14ac:dyDescent="0.35">
      <c r="A58" s="3">
        <v>195</v>
      </c>
      <c r="B58" s="27" t="s">
        <v>5154</v>
      </c>
      <c r="C58" s="27"/>
      <c r="D58" s="22"/>
      <c r="E58" s="15">
        <v>1</v>
      </c>
      <c r="F58" s="5" t="s">
        <v>4133</v>
      </c>
      <c r="G58" s="5">
        <v>13</v>
      </c>
      <c r="H58" s="5">
        <v>16</v>
      </c>
      <c r="I58" s="7"/>
      <c r="J58" s="31"/>
      <c r="K58" s="5" t="s">
        <v>6194</v>
      </c>
      <c r="L58" s="5">
        <v>1.4999999999999999E-2</v>
      </c>
      <c r="M58" s="5"/>
      <c r="N58" s="5"/>
      <c r="O58" s="5" t="s">
        <v>5634</v>
      </c>
      <c r="P58" s="5">
        <v>4</v>
      </c>
      <c r="Q58" s="5" t="s">
        <v>972</v>
      </c>
      <c r="R58" s="5" t="s">
        <v>972</v>
      </c>
      <c r="S58" s="5" t="s">
        <v>972</v>
      </c>
      <c r="T58" s="5" t="s">
        <v>972</v>
      </c>
      <c r="U58" s="5" t="s">
        <v>5263</v>
      </c>
      <c r="V58" s="5">
        <v>18</v>
      </c>
      <c r="W58" s="35" t="s">
        <v>4856</v>
      </c>
      <c r="X58" s="5">
        <v>8</v>
      </c>
      <c r="Y58" s="35" t="s">
        <v>6727</v>
      </c>
      <c r="Z58" s="49" t="s">
        <v>6727</v>
      </c>
      <c r="AA58" s="35"/>
      <c r="AB58" s="5"/>
      <c r="AC58" s="5"/>
      <c r="AD58" s="47" t="str">
        <f t="shared" si="1"/>
        <v>(195*''**'14,3 / 22,22'*'0,015'***4*NULL*NULL*18*8*EL Kala)*</v>
      </c>
    </row>
    <row r="59" spans="1:30" ht="20.149999999999999" customHeight="1" x14ac:dyDescent="0.35">
      <c r="A59" s="3">
        <v>196</v>
      </c>
      <c r="B59" s="27" t="s">
        <v>5155</v>
      </c>
      <c r="C59" s="27"/>
      <c r="D59" s="22"/>
      <c r="E59" s="15">
        <v>1</v>
      </c>
      <c r="F59" s="5" t="s">
        <v>4133</v>
      </c>
      <c r="G59" s="5">
        <v>13</v>
      </c>
      <c r="H59" s="5">
        <v>16</v>
      </c>
      <c r="I59" s="7">
        <v>48</v>
      </c>
      <c r="J59" s="31">
        <v>87</v>
      </c>
      <c r="K59" s="5" t="s">
        <v>6194</v>
      </c>
      <c r="L59" s="5">
        <v>1.4999999999999999E-2</v>
      </c>
      <c r="M59" s="5"/>
      <c r="N59" s="5"/>
      <c r="O59" s="5" t="s">
        <v>6184</v>
      </c>
      <c r="P59" s="5">
        <v>6</v>
      </c>
      <c r="Q59" s="5" t="s">
        <v>972</v>
      </c>
      <c r="R59" s="5" t="s">
        <v>972</v>
      </c>
      <c r="S59" s="5" t="s">
        <v>972</v>
      </c>
      <c r="T59" s="5" t="s">
        <v>972</v>
      </c>
      <c r="U59" s="5" t="s">
        <v>5263</v>
      </c>
      <c r="V59" s="5">
        <v>18</v>
      </c>
      <c r="W59" s="35"/>
      <c r="X59" s="50"/>
      <c r="Y59" s="35"/>
      <c r="Z59" s="50"/>
      <c r="AA59" s="5"/>
      <c r="AB59" s="5"/>
      <c r="AC59" s="5"/>
      <c r="AD59" s="47" t="str">
        <f t="shared" si="1"/>
        <v>(196*'48'*87*'14,3 / 22,22'*'0,015'***6*NULL*NULL*18**)*</v>
      </c>
    </row>
    <row r="60" spans="1:30" ht="20.149999999999999" customHeight="1" x14ac:dyDescent="0.35">
      <c r="A60" s="3">
        <v>197</v>
      </c>
      <c r="B60" s="27" t="s">
        <v>5156</v>
      </c>
      <c r="C60" s="27"/>
      <c r="D60" s="22">
        <v>29587</v>
      </c>
      <c r="E60" s="15">
        <v>1</v>
      </c>
      <c r="F60" s="5" t="s">
        <v>4141</v>
      </c>
      <c r="G60" s="5">
        <v>15</v>
      </c>
      <c r="H60" s="5">
        <v>16</v>
      </c>
      <c r="I60" s="7">
        <v>42</v>
      </c>
      <c r="J60" s="31">
        <v>437</v>
      </c>
      <c r="K60" s="5" t="s">
        <v>6223</v>
      </c>
      <c r="L60" s="5">
        <v>1.4999999999999999E-2</v>
      </c>
      <c r="M60" s="5"/>
      <c r="N60" s="5"/>
      <c r="O60" s="5" t="s">
        <v>5634</v>
      </c>
      <c r="P60" s="5">
        <v>4</v>
      </c>
      <c r="Q60" s="5">
        <v>11.3</v>
      </c>
      <c r="R60" s="5">
        <v>14</v>
      </c>
      <c r="S60" s="5" t="s">
        <v>972</v>
      </c>
      <c r="T60" s="5" t="s">
        <v>972</v>
      </c>
      <c r="U60" s="5" t="s">
        <v>5156</v>
      </c>
      <c r="V60" s="5">
        <v>20</v>
      </c>
      <c r="W60" s="35" t="s">
        <v>4856</v>
      </c>
      <c r="X60" s="5">
        <v>8</v>
      </c>
      <c r="Y60" s="35" t="s">
        <v>6226</v>
      </c>
      <c r="Z60" s="5">
        <v>24</v>
      </c>
      <c r="AA60" s="5">
        <v>16</v>
      </c>
      <c r="AB60" s="5" t="s">
        <v>6224</v>
      </c>
      <c r="AC60" s="5"/>
      <c r="AD60" s="47" t="str">
        <f t="shared" si="1"/>
        <v>(197*'42'*437*'11,91 / 12,7 / 19,05'*'0,015'***4*14*NULL*20*8*24)*</v>
      </c>
    </row>
    <row r="61" spans="1:30" ht="20.149999999999999" customHeight="1" x14ac:dyDescent="0.35">
      <c r="A61" s="3">
        <v>198</v>
      </c>
      <c r="B61" s="27" t="s">
        <v>5157</v>
      </c>
      <c r="C61" s="27"/>
      <c r="D61" s="22">
        <v>43800</v>
      </c>
      <c r="E61" s="15">
        <v>1</v>
      </c>
      <c r="F61" s="5" t="s">
        <v>4141</v>
      </c>
      <c r="G61" s="5">
        <v>15</v>
      </c>
      <c r="H61" s="5">
        <v>16</v>
      </c>
      <c r="I61" s="7">
        <v>42</v>
      </c>
      <c r="J61" s="31">
        <v>207</v>
      </c>
      <c r="K61" s="5" t="s">
        <v>6225</v>
      </c>
      <c r="L61" s="5">
        <v>1.4999999999999999E-2</v>
      </c>
      <c r="M61" s="5"/>
      <c r="N61" s="5"/>
      <c r="O61" s="5" t="s">
        <v>6184</v>
      </c>
      <c r="P61" s="5">
        <v>6</v>
      </c>
      <c r="Q61" s="5" t="s">
        <v>5649</v>
      </c>
      <c r="R61" s="5" t="s">
        <v>972</v>
      </c>
      <c r="S61" s="5" t="s">
        <v>972</v>
      </c>
      <c r="T61" s="5" t="s">
        <v>972</v>
      </c>
      <c r="U61" s="5" t="s">
        <v>5156</v>
      </c>
      <c r="V61" s="5">
        <v>20</v>
      </c>
      <c r="W61" s="35" t="s">
        <v>6227</v>
      </c>
      <c r="X61" s="5">
        <v>9</v>
      </c>
      <c r="Y61" s="35" t="s">
        <v>6226</v>
      </c>
      <c r="Z61" s="5">
        <v>24</v>
      </c>
      <c r="AA61" s="5">
        <v>16</v>
      </c>
      <c r="AB61" s="5"/>
      <c r="AC61" s="5"/>
      <c r="AD61" s="47" t="str">
        <f t="shared" si="1"/>
        <v>(198*'42'*207*'20,62 / 14,27'*'0,015'***6*NULL*NULL*20*9*24)*</v>
      </c>
    </row>
    <row r="62" spans="1:30" ht="20.149999999999999" customHeight="1" x14ac:dyDescent="0.35">
      <c r="A62" s="3">
        <v>199</v>
      </c>
      <c r="B62" s="27" t="s">
        <v>5158</v>
      </c>
      <c r="C62" s="27"/>
      <c r="D62" s="22"/>
      <c r="E62" s="15">
        <v>1</v>
      </c>
      <c r="F62" s="5" t="s">
        <v>4129</v>
      </c>
      <c r="G62" s="5"/>
      <c r="H62" s="5">
        <v>16</v>
      </c>
      <c r="I62" s="7"/>
      <c r="J62" s="31"/>
      <c r="K62" s="5" t="s">
        <v>6225</v>
      </c>
      <c r="L62" s="5">
        <v>1.4999999999999999E-2</v>
      </c>
      <c r="M62" s="5"/>
      <c r="N62" s="5"/>
      <c r="O62" s="5" t="s">
        <v>5634</v>
      </c>
      <c r="P62" s="5">
        <v>4</v>
      </c>
      <c r="Q62" s="5" t="s">
        <v>972</v>
      </c>
      <c r="R62" s="5" t="s">
        <v>972</v>
      </c>
      <c r="S62" s="5" t="s">
        <v>972</v>
      </c>
      <c r="T62" s="5" t="s">
        <v>972</v>
      </c>
      <c r="U62" s="5" t="s">
        <v>5566</v>
      </c>
      <c r="V62" s="5">
        <v>21</v>
      </c>
      <c r="W62" s="35"/>
      <c r="X62" s="50"/>
      <c r="Y62" s="35"/>
      <c r="Z62" s="50"/>
      <c r="AA62" s="5"/>
      <c r="AB62" s="5"/>
      <c r="AC62" s="5"/>
      <c r="AD62" s="47" t="str">
        <f t="shared" si="1"/>
        <v>(199*''**'20,62 / 14,27'*'0,015'***4*NULL*NULL*21**)*</v>
      </c>
    </row>
    <row r="63" spans="1:30" ht="20.149999999999999" customHeight="1" x14ac:dyDescent="0.35">
      <c r="A63" s="3">
        <v>200</v>
      </c>
      <c r="B63" s="27" t="s">
        <v>5159</v>
      </c>
      <c r="C63" s="27"/>
      <c r="D63" s="22">
        <v>31413</v>
      </c>
      <c r="E63" s="15">
        <v>1</v>
      </c>
      <c r="F63" s="5" t="s">
        <v>4137</v>
      </c>
      <c r="G63" s="5">
        <v>14</v>
      </c>
      <c r="H63" s="5">
        <v>16</v>
      </c>
      <c r="I63" s="7" t="s">
        <v>6198</v>
      </c>
      <c r="J63" s="31">
        <v>966</v>
      </c>
      <c r="K63" s="5" t="s">
        <v>6200</v>
      </c>
      <c r="L63" s="5">
        <v>1.4999999999999999E-2</v>
      </c>
      <c r="M63" s="5"/>
      <c r="N63" s="5"/>
      <c r="O63" s="5" t="s">
        <v>6199</v>
      </c>
      <c r="P63" s="5">
        <v>6</v>
      </c>
      <c r="Q63" s="5" t="s">
        <v>5665</v>
      </c>
      <c r="R63" s="5">
        <v>14</v>
      </c>
      <c r="S63" s="5" t="s">
        <v>6165</v>
      </c>
      <c r="T63" s="5">
        <v>17</v>
      </c>
      <c r="U63" s="5" t="s">
        <v>5566</v>
      </c>
      <c r="V63" s="5">
        <v>21</v>
      </c>
      <c r="W63" s="35" t="s">
        <v>5389</v>
      </c>
      <c r="X63" s="5">
        <v>20</v>
      </c>
      <c r="Y63" s="35" t="s">
        <v>4856</v>
      </c>
      <c r="Z63" s="5">
        <v>8</v>
      </c>
      <c r="AA63" s="5">
        <v>16</v>
      </c>
      <c r="AB63" s="5" t="s">
        <v>6216</v>
      </c>
      <c r="AC63" s="5"/>
      <c r="AD63" s="47" t="str">
        <f t="shared" si="1"/>
        <v>(200*'42 / 48'*966*'11,92 / 12,7 / 13,35 / 14,27 / 15,88 / 22,22'*'0,015'***6*14*17*21*20*8)*</v>
      </c>
    </row>
    <row r="64" spans="1:30" ht="20.149999999999999" customHeight="1" x14ac:dyDescent="0.35">
      <c r="A64" s="3">
        <v>201</v>
      </c>
      <c r="B64" s="27" t="s">
        <v>5160</v>
      </c>
      <c r="C64" s="27"/>
      <c r="D64" s="22">
        <v>36161</v>
      </c>
      <c r="E64" s="15">
        <v>1</v>
      </c>
      <c r="F64" s="5" t="s">
        <v>4137</v>
      </c>
      <c r="G64" s="5">
        <v>14</v>
      </c>
      <c r="H64" s="5">
        <v>16</v>
      </c>
      <c r="I64" s="7" t="s">
        <v>6198</v>
      </c>
      <c r="J64" s="31">
        <v>966</v>
      </c>
      <c r="K64" s="5" t="s">
        <v>6201</v>
      </c>
      <c r="L64" s="5">
        <v>1.4999999999999999E-2</v>
      </c>
      <c r="M64" s="5"/>
      <c r="N64" s="5"/>
      <c r="O64" s="5" t="s">
        <v>6184</v>
      </c>
      <c r="P64" s="5">
        <v>6</v>
      </c>
      <c r="Q64" s="5" t="s">
        <v>5635</v>
      </c>
      <c r="R64" s="5">
        <v>11</v>
      </c>
      <c r="S64" s="5" t="s">
        <v>6165</v>
      </c>
      <c r="T64" s="5">
        <v>17</v>
      </c>
      <c r="U64" s="5" t="s">
        <v>5566</v>
      </c>
      <c r="V64" s="5">
        <v>21</v>
      </c>
      <c r="W64" s="35" t="s">
        <v>5389</v>
      </c>
      <c r="X64" s="5">
        <v>20</v>
      </c>
      <c r="Y64" s="35" t="s">
        <v>4856</v>
      </c>
      <c r="Z64" s="5">
        <v>8</v>
      </c>
      <c r="AA64" s="5">
        <v>16</v>
      </c>
      <c r="AB64" s="5" t="s">
        <v>6217</v>
      </c>
      <c r="AC64" s="5"/>
      <c r="AD64" s="47" t="str">
        <f t="shared" si="1"/>
        <v>(201*'42 / 48'*966*'11,91 / 12,7 / 14,27 / 19,05 / 22,22'*'0,015'***6*11*17*21*20*8)*</v>
      </c>
    </row>
    <row r="65" spans="1:30" ht="20.149999999999999" customHeight="1" x14ac:dyDescent="0.35">
      <c r="A65" s="3">
        <v>202</v>
      </c>
      <c r="B65" s="27" t="s">
        <v>5161</v>
      </c>
      <c r="C65" s="27"/>
      <c r="D65" s="22">
        <v>37622</v>
      </c>
      <c r="E65" s="15">
        <v>1</v>
      </c>
      <c r="F65" s="5" t="s">
        <v>4089</v>
      </c>
      <c r="G65" s="5">
        <v>2</v>
      </c>
      <c r="H65" s="5">
        <v>2</v>
      </c>
      <c r="I65" s="7">
        <v>48</v>
      </c>
      <c r="J65" s="31">
        <v>520</v>
      </c>
      <c r="K65" s="5" t="s">
        <v>6201</v>
      </c>
      <c r="L65" s="5">
        <v>1.4999999999999999E-2</v>
      </c>
      <c r="M65" s="5"/>
      <c r="N65" s="5"/>
      <c r="O65" s="5" t="s">
        <v>5634</v>
      </c>
      <c r="P65" s="5">
        <v>4</v>
      </c>
      <c r="Q65" s="5" t="s">
        <v>972</v>
      </c>
      <c r="R65" s="5" t="s">
        <v>972</v>
      </c>
      <c r="S65" s="5" t="s">
        <v>972</v>
      </c>
      <c r="T65" s="5" t="s">
        <v>972</v>
      </c>
      <c r="U65" s="5" t="s">
        <v>5566</v>
      </c>
      <c r="V65" s="5">
        <v>21</v>
      </c>
      <c r="W65" s="35"/>
      <c r="X65" s="50"/>
      <c r="Y65" s="35"/>
      <c r="Z65" s="50"/>
      <c r="AA65" s="5"/>
      <c r="AB65" s="5"/>
      <c r="AC65" s="5"/>
      <c r="AD65" s="47" t="str">
        <f t="shared" si="1"/>
        <v>(202*'48'*520*'11,91 / 12,7 / 14,27 / 19,05 / 22,22'*'0,015'***4*NULL*NULL*21**)*</v>
      </c>
    </row>
    <row r="66" spans="1:30" ht="20.149999999999999" customHeight="1" x14ac:dyDescent="0.35">
      <c r="A66" s="3">
        <v>203</v>
      </c>
      <c r="B66" s="27" t="s">
        <v>5162</v>
      </c>
      <c r="C66" s="27"/>
      <c r="D66" s="22">
        <v>41640</v>
      </c>
      <c r="E66" s="15">
        <v>1</v>
      </c>
      <c r="F66" s="5" t="s">
        <v>4137</v>
      </c>
      <c r="G66" s="5">
        <v>14</v>
      </c>
      <c r="H66" s="5">
        <v>16</v>
      </c>
      <c r="I66" s="7">
        <v>48</v>
      </c>
      <c r="J66" s="31">
        <v>535</v>
      </c>
      <c r="K66" s="5" t="s">
        <v>6183</v>
      </c>
      <c r="L66" s="5">
        <v>1.4999999999999999E-2</v>
      </c>
      <c r="M66" s="5"/>
      <c r="N66" s="5"/>
      <c r="O66" s="5" t="s">
        <v>6184</v>
      </c>
      <c r="P66" s="5">
        <v>6</v>
      </c>
      <c r="Q66" s="5" t="s">
        <v>972</v>
      </c>
      <c r="R66" s="5" t="s">
        <v>972</v>
      </c>
      <c r="S66" s="5" t="s">
        <v>972</v>
      </c>
      <c r="T66" s="5" t="s">
        <v>972</v>
      </c>
      <c r="U66" s="5" t="s">
        <v>5566</v>
      </c>
      <c r="V66" s="5">
        <v>21</v>
      </c>
      <c r="W66" s="35" t="s">
        <v>6202</v>
      </c>
      <c r="X66" s="5">
        <v>18</v>
      </c>
      <c r="Y66" s="35" t="s">
        <v>4856</v>
      </c>
      <c r="Z66" s="5">
        <v>8</v>
      </c>
      <c r="AA66" s="5">
        <v>16</v>
      </c>
      <c r="AB66" s="5" t="s">
        <v>6181</v>
      </c>
      <c r="AC66" s="5"/>
      <c r="AD66" s="47" t="str">
        <f t="shared" si="1"/>
        <v>(203*'48'*535*'12,7 / 14,27 / 22,22'*'0,015'***6*NULL*NULL*21*18*8)*</v>
      </c>
    </row>
    <row r="67" spans="1:30" ht="20.149999999999999" customHeight="1" x14ac:dyDescent="0.35">
      <c r="A67" s="3">
        <v>204</v>
      </c>
      <c r="B67" s="27" t="s">
        <v>5163</v>
      </c>
      <c r="C67" s="27"/>
      <c r="D67" s="22">
        <v>42887</v>
      </c>
      <c r="E67" s="15">
        <v>1</v>
      </c>
      <c r="F67" s="5" t="s">
        <v>4145</v>
      </c>
      <c r="G67" s="5">
        <v>16</v>
      </c>
      <c r="H67" s="5">
        <v>16</v>
      </c>
      <c r="I67" s="7">
        <v>48</v>
      </c>
      <c r="J67" s="31">
        <v>770</v>
      </c>
      <c r="K67" s="30" t="s">
        <v>6228</v>
      </c>
      <c r="L67" s="5">
        <v>1.4999999999999999E-2</v>
      </c>
      <c r="M67" s="5"/>
      <c r="N67" s="5"/>
      <c r="O67" s="5" t="s">
        <v>6184</v>
      </c>
      <c r="P67" s="5">
        <v>6</v>
      </c>
      <c r="Q67" s="5" t="s">
        <v>972</v>
      </c>
      <c r="R67" s="5" t="s">
        <v>972</v>
      </c>
      <c r="S67" s="5" t="s">
        <v>972</v>
      </c>
      <c r="T67" s="5" t="s">
        <v>972</v>
      </c>
      <c r="U67" s="5" t="s">
        <v>5569</v>
      </c>
      <c r="V67" s="5">
        <v>22</v>
      </c>
      <c r="W67" s="35" t="s">
        <v>1123</v>
      </c>
      <c r="X67" s="5">
        <v>32</v>
      </c>
      <c r="Y67" s="35" t="s">
        <v>4856</v>
      </c>
      <c r="Z67" s="5">
        <v>8</v>
      </c>
      <c r="AA67" s="5">
        <v>16</v>
      </c>
      <c r="AB67" s="5" t="s">
        <v>6229</v>
      </c>
      <c r="AC67" s="5"/>
      <c r="AD67" s="47" t="str">
        <f t="shared" si="1"/>
        <v>(204*'48'*770*'12,48 / 13,61 / 20,79 / 24,26'*'0,015'***6*NULL*NULL*22*32*8)*</v>
      </c>
    </row>
    <row r="68" spans="1:30" ht="20.149999999999999" customHeight="1" x14ac:dyDescent="0.35">
      <c r="A68" s="3">
        <v>205</v>
      </c>
      <c r="B68" s="27" t="s">
        <v>5164</v>
      </c>
      <c r="C68" s="27"/>
      <c r="D68" s="22">
        <v>42736</v>
      </c>
      <c r="E68" s="15">
        <v>1</v>
      </c>
      <c r="F68" s="5" t="s">
        <v>4137</v>
      </c>
      <c r="G68" s="5">
        <v>14</v>
      </c>
      <c r="H68" s="5">
        <v>16</v>
      </c>
      <c r="I68" s="7">
        <v>48</v>
      </c>
      <c r="J68" s="31">
        <v>531</v>
      </c>
      <c r="K68" s="5" t="s">
        <v>6183</v>
      </c>
      <c r="L68" s="5">
        <v>1.4999999999999999E-2</v>
      </c>
      <c r="M68" s="5"/>
      <c r="N68" s="5"/>
      <c r="O68" s="5" t="s">
        <v>6184</v>
      </c>
      <c r="P68" s="5">
        <v>6</v>
      </c>
      <c r="Q68" s="5" t="s">
        <v>972</v>
      </c>
      <c r="R68" s="5" t="s">
        <v>972</v>
      </c>
      <c r="S68" s="5" t="s">
        <v>972</v>
      </c>
      <c r="T68" s="5" t="s">
        <v>972</v>
      </c>
      <c r="U68" s="5" t="s">
        <v>5566</v>
      </c>
      <c r="V68" s="5">
        <v>21</v>
      </c>
      <c r="W68" s="35" t="s">
        <v>6202</v>
      </c>
      <c r="X68" s="5">
        <v>18</v>
      </c>
      <c r="Y68" s="35" t="s">
        <v>4856</v>
      </c>
      <c r="Z68" s="5">
        <v>8</v>
      </c>
      <c r="AA68" s="5">
        <v>16</v>
      </c>
      <c r="AB68" s="5" t="s">
        <v>6181</v>
      </c>
      <c r="AC68" s="5"/>
      <c r="AD68" s="47" t="str">
        <f t="shared" si="1"/>
        <v>(205*'48'*531*'12,7 / 14,27 / 22,22'*'0,015'***6*NULL*NULL*21*18*8)*</v>
      </c>
    </row>
    <row r="69" spans="1:30" ht="20.149999999999999" customHeight="1" x14ac:dyDescent="0.35">
      <c r="A69" s="3">
        <v>206</v>
      </c>
      <c r="B69" s="27" t="s">
        <v>5165</v>
      </c>
      <c r="C69" s="27"/>
      <c r="D69" s="22">
        <v>43800</v>
      </c>
      <c r="E69" s="15">
        <v>1</v>
      </c>
      <c r="F69" s="5" t="s">
        <v>4145</v>
      </c>
      <c r="G69" s="5">
        <v>16</v>
      </c>
      <c r="H69" s="5">
        <v>16</v>
      </c>
      <c r="I69" s="7">
        <v>48</v>
      </c>
      <c r="J69" s="31">
        <v>345</v>
      </c>
      <c r="K69" s="5" t="s">
        <v>6230</v>
      </c>
      <c r="L69" s="5">
        <v>1.4999999999999999E-2</v>
      </c>
      <c r="M69" s="5"/>
      <c r="N69" s="5"/>
      <c r="O69" s="5" t="s">
        <v>6184</v>
      </c>
      <c r="P69" s="5">
        <v>6</v>
      </c>
      <c r="Q69" s="5" t="s">
        <v>972</v>
      </c>
      <c r="R69" s="5" t="s">
        <v>972</v>
      </c>
      <c r="S69" s="5" t="s">
        <v>972</v>
      </c>
      <c r="T69" s="5" t="s">
        <v>972</v>
      </c>
      <c r="U69" s="5" t="s">
        <v>5569</v>
      </c>
      <c r="V69" s="5">
        <v>22</v>
      </c>
      <c r="W69" s="35" t="s">
        <v>6231</v>
      </c>
      <c r="X69" s="5"/>
      <c r="Y69" s="35" t="s">
        <v>4856</v>
      </c>
      <c r="Z69" s="5">
        <v>8</v>
      </c>
      <c r="AA69" s="5"/>
      <c r="AB69" s="5"/>
      <c r="AC69" s="5"/>
      <c r="AD69" s="47" t="str">
        <f t="shared" si="1"/>
        <v>(206*'48'*345*'12,95 / 14,27 / 22,23'*'0,015'***6*NULL*NULL*22**8)*</v>
      </c>
    </row>
    <row r="70" spans="1:30" ht="20.149999999999999" customHeight="1" x14ac:dyDescent="0.35">
      <c r="A70" s="3">
        <v>207</v>
      </c>
      <c r="B70" s="27" t="s">
        <v>4153</v>
      </c>
      <c r="C70" s="27"/>
      <c r="D70" s="22">
        <v>35065</v>
      </c>
      <c r="E70" s="15">
        <v>1</v>
      </c>
      <c r="F70" s="5" t="s">
        <v>4153</v>
      </c>
      <c r="G70" s="5">
        <v>18</v>
      </c>
      <c r="H70" s="5">
        <v>16</v>
      </c>
      <c r="I70" s="7">
        <v>48</v>
      </c>
      <c r="J70" s="31">
        <v>521</v>
      </c>
      <c r="K70" s="5" t="s">
        <v>6183</v>
      </c>
      <c r="L70" s="5">
        <v>1.4999999999999999E-2</v>
      </c>
      <c r="M70" s="5"/>
      <c r="N70" s="5"/>
      <c r="O70" s="5" t="s">
        <v>6184</v>
      </c>
      <c r="P70" s="5">
        <v>6</v>
      </c>
      <c r="Q70" s="5" t="s">
        <v>6185</v>
      </c>
      <c r="R70" s="5">
        <v>9</v>
      </c>
      <c r="S70" s="5" t="s">
        <v>6165</v>
      </c>
      <c r="T70" s="5">
        <v>17</v>
      </c>
      <c r="U70" s="5" t="s">
        <v>6186</v>
      </c>
      <c r="V70" s="5">
        <v>16</v>
      </c>
      <c r="W70" s="35" t="s">
        <v>4856</v>
      </c>
      <c r="X70" s="5">
        <v>8</v>
      </c>
      <c r="Y70" s="35" t="s">
        <v>6187</v>
      </c>
      <c r="Z70" s="5">
        <v>12</v>
      </c>
      <c r="AA70" s="5">
        <v>16</v>
      </c>
      <c r="AB70" s="5" t="s">
        <v>6157</v>
      </c>
      <c r="AC70" s="5"/>
      <c r="AD70" s="47" t="str">
        <f t="shared" si="1"/>
        <v>(207*'48'*521*'12,7 / 14,27 / 22,22'*'0,015'***6*9*17*16*8*12)*</v>
      </c>
    </row>
    <row r="71" spans="1:30" ht="20.149999999999999" customHeight="1" x14ac:dyDescent="0.35">
      <c r="A71" s="3">
        <v>208</v>
      </c>
      <c r="B71" s="27" t="s">
        <v>5166</v>
      </c>
      <c r="C71" s="27"/>
      <c r="D71" s="22">
        <v>44197</v>
      </c>
      <c r="E71" s="15">
        <v>1</v>
      </c>
      <c r="F71" s="5" t="s">
        <v>4153</v>
      </c>
      <c r="G71" s="5">
        <v>18</v>
      </c>
      <c r="H71" s="5">
        <v>16</v>
      </c>
      <c r="I71" s="7">
        <v>48</v>
      </c>
      <c r="J71" s="31">
        <v>198</v>
      </c>
      <c r="K71" s="5" t="s">
        <v>6188</v>
      </c>
      <c r="L71" s="5">
        <v>1.4999999999999999E-2</v>
      </c>
      <c r="M71" s="5"/>
      <c r="N71" s="5"/>
      <c r="O71" s="5" t="s">
        <v>5634</v>
      </c>
      <c r="P71" s="5">
        <v>4</v>
      </c>
      <c r="Q71" s="5" t="s">
        <v>972</v>
      </c>
      <c r="R71" s="5" t="s">
        <v>972</v>
      </c>
      <c r="S71" s="5" t="s">
        <v>972</v>
      </c>
      <c r="T71" s="5" t="s">
        <v>972</v>
      </c>
      <c r="U71" s="5" t="s">
        <v>6186</v>
      </c>
      <c r="V71" s="5">
        <v>16</v>
      </c>
      <c r="W71" s="35" t="s">
        <v>6187</v>
      </c>
      <c r="X71" s="5">
        <v>12</v>
      </c>
      <c r="Y71" s="35" t="s">
        <v>2048</v>
      </c>
      <c r="Z71" s="5">
        <v>3</v>
      </c>
      <c r="AA71" s="5">
        <v>16</v>
      </c>
      <c r="AB71" s="5" t="s">
        <v>6162</v>
      </c>
      <c r="AC71" s="5"/>
      <c r="AD71" s="47" t="str">
        <f t="shared" ref="AD71:AD74" si="2">CONCATENATE("(",A71,"*'",I71,"'*",J71,"*'",K71,"'*'",L71,"'*",M71,"*",N71,"*",P71,"*",R71,"*",T71,"*",V71,"*",X71,"*",Z71,")*")</f>
        <v>(208*'48'*198*'13,61/  14,27 / 20,79 / 22,23'*'0,015'***4*NULL*NULL*16*12*3)*</v>
      </c>
    </row>
    <row r="72" spans="1:30" ht="20.149999999999999" customHeight="1" x14ac:dyDescent="0.35">
      <c r="A72" s="3">
        <v>209</v>
      </c>
      <c r="B72" s="27" t="s">
        <v>5167</v>
      </c>
      <c r="C72" s="27"/>
      <c r="D72" s="22">
        <v>29952</v>
      </c>
      <c r="E72" s="15">
        <v>1</v>
      </c>
      <c r="F72" s="5" t="s">
        <v>4149</v>
      </c>
      <c r="G72" s="5">
        <v>17</v>
      </c>
      <c r="H72" s="5">
        <v>16</v>
      </c>
      <c r="I72" s="7">
        <v>48</v>
      </c>
      <c r="J72" s="31">
        <v>548.28499999999997</v>
      </c>
      <c r="K72" s="5" t="s">
        <v>6183</v>
      </c>
      <c r="L72" s="5">
        <v>1.4999999999999999E-2</v>
      </c>
      <c r="M72" s="5"/>
      <c r="N72" s="5"/>
      <c r="O72" s="5" t="s">
        <v>6156</v>
      </c>
      <c r="P72" s="5">
        <v>4</v>
      </c>
      <c r="Q72" s="5" t="s">
        <v>5658</v>
      </c>
      <c r="R72" s="5">
        <v>14</v>
      </c>
      <c r="S72" s="5" t="s">
        <v>6165</v>
      </c>
      <c r="T72" s="5">
        <v>17</v>
      </c>
      <c r="U72" s="5" t="s">
        <v>5563</v>
      </c>
      <c r="V72" s="5">
        <v>19</v>
      </c>
      <c r="W72" s="35" t="s">
        <v>4856</v>
      </c>
      <c r="X72" s="5">
        <v>8</v>
      </c>
      <c r="Y72" s="35" t="s">
        <v>5485</v>
      </c>
      <c r="Z72" s="5">
        <v>2</v>
      </c>
      <c r="AA72" s="5">
        <v>16</v>
      </c>
      <c r="AB72" s="5" t="s">
        <v>4624</v>
      </c>
      <c r="AC72" s="5"/>
      <c r="AD72" s="47" t="str">
        <f t="shared" si="2"/>
        <v>(209*'48'*548,285*'12,7 / 14,27 / 22,22'*'0,015'***4*14*17*19*8*2)*</v>
      </c>
    </row>
    <row r="73" spans="1:30" ht="20.149999999999999" customHeight="1" x14ac:dyDescent="0.35">
      <c r="A73" s="3">
        <v>210</v>
      </c>
      <c r="B73" s="27" t="s">
        <v>5168</v>
      </c>
      <c r="C73" s="27"/>
      <c r="D73" s="22">
        <v>31778</v>
      </c>
      <c r="E73" s="15">
        <v>1</v>
      </c>
      <c r="F73" s="5" t="s">
        <v>4149</v>
      </c>
      <c r="G73" s="5">
        <v>17</v>
      </c>
      <c r="H73" s="5">
        <v>16</v>
      </c>
      <c r="I73" s="7">
        <v>48</v>
      </c>
      <c r="J73" s="31">
        <v>548.28499999999997</v>
      </c>
      <c r="K73" s="5" t="s">
        <v>6183</v>
      </c>
      <c r="L73" s="5">
        <v>1.4999999999999999E-2</v>
      </c>
      <c r="M73" s="5"/>
      <c r="N73" s="5"/>
      <c r="O73" s="5" t="s">
        <v>6156</v>
      </c>
      <c r="P73" s="5">
        <v>4</v>
      </c>
      <c r="Q73" s="5" t="s">
        <v>5658</v>
      </c>
      <c r="R73" s="5">
        <v>14</v>
      </c>
      <c r="S73" s="5" t="s">
        <v>6165</v>
      </c>
      <c r="T73" s="5">
        <v>17</v>
      </c>
      <c r="U73" s="5" t="s">
        <v>5563</v>
      </c>
      <c r="V73" s="5">
        <v>19</v>
      </c>
      <c r="W73" s="35" t="s">
        <v>4856</v>
      </c>
      <c r="X73" s="5">
        <v>8</v>
      </c>
      <c r="Y73" s="35" t="s">
        <v>5485</v>
      </c>
      <c r="Z73" s="5">
        <v>2</v>
      </c>
      <c r="AA73" s="5">
        <v>16</v>
      </c>
      <c r="AB73" s="5" t="s">
        <v>6196</v>
      </c>
      <c r="AC73" s="5"/>
      <c r="AD73" s="47" t="str">
        <f t="shared" si="2"/>
        <v>(210*'48'*548,285*'12,7 / 14,27 / 22,22'*'0,015'***4*14*17*19*8*2)*</v>
      </c>
    </row>
    <row r="74" spans="1:30" ht="20.149999999999999" customHeight="1" x14ac:dyDescent="0.35">
      <c r="A74" s="3">
        <v>211</v>
      </c>
      <c r="B74" s="27" t="s">
        <v>5169</v>
      </c>
      <c r="C74" s="27"/>
      <c r="D74" s="22">
        <v>39448</v>
      </c>
      <c r="E74" s="15">
        <v>1</v>
      </c>
      <c r="F74" s="5" t="s">
        <v>4149</v>
      </c>
      <c r="G74" s="5">
        <v>17</v>
      </c>
      <c r="H74" s="5">
        <v>16</v>
      </c>
      <c r="I74" s="7">
        <v>48</v>
      </c>
      <c r="J74" s="31">
        <v>548.28499999999997</v>
      </c>
      <c r="K74" s="5" t="s">
        <v>6183</v>
      </c>
      <c r="L74" s="5">
        <v>1.4999999999999999E-2</v>
      </c>
      <c r="M74" s="5"/>
      <c r="N74" s="5"/>
      <c r="O74" s="5" t="s">
        <v>6156</v>
      </c>
      <c r="P74" s="5">
        <v>4</v>
      </c>
      <c r="Q74" s="5" t="s">
        <v>6195</v>
      </c>
      <c r="R74" s="5">
        <v>11</v>
      </c>
      <c r="S74" s="5" t="s">
        <v>6165</v>
      </c>
      <c r="T74" s="5">
        <v>17</v>
      </c>
      <c r="U74" s="5" t="s">
        <v>5563</v>
      </c>
      <c r="V74" s="5">
        <v>19</v>
      </c>
      <c r="W74" s="35" t="s">
        <v>4856</v>
      </c>
      <c r="X74" s="5">
        <v>8</v>
      </c>
      <c r="Y74" s="35" t="s">
        <v>5485</v>
      </c>
      <c r="Z74" s="5">
        <v>2</v>
      </c>
      <c r="AA74" s="5">
        <v>16</v>
      </c>
      <c r="AB74" s="5" t="s">
        <v>6197</v>
      </c>
      <c r="AC74" s="5"/>
      <c r="AD74" s="47" t="str">
        <f t="shared" si="2"/>
        <v>(211*'48'*548,285*'12,7 / 14,27 / 22,22'*'0,015'***4*11*17*19*8*2)*</v>
      </c>
    </row>
  </sheetData>
  <autoFilter ref="A1:Z74" xr:uid="{00000000-0009-0000-0000-00002E000000}"/>
  <phoneticPr fontId="2"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theme="5"/>
  </sheetPr>
  <dimension ref="A1:F12"/>
  <sheetViews>
    <sheetView workbookViewId="0">
      <selection activeCell="F2" sqref="F2:F12"/>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65.453125" style="2" bestFit="1" customWidth="1"/>
    <col min="7" max="16384" width="10.81640625" style="2"/>
  </cols>
  <sheetData>
    <row r="1" spans="1:6" ht="20.149999999999999" customHeight="1" x14ac:dyDescent="0.35">
      <c r="A1" s="1" t="s">
        <v>37</v>
      </c>
      <c r="B1" s="1" t="s">
        <v>54</v>
      </c>
      <c r="C1" s="1" t="s">
        <v>6463</v>
      </c>
      <c r="D1" s="1" t="s">
        <v>6462</v>
      </c>
      <c r="E1" s="1" t="s">
        <v>6464</v>
      </c>
      <c r="F1" s="1" t="s">
        <v>5600</v>
      </c>
    </row>
    <row r="2" spans="1:6" ht="20.149999999999999" customHeight="1" x14ac:dyDescent="0.35">
      <c r="A2" s="40" t="s">
        <v>44</v>
      </c>
      <c r="B2" s="40" t="s">
        <v>41</v>
      </c>
      <c r="C2" s="40" t="s">
        <v>42</v>
      </c>
      <c r="D2" s="40" t="s">
        <v>43</v>
      </c>
      <c r="E2" s="40" t="s">
        <v>53</v>
      </c>
      <c r="F2" s="1" t="s">
        <v>6685</v>
      </c>
    </row>
    <row r="3" spans="1:6" ht="20.149999999999999" customHeight="1" x14ac:dyDescent="0.35">
      <c r="A3" s="3">
        <v>1</v>
      </c>
      <c r="B3" s="3" t="s">
        <v>6649</v>
      </c>
      <c r="C3" s="4" t="s">
        <v>6650</v>
      </c>
      <c r="D3" s="4" t="s">
        <v>6651</v>
      </c>
      <c r="E3" s="4" t="s">
        <v>6651</v>
      </c>
      <c r="F3" s="4" t="str">
        <f>CONCATENATE("(",A3,",'",B3,"','",C3,"','",D3,"','",E3,"'),")</f>
        <v>(1,'PRODUCTION','إنتاج','Production','Production'),</v>
      </c>
    </row>
    <row r="4" spans="1:6" ht="20.149999999999999" customHeight="1" x14ac:dyDescent="0.35">
      <c r="A4" s="3">
        <v>2</v>
      </c>
      <c r="B4" s="3" t="s">
        <v>6652</v>
      </c>
      <c r="C4" s="4" t="s">
        <v>6653</v>
      </c>
      <c r="D4" s="4" t="s">
        <v>6654</v>
      </c>
      <c r="E4" s="4" t="s">
        <v>6654</v>
      </c>
      <c r="F4" s="4" t="str">
        <f t="shared" ref="F4:F12" si="0">CONCATENATE("(",A4,",'",B4,"','",C4,"','",D4,"','",E4,"'),")</f>
        <v>(2,'TRANSPORT','نقل','Transport','Transport'),</v>
      </c>
    </row>
    <row r="5" spans="1:6" ht="20.149999999999999" customHeight="1" x14ac:dyDescent="0.35">
      <c r="A5" s="3">
        <v>3</v>
      </c>
      <c r="B5" s="3" t="s">
        <v>6655</v>
      </c>
      <c r="C5" s="4" t="s">
        <v>6656</v>
      </c>
      <c r="D5" s="4" t="s">
        <v>6109</v>
      </c>
      <c r="E5" s="4" t="s">
        <v>6657</v>
      </c>
      <c r="F5" s="4" t="str">
        <f t="shared" si="0"/>
        <v>(3,'EXPORT','تصدير','Export','Exportation'),</v>
      </c>
    </row>
    <row r="6" spans="1:6" ht="20.149999999999999" customHeight="1" x14ac:dyDescent="0.35">
      <c r="A6" s="3">
        <v>4</v>
      </c>
      <c r="B6" s="3" t="s">
        <v>6658</v>
      </c>
      <c r="C6" s="4" t="s">
        <v>6659</v>
      </c>
      <c r="D6" s="4" t="s">
        <v>6660</v>
      </c>
      <c r="E6" s="4" t="s">
        <v>6661</v>
      </c>
      <c r="F6" s="4" t="str">
        <f t="shared" si="0"/>
        <v>(4,'IMPORT','استيراد','Import','Importation'),</v>
      </c>
    </row>
    <row r="7" spans="1:6" ht="20.149999999999999" customHeight="1" x14ac:dyDescent="0.35">
      <c r="A7" s="3">
        <v>5</v>
      </c>
      <c r="B7" s="3" t="s">
        <v>6662</v>
      </c>
      <c r="C7" s="4" t="s">
        <v>6663</v>
      </c>
      <c r="D7" s="4" t="s">
        <v>6664</v>
      </c>
      <c r="E7" s="4" t="s">
        <v>6665</v>
      </c>
      <c r="F7" s="4" t="str">
        <f t="shared" si="0"/>
        <v>(5,'STORAGE_IN','تخزين - دخول','Storage In','Stockage - Entrée'),</v>
      </c>
    </row>
    <row r="8" spans="1:6" ht="20.149999999999999" customHeight="1" x14ac:dyDescent="0.35">
      <c r="A8" s="3">
        <v>6</v>
      </c>
      <c r="B8" s="3" t="s">
        <v>6666</v>
      </c>
      <c r="C8" s="4" t="s">
        <v>6667</v>
      </c>
      <c r="D8" s="4" t="s">
        <v>6668</v>
      </c>
      <c r="E8" s="4" t="s">
        <v>6669</v>
      </c>
      <c r="F8" s="4" t="str">
        <f t="shared" si="0"/>
        <v>(6,'STORAGE_OUT','تخزين - خروج','Storage Out','Stockage - Sortie'),</v>
      </c>
    </row>
    <row r="9" spans="1:6" ht="20.149999999999999" customHeight="1" x14ac:dyDescent="0.35">
      <c r="A9" s="3">
        <v>7</v>
      </c>
      <c r="B9" s="3" t="s">
        <v>6670</v>
      </c>
      <c r="C9" s="4" t="s">
        <v>6671</v>
      </c>
      <c r="D9" s="4" t="s">
        <v>6672</v>
      </c>
      <c r="E9" s="4" t="s">
        <v>6673</v>
      </c>
      <c r="F9" s="4" t="str">
        <f t="shared" si="0"/>
        <v>(7,'CONSUMPTION','استهلاك','Consumption','Consommation'),</v>
      </c>
    </row>
    <row r="10" spans="1:6" ht="20.149999999999999" customHeight="1" x14ac:dyDescent="0.35">
      <c r="A10" s="3">
        <v>8</v>
      </c>
      <c r="B10" s="3" t="s">
        <v>6674</v>
      </c>
      <c r="C10" s="4" t="s">
        <v>6675</v>
      </c>
      <c r="D10" s="4" t="s">
        <v>6676</v>
      </c>
      <c r="E10" s="4" t="s">
        <v>6676</v>
      </c>
      <c r="F10" s="4" t="str">
        <f t="shared" si="0"/>
        <v>(8,'INJECTION','حقن','Injection','Injection'),</v>
      </c>
    </row>
    <row r="11" spans="1:6" ht="20.149999999999999" customHeight="1" x14ac:dyDescent="0.35">
      <c r="A11" s="3">
        <v>9</v>
      </c>
      <c r="B11" s="3" t="s">
        <v>6677</v>
      </c>
      <c r="C11" s="4" t="s">
        <v>6678</v>
      </c>
      <c r="D11" s="4" t="s">
        <v>6679</v>
      </c>
      <c r="E11" s="4" t="s">
        <v>6680</v>
      </c>
      <c r="F11" s="4" t="str">
        <f t="shared" si="0"/>
        <v>(9,'FLARING','حرق','Flaring','Torchage'),</v>
      </c>
    </row>
    <row r="12" spans="1:6" ht="20.149999999999999" customHeight="1" x14ac:dyDescent="0.35">
      <c r="A12" s="3">
        <v>10</v>
      </c>
      <c r="B12" s="3" t="s">
        <v>6681</v>
      </c>
      <c r="C12" s="4" t="s">
        <v>6682</v>
      </c>
      <c r="D12" s="4" t="s">
        <v>6683</v>
      </c>
      <c r="E12" s="4" t="s">
        <v>6684</v>
      </c>
      <c r="F12" s="4" t="str">
        <f t="shared" si="0"/>
        <v>(10,'TRANSFER','نقل داخلي','Transfer','Transfert'),</v>
      </c>
    </row>
  </sheetData>
  <autoFilter ref="A2:F12" xr:uid="{00000000-0009-0000-0000-000030000000}"/>
  <phoneticPr fontId="2"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theme="5"/>
  </sheetPr>
  <dimension ref="A1:F12"/>
  <sheetViews>
    <sheetView workbookViewId="0">
      <selection activeCell="F2" sqref="F2:F12"/>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65.453125" style="2" bestFit="1" customWidth="1"/>
    <col min="7" max="16384" width="10.81640625" style="2"/>
  </cols>
  <sheetData>
    <row r="1" spans="1:6" ht="20.149999999999999" customHeight="1" x14ac:dyDescent="0.35">
      <c r="A1" s="1" t="s">
        <v>37</v>
      </c>
      <c r="B1" s="1" t="s">
        <v>54</v>
      </c>
      <c r="C1" s="1" t="s">
        <v>6463</v>
      </c>
      <c r="D1" s="1" t="s">
        <v>6462</v>
      </c>
      <c r="E1" s="1" t="s">
        <v>6464</v>
      </c>
      <c r="F1" s="1" t="s">
        <v>5600</v>
      </c>
    </row>
    <row r="2" spans="1:6" ht="20.149999999999999" customHeight="1" x14ac:dyDescent="0.35">
      <c r="A2" s="40" t="s">
        <v>44</v>
      </c>
      <c r="B2" s="40" t="s">
        <v>41</v>
      </c>
      <c r="C2" s="40" t="s">
        <v>42</v>
      </c>
      <c r="D2" s="40" t="s">
        <v>43</v>
      </c>
      <c r="E2" s="40" t="s">
        <v>53</v>
      </c>
      <c r="F2" s="1" t="s">
        <v>6725</v>
      </c>
    </row>
    <row r="3" spans="1:6" ht="20.149999999999999" customHeight="1" x14ac:dyDescent="0.35">
      <c r="A3" s="3">
        <v>1</v>
      </c>
      <c r="B3" s="3" t="s">
        <v>6686</v>
      </c>
      <c r="C3" s="4" t="s">
        <v>6687</v>
      </c>
      <c r="D3" s="4" t="s">
        <v>6689</v>
      </c>
      <c r="E3" s="4" t="s">
        <v>6688</v>
      </c>
      <c r="F3" s="4" t="str">
        <f>CONCATENATE("(",A3,",'",B3,"','",C3,"','",D3,"','",E3,"'),")</f>
        <v>(1,'EMERGENCY_SHUTDOWN','إيقاف طارئ','Arrêt d'Urgence','Emergency Shutdown'),</v>
      </c>
    </row>
    <row r="4" spans="1:6" ht="20.149999999999999" customHeight="1" x14ac:dyDescent="0.35">
      <c r="A4" s="3">
        <v>2</v>
      </c>
      <c r="B4" s="3" t="s">
        <v>6690</v>
      </c>
      <c r="C4" s="4" t="s">
        <v>6691</v>
      </c>
      <c r="D4" s="4" t="s">
        <v>6693</v>
      </c>
      <c r="E4" s="4" t="s">
        <v>6692</v>
      </c>
      <c r="F4" s="4" t="str">
        <f t="shared" ref="F4:F12" si="0">CONCATENATE("(",A4,",'",B4,"','",C4,"','",D4,"','",E4,"'),")</f>
        <v>(2,'PLANNED_MAINT','صيانة مخططة','Maintenance Planifiée','Planned Maintenance'),</v>
      </c>
    </row>
    <row r="5" spans="1:6" ht="20.149999999999999" customHeight="1" x14ac:dyDescent="0.35">
      <c r="A5" s="3">
        <v>3</v>
      </c>
      <c r="B5" s="3" t="s">
        <v>6694</v>
      </c>
      <c r="C5" s="4" t="s">
        <v>6695</v>
      </c>
      <c r="D5" s="4" t="s">
        <v>6697</v>
      </c>
      <c r="E5" s="4" t="s">
        <v>6696</v>
      </c>
      <c r="F5" s="4" t="str">
        <f t="shared" si="0"/>
        <v>(3,'CORRECTIVE_MAINT','صيانة تصحيحية','Maintenance Corrective','Corrective Maintenance'),</v>
      </c>
    </row>
    <row r="6" spans="1:6" ht="20.149999999999999" customHeight="1" x14ac:dyDescent="0.35">
      <c r="A6" s="3">
        <v>4</v>
      </c>
      <c r="B6" s="3" t="s">
        <v>6698</v>
      </c>
      <c r="C6" s="4" t="s">
        <v>6699</v>
      </c>
      <c r="D6" s="4" t="s">
        <v>6701</v>
      </c>
      <c r="E6" s="4" t="s">
        <v>6700</v>
      </c>
      <c r="F6" s="4" t="str">
        <f t="shared" si="0"/>
        <v>(4,'EQUIPMENT_FAILURE','عطل في المعدات','Panne d'Équipement','Equipment Failure'),</v>
      </c>
    </row>
    <row r="7" spans="1:6" ht="20.149999999999999" customHeight="1" x14ac:dyDescent="0.35">
      <c r="A7" s="3">
        <v>5</v>
      </c>
      <c r="B7" s="3" t="s">
        <v>6702</v>
      </c>
      <c r="C7" s="4" t="s">
        <v>6703</v>
      </c>
      <c r="D7" s="4" t="s">
        <v>6705</v>
      </c>
      <c r="E7" s="4" t="s">
        <v>6704</v>
      </c>
      <c r="F7" s="4" t="str">
        <f t="shared" si="0"/>
        <v>(5,'SAFETY_INCIDENT','حادث أمان','Incident de Sécurité','Safety Incident'),</v>
      </c>
    </row>
    <row r="8" spans="1:6" ht="20.149999999999999" customHeight="1" x14ac:dyDescent="0.35">
      <c r="A8" s="3">
        <v>6</v>
      </c>
      <c r="B8" s="3" t="s">
        <v>6706</v>
      </c>
      <c r="C8" s="4" t="s">
        <v>6707</v>
      </c>
      <c r="D8" s="4" t="s">
        <v>6708</v>
      </c>
      <c r="E8" s="4" t="s">
        <v>6708</v>
      </c>
      <c r="F8" s="4" t="str">
        <f t="shared" si="0"/>
        <v>(6,'INSPECTION','تفتيش','Inspection','Inspection'),</v>
      </c>
    </row>
    <row r="9" spans="1:6" ht="20.149999999999999" customHeight="1" x14ac:dyDescent="0.35">
      <c r="A9" s="3">
        <v>7</v>
      </c>
      <c r="B9" s="3" t="s">
        <v>6709</v>
      </c>
      <c r="C9" s="4" t="s">
        <v>6710</v>
      </c>
      <c r="D9" s="4" t="s">
        <v>6712</v>
      </c>
      <c r="E9" s="4" t="s">
        <v>6711</v>
      </c>
      <c r="F9" s="4" t="str">
        <f t="shared" si="0"/>
        <v>(7,'STARTUP','بدء التشغيل','Démarrage','Startup'),</v>
      </c>
    </row>
    <row r="10" spans="1:6" ht="20.149999999999999" customHeight="1" x14ac:dyDescent="0.35">
      <c r="A10" s="3">
        <v>8</v>
      </c>
      <c r="B10" s="3" t="s">
        <v>6713</v>
      </c>
      <c r="C10" s="4" t="s">
        <v>6714</v>
      </c>
      <c r="D10" s="4" t="s">
        <v>6716</v>
      </c>
      <c r="E10" s="4" t="s">
        <v>6715</v>
      </c>
      <c r="F10" s="4" t="str">
        <f t="shared" si="0"/>
        <v>(8,'NORMAL_SHUTDOWN','إيقاف عادي','Arrêt Normal','Normal Shutdown'),</v>
      </c>
    </row>
    <row r="11" spans="1:6" ht="20.149999999999999" customHeight="1" x14ac:dyDescent="0.35">
      <c r="A11" s="3">
        <v>9</v>
      </c>
      <c r="B11" s="3" t="s">
        <v>6717</v>
      </c>
      <c r="C11" s="4" t="s">
        <v>6718</v>
      </c>
      <c r="D11" s="4" t="s">
        <v>6720</v>
      </c>
      <c r="E11" s="4" t="s">
        <v>6719</v>
      </c>
      <c r="F11" s="4" t="str">
        <f t="shared" si="0"/>
        <v>(9,'PROCESS_UPSET','اضطراب العملية','Perturbation du Processus','Process Upset'),</v>
      </c>
    </row>
    <row r="12" spans="1:6" ht="20.149999999999999" customHeight="1" x14ac:dyDescent="0.35">
      <c r="A12" s="3">
        <v>10</v>
      </c>
      <c r="B12" s="3" t="s">
        <v>6721</v>
      </c>
      <c r="C12" s="4" t="s">
        <v>6722</v>
      </c>
      <c r="D12" s="4" t="s">
        <v>6724</v>
      </c>
      <c r="E12" s="4" t="s">
        <v>6723</v>
      </c>
      <c r="F12" s="4" t="str">
        <f t="shared" si="0"/>
        <v>(10,'LEAK_DETECTION','كشف التسرب','Détection de Fuite','Leak Detection'),</v>
      </c>
    </row>
  </sheetData>
  <autoFilter ref="A2:F12" xr:uid="{00000000-0009-0000-0000-000031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7030A0"/>
  </sheetPr>
  <dimension ref="A1:E8"/>
  <sheetViews>
    <sheetView workbookViewId="0">
      <selection activeCell="C18" sqref="C18"/>
    </sheetView>
  </sheetViews>
  <sheetFormatPr baseColWidth="10" defaultColWidth="10.81640625" defaultRowHeight="15.5" x14ac:dyDescent="0.35"/>
  <cols>
    <col min="1" max="1" width="5.54296875" style="2" customWidth="1"/>
    <col min="2" max="4" width="25.54296875" style="2" customWidth="1"/>
    <col min="5" max="5" width="65.453125" style="2" bestFit="1" customWidth="1"/>
    <col min="6" max="16384" width="10.81640625" style="2"/>
  </cols>
  <sheetData>
    <row r="1" spans="1:5" ht="20.149999999999999" customHeight="1" x14ac:dyDescent="0.35">
      <c r="A1" s="1" t="s">
        <v>37</v>
      </c>
      <c r="B1" s="1" t="s">
        <v>6463</v>
      </c>
      <c r="C1" s="1" t="s">
        <v>6462</v>
      </c>
      <c r="D1" s="1" t="s">
        <v>6464</v>
      </c>
      <c r="E1" s="1" t="s">
        <v>5600</v>
      </c>
    </row>
    <row r="2" spans="1:5" ht="20.149999999999999" customHeight="1" x14ac:dyDescent="0.35">
      <c r="A2" s="40" t="s">
        <v>44</v>
      </c>
      <c r="B2" s="40" t="s">
        <v>41</v>
      </c>
      <c r="C2" s="40" t="s">
        <v>42</v>
      </c>
      <c r="D2" s="40" t="s">
        <v>43</v>
      </c>
      <c r="E2" s="1" t="s">
        <v>6461</v>
      </c>
    </row>
    <row r="3" spans="1:5" ht="20.149999999999999" customHeight="1" x14ac:dyDescent="0.35">
      <c r="A3" s="3">
        <v>1</v>
      </c>
      <c r="B3" s="4" t="s">
        <v>6443</v>
      </c>
      <c r="C3" s="4" t="s">
        <v>6444</v>
      </c>
      <c r="D3" s="4" t="s">
        <v>6445</v>
      </c>
      <c r="E3" s="4" t="str">
        <f>CONCATENATE("(",A3,",'",B3,"','",C3,"','",D3,"'),")</f>
        <v>(1,'مجدول','Scheduled','Planifié'),</v>
      </c>
    </row>
    <row r="4" spans="1:5" ht="20.149999999999999" customHeight="1" x14ac:dyDescent="0.35">
      <c r="A4" s="3">
        <v>2</v>
      </c>
      <c r="B4" s="4" t="s">
        <v>6446</v>
      </c>
      <c r="C4" s="4" t="s">
        <v>6447</v>
      </c>
      <c r="D4" s="4" t="s">
        <v>6448</v>
      </c>
      <c r="E4" s="4" t="str">
        <f t="shared" ref="E4:E8" si="0">CONCATENATE("(",A4,",'",B4,"','",C4,"','",D4,"'),")</f>
        <v>(2,'جاري','Ongoing','En Cours'),</v>
      </c>
    </row>
    <row r="5" spans="1:5" ht="20.149999999999999" customHeight="1" x14ac:dyDescent="0.35">
      <c r="A5" s="3">
        <v>3</v>
      </c>
      <c r="B5" s="4" t="s">
        <v>6449</v>
      </c>
      <c r="C5" s="4" t="s">
        <v>6450</v>
      </c>
      <c r="D5" s="4" t="s">
        <v>6451</v>
      </c>
      <c r="E5" s="4" t="str">
        <f t="shared" si="0"/>
        <v>(3,'مكتمل','Completed','Terminé'),</v>
      </c>
    </row>
    <row r="6" spans="1:5" ht="20.149999999999999" customHeight="1" x14ac:dyDescent="0.35">
      <c r="A6" s="3">
        <v>4</v>
      </c>
      <c r="B6" s="4" t="s">
        <v>6452</v>
      </c>
      <c r="C6" s="4" t="s">
        <v>6453</v>
      </c>
      <c r="D6" s="4" t="s">
        <v>6454</v>
      </c>
      <c r="E6" s="4" t="str">
        <f t="shared" si="0"/>
        <v>(4,'ملغى','Cancelled','Annulé'),</v>
      </c>
    </row>
    <row r="7" spans="1:5" ht="20.149999999999999" customHeight="1" x14ac:dyDescent="0.35">
      <c r="A7" s="3">
        <v>5</v>
      </c>
      <c r="B7" s="4" t="s">
        <v>6455</v>
      </c>
      <c r="C7" s="4" t="s">
        <v>6456</v>
      </c>
      <c r="D7" s="4" t="s">
        <v>6457</v>
      </c>
      <c r="E7" s="4" t="str">
        <f t="shared" si="0"/>
        <v>(5,'مؤجل','Postponed','Reporté'),</v>
      </c>
    </row>
    <row r="8" spans="1:5" ht="20.149999999999999" customHeight="1" x14ac:dyDescent="0.35">
      <c r="A8" s="3">
        <v>6</v>
      </c>
      <c r="B8" s="4" t="s">
        <v>6458</v>
      </c>
      <c r="C8" s="4" t="s">
        <v>6459</v>
      </c>
      <c r="D8" s="4" t="s">
        <v>6460</v>
      </c>
      <c r="E8" s="4" t="str">
        <f t="shared" si="0"/>
        <v>(6,'قيد التحقيق','Under Investigation','En Investigation'),</v>
      </c>
    </row>
  </sheetData>
  <autoFilter ref="A2:E8" xr:uid="{00000000-0009-0000-0000-000032000000}"/>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7030A0"/>
  </sheetPr>
  <dimension ref="A1:E9"/>
  <sheetViews>
    <sheetView workbookViewId="0">
      <selection activeCell="E2" sqref="E2:E9"/>
    </sheetView>
  </sheetViews>
  <sheetFormatPr baseColWidth="10" defaultColWidth="10.81640625" defaultRowHeight="15.5" x14ac:dyDescent="0.35"/>
  <cols>
    <col min="1" max="1" width="5.54296875" style="2" customWidth="1"/>
    <col min="2" max="4" width="25.54296875" style="2" customWidth="1"/>
    <col min="5" max="5" width="65.453125" style="2" bestFit="1" customWidth="1"/>
    <col min="6" max="16384" width="10.81640625" style="2"/>
  </cols>
  <sheetData>
    <row r="1" spans="1:5" ht="20.149999999999999" customHeight="1" x14ac:dyDescent="0.35">
      <c r="A1" s="1" t="s">
        <v>37</v>
      </c>
      <c r="B1" s="1" t="s">
        <v>6463</v>
      </c>
      <c r="C1" s="1" t="s">
        <v>6462</v>
      </c>
      <c r="D1" s="1" t="s">
        <v>6464</v>
      </c>
      <c r="E1" s="1" t="s">
        <v>5600</v>
      </c>
    </row>
    <row r="2" spans="1:5" ht="20.149999999999999" customHeight="1" x14ac:dyDescent="0.35">
      <c r="A2" s="40" t="s">
        <v>44</v>
      </c>
      <c r="B2" s="40" t="s">
        <v>41</v>
      </c>
      <c r="C2" s="40" t="s">
        <v>42</v>
      </c>
      <c r="D2" s="40" t="s">
        <v>43</v>
      </c>
      <c r="E2" s="1" t="s">
        <v>6465</v>
      </c>
    </row>
    <row r="3" spans="1:5" ht="20.149999999999999" customHeight="1" x14ac:dyDescent="0.35">
      <c r="A3" s="3">
        <v>1</v>
      </c>
      <c r="B3" s="4" t="s">
        <v>6466</v>
      </c>
      <c r="C3" s="4" t="s">
        <v>6467</v>
      </c>
      <c r="D3" s="4" t="s">
        <v>6468</v>
      </c>
      <c r="E3" s="4" t="str">
        <f>CONCATENATE("(",A3,",'",B3,"','",C3,"','",D3,"'),")</f>
        <v>(1,'مفتوح','Open','Ouvert'),</v>
      </c>
    </row>
    <row r="4" spans="1:5" ht="20.149999999999999" customHeight="1" x14ac:dyDescent="0.35">
      <c r="A4" s="3">
        <v>2</v>
      </c>
      <c r="B4" s="4" t="s">
        <v>6469</v>
      </c>
      <c r="C4" s="4" t="s">
        <v>6470</v>
      </c>
      <c r="D4" s="4" t="s">
        <v>6471</v>
      </c>
      <c r="E4" s="4" t="str">
        <f t="shared" ref="E4:E9" si="0">CONCATENATE("(",A4,",'",B4,"','",C4,"','",D4,"'),")</f>
        <v>(2,'تم الإقرار','Acknowledged','Reconnu'),</v>
      </c>
    </row>
    <row r="5" spans="1:5" ht="20.149999999999999" customHeight="1" x14ac:dyDescent="0.35">
      <c r="A5" s="3">
        <v>3</v>
      </c>
      <c r="B5" s="4" t="s">
        <v>6472</v>
      </c>
      <c r="C5" s="4" t="s">
        <v>6473</v>
      </c>
      <c r="D5" s="4" t="s">
        <v>6448</v>
      </c>
      <c r="E5" s="4" t="str">
        <f t="shared" si="0"/>
        <v>(3,'قيد التنفيذ','In Progress','En Cours'),</v>
      </c>
    </row>
    <row r="6" spans="1:5" ht="20.149999999999999" customHeight="1" x14ac:dyDescent="0.35">
      <c r="A6" s="3">
        <v>4</v>
      </c>
      <c r="B6" s="4" t="s">
        <v>6474</v>
      </c>
      <c r="C6" s="4" t="s">
        <v>6475</v>
      </c>
      <c r="D6" s="4" t="s">
        <v>6476</v>
      </c>
      <c r="E6" s="4" t="str">
        <f t="shared" si="0"/>
        <v>(4,'تم الحل','Resolved','Résolu'),</v>
      </c>
    </row>
    <row r="7" spans="1:5" ht="20.149999999999999" customHeight="1" x14ac:dyDescent="0.35">
      <c r="A7" s="3">
        <v>5</v>
      </c>
      <c r="B7" s="4" t="s">
        <v>6477</v>
      </c>
      <c r="C7" s="4" t="s">
        <v>6478</v>
      </c>
      <c r="D7" s="4" t="s">
        <v>6479</v>
      </c>
      <c r="E7" s="4" t="str">
        <f t="shared" si="0"/>
        <v>(5,'مغلق','Closed','Fermé'),</v>
      </c>
    </row>
    <row r="8" spans="1:5" ht="20.149999999999999" customHeight="1" x14ac:dyDescent="0.35">
      <c r="A8" s="3">
        <v>6</v>
      </c>
      <c r="B8" s="4" t="s">
        <v>6480</v>
      </c>
      <c r="C8" s="4" t="s">
        <v>6481</v>
      </c>
      <c r="D8" s="4" t="s">
        <v>6482</v>
      </c>
      <c r="E8" s="4" t="str">
        <f t="shared" si="0"/>
        <v>(6,'تم التصعيد','Escalated','Escaladé'),</v>
      </c>
    </row>
    <row r="9" spans="1:5" ht="20.149999999999999" customHeight="1" x14ac:dyDescent="0.35">
      <c r="A9" s="3">
        <v>7</v>
      </c>
      <c r="B9" s="4" t="s">
        <v>6483</v>
      </c>
      <c r="C9" s="4" t="s">
        <v>6484</v>
      </c>
      <c r="D9" s="4" t="s">
        <v>6485</v>
      </c>
      <c r="E9" s="4" t="str">
        <f t="shared" si="0"/>
        <v>(7,'إنذار كاذب','False Alarm','Fausse Alerte'),</v>
      </c>
    </row>
  </sheetData>
  <autoFilter ref="A2:E9" xr:uid="{00000000-0009-0000-0000-000033000000}"/>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7030A0"/>
  </sheetPr>
  <dimension ref="A1:E8"/>
  <sheetViews>
    <sheetView workbookViewId="0">
      <selection activeCell="E2" sqref="E2:E8"/>
    </sheetView>
  </sheetViews>
  <sheetFormatPr baseColWidth="10" defaultColWidth="10.81640625" defaultRowHeight="15.5" x14ac:dyDescent="0.35"/>
  <cols>
    <col min="1" max="1" width="5.54296875" style="2" customWidth="1"/>
    <col min="2" max="4" width="25.54296875" style="2" customWidth="1"/>
    <col min="5" max="5" width="65.453125" style="2" bestFit="1" customWidth="1"/>
    <col min="6" max="16384" width="10.81640625" style="2"/>
  </cols>
  <sheetData>
    <row r="1" spans="1:5" ht="20.149999999999999" customHeight="1" x14ac:dyDescent="0.35">
      <c r="A1" s="1" t="s">
        <v>37</v>
      </c>
      <c r="B1" s="1" t="s">
        <v>6463</v>
      </c>
      <c r="C1" s="1" t="s">
        <v>6462</v>
      </c>
      <c r="D1" s="1" t="s">
        <v>6464</v>
      </c>
      <c r="E1" s="1" t="s">
        <v>5600</v>
      </c>
    </row>
    <row r="2" spans="1:5" ht="20.149999999999999" customHeight="1" x14ac:dyDescent="0.35">
      <c r="A2" s="40" t="s">
        <v>44</v>
      </c>
      <c r="B2" s="40" t="s">
        <v>41</v>
      </c>
      <c r="C2" s="40" t="s">
        <v>42</v>
      </c>
      <c r="D2" s="40" t="s">
        <v>43</v>
      </c>
      <c r="E2" s="1" t="s">
        <v>6504</v>
      </c>
    </row>
    <row r="3" spans="1:5" ht="20.149999999999999" customHeight="1" x14ac:dyDescent="0.35">
      <c r="A3" s="3">
        <v>1</v>
      </c>
      <c r="B3" s="4" t="s">
        <v>6486</v>
      </c>
      <c r="C3" s="4" t="s">
        <v>6487</v>
      </c>
      <c r="D3" s="4" t="s">
        <v>6488</v>
      </c>
      <c r="E3" s="4" t="str">
        <f>CONCATENATE("(",A3,",'",B3,"','",C3,"','",D3,"'),")</f>
        <v>(1,'معلومات','Info','Information'),</v>
      </c>
    </row>
    <row r="4" spans="1:5" ht="20.149999999999999" customHeight="1" x14ac:dyDescent="0.35">
      <c r="A4" s="3">
        <v>2</v>
      </c>
      <c r="B4" s="4" t="s">
        <v>6489</v>
      </c>
      <c r="C4" s="4" t="s">
        <v>6490</v>
      </c>
      <c r="D4" s="4" t="s">
        <v>6491</v>
      </c>
      <c r="E4" s="4" t="str">
        <f t="shared" ref="E4:E8" si="0">CONCATENATE("(",A4,",'",B4,"','",C4,"','",D4,"'),")</f>
        <v>(2,'منخفض','Low','Faible'),</v>
      </c>
    </row>
    <row r="5" spans="1:5" ht="20.149999999999999" customHeight="1" x14ac:dyDescent="0.35">
      <c r="A5" s="3">
        <v>3</v>
      </c>
      <c r="B5" s="4" t="s">
        <v>6492</v>
      </c>
      <c r="C5" s="4" t="s">
        <v>6493</v>
      </c>
      <c r="D5" s="4" t="s">
        <v>6494</v>
      </c>
      <c r="E5" s="4" t="str">
        <f t="shared" si="0"/>
        <v>(3,'متوسط','Medium','Moyen'),</v>
      </c>
    </row>
    <row r="6" spans="1:5" ht="20.149999999999999" customHeight="1" x14ac:dyDescent="0.35">
      <c r="A6" s="3">
        <v>4</v>
      </c>
      <c r="B6" s="4" t="s">
        <v>6495</v>
      </c>
      <c r="C6" s="4" t="s">
        <v>6496</v>
      </c>
      <c r="D6" s="4" t="s">
        <v>6497</v>
      </c>
      <c r="E6" s="4" t="str">
        <f t="shared" si="0"/>
        <v>(4,'عالي','High','Élevé'),</v>
      </c>
    </row>
    <row r="7" spans="1:5" ht="20.149999999999999" customHeight="1" x14ac:dyDescent="0.35">
      <c r="A7" s="3">
        <v>5</v>
      </c>
      <c r="B7" s="4" t="s">
        <v>6498</v>
      </c>
      <c r="C7" s="4" t="s">
        <v>6499</v>
      </c>
      <c r="D7" s="4" t="s">
        <v>6500</v>
      </c>
      <c r="E7" s="4" t="str">
        <f t="shared" si="0"/>
        <v>(5,'حرج','Critical','Critique'),</v>
      </c>
    </row>
    <row r="8" spans="1:5" ht="20.149999999999999" customHeight="1" x14ac:dyDescent="0.35">
      <c r="A8" s="3">
        <v>6</v>
      </c>
      <c r="B8" s="4" t="s">
        <v>6501</v>
      </c>
      <c r="C8" s="4" t="s">
        <v>6502</v>
      </c>
      <c r="D8" s="4" t="s">
        <v>6503</v>
      </c>
      <c r="E8" s="4" t="str">
        <f t="shared" si="0"/>
        <v>(6,'طارئ','Emergency','Urgence'),</v>
      </c>
    </row>
  </sheetData>
  <autoFilter ref="A2:E8" xr:uid="{00000000-0009-0000-0000-000034000000}"/>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7030A0"/>
  </sheetPr>
  <dimension ref="A1:I8"/>
  <sheetViews>
    <sheetView topLeftCell="E1" workbookViewId="0">
      <selection activeCell="I2" sqref="I2:I8"/>
    </sheetView>
  </sheetViews>
  <sheetFormatPr baseColWidth="10" defaultColWidth="10.81640625" defaultRowHeight="15.5" x14ac:dyDescent="0.35"/>
  <cols>
    <col min="1" max="1" width="5.54296875" style="2" customWidth="1"/>
    <col min="2" max="2" width="15.54296875" style="2" customWidth="1"/>
    <col min="3" max="8" width="20.54296875" style="2" customWidth="1"/>
    <col min="9" max="9" width="75.54296875" style="2" customWidth="1"/>
    <col min="10" max="16384" width="10.81640625" style="2"/>
  </cols>
  <sheetData>
    <row r="1" spans="1:9" ht="20.149999999999999" customHeight="1" x14ac:dyDescent="0.35">
      <c r="A1" s="1" t="s">
        <v>37</v>
      </c>
      <c r="B1" s="1" t="s">
        <v>54</v>
      </c>
      <c r="C1" s="1" t="s">
        <v>6463</v>
      </c>
      <c r="D1" s="1" t="s">
        <v>6462</v>
      </c>
      <c r="E1" s="1" t="s">
        <v>6464</v>
      </c>
      <c r="F1" s="1" t="s">
        <v>6547</v>
      </c>
      <c r="G1" s="1" t="s">
        <v>6548</v>
      </c>
      <c r="H1" s="1" t="s">
        <v>6549</v>
      </c>
      <c r="I1" s="1" t="s">
        <v>5600</v>
      </c>
    </row>
    <row r="2" spans="1:9" ht="20.149999999999999" customHeight="1" x14ac:dyDescent="0.35">
      <c r="A2" s="40" t="s">
        <v>44</v>
      </c>
      <c r="B2" s="40" t="s">
        <v>41</v>
      </c>
      <c r="C2" s="40" t="s">
        <v>42</v>
      </c>
      <c r="D2" s="40" t="s">
        <v>43</v>
      </c>
      <c r="E2" s="40" t="s">
        <v>53</v>
      </c>
      <c r="F2" s="40" t="s">
        <v>2094</v>
      </c>
      <c r="G2" s="40" t="s">
        <v>4077</v>
      </c>
      <c r="H2" s="40" t="s">
        <v>4349</v>
      </c>
      <c r="I2" s="1" t="s">
        <v>6550</v>
      </c>
    </row>
    <row r="3" spans="1:9" ht="20.149999999999999" customHeight="1" x14ac:dyDescent="0.35">
      <c r="A3" s="3">
        <v>1</v>
      </c>
      <c r="B3" s="3" t="s">
        <v>6505</v>
      </c>
      <c r="C3" s="4" t="s">
        <v>6509</v>
      </c>
      <c r="D3" s="4" t="s">
        <v>6510</v>
      </c>
      <c r="E3" s="4" t="s">
        <v>6511</v>
      </c>
      <c r="F3" s="4" t="s">
        <v>6506</v>
      </c>
      <c r="G3" s="4" t="s">
        <v>6507</v>
      </c>
      <c r="H3" s="4" t="s">
        <v>6508</v>
      </c>
      <c r="I3" s="4" t="str">
        <f>CONCATENATE("(",A3,",'",B3,"','",C3,"','",D3,"','",E3,"','",F3,"','",G3,"','",H3,"'),")</f>
        <v>(1,'SCADA','نظام SCADA','SCADA System','Système SCADA','قراءات تلقائية من نظام المراقبة والتحكم','Automated readings from Supervisory Control and Data Acquisition system','Lectures automatisées du système de contrôle et d'acquisition de données'),</v>
      </c>
    </row>
    <row r="4" spans="1:9" ht="20.149999999999999" customHeight="1" x14ac:dyDescent="0.35">
      <c r="A4" s="3">
        <v>2</v>
      </c>
      <c r="B4" s="3" t="s">
        <v>6512</v>
      </c>
      <c r="C4" s="4" t="s">
        <v>6516</v>
      </c>
      <c r="D4" s="4" t="s">
        <v>6517</v>
      </c>
      <c r="E4" s="4" t="s">
        <v>6518</v>
      </c>
      <c r="F4" s="4" t="s">
        <v>6513</v>
      </c>
      <c r="G4" s="4" t="s">
        <v>6514</v>
      </c>
      <c r="H4" s="4" t="s">
        <v>6515</v>
      </c>
      <c r="I4" s="4" t="str">
        <f t="shared" ref="I4:I8" si="0">CONCATENATE("(",A4,",'",B4,"','",C4,"','",D4,"','",E4,"','",F4,"','",G4,"','",H4,"'),")</f>
        <v>(2,'MANUAL','قراءة يدوية','Manual Reading','Lecture Manuelle','قراءات يدوية من قبل المشغلين في الميدان','Manual readings taken by field operators','Lectures manuelles effectuées par les opérateurs sur le terrain'),</v>
      </c>
    </row>
    <row r="5" spans="1:9" ht="20.149999999999999" customHeight="1" x14ac:dyDescent="0.35">
      <c r="A5" s="3">
        <v>3</v>
      </c>
      <c r="B5" s="3" t="s">
        <v>6519</v>
      </c>
      <c r="C5" s="4" t="s">
        <v>6523</v>
      </c>
      <c r="D5" s="4" t="s">
        <v>6524</v>
      </c>
      <c r="E5" s="4" t="s">
        <v>6525</v>
      </c>
      <c r="F5" s="4" t="s">
        <v>6520</v>
      </c>
      <c r="G5" s="4" t="s">
        <v>6521</v>
      </c>
      <c r="H5" s="4" t="s">
        <v>6522</v>
      </c>
      <c r="I5" s="4" t="str">
        <f t="shared" si="0"/>
        <v>(3,'CALCULATED','قيمة محسوبة','Calculated Value','Valeur Calculée','قيم محسوبة من بيانات أخرى','Values computed from other data sources','Valeurs calculées à partir d'autres sources de données'),</v>
      </c>
    </row>
    <row r="6" spans="1:9" ht="20.149999999999999" customHeight="1" x14ac:dyDescent="0.35">
      <c r="A6" s="3">
        <v>4</v>
      </c>
      <c r="B6" s="3" t="s">
        <v>6526</v>
      </c>
      <c r="C6" s="4" t="s">
        <v>6530</v>
      </c>
      <c r="D6" s="4" t="s">
        <v>6531</v>
      </c>
      <c r="E6" s="4" t="s">
        <v>6532</v>
      </c>
      <c r="F6" s="4" t="s">
        <v>6527</v>
      </c>
      <c r="G6" s="4" t="s">
        <v>6528</v>
      </c>
      <c r="H6" s="4" t="s">
        <v>6529</v>
      </c>
      <c r="I6" s="4" t="str">
        <f t="shared" si="0"/>
        <v>(4,'EXTERNAL','مصدر خارجي','External Source','Source Externe','بيانات من أنظمة خارجية أو شركاء','Data from external systems or partners','Données provenant de systèmes externes ou de partenaires'),</v>
      </c>
    </row>
    <row r="7" spans="1:9" ht="20.149999999999999" customHeight="1" x14ac:dyDescent="0.35">
      <c r="A7" s="3">
        <v>5</v>
      </c>
      <c r="B7" s="3" t="s">
        <v>6533</v>
      </c>
      <c r="C7" s="4" t="s">
        <v>6537</v>
      </c>
      <c r="D7" s="4" t="s">
        <v>6538</v>
      </c>
      <c r="E7" s="4" t="s">
        <v>6539</v>
      </c>
      <c r="F7" s="4" t="s">
        <v>6534</v>
      </c>
      <c r="G7" s="4" t="s">
        <v>6535</v>
      </c>
      <c r="H7" s="4" t="s">
        <v>6536</v>
      </c>
      <c r="I7" s="4" t="str">
        <f t="shared" si="0"/>
        <v>(5,'FLOWMETER','عداد التدفق','Flow Meter','Débitmètre','قراءات مباشرة من أجهزة قياس التدفق','Direct readings from flow measurement devices','Lectures directes des dispositifs de mesure de débit'),</v>
      </c>
    </row>
    <row r="8" spans="1:9" ht="20.149999999999999" customHeight="1" x14ac:dyDescent="0.35">
      <c r="A8" s="3">
        <v>6</v>
      </c>
      <c r="B8" s="3" t="s">
        <v>6540</v>
      </c>
      <c r="C8" s="4" t="s">
        <v>6544</v>
      </c>
      <c r="D8" s="4" t="s">
        <v>6545</v>
      </c>
      <c r="E8" s="4" t="s">
        <v>6546</v>
      </c>
      <c r="F8" s="4" t="s">
        <v>6541</v>
      </c>
      <c r="G8" s="4" t="s">
        <v>6542</v>
      </c>
      <c r="H8" s="4" t="s">
        <v>6543</v>
      </c>
      <c r="I8" s="4" t="str">
        <f t="shared" si="0"/>
        <v>(6,'ESTIMATED','تقديري','Estimated','Estimé','قيم تقديرية بناء على بيانات تاريخية','Estimated values based on historical data','Valeurs estimées basées sur des données historiques'),</v>
      </c>
    </row>
  </sheetData>
  <autoFilter ref="A2:I8" xr:uid="{00000000-0009-0000-0000-000035000000}"/>
  <phoneticPr fontId="2"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7030A0"/>
  </sheetPr>
  <dimension ref="A1:J9"/>
  <sheetViews>
    <sheetView topLeftCell="G1" workbookViewId="0">
      <selection activeCell="J2" sqref="J2:J9"/>
    </sheetView>
  </sheetViews>
  <sheetFormatPr baseColWidth="10" defaultColWidth="10.81640625" defaultRowHeight="15.5" x14ac:dyDescent="0.35"/>
  <cols>
    <col min="1" max="1" width="5.54296875" style="2" customWidth="1"/>
    <col min="2" max="2" width="15.54296875" style="2" customWidth="1"/>
    <col min="3" max="9" width="20.54296875" style="2" customWidth="1"/>
    <col min="10" max="10" width="75.54296875" style="2" customWidth="1"/>
    <col min="11" max="16384" width="10.81640625" style="2"/>
  </cols>
  <sheetData>
    <row r="1" spans="1:10" ht="20.149999999999999" customHeight="1" x14ac:dyDescent="0.35">
      <c r="A1" s="1" t="s">
        <v>37</v>
      </c>
      <c r="B1" s="1" t="s">
        <v>54</v>
      </c>
      <c r="C1" s="1" t="s">
        <v>6463</v>
      </c>
      <c r="D1" s="1" t="s">
        <v>6462</v>
      </c>
      <c r="E1" s="1" t="s">
        <v>6464</v>
      </c>
      <c r="F1" s="1" t="s">
        <v>6547</v>
      </c>
      <c r="G1" s="1" t="s">
        <v>6548</v>
      </c>
      <c r="H1" s="1" t="s">
        <v>6549</v>
      </c>
      <c r="I1" s="1" t="s">
        <v>6604</v>
      </c>
      <c r="J1" s="1" t="s">
        <v>5600</v>
      </c>
    </row>
    <row r="2" spans="1:10" ht="20.149999999999999" customHeight="1" x14ac:dyDescent="0.35">
      <c r="A2" s="40" t="s">
        <v>44</v>
      </c>
      <c r="B2" s="40" t="s">
        <v>41</v>
      </c>
      <c r="C2" s="40" t="s">
        <v>42</v>
      </c>
      <c r="D2" s="40" t="s">
        <v>43</v>
      </c>
      <c r="E2" s="40" t="s">
        <v>53</v>
      </c>
      <c r="F2" s="40" t="s">
        <v>2094</v>
      </c>
      <c r="G2" s="40" t="s">
        <v>4077</v>
      </c>
      <c r="H2" s="40" t="s">
        <v>4349</v>
      </c>
      <c r="I2" s="40" t="s">
        <v>4350</v>
      </c>
      <c r="J2" s="1" t="s">
        <v>6648</v>
      </c>
    </row>
    <row r="3" spans="1:10" ht="20.149999999999999" customHeight="1" x14ac:dyDescent="0.35">
      <c r="A3" s="3">
        <v>1</v>
      </c>
      <c r="B3" s="3" t="s">
        <v>6551</v>
      </c>
      <c r="C3" s="4" t="s">
        <v>6555</v>
      </c>
      <c r="D3" s="4" t="s">
        <v>6556</v>
      </c>
      <c r="E3" s="4" t="s">
        <v>6557</v>
      </c>
      <c r="F3" s="4" t="s">
        <v>6552</v>
      </c>
      <c r="G3" s="4" t="s">
        <v>6553</v>
      </c>
      <c r="H3" s="4" t="s">
        <v>6554</v>
      </c>
      <c r="I3" s="4" t="s">
        <v>6558</v>
      </c>
      <c r="J3" s="4" t="str">
        <f>CONCATENATE("(",A3,",'",B3,"','",C3,"','",D3,"','",E3,"','",F3,"','",G3,"','",H3,"','",I3,"'),")</f>
        <v>(1,'GOOD','جيد','Good Quality','Bonne Qualité','البيانات ذات جودة عالية وموثوقة','Data is of high quality and reliable','Les données sont de haute qualité et fiables','LOW'),</v>
      </c>
    </row>
    <row r="4" spans="1:10" ht="20.149999999999999" customHeight="1" x14ac:dyDescent="0.35">
      <c r="A4" s="3">
        <v>2</v>
      </c>
      <c r="B4" s="3" t="s">
        <v>6559</v>
      </c>
      <c r="C4" s="4" t="s">
        <v>6563</v>
      </c>
      <c r="D4" s="4" t="s">
        <v>6564</v>
      </c>
      <c r="E4" s="4" t="s">
        <v>6565</v>
      </c>
      <c r="F4" s="4" t="s">
        <v>6560</v>
      </c>
      <c r="G4" s="4" t="s">
        <v>6561</v>
      </c>
      <c r="H4" s="4" t="s">
        <v>6562</v>
      </c>
      <c r="I4" s="4" t="s">
        <v>6566</v>
      </c>
      <c r="J4" s="4" t="str">
        <f t="shared" ref="J4:J9" si="0">CONCATENATE("(",A4,",'",B4,"','",C4,"','",D4,"','",E4,"','",F4,"','",G4,"','",H4,"','",I4,"'),")</f>
        <v>(2,'SENSOR_ERROR','خطأ في الحساس','Sensor Error','Erreur de Capteur','الحساس يظهر قراءات غير صحيحة','Sensor showing incorrect readings','Le capteur affiche des lectures incorrectes','HIGH'),</v>
      </c>
    </row>
    <row r="5" spans="1:10" ht="20.149999999999999" customHeight="1" x14ac:dyDescent="0.35">
      <c r="A5" s="3">
        <v>3</v>
      </c>
      <c r="B5" s="3" t="s">
        <v>6567</v>
      </c>
      <c r="C5" s="4" t="s">
        <v>6571</v>
      </c>
      <c r="D5" s="4" t="s">
        <v>6572</v>
      </c>
      <c r="E5" s="4" t="s">
        <v>6573</v>
      </c>
      <c r="F5" s="4" t="s">
        <v>6568</v>
      </c>
      <c r="G5" s="4" t="s">
        <v>6569</v>
      </c>
      <c r="H5" s="4" t="s">
        <v>6570</v>
      </c>
      <c r="I5" s="4" t="s">
        <v>6574</v>
      </c>
      <c r="J5" s="4" t="str">
        <f t="shared" si="0"/>
        <v>(3,'CALIBRATION_NEEDED','يحتاج معايرة','Calibration Needed','Étalonnage Requis','الجهاز يحتاج إلى معايرة','Device requires calibration','L'appareil nécessite un étalonnage','MEDIUM'),</v>
      </c>
    </row>
    <row r="6" spans="1:10" ht="20.149999999999999" customHeight="1" x14ac:dyDescent="0.35">
      <c r="A6" s="3">
        <v>4</v>
      </c>
      <c r="B6" s="3" t="s">
        <v>6575</v>
      </c>
      <c r="C6" s="4" t="s">
        <v>6579</v>
      </c>
      <c r="D6" s="4" t="s">
        <v>6580</v>
      </c>
      <c r="E6" s="4" t="s">
        <v>6581</v>
      </c>
      <c r="F6" s="4" t="s">
        <v>6576</v>
      </c>
      <c r="G6" s="4" t="s">
        <v>6577</v>
      </c>
      <c r="H6" s="4" t="s">
        <v>6578</v>
      </c>
      <c r="I6" s="4" t="s">
        <v>6566</v>
      </c>
      <c r="J6" s="4" t="str">
        <f t="shared" si="0"/>
        <v>(4,'OUT_OF_RANGE','خارج النطاق','Out of Range','Hors Plage','القراءة خارج النطاق المتوقع','Reading outside expected range','Lecture en dehors de la plage attendue','HIGH'),</v>
      </c>
    </row>
    <row r="7" spans="1:10" ht="20.149999999999999" customHeight="1" x14ac:dyDescent="0.35">
      <c r="A7" s="3">
        <v>5</v>
      </c>
      <c r="B7" s="3" t="s">
        <v>6582</v>
      </c>
      <c r="C7" s="4" t="s">
        <v>6586</v>
      </c>
      <c r="D7" s="4" t="s">
        <v>6587</v>
      </c>
      <c r="E7" s="4" t="s">
        <v>6588</v>
      </c>
      <c r="F7" s="4" t="s">
        <v>6583</v>
      </c>
      <c r="G7" s="4" t="s">
        <v>6584</v>
      </c>
      <c r="H7" s="4" t="s">
        <v>6585</v>
      </c>
      <c r="I7" s="4" t="s">
        <v>6574</v>
      </c>
      <c r="J7" s="4" t="str">
        <f t="shared" si="0"/>
        <v>(5,'SUSPICIOUS','قراءة مشبوهة','Suspicious Reading','Lecture Suspecte','القراءة تبدو غير طبيعية','Reading appears abnormal','La lecture semble anormale','MEDIUM'),</v>
      </c>
    </row>
    <row r="8" spans="1:10" ht="20.149999999999999" customHeight="1" x14ac:dyDescent="0.35">
      <c r="A8" s="3">
        <v>6</v>
      </c>
      <c r="B8" s="3" t="s">
        <v>6589</v>
      </c>
      <c r="C8" s="4" t="s">
        <v>6593</v>
      </c>
      <c r="D8" s="4" t="s">
        <v>6594</v>
      </c>
      <c r="E8" s="4" t="s">
        <v>6595</v>
      </c>
      <c r="F8" s="4" t="s">
        <v>6590</v>
      </c>
      <c r="G8" s="4" t="s">
        <v>6591</v>
      </c>
      <c r="H8" s="4" t="s">
        <v>6592</v>
      </c>
      <c r="I8" s="4" t="s">
        <v>6596</v>
      </c>
      <c r="J8" s="4" t="str">
        <f t="shared" si="0"/>
        <v>(6,'COMM_FAILURE','فشل الاتصال','Communication Failure','Échec de Communication','فقدان الاتصال مع الجهاز','Loss of communication with device','Perte de communication avec l'appareil','CRITICAL'),</v>
      </c>
    </row>
    <row r="9" spans="1:10" ht="20.149999999999999" customHeight="1" x14ac:dyDescent="0.35">
      <c r="A9" s="3">
        <v>7</v>
      </c>
      <c r="B9" s="3" t="s">
        <v>6597</v>
      </c>
      <c r="C9" s="4" t="s">
        <v>6601</v>
      </c>
      <c r="D9" s="4" t="s">
        <v>6602</v>
      </c>
      <c r="E9" s="4" t="s">
        <v>6603</v>
      </c>
      <c r="F9" s="4" t="s">
        <v>6598</v>
      </c>
      <c r="G9" s="4" t="s">
        <v>6599</v>
      </c>
      <c r="H9" s="4" t="s">
        <v>6600</v>
      </c>
      <c r="I9" s="4" t="s">
        <v>6574</v>
      </c>
      <c r="J9" s="4" t="str">
        <f t="shared" si="0"/>
        <v>(7,'DRIFT','انحراف مكتشف','Drift Detected','Dérive Détectée','انحراف في قيم القياس بمرور الوقت','Measurement values drifting over time','Valeurs de mesure dérivant dans le temps','MEDIUM'),</v>
      </c>
    </row>
  </sheetData>
  <autoFilter ref="A2:J9" xr:uid="{00000000-0009-0000-0000-000036000000}"/>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7030A0"/>
  </sheetPr>
  <dimension ref="A1:I8"/>
  <sheetViews>
    <sheetView topLeftCell="E1" workbookViewId="0">
      <selection activeCell="I2" sqref="I2:I8"/>
    </sheetView>
  </sheetViews>
  <sheetFormatPr baseColWidth="10" defaultColWidth="10.81640625" defaultRowHeight="15.5" x14ac:dyDescent="0.35"/>
  <cols>
    <col min="1" max="1" width="5.54296875" style="2" customWidth="1"/>
    <col min="2" max="2" width="15.54296875" style="2" customWidth="1"/>
    <col min="3" max="8" width="20.54296875" style="2" customWidth="1"/>
    <col min="9" max="9" width="75.54296875" style="2" customWidth="1"/>
    <col min="10" max="16384" width="10.81640625" style="2"/>
  </cols>
  <sheetData>
    <row r="1" spans="1:9" ht="20.149999999999999" customHeight="1" x14ac:dyDescent="0.35">
      <c r="A1" s="1" t="s">
        <v>37</v>
      </c>
      <c r="B1" s="1" t="s">
        <v>54</v>
      </c>
      <c r="C1" s="1" t="s">
        <v>6463</v>
      </c>
      <c r="D1" s="1" t="s">
        <v>6462</v>
      </c>
      <c r="E1" s="1" t="s">
        <v>6464</v>
      </c>
      <c r="F1" s="1" t="s">
        <v>6547</v>
      </c>
      <c r="G1" s="1" t="s">
        <v>6548</v>
      </c>
      <c r="H1" s="1" t="s">
        <v>6549</v>
      </c>
      <c r="I1" s="1" t="s">
        <v>5600</v>
      </c>
    </row>
    <row r="2" spans="1:9" ht="20.149999999999999" customHeight="1" x14ac:dyDescent="0.35">
      <c r="A2" s="40" t="s">
        <v>44</v>
      </c>
      <c r="B2" s="40" t="s">
        <v>41</v>
      </c>
      <c r="C2" s="40" t="s">
        <v>42</v>
      </c>
      <c r="D2" s="40" t="s">
        <v>43</v>
      </c>
      <c r="E2" s="40" t="s">
        <v>53</v>
      </c>
      <c r="F2" s="40" t="s">
        <v>2094</v>
      </c>
      <c r="G2" s="40" t="s">
        <v>4077</v>
      </c>
      <c r="H2" s="40" t="s">
        <v>4349</v>
      </c>
      <c r="I2" s="1" t="s">
        <v>6647</v>
      </c>
    </row>
    <row r="3" spans="1:9" ht="20.149999999999999" customHeight="1" x14ac:dyDescent="0.35">
      <c r="A3" s="3">
        <v>1</v>
      </c>
      <c r="B3" s="3" t="s">
        <v>6605</v>
      </c>
      <c r="C3" s="4" t="s">
        <v>6609</v>
      </c>
      <c r="D3" s="4" t="s">
        <v>6610</v>
      </c>
      <c r="E3" s="4" t="s">
        <v>6611</v>
      </c>
      <c r="F3" s="4" t="s">
        <v>6606</v>
      </c>
      <c r="G3" s="4" t="s">
        <v>6607</v>
      </c>
      <c r="H3" s="4" t="s">
        <v>6608</v>
      </c>
      <c r="I3" s="4" t="str">
        <f>CONCATENATE("(",A3,",'",B3,"','",C3,"','",D3,"','",E3,"','",F3,"','",G3,"','",H3,"'),")</f>
        <v>(1,'PENDING','قيد الانتظار','Pending Validation','En Attente de Validation','البيانات في انتظار التحقق','Data awaiting validation','Données en attente de validation'),</v>
      </c>
    </row>
    <row r="4" spans="1:9" ht="20.149999999999999" customHeight="1" x14ac:dyDescent="0.35">
      <c r="A4" s="3">
        <v>2</v>
      </c>
      <c r="B4" s="3" t="s">
        <v>6612</v>
      </c>
      <c r="C4" s="4" t="s">
        <v>6616</v>
      </c>
      <c r="D4" s="4" t="s">
        <v>6617</v>
      </c>
      <c r="E4" s="4" t="s">
        <v>6618</v>
      </c>
      <c r="F4" s="4" t="s">
        <v>6613</v>
      </c>
      <c r="G4" s="4" t="s">
        <v>6614</v>
      </c>
      <c r="H4" s="4" t="s">
        <v>6615</v>
      </c>
      <c r="I4" s="4" t="str">
        <f t="shared" ref="I4:I8" si="0">CONCATENATE("(",A4,",'",B4,"','",C4,"','",D4,"','",E4,"','",F4,"','",G4,"','",H4,"'),")</f>
        <v>(2,'VALIDATED','تم التحقق','Validated','Validé','البيانات تم التحقق منها والموافقة عليها','Data has been verified and approved','Les données ont été vérifiées et approuvées'),</v>
      </c>
    </row>
    <row r="5" spans="1:9" ht="20.149999999999999" customHeight="1" x14ac:dyDescent="0.35">
      <c r="A5" s="3">
        <v>3</v>
      </c>
      <c r="B5" s="3" t="s">
        <v>6619</v>
      </c>
      <c r="C5" s="4" t="s">
        <v>6623</v>
      </c>
      <c r="D5" s="4" t="s">
        <v>6624</v>
      </c>
      <c r="E5" s="4" t="s">
        <v>6625</v>
      </c>
      <c r="F5" s="4" t="s">
        <v>6620</v>
      </c>
      <c r="G5" s="4" t="s">
        <v>6621</v>
      </c>
      <c r="H5" s="4" t="s">
        <v>6622</v>
      </c>
      <c r="I5" s="4" t="str">
        <f t="shared" si="0"/>
        <v>(3,'REJECTED','مرفوض','Rejected','Rejeté','البيانات تم رفضها بسبب مشاكل في الجودة','Data rejected due to quality issues','Données rejetées en raison de problèmes de qualité'),</v>
      </c>
    </row>
    <row r="6" spans="1:9" ht="20.149999999999999" customHeight="1" x14ac:dyDescent="0.35">
      <c r="A6" s="3">
        <v>4</v>
      </c>
      <c r="B6" s="3" t="s">
        <v>6626</v>
      </c>
      <c r="C6" s="4" t="s">
        <v>6630</v>
      </c>
      <c r="D6" s="4" t="s">
        <v>6631</v>
      </c>
      <c r="E6" s="4" t="s">
        <v>6632</v>
      </c>
      <c r="F6" s="4" t="s">
        <v>6627</v>
      </c>
      <c r="G6" s="4" t="s">
        <v>6628</v>
      </c>
      <c r="H6" s="4" t="s">
        <v>6629</v>
      </c>
      <c r="I6" s="4" t="str">
        <f t="shared" si="0"/>
        <v>(4,'REQUIRES_REVIEW','يتطلب مراجعة','Requires Review','Nécessite une Révision','البيانات تحتاج إلى مراجعة يدوية','Data requires manual review','Les données nécessitent une révision manuelle'),</v>
      </c>
    </row>
    <row r="7" spans="1:9" ht="20.149999999999999" customHeight="1" x14ac:dyDescent="0.35">
      <c r="A7" s="3">
        <v>5</v>
      </c>
      <c r="B7" s="3" t="s">
        <v>6633</v>
      </c>
      <c r="C7" s="4" t="s">
        <v>6637</v>
      </c>
      <c r="D7" s="4" t="s">
        <v>6638</v>
      </c>
      <c r="E7" s="4" t="s">
        <v>6639</v>
      </c>
      <c r="F7" s="4" t="s">
        <v>6634</v>
      </c>
      <c r="G7" s="4" t="s">
        <v>6635</v>
      </c>
      <c r="H7" s="4" t="s">
        <v>6636</v>
      </c>
      <c r="I7" s="4" t="str">
        <f t="shared" si="0"/>
        <v>(5,'AUTO_VALIDATED','تم التحقق تلقائياً','Auto-Validated','Validé Automatiquement','التحقق التلقائي من البيانات ناجح','Automatic validation successful','Validation automatique réussie'),</v>
      </c>
    </row>
    <row r="8" spans="1:9" ht="20.149999999999999" customHeight="1" x14ac:dyDescent="0.35">
      <c r="A8" s="3">
        <v>6</v>
      </c>
      <c r="B8" s="3" t="s">
        <v>6640</v>
      </c>
      <c r="C8" s="4" t="s">
        <v>6644</v>
      </c>
      <c r="D8" s="4" t="s">
        <v>6645</v>
      </c>
      <c r="E8" s="4" t="s">
        <v>6646</v>
      </c>
      <c r="F8" s="4" t="s">
        <v>6641</v>
      </c>
      <c r="G8" s="4" t="s">
        <v>6642</v>
      </c>
      <c r="H8" s="4" t="s">
        <v>6643</v>
      </c>
      <c r="I8" s="4" t="str">
        <f t="shared" si="0"/>
        <v>(6,'CORRECTED','تم التصحيح','Corrected','Corrigé','البيانات تم تصحيحها وإعادة التحقق منها','Data has been corrected and revalidated','Les données ont été corrigées et revalidées'),</v>
      </c>
    </row>
  </sheetData>
  <autoFilter ref="A2:I8" xr:uid="{00000000-0009-0000-0000-000037000000}"/>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7030A0"/>
  </sheetPr>
  <dimension ref="A1:H14"/>
  <sheetViews>
    <sheetView workbookViewId="0">
      <selection activeCell="H10" sqref="H10"/>
    </sheetView>
  </sheetViews>
  <sheetFormatPr baseColWidth="10" defaultColWidth="10.81640625" defaultRowHeight="15.5" x14ac:dyDescent="0.35"/>
  <cols>
    <col min="1" max="1" width="5.54296875" style="2" customWidth="1"/>
    <col min="2" max="2" width="17.7265625" style="2" bestFit="1" customWidth="1"/>
    <col min="3" max="4" width="17.7265625" style="2" customWidth="1"/>
    <col min="5" max="7" width="25.54296875" style="2" customWidth="1"/>
    <col min="8" max="8" width="74.54296875" style="2" bestFit="1" customWidth="1"/>
    <col min="9" max="16384" width="10.81640625" style="2"/>
  </cols>
  <sheetData>
    <row r="1" spans="1:8" ht="20.149999999999999" customHeight="1" x14ac:dyDescent="0.35">
      <c r="A1" s="1" t="s">
        <v>37</v>
      </c>
      <c r="B1" s="1" t="s">
        <v>54</v>
      </c>
      <c r="C1" s="1" t="s">
        <v>6320</v>
      </c>
      <c r="D1" s="1" t="s">
        <v>6321</v>
      </c>
      <c r="E1" s="1" t="s">
        <v>6463</v>
      </c>
      <c r="F1" s="1" t="s">
        <v>6462</v>
      </c>
      <c r="G1" s="1" t="s">
        <v>6464</v>
      </c>
      <c r="H1" s="1" t="s">
        <v>5600</v>
      </c>
    </row>
    <row r="2" spans="1:8" ht="20.149999999999999" customHeight="1" x14ac:dyDescent="0.35">
      <c r="A2" s="40" t="s">
        <v>44</v>
      </c>
      <c r="B2" s="40" t="s">
        <v>41</v>
      </c>
      <c r="C2" s="40" t="s">
        <v>42</v>
      </c>
      <c r="D2" s="40" t="s">
        <v>43</v>
      </c>
      <c r="E2" s="40" t="s">
        <v>53</v>
      </c>
      <c r="F2" s="40" t="s">
        <v>2094</v>
      </c>
      <c r="G2" s="40" t="s">
        <v>4077</v>
      </c>
      <c r="H2" s="1" t="s">
        <v>6370</v>
      </c>
    </row>
    <row r="3" spans="1:8" ht="20.149999999999999" customHeight="1" x14ac:dyDescent="0.35">
      <c r="A3" s="3">
        <v>1</v>
      </c>
      <c r="B3" s="18" t="s">
        <v>6360</v>
      </c>
      <c r="C3" s="41">
        <v>0.33333333333333331</v>
      </c>
      <c r="D3" s="41">
        <v>0.41666666666666669</v>
      </c>
      <c r="E3" s="4" t="s">
        <v>6323</v>
      </c>
      <c r="F3" s="4" t="s">
        <v>6322</v>
      </c>
      <c r="G3" s="4" t="s">
        <v>6324</v>
      </c>
      <c r="H3" s="4" t="str">
        <f>CONCATENATE("(",A3,",'",B3,"','",TEXT(C3,"HH:MM:SS"),"','",TEXT(D3,"HH:MM:SS"),"','",E3,"','",F3,"','",G3,"'),")</f>
        <v>(1,'SLOT_01','08:00:00','10:00:00','الصباح المبكر','Morning Early','Matinée tôt'),</v>
      </c>
    </row>
    <row r="4" spans="1:8" ht="20.149999999999999" customHeight="1" x14ac:dyDescent="0.35">
      <c r="A4" s="3">
        <v>2</v>
      </c>
      <c r="B4" s="17" t="s">
        <v>6361</v>
      </c>
      <c r="C4" s="41">
        <v>0.41666666666666669</v>
      </c>
      <c r="D4" s="41">
        <v>0.5</v>
      </c>
      <c r="E4" s="4" t="s">
        <v>6326</v>
      </c>
      <c r="F4" s="4" t="s">
        <v>6325</v>
      </c>
      <c r="G4" s="4" t="s">
        <v>6327</v>
      </c>
      <c r="H4" s="4" t="str">
        <f t="shared" ref="H4:H14" si="0">CONCATENATE("(",A4,",'",B4,"','",TEXT(C4,"HH:MM:SS"),"','",TEXT(D4,"HH:MM:SS"),"','",E4,"','",F4,"','",G4,"'),")</f>
        <v>(2,'SLOT_02','10:00:00','12:00:00','الصباح المتأخر','Late Morning','Fin de matinée'),</v>
      </c>
    </row>
    <row r="5" spans="1:8" ht="20.149999999999999" customHeight="1" x14ac:dyDescent="0.35">
      <c r="A5" s="3">
        <v>3</v>
      </c>
      <c r="B5" s="18" t="s">
        <v>6362</v>
      </c>
      <c r="C5" s="41">
        <v>0.5</v>
      </c>
      <c r="D5" s="41">
        <v>0.58333333333333337</v>
      </c>
      <c r="E5" s="4" t="s">
        <v>6329</v>
      </c>
      <c r="F5" s="4" t="s">
        <v>6328</v>
      </c>
      <c r="G5" s="4" t="s">
        <v>6330</v>
      </c>
      <c r="H5" s="4" t="str">
        <f t="shared" si="0"/>
        <v>(3,'SLOT_03','12:00:00','14:00:00','الظهيرة','Midday','Midi'),</v>
      </c>
    </row>
    <row r="6" spans="1:8" ht="20.149999999999999" customHeight="1" x14ac:dyDescent="0.35">
      <c r="A6" s="3">
        <v>4</v>
      </c>
      <c r="B6" s="17" t="s">
        <v>6363</v>
      </c>
      <c r="C6" s="41">
        <v>0.58333333333333337</v>
      </c>
      <c r="D6" s="41">
        <v>0.66666666666666663</v>
      </c>
      <c r="E6" s="4" t="s">
        <v>6369</v>
      </c>
      <c r="F6" s="4" t="s">
        <v>6331</v>
      </c>
      <c r="G6" s="4" t="s">
        <v>6332</v>
      </c>
      <c r="H6" s="4" t="str">
        <f t="shared" si="0"/>
        <v>(4,'SLOT_04','14:00:00','16:00:00','بعد الظهر','Early Afternoon','Début d'après-midi'),</v>
      </c>
    </row>
    <row r="7" spans="1:8" ht="20.149999999999999" customHeight="1" x14ac:dyDescent="0.35">
      <c r="A7" s="3">
        <v>5</v>
      </c>
      <c r="B7" s="18" t="s">
        <v>6364</v>
      </c>
      <c r="C7" s="41">
        <v>0.66666666666666663</v>
      </c>
      <c r="D7" s="41">
        <v>0.75</v>
      </c>
      <c r="E7" s="4" t="s">
        <v>6334</v>
      </c>
      <c r="F7" s="4" t="s">
        <v>6333</v>
      </c>
      <c r="G7" s="4" t="s">
        <v>6335</v>
      </c>
      <c r="H7" s="4" t="str">
        <f t="shared" si="0"/>
        <v>(5,'SLOT_05','16:00:00','18:00:00','بعد الظهر المتأخر','Late Afternoon','Fin d'après-midi'),</v>
      </c>
    </row>
    <row r="8" spans="1:8" ht="20.149999999999999" customHeight="1" x14ac:dyDescent="0.35">
      <c r="A8" s="3">
        <v>6</v>
      </c>
      <c r="B8" s="17" t="s">
        <v>6365</v>
      </c>
      <c r="C8" s="41">
        <v>0.75</v>
      </c>
      <c r="D8" s="41">
        <v>0.83333333333333337</v>
      </c>
      <c r="E8" s="4" t="s">
        <v>6337</v>
      </c>
      <c r="F8" s="4" t="s">
        <v>6336</v>
      </c>
      <c r="G8" s="4" t="s">
        <v>6338</v>
      </c>
      <c r="H8" s="4" t="str">
        <f t="shared" si="0"/>
        <v>(6,'SLOT_06','18:00:00','20:00:00','المساء','Evening','Soirée'),</v>
      </c>
    </row>
    <row r="9" spans="1:8" ht="20.149999999999999" customHeight="1" x14ac:dyDescent="0.35">
      <c r="A9" s="3">
        <v>7</v>
      </c>
      <c r="B9" s="18" t="s">
        <v>6366</v>
      </c>
      <c r="C9" s="41">
        <v>0.83333333333333337</v>
      </c>
      <c r="D9" s="41">
        <v>0.91666666666666663</v>
      </c>
      <c r="E9" s="4" t="s">
        <v>6340</v>
      </c>
      <c r="F9" s="4" t="s">
        <v>6339</v>
      </c>
      <c r="G9" s="4" t="s">
        <v>6341</v>
      </c>
      <c r="H9" s="4" t="str">
        <f t="shared" si="0"/>
        <v>(7,'SLOT_07','20:00:00','22:00:00','المساء المتأخر','Late Evening','Fin de soirée'),</v>
      </c>
    </row>
    <row r="10" spans="1:8" ht="20.149999999999999" customHeight="1" x14ac:dyDescent="0.35">
      <c r="A10" s="3">
        <v>8</v>
      </c>
      <c r="B10" s="17" t="s">
        <v>6367</v>
      </c>
      <c r="C10" s="41">
        <v>0.91666666666666663</v>
      </c>
      <c r="D10" s="41">
        <v>0</v>
      </c>
      <c r="E10" s="4" t="s">
        <v>6343</v>
      </c>
      <c r="F10" s="4" t="s">
        <v>6342</v>
      </c>
      <c r="G10" s="4" t="s">
        <v>6344</v>
      </c>
      <c r="H10" s="4" t="str">
        <f t="shared" si="0"/>
        <v>(8,'SLOT_08','22:00:00','00:00:00','الليل','Night','Nuit'),</v>
      </c>
    </row>
    <row r="11" spans="1:8" ht="20.149999999999999" customHeight="1" x14ac:dyDescent="0.35">
      <c r="A11" s="3">
        <v>9</v>
      </c>
      <c r="B11" s="18" t="s">
        <v>6368</v>
      </c>
      <c r="C11" s="41">
        <v>0</v>
      </c>
      <c r="D11" s="41">
        <v>8.3333333333333329E-2</v>
      </c>
      <c r="E11" s="4" t="s">
        <v>6346</v>
      </c>
      <c r="F11" s="4" t="s">
        <v>6345</v>
      </c>
      <c r="G11" s="4" t="s">
        <v>6347</v>
      </c>
      <c r="H11" s="4" t="str">
        <f t="shared" si="0"/>
        <v>(9,'SLOT_09','00:00:00','02:00:00','منتصف الليل','Midnight','Minuit'),</v>
      </c>
    </row>
    <row r="12" spans="1:8" ht="20.149999999999999" customHeight="1" x14ac:dyDescent="0.35">
      <c r="A12" s="3">
        <v>10</v>
      </c>
      <c r="B12" s="17" t="s">
        <v>6348</v>
      </c>
      <c r="C12" s="41">
        <v>8.3333333333333329E-2</v>
      </c>
      <c r="D12" s="41">
        <v>0.16666666666666666</v>
      </c>
      <c r="E12" s="4" t="s">
        <v>6350</v>
      </c>
      <c r="F12" s="4" t="s">
        <v>6349</v>
      </c>
      <c r="G12" s="4" t="s">
        <v>6351</v>
      </c>
      <c r="H12" s="4" t="str">
        <f t="shared" si="0"/>
        <v>(10,'SLOT_10','02:00:00','04:00:00','الليل المتأخر','Late Night','Fin de nuit'),</v>
      </c>
    </row>
    <row r="13" spans="1:8" ht="20.149999999999999" customHeight="1" x14ac:dyDescent="0.35">
      <c r="A13" s="3">
        <v>11</v>
      </c>
      <c r="B13" s="18" t="s">
        <v>6352</v>
      </c>
      <c r="C13" s="41">
        <v>0.16666666666666666</v>
      </c>
      <c r="D13" s="41">
        <v>0.25</v>
      </c>
      <c r="E13" s="4" t="s">
        <v>6354</v>
      </c>
      <c r="F13" s="4" t="s">
        <v>6353</v>
      </c>
      <c r="G13" s="4" t="s">
        <v>6355</v>
      </c>
      <c r="H13" s="4" t="str">
        <f t="shared" si="0"/>
        <v>(11,'SLOT_11','04:00:00','06:00:00','الفجر المبكر','Early Dawn','Aube'),</v>
      </c>
    </row>
    <row r="14" spans="1:8" ht="20.149999999999999" customHeight="1" x14ac:dyDescent="0.35">
      <c r="A14" s="3">
        <v>12</v>
      </c>
      <c r="B14" s="17" t="s">
        <v>6356</v>
      </c>
      <c r="C14" s="41">
        <v>0.25</v>
      </c>
      <c r="D14" s="41">
        <v>0.33333333333333331</v>
      </c>
      <c r="E14" s="4" t="s">
        <v>6358</v>
      </c>
      <c r="F14" s="4" t="s">
        <v>6357</v>
      </c>
      <c r="G14" s="4" t="s">
        <v>6359</v>
      </c>
      <c r="H14" s="4" t="str">
        <f t="shared" si="0"/>
        <v>(12,'SLOT_12','06:00:00','08:00:00','الفجر','Dawn','Petit matin'),</v>
      </c>
    </row>
  </sheetData>
  <autoFilter ref="A2:G14" xr:uid="{00000000-0009-0000-0000-000038000000}"/>
  <phoneticPr fontId="2"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39000000}">
    <sortState xmlns:xlrd2="http://schemas.microsoft.com/office/spreadsheetml/2017/richdata2" ref="A2:H34">
      <sortCondition sortBy="cellColor" ref="B1:B34" dxfId="0"/>
    </sortState>
  </autoFilter>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5264</v>
      </c>
      <c r="B1" t="s">
        <v>5265</v>
      </c>
      <c r="C1" t="s">
        <v>5266</v>
      </c>
      <c r="D1" t="s">
        <v>5267</v>
      </c>
      <c r="E1" t="s">
        <v>5268</v>
      </c>
      <c r="F1" t="s">
        <v>4083</v>
      </c>
      <c r="G1" t="s">
        <v>5269</v>
      </c>
      <c r="H1" t="s">
        <v>5270</v>
      </c>
      <c r="I1" t="s">
        <v>5271</v>
      </c>
    </row>
    <row r="2" spans="1:9" x14ac:dyDescent="0.35">
      <c r="A2" t="s">
        <v>5272</v>
      </c>
      <c r="B2" t="s">
        <v>5273</v>
      </c>
      <c r="C2" t="s">
        <v>5274</v>
      </c>
      <c r="D2" t="s">
        <v>1812</v>
      </c>
      <c r="E2" t="s">
        <v>1080</v>
      </c>
      <c r="F2" t="s">
        <v>5275</v>
      </c>
      <c r="G2" s="23">
        <v>20790</v>
      </c>
      <c r="H2" s="23">
        <v>20894</v>
      </c>
      <c r="I2" t="s">
        <v>5276</v>
      </c>
    </row>
    <row r="3" spans="1:9" x14ac:dyDescent="0.35">
      <c r="A3" t="s">
        <v>5277</v>
      </c>
      <c r="B3" t="s">
        <v>5278</v>
      </c>
      <c r="C3" t="s">
        <v>5279</v>
      </c>
      <c r="D3" t="s">
        <v>5280</v>
      </c>
      <c r="E3" t="s">
        <v>983</v>
      </c>
      <c r="F3" t="s">
        <v>5275</v>
      </c>
      <c r="G3" s="24">
        <v>21064</v>
      </c>
      <c r="H3" s="24">
        <v>21889</v>
      </c>
      <c r="I3" t="s">
        <v>5281</v>
      </c>
    </row>
    <row r="4" spans="1:9" x14ac:dyDescent="0.35">
      <c r="A4" t="s">
        <v>5282</v>
      </c>
      <c r="B4" t="s">
        <v>5283</v>
      </c>
      <c r="C4" t="s">
        <v>5284</v>
      </c>
      <c r="D4" t="s">
        <v>1848</v>
      </c>
      <c r="E4" t="s">
        <v>5285</v>
      </c>
      <c r="F4" t="s">
        <v>5275</v>
      </c>
      <c r="G4" s="24">
        <v>21337</v>
      </c>
      <c r="H4" s="24">
        <v>21930</v>
      </c>
      <c r="I4" t="s">
        <v>5286</v>
      </c>
    </row>
    <row r="5" spans="1:9" x14ac:dyDescent="0.35">
      <c r="A5" t="s">
        <v>5287</v>
      </c>
      <c r="B5" t="s">
        <v>5288</v>
      </c>
      <c r="C5" t="s">
        <v>5289</v>
      </c>
      <c r="D5" t="s">
        <v>4746</v>
      </c>
      <c r="E5" t="s">
        <v>1824</v>
      </c>
      <c r="F5" t="s">
        <v>5290</v>
      </c>
      <c r="G5" s="24">
        <v>21976</v>
      </c>
      <c r="H5" s="24">
        <v>22372</v>
      </c>
      <c r="I5" t="s">
        <v>5291</v>
      </c>
    </row>
    <row r="6" spans="1:9" x14ac:dyDescent="0.35">
      <c r="A6" t="s">
        <v>5292</v>
      </c>
      <c r="B6" t="s">
        <v>5293</v>
      </c>
      <c r="C6" t="s">
        <v>5294</v>
      </c>
      <c r="D6" t="s">
        <v>1824</v>
      </c>
      <c r="E6" t="s">
        <v>5295</v>
      </c>
      <c r="F6" t="s">
        <v>5296</v>
      </c>
      <c r="G6" s="24">
        <v>22903</v>
      </c>
      <c r="H6" s="24">
        <v>23652</v>
      </c>
      <c r="I6" t="s">
        <v>5297</v>
      </c>
    </row>
    <row r="7" spans="1:9" x14ac:dyDescent="0.35">
      <c r="A7" t="s">
        <v>5298</v>
      </c>
      <c r="B7" t="s">
        <v>5299</v>
      </c>
      <c r="C7" t="s">
        <v>5300</v>
      </c>
      <c r="D7" t="s">
        <v>1012</v>
      </c>
      <c r="E7" t="s">
        <v>5295</v>
      </c>
      <c r="F7" t="s">
        <v>5296</v>
      </c>
      <c r="G7" s="24">
        <v>24473</v>
      </c>
      <c r="H7" s="24">
        <v>26495</v>
      </c>
      <c r="I7" t="s">
        <v>5301</v>
      </c>
    </row>
    <row r="8" spans="1:9" x14ac:dyDescent="0.35">
      <c r="A8" t="s">
        <v>5302</v>
      </c>
      <c r="B8" t="s">
        <v>5303</v>
      </c>
      <c r="C8" t="s">
        <v>5304</v>
      </c>
      <c r="D8" t="s">
        <v>4856</v>
      </c>
      <c r="E8" t="s">
        <v>466</v>
      </c>
      <c r="F8" t="s">
        <v>5290</v>
      </c>
      <c r="G8" s="23">
        <v>27454</v>
      </c>
      <c r="H8" s="23">
        <v>30635</v>
      </c>
      <c r="I8" t="s">
        <v>5305</v>
      </c>
    </row>
    <row r="9" spans="1:9" x14ac:dyDescent="0.35">
      <c r="A9" t="s">
        <v>5306</v>
      </c>
      <c r="B9" t="s">
        <v>5307</v>
      </c>
      <c r="C9" t="s">
        <v>5308</v>
      </c>
      <c r="D9" t="s">
        <v>1087</v>
      </c>
      <c r="E9" t="s">
        <v>1812</v>
      </c>
      <c r="F9" t="s">
        <v>5275</v>
      </c>
      <c r="G9" s="23">
        <v>22767</v>
      </c>
      <c r="H9" s="23">
        <v>23701</v>
      </c>
      <c r="I9" t="s">
        <v>5309</v>
      </c>
    </row>
    <row r="10" spans="1:9" x14ac:dyDescent="0.35">
      <c r="A10" t="s">
        <v>5310</v>
      </c>
      <c r="B10" t="s">
        <v>5311</v>
      </c>
      <c r="C10" t="s">
        <v>5312</v>
      </c>
      <c r="D10" t="s">
        <v>1030</v>
      </c>
      <c r="E10" t="s">
        <v>1824</v>
      </c>
      <c r="F10" t="s">
        <v>5275</v>
      </c>
      <c r="G10" s="23">
        <v>23788</v>
      </c>
      <c r="H10" s="23">
        <v>24775</v>
      </c>
      <c r="I10" t="s">
        <v>5313</v>
      </c>
    </row>
    <row r="11" spans="1:9" x14ac:dyDescent="0.35">
      <c r="A11" t="s">
        <v>5115</v>
      </c>
      <c r="B11" t="s">
        <v>5314</v>
      </c>
      <c r="C11" t="s">
        <v>5315</v>
      </c>
      <c r="D11" t="s">
        <v>4854</v>
      </c>
      <c r="E11" t="s">
        <v>1824</v>
      </c>
      <c r="F11" t="s">
        <v>5275</v>
      </c>
      <c r="G11" s="23">
        <v>36600</v>
      </c>
      <c r="H11" s="23">
        <v>37792</v>
      </c>
      <c r="I11" t="s">
        <v>5316</v>
      </c>
    </row>
    <row r="12" spans="1:9" x14ac:dyDescent="0.35">
      <c r="A12" t="s">
        <v>5116</v>
      </c>
      <c r="B12" t="s">
        <v>5317</v>
      </c>
      <c r="C12" t="s">
        <v>5318</v>
      </c>
      <c r="D12" t="s">
        <v>4854</v>
      </c>
      <c r="E12" t="s">
        <v>1824</v>
      </c>
      <c r="F12" t="s">
        <v>5275</v>
      </c>
      <c r="G12" s="23">
        <v>37052</v>
      </c>
      <c r="H12" s="23">
        <v>38610</v>
      </c>
      <c r="I12" t="s">
        <v>5319</v>
      </c>
    </row>
    <row r="13" spans="1:9" x14ac:dyDescent="0.35">
      <c r="A13" t="s">
        <v>5117</v>
      </c>
      <c r="B13" t="s">
        <v>5320</v>
      </c>
      <c r="C13" t="s">
        <v>5321</v>
      </c>
      <c r="D13" t="s">
        <v>4854</v>
      </c>
      <c r="E13" t="s">
        <v>1012</v>
      </c>
      <c r="F13" t="s">
        <v>5275</v>
      </c>
      <c r="G13" s="23">
        <v>36540</v>
      </c>
      <c r="H13" s="23">
        <v>37559</v>
      </c>
      <c r="I13" t="s">
        <v>5322</v>
      </c>
    </row>
    <row r="14" spans="1:9" x14ac:dyDescent="0.35">
      <c r="A14" t="s">
        <v>5118</v>
      </c>
      <c r="B14" t="s">
        <v>5323</v>
      </c>
      <c r="C14" t="s">
        <v>5324</v>
      </c>
      <c r="D14" t="s">
        <v>4854</v>
      </c>
      <c r="E14" t="s">
        <v>983</v>
      </c>
      <c r="F14" t="s">
        <v>5275</v>
      </c>
      <c r="G14" s="23">
        <v>35236</v>
      </c>
      <c r="H14" s="23">
        <v>36479</v>
      </c>
      <c r="I14" t="s">
        <v>5325</v>
      </c>
    </row>
    <row r="15" spans="1:9" x14ac:dyDescent="0.35">
      <c r="A15" t="s">
        <v>5119</v>
      </c>
      <c r="B15" t="s">
        <v>5326</v>
      </c>
      <c r="C15" t="s">
        <v>5327</v>
      </c>
      <c r="D15" t="s">
        <v>4854</v>
      </c>
      <c r="E15" t="s">
        <v>5328</v>
      </c>
      <c r="F15" t="s">
        <v>5275</v>
      </c>
      <c r="G15" s="23">
        <v>36595</v>
      </c>
      <c r="H15" s="23">
        <v>37855</v>
      </c>
      <c r="I15" t="s">
        <v>5329</v>
      </c>
    </row>
    <row r="16" spans="1:9" x14ac:dyDescent="0.35">
      <c r="A16" t="s">
        <v>5120</v>
      </c>
      <c r="B16" t="s">
        <v>5330</v>
      </c>
      <c r="C16" t="s">
        <v>5327</v>
      </c>
      <c r="D16" t="s">
        <v>1026</v>
      </c>
      <c r="E16" t="s">
        <v>983</v>
      </c>
      <c r="F16" t="s">
        <v>5275</v>
      </c>
      <c r="G16" s="23">
        <v>36595</v>
      </c>
      <c r="H16" s="23">
        <v>37855</v>
      </c>
      <c r="I16" t="s">
        <v>5331</v>
      </c>
    </row>
    <row r="17" spans="1:9" x14ac:dyDescent="0.35">
      <c r="A17" t="s">
        <v>5121</v>
      </c>
      <c r="B17" t="s">
        <v>5332</v>
      </c>
      <c r="C17" t="s">
        <v>5333</v>
      </c>
      <c r="D17" t="s">
        <v>5334</v>
      </c>
      <c r="E17" t="s">
        <v>1002</v>
      </c>
      <c r="F17" t="s">
        <v>5275</v>
      </c>
      <c r="G17" s="23">
        <v>37636</v>
      </c>
      <c r="H17" s="23">
        <v>38558</v>
      </c>
      <c r="I17" t="s">
        <v>5335</v>
      </c>
    </row>
    <row r="18" spans="1:9" x14ac:dyDescent="0.35">
      <c r="A18" t="s">
        <v>5122</v>
      </c>
      <c r="B18" t="s">
        <v>5336</v>
      </c>
      <c r="C18" t="s">
        <v>5337</v>
      </c>
      <c r="D18" t="s">
        <v>4854</v>
      </c>
      <c r="E18" t="s">
        <v>5338</v>
      </c>
      <c r="F18" t="s">
        <v>5275</v>
      </c>
      <c r="G18" s="23">
        <v>37884</v>
      </c>
      <c r="H18" s="23">
        <v>38867</v>
      </c>
      <c r="I18" t="s">
        <v>5339</v>
      </c>
    </row>
    <row r="19" spans="1:9" x14ac:dyDescent="0.35">
      <c r="A19" t="s">
        <v>5123</v>
      </c>
      <c r="B19" t="s">
        <v>5340</v>
      </c>
      <c r="C19" t="s">
        <v>5341</v>
      </c>
      <c r="D19" t="s">
        <v>1848</v>
      </c>
      <c r="E19" t="s">
        <v>4854</v>
      </c>
      <c r="F19" t="s">
        <v>5275</v>
      </c>
      <c r="G19" s="23">
        <v>38119</v>
      </c>
      <c r="H19" s="23">
        <v>39373</v>
      </c>
      <c r="I19" t="s">
        <v>5342</v>
      </c>
    </row>
    <row r="20" spans="1:9" x14ac:dyDescent="0.35">
      <c r="A20" t="s">
        <v>5124</v>
      </c>
      <c r="B20" t="s">
        <v>5343</v>
      </c>
      <c r="C20" t="s">
        <v>5327</v>
      </c>
      <c r="D20" t="s">
        <v>1848</v>
      </c>
      <c r="E20" t="s">
        <v>5344</v>
      </c>
      <c r="F20" t="s">
        <v>5275</v>
      </c>
      <c r="G20" s="23">
        <v>38582</v>
      </c>
      <c r="H20" s="23">
        <v>39624</v>
      </c>
      <c r="I20" t="s">
        <v>5345</v>
      </c>
    </row>
    <row r="21" spans="1:9" x14ac:dyDescent="0.35">
      <c r="A21" t="s">
        <v>5125</v>
      </c>
      <c r="B21" t="s">
        <v>5346</v>
      </c>
      <c r="C21" t="s">
        <v>5347</v>
      </c>
      <c r="D21" t="s">
        <v>5348</v>
      </c>
      <c r="E21" t="s">
        <v>4854</v>
      </c>
      <c r="F21" t="s">
        <v>5275</v>
      </c>
      <c r="G21" s="23">
        <v>38903</v>
      </c>
      <c r="H21" s="23">
        <v>39802</v>
      </c>
      <c r="I21" t="s">
        <v>5349</v>
      </c>
    </row>
    <row r="22" spans="1:9" x14ac:dyDescent="0.35">
      <c r="A22" t="s">
        <v>5126</v>
      </c>
      <c r="B22" t="s">
        <v>5350</v>
      </c>
      <c r="C22" t="s">
        <v>5351</v>
      </c>
      <c r="D22" t="s">
        <v>5352</v>
      </c>
      <c r="E22" t="s">
        <v>4854</v>
      </c>
      <c r="F22" t="s">
        <v>5275</v>
      </c>
      <c r="G22" s="23">
        <v>35476</v>
      </c>
      <c r="H22" s="23">
        <v>37026</v>
      </c>
      <c r="I22" t="s">
        <v>5353</v>
      </c>
    </row>
    <row r="23" spans="1:9" x14ac:dyDescent="0.35">
      <c r="A23" t="s">
        <v>5127</v>
      </c>
      <c r="B23" t="s">
        <v>5354</v>
      </c>
      <c r="C23" t="s">
        <v>5355</v>
      </c>
      <c r="D23" t="s">
        <v>5352</v>
      </c>
      <c r="E23" t="s">
        <v>4854</v>
      </c>
      <c r="F23" t="s">
        <v>5275</v>
      </c>
      <c r="G23" s="23">
        <v>36394</v>
      </c>
      <c r="H23" s="23">
        <v>37943</v>
      </c>
      <c r="I23" t="s">
        <v>5356</v>
      </c>
    </row>
    <row r="24" spans="1:9" x14ac:dyDescent="0.35">
      <c r="A24" t="s">
        <v>5128</v>
      </c>
      <c r="B24" t="s">
        <v>5357</v>
      </c>
      <c r="C24" t="s">
        <v>5358</v>
      </c>
      <c r="D24" t="s">
        <v>1810</v>
      </c>
      <c r="E24" t="s">
        <v>5348</v>
      </c>
      <c r="F24" t="s">
        <v>5275</v>
      </c>
      <c r="G24" s="23">
        <v>38037</v>
      </c>
      <c r="H24" s="23">
        <v>39243</v>
      </c>
      <c r="I24" t="s">
        <v>5359</v>
      </c>
    </row>
    <row r="25" spans="1:9" x14ac:dyDescent="0.35">
      <c r="A25" t="s">
        <v>5129</v>
      </c>
      <c r="B25" t="s">
        <v>5360</v>
      </c>
      <c r="C25" t="s">
        <v>5327</v>
      </c>
      <c r="D25" t="s">
        <v>1810</v>
      </c>
      <c r="E25" t="s">
        <v>5361</v>
      </c>
      <c r="F25" t="s">
        <v>5275</v>
      </c>
      <c r="G25" s="23">
        <v>38457</v>
      </c>
      <c r="H25" s="23">
        <v>39721</v>
      </c>
      <c r="I25" t="s">
        <v>5362</v>
      </c>
    </row>
    <row r="26" spans="1:9" x14ac:dyDescent="0.35">
      <c r="A26" t="s">
        <v>5130</v>
      </c>
      <c r="B26" t="s">
        <v>5363</v>
      </c>
      <c r="C26" t="s">
        <v>5347</v>
      </c>
      <c r="D26" t="s">
        <v>5364</v>
      </c>
      <c r="E26" t="s">
        <v>5348</v>
      </c>
      <c r="F26" t="s">
        <v>5275</v>
      </c>
      <c r="G26" s="23">
        <v>38970</v>
      </c>
      <c r="H26" s="23">
        <v>39921</v>
      </c>
      <c r="I26" t="s">
        <v>5365</v>
      </c>
    </row>
    <row r="27" spans="1:9" x14ac:dyDescent="0.35">
      <c r="A27" t="s">
        <v>5131</v>
      </c>
      <c r="B27" t="s">
        <v>5366</v>
      </c>
      <c r="C27" t="s">
        <v>5367</v>
      </c>
      <c r="D27" t="s">
        <v>5368</v>
      </c>
      <c r="E27" t="s">
        <v>5348</v>
      </c>
      <c r="F27" t="s">
        <v>5275</v>
      </c>
      <c r="G27" s="23">
        <v>39380</v>
      </c>
      <c r="H27" s="23">
        <v>40410</v>
      </c>
      <c r="I27" t="s">
        <v>5369</v>
      </c>
    </row>
    <row r="28" spans="1:9" x14ac:dyDescent="0.35">
      <c r="A28" t="s">
        <v>5132</v>
      </c>
      <c r="B28" t="s">
        <v>5370</v>
      </c>
      <c r="C28" t="s">
        <v>5371</v>
      </c>
      <c r="D28" t="s">
        <v>4854</v>
      </c>
      <c r="E28" t="s">
        <v>1824</v>
      </c>
      <c r="F28" t="s">
        <v>4334</v>
      </c>
      <c r="G28" s="23">
        <v>36206</v>
      </c>
      <c r="H28" s="23">
        <v>37159</v>
      </c>
      <c r="I28" t="s">
        <v>5372</v>
      </c>
    </row>
    <row r="29" spans="1:9" x14ac:dyDescent="0.35">
      <c r="A29" t="s">
        <v>5133</v>
      </c>
      <c r="B29" t="s">
        <v>5373</v>
      </c>
      <c r="C29" t="s">
        <v>5374</v>
      </c>
      <c r="D29" t="s">
        <v>4854</v>
      </c>
      <c r="E29" t="s">
        <v>1012</v>
      </c>
      <c r="F29" t="s">
        <v>4334</v>
      </c>
      <c r="G29" s="23">
        <v>37031</v>
      </c>
      <c r="H29" s="23">
        <v>38229</v>
      </c>
      <c r="I29" t="s">
        <v>5375</v>
      </c>
    </row>
    <row r="30" spans="1:9" x14ac:dyDescent="0.35">
      <c r="A30" t="s">
        <v>5134</v>
      </c>
      <c r="B30" t="s">
        <v>5376</v>
      </c>
      <c r="C30" t="s">
        <v>5377</v>
      </c>
      <c r="D30" t="s">
        <v>5344</v>
      </c>
      <c r="E30" t="s">
        <v>4854</v>
      </c>
      <c r="F30" t="s">
        <v>4334</v>
      </c>
      <c r="G30" s="23">
        <v>37478</v>
      </c>
      <c r="H30" s="23">
        <v>38426</v>
      </c>
      <c r="I30" t="s">
        <v>5378</v>
      </c>
    </row>
    <row r="31" spans="1:9" x14ac:dyDescent="0.35">
      <c r="A31" t="s">
        <v>5135</v>
      </c>
      <c r="B31" t="s">
        <v>5379</v>
      </c>
      <c r="C31" t="s">
        <v>5380</v>
      </c>
      <c r="D31" t="s">
        <v>4856</v>
      </c>
      <c r="E31" t="s">
        <v>1824</v>
      </c>
      <c r="F31" t="s">
        <v>4337</v>
      </c>
      <c r="G31" s="23">
        <v>37639</v>
      </c>
      <c r="H31" s="23">
        <v>38647</v>
      </c>
      <c r="I31" t="s">
        <v>5375</v>
      </c>
    </row>
    <row r="32" spans="1:9" x14ac:dyDescent="0.35">
      <c r="A32" t="s">
        <v>5136</v>
      </c>
      <c r="B32" t="s">
        <v>5381</v>
      </c>
      <c r="C32" t="s">
        <v>5382</v>
      </c>
      <c r="D32" t="s">
        <v>4856</v>
      </c>
      <c r="E32" t="s">
        <v>1824</v>
      </c>
      <c r="F32" t="s">
        <v>4337</v>
      </c>
      <c r="G32" s="23">
        <v>36689</v>
      </c>
      <c r="H32" s="23">
        <v>37641</v>
      </c>
      <c r="I32" t="s">
        <v>5383</v>
      </c>
    </row>
    <row r="33" spans="1:9" x14ac:dyDescent="0.35">
      <c r="A33" t="s">
        <v>5137</v>
      </c>
      <c r="B33" t="s">
        <v>5384</v>
      </c>
      <c r="C33" t="s">
        <v>5385</v>
      </c>
      <c r="D33" t="s">
        <v>4856</v>
      </c>
      <c r="E33" t="s">
        <v>1824</v>
      </c>
      <c r="F33" t="s">
        <v>4337</v>
      </c>
      <c r="G33" s="23">
        <v>36986</v>
      </c>
      <c r="H33" s="23">
        <v>38061</v>
      </c>
      <c r="I33" t="s">
        <v>5386</v>
      </c>
    </row>
    <row r="34" spans="1:9" x14ac:dyDescent="0.35">
      <c r="A34" t="s">
        <v>5138</v>
      </c>
      <c r="B34" t="s">
        <v>5387</v>
      </c>
      <c r="C34" t="s">
        <v>5388</v>
      </c>
      <c r="D34" t="s">
        <v>5389</v>
      </c>
      <c r="E34" t="s">
        <v>4856</v>
      </c>
      <c r="F34" t="s">
        <v>4337</v>
      </c>
      <c r="G34" s="23">
        <v>38405</v>
      </c>
      <c r="H34" s="23">
        <v>39659</v>
      </c>
      <c r="I34" t="s">
        <v>5390</v>
      </c>
    </row>
    <row r="35" spans="1:9" x14ac:dyDescent="0.35">
      <c r="A35" t="s">
        <v>5139</v>
      </c>
      <c r="B35" t="s">
        <v>5391</v>
      </c>
      <c r="C35" t="s">
        <v>5392</v>
      </c>
      <c r="D35" t="s">
        <v>5344</v>
      </c>
      <c r="E35" t="s">
        <v>5393</v>
      </c>
      <c r="F35" t="s">
        <v>4337</v>
      </c>
      <c r="G35" s="23">
        <v>38817</v>
      </c>
      <c r="H35" s="23">
        <v>40111</v>
      </c>
      <c r="I35" t="s">
        <v>5394</v>
      </c>
    </row>
    <row r="36" spans="1:9" x14ac:dyDescent="0.35">
      <c r="A36" t="s">
        <v>5140</v>
      </c>
      <c r="B36" t="s">
        <v>5395</v>
      </c>
      <c r="C36" t="s">
        <v>5396</v>
      </c>
      <c r="D36" t="s">
        <v>1812</v>
      </c>
      <c r="E36" t="s">
        <v>4856</v>
      </c>
      <c r="F36" t="s">
        <v>4337</v>
      </c>
      <c r="G36" s="23">
        <v>39217</v>
      </c>
      <c r="H36" s="23">
        <v>40500</v>
      </c>
      <c r="I36" t="s">
        <v>5397</v>
      </c>
    </row>
    <row r="37" spans="1:9" x14ac:dyDescent="0.35">
      <c r="A37" t="s">
        <v>5141</v>
      </c>
      <c r="B37" t="s">
        <v>5398</v>
      </c>
      <c r="C37" t="s">
        <v>5399</v>
      </c>
      <c r="D37" t="s">
        <v>4856</v>
      </c>
      <c r="E37" t="s">
        <v>1824</v>
      </c>
      <c r="F37" t="s">
        <v>5290</v>
      </c>
      <c r="G37" s="23">
        <v>35297</v>
      </c>
      <c r="H37" s="23">
        <v>36509</v>
      </c>
      <c r="I37" t="s">
        <v>5400</v>
      </c>
    </row>
    <row r="38" spans="1:9" x14ac:dyDescent="0.35">
      <c r="A38" t="s">
        <v>5142</v>
      </c>
      <c r="B38" t="s">
        <v>5401</v>
      </c>
      <c r="C38" t="s">
        <v>5402</v>
      </c>
      <c r="D38" t="s">
        <v>4856</v>
      </c>
      <c r="E38" t="s">
        <v>1824</v>
      </c>
      <c r="F38" t="s">
        <v>5290</v>
      </c>
      <c r="G38" s="23">
        <v>36170</v>
      </c>
      <c r="H38" s="23">
        <v>37427</v>
      </c>
      <c r="I38" t="s">
        <v>5403</v>
      </c>
    </row>
    <row r="39" spans="1:9" x14ac:dyDescent="0.35">
      <c r="A39" t="s">
        <v>5143</v>
      </c>
      <c r="B39" t="s">
        <v>5404</v>
      </c>
      <c r="C39" t="s">
        <v>5405</v>
      </c>
      <c r="D39" t="s">
        <v>4856</v>
      </c>
      <c r="E39" t="s">
        <v>1824</v>
      </c>
      <c r="F39" t="s">
        <v>5290</v>
      </c>
      <c r="G39" s="23">
        <v>36631</v>
      </c>
      <c r="H39" s="23">
        <v>37889</v>
      </c>
      <c r="I39" t="s">
        <v>5406</v>
      </c>
    </row>
    <row r="40" spans="1:9" x14ac:dyDescent="0.35">
      <c r="A40" t="s">
        <v>5144</v>
      </c>
      <c r="B40" t="s">
        <v>5407</v>
      </c>
      <c r="C40" t="s">
        <v>5408</v>
      </c>
      <c r="D40" t="s">
        <v>4856</v>
      </c>
      <c r="E40" t="s">
        <v>1824</v>
      </c>
      <c r="F40" t="s">
        <v>5290</v>
      </c>
      <c r="G40" s="23">
        <v>37062</v>
      </c>
      <c r="H40" s="23">
        <v>38321</v>
      </c>
      <c r="I40" t="s">
        <v>5409</v>
      </c>
    </row>
    <row r="41" spans="1:9" x14ac:dyDescent="0.35">
      <c r="A41" t="s">
        <v>5145</v>
      </c>
      <c r="B41" t="s">
        <v>5410</v>
      </c>
      <c r="C41" t="s">
        <v>5411</v>
      </c>
      <c r="D41" t="s">
        <v>4856</v>
      </c>
      <c r="E41" t="s">
        <v>1824</v>
      </c>
      <c r="F41" t="s">
        <v>5290</v>
      </c>
      <c r="G41" s="23">
        <v>37333</v>
      </c>
      <c r="H41" s="23">
        <v>38405</v>
      </c>
      <c r="I41" t="s">
        <v>5412</v>
      </c>
    </row>
    <row r="42" spans="1:9" x14ac:dyDescent="0.35">
      <c r="A42" t="s">
        <v>5146</v>
      </c>
      <c r="B42" t="s">
        <v>5413</v>
      </c>
      <c r="C42" t="s">
        <v>5414</v>
      </c>
      <c r="D42" t="s">
        <v>4856</v>
      </c>
      <c r="E42" t="s">
        <v>1824</v>
      </c>
      <c r="F42" t="s">
        <v>5290</v>
      </c>
      <c r="G42" s="23">
        <v>37524</v>
      </c>
      <c r="H42" s="23">
        <v>38701</v>
      </c>
      <c r="I42" t="s">
        <v>5415</v>
      </c>
    </row>
    <row r="43" spans="1:9" x14ac:dyDescent="0.35">
      <c r="A43" t="s">
        <v>5147</v>
      </c>
      <c r="B43" t="s">
        <v>5416</v>
      </c>
      <c r="C43" t="s">
        <v>5417</v>
      </c>
      <c r="D43" t="s">
        <v>4856</v>
      </c>
      <c r="E43" t="s">
        <v>1824</v>
      </c>
      <c r="F43" t="s">
        <v>5290</v>
      </c>
      <c r="G43" s="23">
        <v>37753</v>
      </c>
      <c r="H43" s="23">
        <v>38949</v>
      </c>
      <c r="I43" t="s">
        <v>5418</v>
      </c>
    </row>
    <row r="44" spans="1:9" x14ac:dyDescent="0.35">
      <c r="A44" t="s">
        <v>5148</v>
      </c>
      <c r="B44" t="s">
        <v>5419</v>
      </c>
      <c r="C44" t="s">
        <v>5420</v>
      </c>
      <c r="D44" t="s">
        <v>4856</v>
      </c>
      <c r="E44" t="s">
        <v>1824</v>
      </c>
      <c r="F44" t="s">
        <v>5290</v>
      </c>
      <c r="G44" s="23">
        <v>37753</v>
      </c>
      <c r="H44" s="23">
        <v>38949</v>
      </c>
      <c r="I44" t="s">
        <v>5421</v>
      </c>
    </row>
    <row r="45" spans="1:9" x14ac:dyDescent="0.35">
      <c r="A45" t="s">
        <v>5149</v>
      </c>
      <c r="B45" t="s">
        <v>5422</v>
      </c>
      <c r="C45" t="s">
        <v>5423</v>
      </c>
      <c r="D45" t="s">
        <v>4856</v>
      </c>
      <c r="E45" t="s">
        <v>1824</v>
      </c>
      <c r="F45" t="s">
        <v>5290</v>
      </c>
      <c r="G45" s="23">
        <v>38006</v>
      </c>
      <c r="H45" s="23">
        <v>39018</v>
      </c>
      <c r="I45" t="s">
        <v>5424</v>
      </c>
    </row>
    <row r="46" spans="1:9" x14ac:dyDescent="0.35">
      <c r="A46" t="s">
        <v>5150</v>
      </c>
      <c r="B46" t="s">
        <v>5425</v>
      </c>
      <c r="C46" t="s">
        <v>5426</v>
      </c>
      <c r="D46" t="s">
        <v>4856</v>
      </c>
      <c r="E46" t="s">
        <v>1824</v>
      </c>
      <c r="F46" t="s">
        <v>5290</v>
      </c>
      <c r="G46" s="23">
        <v>38006</v>
      </c>
      <c r="H46" s="23">
        <v>39018</v>
      </c>
      <c r="I46" t="s">
        <v>5427</v>
      </c>
    </row>
    <row r="47" spans="1:9" x14ac:dyDescent="0.35">
      <c r="A47" t="s">
        <v>5151</v>
      </c>
      <c r="B47" t="s">
        <v>5428</v>
      </c>
      <c r="C47" t="s">
        <v>5429</v>
      </c>
      <c r="D47" t="s">
        <v>4856</v>
      </c>
      <c r="E47" t="s">
        <v>1824</v>
      </c>
      <c r="F47" t="s">
        <v>5290</v>
      </c>
      <c r="G47" s="23">
        <v>38398</v>
      </c>
      <c r="H47" s="23">
        <v>39416</v>
      </c>
      <c r="I47" t="s">
        <v>5430</v>
      </c>
    </row>
    <row r="48" spans="1:9" x14ac:dyDescent="0.35">
      <c r="A48" t="s">
        <v>5152</v>
      </c>
      <c r="B48" t="s">
        <v>5431</v>
      </c>
      <c r="C48" t="s">
        <v>5432</v>
      </c>
      <c r="D48" t="s">
        <v>4856</v>
      </c>
      <c r="E48" t="s">
        <v>1012</v>
      </c>
      <c r="F48" t="s">
        <v>5290</v>
      </c>
      <c r="G48" s="23">
        <v>36719</v>
      </c>
      <c r="H48" s="23">
        <v>37672</v>
      </c>
      <c r="I48" t="s">
        <v>5433</v>
      </c>
    </row>
    <row r="49" spans="1:9" x14ac:dyDescent="0.35">
      <c r="A49" t="s">
        <v>5153</v>
      </c>
      <c r="B49" t="s">
        <v>5434</v>
      </c>
      <c r="C49" t="s">
        <v>5435</v>
      </c>
      <c r="D49" t="s">
        <v>4856</v>
      </c>
      <c r="E49" t="s">
        <v>1012</v>
      </c>
      <c r="F49" t="s">
        <v>5290</v>
      </c>
      <c r="G49" s="23">
        <v>37486</v>
      </c>
      <c r="H49" s="23">
        <v>38497</v>
      </c>
      <c r="I49" t="s">
        <v>5436</v>
      </c>
    </row>
    <row r="50" spans="1:9" x14ac:dyDescent="0.35">
      <c r="A50" t="s">
        <v>5154</v>
      </c>
      <c r="B50" t="s">
        <v>5437</v>
      </c>
      <c r="C50" t="s">
        <v>5438</v>
      </c>
      <c r="D50" t="s">
        <v>4856</v>
      </c>
      <c r="E50" t="s">
        <v>1012</v>
      </c>
      <c r="F50" t="s">
        <v>5290</v>
      </c>
      <c r="G50" s="23">
        <v>37700</v>
      </c>
      <c r="H50" s="23">
        <v>38640</v>
      </c>
      <c r="I50" t="s">
        <v>5439</v>
      </c>
    </row>
    <row r="51" spans="1:9" x14ac:dyDescent="0.35">
      <c r="A51" t="s">
        <v>5155</v>
      </c>
      <c r="B51" t="s">
        <v>5440</v>
      </c>
      <c r="C51" t="s">
        <v>5441</v>
      </c>
      <c r="D51" t="s">
        <v>4856</v>
      </c>
      <c r="E51" t="s">
        <v>1012</v>
      </c>
      <c r="F51" t="s">
        <v>5290</v>
      </c>
      <c r="G51" s="23">
        <v>37700</v>
      </c>
      <c r="H51" s="23">
        <v>38640</v>
      </c>
      <c r="I51" t="s">
        <v>5442</v>
      </c>
    </row>
    <row r="52" spans="1:9" x14ac:dyDescent="0.35">
      <c r="A52" t="s">
        <v>5156</v>
      </c>
      <c r="B52" t="s">
        <v>5443</v>
      </c>
      <c r="C52" t="s">
        <v>5444</v>
      </c>
      <c r="D52" t="s">
        <v>4856</v>
      </c>
      <c r="E52" t="s">
        <v>1878</v>
      </c>
      <c r="F52" t="s">
        <v>5290</v>
      </c>
      <c r="G52" s="23">
        <v>36571</v>
      </c>
      <c r="H52" s="23">
        <v>37904</v>
      </c>
      <c r="I52" t="s">
        <v>5445</v>
      </c>
    </row>
    <row r="53" spans="1:9" x14ac:dyDescent="0.35">
      <c r="A53" t="s">
        <v>5157</v>
      </c>
      <c r="B53" t="s">
        <v>5446</v>
      </c>
      <c r="C53" t="s">
        <v>5447</v>
      </c>
      <c r="D53" t="s">
        <v>1767</v>
      </c>
      <c r="E53" t="s">
        <v>5448</v>
      </c>
      <c r="F53" t="s">
        <v>5290</v>
      </c>
      <c r="G53" s="23">
        <v>37429</v>
      </c>
      <c r="H53" s="23">
        <v>38704</v>
      </c>
      <c r="I53" t="s">
        <v>5449</v>
      </c>
    </row>
    <row r="54" spans="1:9" x14ac:dyDescent="0.35">
      <c r="A54" t="s">
        <v>5158</v>
      </c>
      <c r="B54" t="s">
        <v>5450</v>
      </c>
      <c r="C54" t="s">
        <v>5451</v>
      </c>
      <c r="D54" t="s">
        <v>5393</v>
      </c>
      <c r="E54" t="s">
        <v>1812</v>
      </c>
      <c r="F54" t="s">
        <v>5290</v>
      </c>
      <c r="G54" s="23">
        <v>34222</v>
      </c>
      <c r="H54" s="23">
        <v>35389</v>
      </c>
      <c r="I54" t="s">
        <v>5452</v>
      </c>
    </row>
    <row r="55" spans="1:9" x14ac:dyDescent="0.35">
      <c r="A55" t="s">
        <v>5159</v>
      </c>
      <c r="B55" t="s">
        <v>5453</v>
      </c>
      <c r="C55" t="s">
        <v>5454</v>
      </c>
      <c r="D55" t="s">
        <v>5389</v>
      </c>
      <c r="E55" t="s">
        <v>4856</v>
      </c>
      <c r="F55" t="s">
        <v>5290</v>
      </c>
      <c r="G55" s="23">
        <v>34745</v>
      </c>
      <c r="H55" s="23">
        <v>36063</v>
      </c>
      <c r="I55" t="s">
        <v>5455</v>
      </c>
    </row>
    <row r="56" spans="1:9" x14ac:dyDescent="0.35">
      <c r="A56" t="s">
        <v>5160</v>
      </c>
      <c r="B56" t="s">
        <v>5456</v>
      </c>
      <c r="C56" t="s">
        <v>5457</v>
      </c>
      <c r="D56" t="s">
        <v>5389</v>
      </c>
      <c r="E56" t="s">
        <v>4856</v>
      </c>
      <c r="F56" t="s">
        <v>5290</v>
      </c>
      <c r="G56" s="23">
        <v>36392</v>
      </c>
      <c r="H56" s="23">
        <v>37620</v>
      </c>
      <c r="I56" t="s">
        <v>5458</v>
      </c>
    </row>
    <row r="57" spans="1:9" x14ac:dyDescent="0.35">
      <c r="A57" t="s">
        <v>5161</v>
      </c>
      <c r="B57" t="s">
        <v>5459</v>
      </c>
      <c r="C57" t="s">
        <v>5460</v>
      </c>
      <c r="D57" t="s">
        <v>1076</v>
      </c>
      <c r="E57" t="s">
        <v>4856</v>
      </c>
      <c r="F57" t="s">
        <v>5290</v>
      </c>
      <c r="G57" s="23">
        <v>38064</v>
      </c>
      <c r="H57" s="23">
        <v>39285</v>
      </c>
      <c r="I57" t="s">
        <v>5461</v>
      </c>
    </row>
    <row r="58" spans="1:9" x14ac:dyDescent="0.35">
      <c r="A58" t="s">
        <v>5162</v>
      </c>
      <c r="B58" t="s">
        <v>5462</v>
      </c>
      <c r="C58" t="s">
        <v>5463</v>
      </c>
      <c r="D58" t="s">
        <v>5464</v>
      </c>
      <c r="E58" t="s">
        <v>4856</v>
      </c>
      <c r="F58" t="s">
        <v>5290</v>
      </c>
      <c r="G58" s="23">
        <v>38558</v>
      </c>
      <c r="H58" s="23">
        <v>39736</v>
      </c>
      <c r="I58" t="s">
        <v>5465</v>
      </c>
    </row>
    <row r="59" spans="1:9" x14ac:dyDescent="0.35">
      <c r="A59" t="s">
        <v>5163</v>
      </c>
      <c r="B59" t="s">
        <v>5466</v>
      </c>
      <c r="C59" t="s">
        <v>5467</v>
      </c>
      <c r="D59" t="s">
        <v>1123</v>
      </c>
      <c r="E59" t="s">
        <v>4856</v>
      </c>
      <c r="F59" t="s">
        <v>5290</v>
      </c>
      <c r="G59" s="23">
        <v>39979</v>
      </c>
      <c r="H59" s="23">
        <v>43139</v>
      </c>
      <c r="I59" t="s">
        <v>5468</v>
      </c>
    </row>
    <row r="60" spans="1:9" x14ac:dyDescent="0.35">
      <c r="A60" t="s">
        <v>5164</v>
      </c>
      <c r="B60" t="s">
        <v>5469</v>
      </c>
      <c r="C60" t="s">
        <v>5470</v>
      </c>
      <c r="D60" t="s">
        <v>5464</v>
      </c>
      <c r="E60" t="s">
        <v>4856</v>
      </c>
      <c r="F60" t="s">
        <v>5290</v>
      </c>
      <c r="G60" s="23">
        <v>39401</v>
      </c>
      <c r="H60" s="23">
        <v>40415</v>
      </c>
      <c r="I60" t="s">
        <v>5471</v>
      </c>
    </row>
    <row r="61" spans="1:9" x14ac:dyDescent="0.35">
      <c r="A61" t="s">
        <v>5165</v>
      </c>
      <c r="B61" t="s">
        <v>5472</v>
      </c>
      <c r="C61" t="s">
        <v>5473</v>
      </c>
      <c r="D61" t="s">
        <v>5474</v>
      </c>
      <c r="E61" t="s">
        <v>4856</v>
      </c>
      <c r="F61" t="s">
        <v>5290</v>
      </c>
      <c r="G61" s="23">
        <v>39713</v>
      </c>
      <c r="H61" s="23">
        <v>40892</v>
      </c>
      <c r="I61" t="s">
        <v>5475</v>
      </c>
    </row>
    <row r="62" spans="1:9" x14ac:dyDescent="0.35">
      <c r="A62" t="s">
        <v>4153</v>
      </c>
      <c r="B62" t="s">
        <v>5476</v>
      </c>
      <c r="C62" t="s">
        <v>5477</v>
      </c>
      <c r="D62" t="s">
        <v>4856</v>
      </c>
      <c r="E62" t="s">
        <v>5478</v>
      </c>
      <c r="F62" t="s">
        <v>5290</v>
      </c>
      <c r="G62" s="23">
        <v>40104</v>
      </c>
      <c r="H62" s="23">
        <v>41120</v>
      </c>
      <c r="I62" t="s">
        <v>5479</v>
      </c>
    </row>
    <row r="63" spans="1:9" x14ac:dyDescent="0.35">
      <c r="A63" t="s">
        <v>5166</v>
      </c>
      <c r="B63" t="s">
        <v>5480</v>
      </c>
      <c r="C63" t="s">
        <v>5481</v>
      </c>
      <c r="D63" t="s">
        <v>5478</v>
      </c>
      <c r="E63" t="s">
        <v>2048</v>
      </c>
      <c r="F63" t="s">
        <v>5290</v>
      </c>
      <c r="G63" s="23">
        <v>40410</v>
      </c>
      <c r="H63" s="23">
        <v>41606</v>
      </c>
      <c r="I63" t="s">
        <v>5482</v>
      </c>
    </row>
    <row r="64" spans="1:9" x14ac:dyDescent="0.35">
      <c r="A64" t="s">
        <v>5167</v>
      </c>
      <c r="B64" t="s">
        <v>5483</v>
      </c>
      <c r="C64" t="s">
        <v>5484</v>
      </c>
      <c r="D64" t="s">
        <v>4856</v>
      </c>
      <c r="E64" t="s">
        <v>5485</v>
      </c>
      <c r="F64" t="s">
        <v>5290</v>
      </c>
      <c r="G64" s="23">
        <v>35807</v>
      </c>
      <c r="H64" s="23">
        <v>36819</v>
      </c>
      <c r="I64" t="s">
        <v>5486</v>
      </c>
    </row>
    <row r="65" spans="1:9" x14ac:dyDescent="0.35">
      <c r="A65" t="s">
        <v>5168</v>
      </c>
      <c r="B65" t="s">
        <v>5487</v>
      </c>
      <c r="C65" t="s">
        <v>5488</v>
      </c>
      <c r="D65" t="s">
        <v>4856</v>
      </c>
      <c r="E65" t="s">
        <v>5485</v>
      </c>
      <c r="F65" t="s">
        <v>5290</v>
      </c>
      <c r="G65" s="23">
        <v>37029</v>
      </c>
      <c r="H65" s="23">
        <v>38042</v>
      </c>
      <c r="I65" t="s">
        <v>5386</v>
      </c>
    </row>
    <row r="66" spans="1:9" x14ac:dyDescent="0.35">
      <c r="A66" t="s">
        <v>5169</v>
      </c>
      <c r="B66" t="s">
        <v>5489</v>
      </c>
      <c r="C66" t="s">
        <v>5490</v>
      </c>
      <c r="D66" t="s">
        <v>4856</v>
      </c>
      <c r="E66" t="s">
        <v>5485</v>
      </c>
      <c r="F66" t="s">
        <v>5290</v>
      </c>
      <c r="G66" s="23">
        <v>38579</v>
      </c>
      <c r="H66" s="23">
        <v>39558</v>
      </c>
      <c r="I66" t="s">
        <v>5491</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H16"/>
  <sheetViews>
    <sheetView workbookViewId="0">
      <selection activeCell="C15" sqref="C15"/>
    </sheetView>
  </sheetViews>
  <sheetFormatPr baseColWidth="10" defaultRowHeight="14.5" x14ac:dyDescent="0.35"/>
  <cols>
    <col min="1" max="1" width="29.453125" customWidth="1"/>
    <col min="2" max="2" width="10.54296875" bestFit="1" customWidth="1"/>
    <col min="3" max="3" width="24.54296875" customWidth="1"/>
    <col min="4" max="4" width="7.453125" bestFit="1" customWidth="1"/>
    <col min="5" max="5" width="16.81640625" customWidth="1"/>
    <col min="6" max="6" width="9.54296875" bestFit="1" customWidth="1"/>
    <col min="7" max="7" width="20.81640625" customWidth="1"/>
    <col min="8" max="8" width="19.81640625" customWidth="1"/>
  </cols>
  <sheetData>
    <row r="1" spans="1:8" ht="15" thickBot="1" x14ac:dyDescent="0.4">
      <c r="A1" s="32" t="s">
        <v>6103</v>
      </c>
      <c r="B1" s="32" t="s">
        <v>6104</v>
      </c>
      <c r="C1" s="32" t="s">
        <v>6105</v>
      </c>
      <c r="D1" s="32" t="s">
        <v>6106</v>
      </c>
      <c r="E1" s="32" t="s">
        <v>6107</v>
      </c>
      <c r="F1" s="32" t="s">
        <v>6108</v>
      </c>
      <c r="G1" s="32" t="s">
        <v>6109</v>
      </c>
      <c r="H1" s="32" t="s">
        <v>6110</v>
      </c>
    </row>
    <row r="2" spans="1:8" ht="15" thickBot="1" x14ac:dyDescent="0.4">
      <c r="A2" s="33" t="s">
        <v>6111</v>
      </c>
      <c r="B2" s="34" t="s">
        <v>6085</v>
      </c>
      <c r="C2" s="34" t="s">
        <v>6112</v>
      </c>
      <c r="D2" s="34" t="s">
        <v>6113</v>
      </c>
      <c r="E2" s="34" t="s">
        <v>6114</v>
      </c>
      <c r="F2" s="34" t="s">
        <v>6115</v>
      </c>
      <c r="G2" s="34" t="s">
        <v>6116</v>
      </c>
      <c r="H2" s="34" t="s">
        <v>6117</v>
      </c>
    </row>
    <row r="3" spans="1:8" ht="15" thickBot="1" x14ac:dyDescent="0.4">
      <c r="A3" s="33" t="s">
        <v>6111</v>
      </c>
      <c r="B3" s="34" t="s">
        <v>6084</v>
      </c>
      <c r="C3" s="34" t="s">
        <v>6118</v>
      </c>
      <c r="D3" s="34" t="s">
        <v>6119</v>
      </c>
      <c r="E3" s="34" t="s">
        <v>6114</v>
      </c>
      <c r="F3" s="34" t="s">
        <v>6115</v>
      </c>
      <c r="G3" s="34" t="s">
        <v>6116</v>
      </c>
      <c r="H3" s="34" t="s">
        <v>6117</v>
      </c>
    </row>
    <row r="4" spans="1:8" ht="28.5" thickBot="1" x14ac:dyDescent="0.4">
      <c r="A4" s="33" t="s">
        <v>6111</v>
      </c>
      <c r="B4" s="34" t="s">
        <v>6120</v>
      </c>
      <c r="C4" s="34" t="s">
        <v>6121</v>
      </c>
      <c r="D4" s="34" t="s">
        <v>6122</v>
      </c>
      <c r="E4" s="34" t="s">
        <v>6114</v>
      </c>
      <c r="F4" s="34" t="s">
        <v>6115</v>
      </c>
      <c r="G4" s="34" t="s">
        <v>6116</v>
      </c>
      <c r="H4" s="34" t="s">
        <v>6117</v>
      </c>
    </row>
    <row r="5" spans="1:8" ht="15" thickBot="1" x14ac:dyDescent="0.4">
      <c r="A5" s="33" t="s">
        <v>6111</v>
      </c>
      <c r="B5" s="34" t="s">
        <v>6083</v>
      </c>
      <c r="C5" s="34" t="s">
        <v>6123</v>
      </c>
      <c r="D5" s="34" t="s">
        <v>6113</v>
      </c>
      <c r="E5" s="34" t="s">
        <v>6114</v>
      </c>
      <c r="F5" s="34" t="s">
        <v>6115</v>
      </c>
      <c r="G5" s="34" t="s">
        <v>6116</v>
      </c>
      <c r="H5" s="34" t="s">
        <v>6117</v>
      </c>
    </row>
    <row r="6" spans="1:8" ht="28.5" thickBot="1" x14ac:dyDescent="0.4">
      <c r="A6" s="33" t="s">
        <v>6111</v>
      </c>
      <c r="B6" s="34" t="s">
        <v>6124</v>
      </c>
      <c r="C6" s="34" t="s">
        <v>6125</v>
      </c>
      <c r="D6" s="34" t="s">
        <v>6126</v>
      </c>
      <c r="E6" s="34" t="s">
        <v>6114</v>
      </c>
      <c r="F6" s="34" t="s">
        <v>6127</v>
      </c>
      <c r="G6" s="34" t="s">
        <v>6116</v>
      </c>
      <c r="H6" s="34" t="s">
        <v>6117</v>
      </c>
    </row>
    <row r="7" spans="1:8" ht="28.5" thickBot="1" x14ac:dyDescent="0.4">
      <c r="A7" s="33" t="s">
        <v>6111</v>
      </c>
      <c r="B7" s="34" t="s">
        <v>6128</v>
      </c>
      <c r="C7" s="34" t="s">
        <v>6129</v>
      </c>
      <c r="D7" s="34" t="s">
        <v>6126</v>
      </c>
      <c r="E7" s="34" t="s">
        <v>6114</v>
      </c>
      <c r="F7" s="34" t="s">
        <v>6127</v>
      </c>
      <c r="G7" s="34" t="s">
        <v>6116</v>
      </c>
      <c r="H7" s="34" t="s">
        <v>6117</v>
      </c>
    </row>
    <row r="8" spans="1:8" ht="15" thickBot="1" x14ac:dyDescent="0.4">
      <c r="A8" s="33" t="s">
        <v>6130</v>
      </c>
      <c r="B8" s="34" t="s">
        <v>6088</v>
      </c>
      <c r="C8" s="34" t="s">
        <v>6131</v>
      </c>
      <c r="D8" s="34" t="s">
        <v>6132</v>
      </c>
      <c r="E8" s="34" t="s">
        <v>6114</v>
      </c>
      <c r="F8" s="34" t="s">
        <v>6115</v>
      </c>
      <c r="G8" s="34" t="s">
        <v>6116</v>
      </c>
      <c r="H8" s="34" t="s">
        <v>6133</v>
      </c>
    </row>
    <row r="9" spans="1:8" ht="15" thickBot="1" x14ac:dyDescent="0.4">
      <c r="A9" s="33" t="s">
        <v>6130</v>
      </c>
      <c r="B9" s="34" t="s">
        <v>5536</v>
      </c>
      <c r="C9" s="34" t="s">
        <v>6134</v>
      </c>
      <c r="D9" s="34" t="s">
        <v>6135</v>
      </c>
      <c r="E9" s="34" t="s">
        <v>6114</v>
      </c>
      <c r="F9" s="34" t="s">
        <v>6115</v>
      </c>
      <c r="G9" s="34" t="s">
        <v>6116</v>
      </c>
      <c r="H9" s="34" t="s">
        <v>6133</v>
      </c>
    </row>
    <row r="10" spans="1:8" ht="15" thickBot="1" x14ac:dyDescent="0.4">
      <c r="A10" s="33" t="s">
        <v>6130</v>
      </c>
      <c r="B10" s="34" t="s">
        <v>5492</v>
      </c>
      <c r="C10" s="34" t="s">
        <v>6136</v>
      </c>
      <c r="D10" s="34" t="s">
        <v>6137</v>
      </c>
      <c r="E10" s="34" t="s">
        <v>6114</v>
      </c>
      <c r="F10" s="34" t="s">
        <v>6115</v>
      </c>
      <c r="G10" s="34" t="s">
        <v>6116</v>
      </c>
      <c r="H10" s="34" t="s">
        <v>6133</v>
      </c>
    </row>
    <row r="11" spans="1:8" ht="15" thickBot="1" x14ac:dyDescent="0.4">
      <c r="A11" s="33" t="s">
        <v>6138</v>
      </c>
      <c r="B11" s="34" t="s">
        <v>6081</v>
      </c>
      <c r="C11" s="34" t="s">
        <v>6139</v>
      </c>
      <c r="D11" s="34" t="s">
        <v>6140</v>
      </c>
      <c r="E11" s="34" t="s">
        <v>6114</v>
      </c>
      <c r="F11" s="34" t="s">
        <v>6115</v>
      </c>
      <c r="G11" s="34" t="s">
        <v>6141</v>
      </c>
      <c r="H11" s="33" t="s">
        <v>6142</v>
      </c>
    </row>
    <row r="12" spans="1:8" ht="15" thickBot="1" x14ac:dyDescent="0.4">
      <c r="A12" s="33" t="s">
        <v>6138</v>
      </c>
      <c r="B12" s="34" t="s">
        <v>6074</v>
      </c>
      <c r="C12" s="34" t="s">
        <v>6143</v>
      </c>
      <c r="D12" s="34" t="s">
        <v>6144</v>
      </c>
      <c r="E12" s="34" t="s">
        <v>6114</v>
      </c>
      <c r="F12" s="34" t="s">
        <v>6115</v>
      </c>
      <c r="G12" s="34" t="s">
        <v>6116</v>
      </c>
      <c r="H12" s="34" t="s">
        <v>6117</v>
      </c>
    </row>
    <row r="13" spans="1:8" ht="15" thickBot="1" x14ac:dyDescent="0.4">
      <c r="A13" s="33" t="s">
        <v>6138</v>
      </c>
      <c r="B13" s="34" t="s">
        <v>6073</v>
      </c>
      <c r="C13" s="34" t="s">
        <v>6145</v>
      </c>
      <c r="D13" s="34" t="s">
        <v>6144</v>
      </c>
      <c r="E13" s="34" t="s">
        <v>6114</v>
      </c>
      <c r="F13" s="34" t="s">
        <v>6115</v>
      </c>
      <c r="G13" s="34" t="s">
        <v>6116</v>
      </c>
      <c r="H13" s="34" t="s">
        <v>6117</v>
      </c>
    </row>
    <row r="14" spans="1:8" ht="15" thickBot="1" x14ac:dyDescent="0.4">
      <c r="A14" s="33" t="s">
        <v>6146</v>
      </c>
      <c r="B14" s="34" t="s">
        <v>4711</v>
      </c>
      <c r="C14" s="34" t="s">
        <v>6147</v>
      </c>
      <c r="D14" s="34" t="s">
        <v>6148</v>
      </c>
      <c r="E14" s="34" t="s">
        <v>6114</v>
      </c>
      <c r="F14" s="34" t="s">
        <v>6115</v>
      </c>
      <c r="G14" s="34" t="s">
        <v>6141</v>
      </c>
      <c r="H14" s="33" t="s">
        <v>6142</v>
      </c>
    </row>
    <row r="15" spans="1:8" ht="15" thickBot="1" x14ac:dyDescent="0.4">
      <c r="A15" s="33" t="s">
        <v>6146</v>
      </c>
      <c r="B15" s="34" t="s">
        <v>5737</v>
      </c>
      <c r="C15" s="34" t="s">
        <v>6149</v>
      </c>
      <c r="D15" s="34" t="s">
        <v>6150</v>
      </c>
      <c r="E15" s="34" t="s">
        <v>6114</v>
      </c>
      <c r="F15" s="34" t="s">
        <v>6115</v>
      </c>
      <c r="G15" s="34" t="s">
        <v>6116</v>
      </c>
      <c r="H15" s="34" t="s">
        <v>6151</v>
      </c>
    </row>
    <row r="16" spans="1:8" ht="15" thickBot="1" x14ac:dyDescent="0.4">
      <c r="A16" s="33" t="s">
        <v>6146</v>
      </c>
      <c r="B16" s="34" t="s">
        <v>6152</v>
      </c>
      <c r="C16" s="34" t="s">
        <v>6153</v>
      </c>
      <c r="D16" s="34" t="s">
        <v>6132</v>
      </c>
      <c r="E16" s="34" t="s">
        <v>6114</v>
      </c>
      <c r="F16" s="34" t="s">
        <v>6115</v>
      </c>
      <c r="G16" s="34" t="s">
        <v>6116</v>
      </c>
      <c r="H16" s="34" t="s">
        <v>6133</v>
      </c>
    </row>
  </sheetData>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5492</v>
      </c>
    </row>
    <row r="2" spans="1:7" ht="29" x14ac:dyDescent="0.35">
      <c r="A2" s="1"/>
      <c r="D2" s="38" t="s">
        <v>6252</v>
      </c>
      <c r="E2" s="38" t="s">
        <v>4573</v>
      </c>
      <c r="F2" s="38" t="s">
        <v>4574</v>
      </c>
      <c r="G2" s="38" t="s">
        <v>6253</v>
      </c>
    </row>
    <row r="3" spans="1:7" ht="43.5" x14ac:dyDescent="0.35">
      <c r="A3" s="5" t="s">
        <v>6238</v>
      </c>
      <c r="D3" s="39" t="s">
        <v>6264</v>
      </c>
      <c r="E3" s="39" t="s">
        <v>6181</v>
      </c>
      <c r="F3" s="39" t="s">
        <v>68</v>
      </c>
      <c r="G3" s="39" t="s">
        <v>6265</v>
      </c>
    </row>
    <row r="4" spans="1:7" ht="58" x14ac:dyDescent="0.35">
      <c r="A4" s="5" t="s">
        <v>6157</v>
      </c>
      <c r="D4" s="39" t="s">
        <v>6284</v>
      </c>
      <c r="E4" s="39" t="s">
        <v>6191</v>
      </c>
      <c r="F4" s="39" t="s">
        <v>68</v>
      </c>
      <c r="G4" s="39" t="s">
        <v>6285</v>
      </c>
    </row>
    <row r="5" spans="1:7" ht="43.5" x14ac:dyDescent="0.35">
      <c r="A5" s="30" t="s">
        <v>6236</v>
      </c>
      <c r="D5" s="39" t="s">
        <v>6248</v>
      </c>
      <c r="E5" s="39" t="s">
        <v>6248</v>
      </c>
      <c r="F5" s="39" t="s">
        <v>68</v>
      </c>
      <c r="G5" s="39" t="s">
        <v>6286</v>
      </c>
    </row>
    <row r="6" spans="1:7" ht="43.5" x14ac:dyDescent="0.35">
      <c r="A6" s="30" t="s">
        <v>6237</v>
      </c>
      <c r="D6" s="39" t="s">
        <v>6287</v>
      </c>
      <c r="E6" s="39" t="s">
        <v>6288</v>
      </c>
      <c r="F6" s="39" t="s">
        <v>68</v>
      </c>
      <c r="G6" s="39" t="s">
        <v>6289</v>
      </c>
    </row>
    <row r="7" spans="1:7" ht="58" x14ac:dyDescent="0.35">
      <c r="A7" s="30" t="s">
        <v>6235</v>
      </c>
      <c r="D7" s="39" t="s">
        <v>6299</v>
      </c>
      <c r="E7" s="39" t="s">
        <v>6245</v>
      </c>
      <c r="F7" s="39" t="s">
        <v>68</v>
      </c>
      <c r="G7" s="39" t="s">
        <v>6300</v>
      </c>
    </row>
    <row r="8" spans="1:7" ht="43.5" x14ac:dyDescent="0.35">
      <c r="A8" s="30" t="s">
        <v>6234</v>
      </c>
      <c r="D8" s="39" t="s">
        <v>6246</v>
      </c>
      <c r="E8" s="39" t="s">
        <v>6246</v>
      </c>
      <c r="F8" s="39" t="s">
        <v>68</v>
      </c>
      <c r="G8" s="39" t="s">
        <v>6301</v>
      </c>
    </row>
    <row r="9" spans="1:7" ht="43.5" x14ac:dyDescent="0.35">
      <c r="A9" s="5" t="s">
        <v>5640</v>
      </c>
      <c r="D9" s="39" t="s">
        <v>6160</v>
      </c>
      <c r="E9" s="39" t="s">
        <v>6160</v>
      </c>
      <c r="F9" s="39" t="s">
        <v>68</v>
      </c>
      <c r="G9" s="39" t="s">
        <v>6302</v>
      </c>
    </row>
    <row r="10" spans="1:7" ht="58" x14ac:dyDescent="0.35">
      <c r="A10" s="5" t="s">
        <v>5645</v>
      </c>
      <c r="D10" s="39" t="s">
        <v>6303</v>
      </c>
      <c r="E10" s="39" t="s">
        <v>6247</v>
      </c>
      <c r="F10" s="39" t="s">
        <v>68</v>
      </c>
      <c r="G10" s="39" t="s">
        <v>6298</v>
      </c>
    </row>
    <row r="11" spans="1:7" ht="43.5" x14ac:dyDescent="0.35">
      <c r="A11" s="5" t="s">
        <v>6233</v>
      </c>
      <c r="D11" s="39" t="s">
        <v>6224</v>
      </c>
      <c r="E11" s="39" t="s">
        <v>6224</v>
      </c>
      <c r="F11" s="39" t="s">
        <v>68</v>
      </c>
      <c r="G11" s="39" t="s">
        <v>6315</v>
      </c>
    </row>
    <row r="12" spans="1:7" ht="43.5" x14ac:dyDescent="0.35">
      <c r="A12" s="5" t="s">
        <v>4582</v>
      </c>
      <c r="D12" s="39" t="s">
        <v>6241</v>
      </c>
      <c r="E12" s="39" t="s">
        <v>6241</v>
      </c>
      <c r="F12" s="39" t="s">
        <v>68</v>
      </c>
      <c r="G12" s="39" t="s">
        <v>6316</v>
      </c>
    </row>
    <row r="13" spans="1:7" ht="43.5" x14ac:dyDescent="0.35">
      <c r="A13" s="5" t="s">
        <v>5656</v>
      </c>
      <c r="D13" s="39" t="s">
        <v>5640</v>
      </c>
      <c r="E13" s="39" t="s">
        <v>6271</v>
      </c>
      <c r="F13" s="39" t="s">
        <v>6272</v>
      </c>
      <c r="G13" s="39" t="s">
        <v>6273</v>
      </c>
    </row>
    <row r="14" spans="1:7" ht="43.5" x14ac:dyDescent="0.35">
      <c r="A14" s="5" t="s">
        <v>6239</v>
      </c>
      <c r="D14" s="39" t="s">
        <v>6254</v>
      </c>
      <c r="E14" s="39" t="s">
        <v>6238</v>
      </c>
      <c r="F14" s="39" t="s">
        <v>6255</v>
      </c>
      <c r="G14" s="39" t="s">
        <v>6256</v>
      </c>
    </row>
    <row r="15" spans="1:7" ht="29" x14ac:dyDescent="0.35">
      <c r="A15" s="5" t="s">
        <v>5679</v>
      </c>
      <c r="D15" s="39" t="s">
        <v>6297</v>
      </c>
      <c r="E15" s="39" t="s">
        <v>6297</v>
      </c>
      <c r="F15" s="39" t="s">
        <v>299</v>
      </c>
      <c r="G15" s="39" t="s">
        <v>6298</v>
      </c>
    </row>
    <row r="16" spans="1:7" ht="29" x14ac:dyDescent="0.35">
      <c r="A16" s="30" t="s">
        <v>6191</v>
      </c>
      <c r="D16" s="39" t="s">
        <v>6268</v>
      </c>
      <c r="E16" s="39" t="s">
        <v>6269</v>
      </c>
      <c r="F16" s="39" t="s">
        <v>341</v>
      </c>
      <c r="G16" s="39" t="s">
        <v>6270</v>
      </c>
    </row>
    <row r="17" spans="1:7" ht="58" x14ac:dyDescent="0.35">
      <c r="A17" s="30" t="s">
        <v>6248</v>
      </c>
      <c r="D17" s="39" t="s">
        <v>6274</v>
      </c>
      <c r="E17" s="39" t="s">
        <v>5645</v>
      </c>
      <c r="F17" s="39" t="s">
        <v>341</v>
      </c>
      <c r="G17" s="39" t="s">
        <v>6275</v>
      </c>
    </row>
    <row r="18" spans="1:7" ht="43.5" x14ac:dyDescent="0.35">
      <c r="A18" s="5" t="s">
        <v>6251</v>
      </c>
      <c r="D18" s="39" t="s">
        <v>6281</v>
      </c>
      <c r="E18" s="39" t="s">
        <v>6282</v>
      </c>
      <c r="F18" s="39" t="s">
        <v>367</v>
      </c>
      <c r="G18" s="39" t="s">
        <v>6283</v>
      </c>
    </row>
    <row r="19" spans="1:7" ht="29" x14ac:dyDescent="0.35">
      <c r="A19" s="5" t="s">
        <v>393</v>
      </c>
      <c r="D19" s="39" t="s">
        <v>6310</v>
      </c>
      <c r="E19" s="39" t="s">
        <v>6243</v>
      </c>
      <c r="F19" s="39" t="s">
        <v>367</v>
      </c>
      <c r="G19" s="39" t="s">
        <v>6311</v>
      </c>
    </row>
    <row r="20" spans="1:7" ht="58" x14ac:dyDescent="0.35">
      <c r="A20" s="5" t="s">
        <v>4702</v>
      </c>
      <c r="D20" s="39" t="s">
        <v>6278</v>
      </c>
      <c r="E20" s="39" t="s">
        <v>4582</v>
      </c>
      <c r="F20" s="39" t="s">
        <v>6279</v>
      </c>
      <c r="G20" s="39" t="s">
        <v>6280</v>
      </c>
    </row>
    <row r="21" spans="1:7" ht="72.5" x14ac:dyDescent="0.35">
      <c r="A21" s="30" t="s">
        <v>6250</v>
      </c>
      <c r="D21" s="39" t="s">
        <v>6290</v>
      </c>
      <c r="E21" s="39" t="s">
        <v>393</v>
      </c>
      <c r="F21" s="39" t="s">
        <v>6279</v>
      </c>
      <c r="G21" s="39" t="s">
        <v>6291</v>
      </c>
    </row>
    <row r="22" spans="1:7" ht="43.5" x14ac:dyDescent="0.35">
      <c r="A22" s="30" t="s">
        <v>6249</v>
      </c>
      <c r="D22" s="39" t="s">
        <v>6266</v>
      </c>
      <c r="E22" s="39" t="s">
        <v>6235</v>
      </c>
      <c r="F22" s="39" t="s">
        <v>466</v>
      </c>
      <c r="G22" s="39" t="s">
        <v>6267</v>
      </c>
    </row>
    <row r="23" spans="1:7" ht="58" x14ac:dyDescent="0.35">
      <c r="A23" s="5" t="s">
        <v>6098</v>
      </c>
      <c r="D23" s="39" t="s">
        <v>6292</v>
      </c>
      <c r="E23" s="39" t="s">
        <v>6250</v>
      </c>
      <c r="F23" s="39" t="s">
        <v>466</v>
      </c>
      <c r="G23" s="39" t="s">
        <v>6293</v>
      </c>
    </row>
    <row r="24" spans="1:7" ht="29" x14ac:dyDescent="0.35">
      <c r="A24" s="5" t="s">
        <v>6245</v>
      </c>
      <c r="D24" s="39" t="s">
        <v>6294</v>
      </c>
      <c r="E24" s="39" t="s">
        <v>6295</v>
      </c>
      <c r="F24" s="39" t="s">
        <v>466</v>
      </c>
      <c r="G24" s="39" t="s">
        <v>6296</v>
      </c>
    </row>
    <row r="25" spans="1:7" ht="43.5" x14ac:dyDescent="0.35">
      <c r="A25" s="5" t="s">
        <v>6246</v>
      </c>
      <c r="D25" s="39" t="s">
        <v>6308</v>
      </c>
      <c r="E25" s="39" t="s">
        <v>6196</v>
      </c>
      <c r="F25" s="39" t="s">
        <v>466</v>
      </c>
      <c r="G25" s="39" t="s">
        <v>6309</v>
      </c>
    </row>
    <row r="26" spans="1:7" ht="43.5" x14ac:dyDescent="0.35">
      <c r="A26" s="5" t="s">
        <v>6160</v>
      </c>
      <c r="D26" s="39" t="s">
        <v>6317</v>
      </c>
      <c r="E26" s="39" t="s">
        <v>6240</v>
      </c>
      <c r="F26" s="39" t="s">
        <v>474</v>
      </c>
      <c r="G26" s="39" t="s">
        <v>6318</v>
      </c>
    </row>
    <row r="27" spans="1:7" ht="101.5" x14ac:dyDescent="0.35">
      <c r="A27" s="5" t="s">
        <v>6247</v>
      </c>
      <c r="D27" s="39" t="s">
        <v>6306</v>
      </c>
      <c r="E27" s="39" t="s">
        <v>6244</v>
      </c>
      <c r="F27" s="39" t="s">
        <v>630</v>
      </c>
      <c r="G27" s="39" t="s">
        <v>6307</v>
      </c>
    </row>
    <row r="28" spans="1:7" ht="29" x14ac:dyDescent="0.35">
      <c r="A28" s="5" t="s">
        <v>361</v>
      </c>
      <c r="D28" s="39" t="s">
        <v>6261</v>
      </c>
      <c r="E28" s="39" t="s">
        <v>6262</v>
      </c>
      <c r="F28" s="39" t="s">
        <v>725</v>
      </c>
      <c r="G28" s="39" t="s">
        <v>6263</v>
      </c>
    </row>
    <row r="29" spans="1:7" ht="43.5" x14ac:dyDescent="0.35">
      <c r="A29" s="5" t="s">
        <v>6244</v>
      </c>
      <c r="D29" s="39" t="s">
        <v>6257</v>
      </c>
      <c r="E29" s="39" t="s">
        <v>6258</v>
      </c>
      <c r="F29" s="39" t="s">
        <v>6259</v>
      </c>
      <c r="G29" s="39" t="s">
        <v>6260</v>
      </c>
    </row>
    <row r="30" spans="1:7" ht="43.5" x14ac:dyDescent="0.35">
      <c r="A30" s="5" t="s">
        <v>6196</v>
      </c>
      <c r="D30" s="39" t="s">
        <v>6276</v>
      </c>
      <c r="E30" s="39" t="s">
        <v>6233</v>
      </c>
      <c r="F30" s="39" t="s">
        <v>6259</v>
      </c>
      <c r="G30" s="39" t="s">
        <v>6277</v>
      </c>
    </row>
    <row r="31" spans="1:7" ht="43.5" x14ac:dyDescent="0.35">
      <c r="A31" s="5" t="s">
        <v>6243</v>
      </c>
      <c r="D31" s="39" t="s">
        <v>6304</v>
      </c>
      <c r="E31" s="39" t="s">
        <v>361</v>
      </c>
      <c r="F31" s="39" t="s">
        <v>6259</v>
      </c>
      <c r="G31" s="39" t="s">
        <v>6305</v>
      </c>
    </row>
    <row r="32" spans="1:7" ht="43.5" x14ac:dyDescent="0.35">
      <c r="A32" s="5" t="s">
        <v>6242</v>
      </c>
      <c r="D32" s="39" t="s">
        <v>6312</v>
      </c>
      <c r="E32" s="39" t="s">
        <v>6313</v>
      </c>
      <c r="F32" s="39" t="s">
        <v>6259</v>
      </c>
      <c r="G32" s="39" t="s">
        <v>6314</v>
      </c>
    </row>
    <row r="33" spans="1:1" x14ac:dyDescent="0.35">
      <c r="A33" s="5" t="s">
        <v>6224</v>
      </c>
    </row>
    <row r="34" spans="1:1" x14ac:dyDescent="0.35">
      <c r="A34" s="5" t="s">
        <v>6241</v>
      </c>
    </row>
    <row r="35" spans="1:1" x14ac:dyDescent="0.35">
      <c r="A35" s="5" t="s">
        <v>6240</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00000000-0009-0000-0000-00003C000000}">
    <sortState xmlns:xlrd2="http://schemas.microsoft.com/office/spreadsheetml/2017/richdata2" ref="D3:G32">
      <sortCondition ref="F2:F32"/>
    </sortState>
  </autoFilter>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G76"/>
  <sheetViews>
    <sheetView workbookViewId="0">
      <selection activeCell="E12" sqref="E12"/>
    </sheetView>
  </sheetViews>
  <sheetFormatPr baseColWidth="10" defaultRowHeight="15.5" x14ac:dyDescent="0.35"/>
  <cols>
    <col min="1" max="1" width="48.7265625" style="2" customWidth="1"/>
    <col min="4" max="4" width="13.26953125" bestFit="1" customWidth="1"/>
    <col min="7" max="7" width="13.26953125" bestFit="1" customWidth="1"/>
  </cols>
  <sheetData>
    <row r="1" spans="1:7" x14ac:dyDescent="0.35">
      <c r="A1" s="1" t="s">
        <v>5492</v>
      </c>
    </row>
    <row r="2" spans="1:7" ht="29" x14ac:dyDescent="0.35">
      <c r="A2" s="1"/>
      <c r="D2" s="38" t="s">
        <v>6252</v>
      </c>
      <c r="E2" s="38" t="s">
        <v>4573</v>
      </c>
      <c r="F2" s="38" t="s">
        <v>4574</v>
      </c>
      <c r="G2" s="38" t="s">
        <v>6253</v>
      </c>
    </row>
    <row r="3" spans="1:7" ht="43.5" x14ac:dyDescent="0.35">
      <c r="A3" s="5" t="s">
        <v>6238</v>
      </c>
      <c r="D3" s="39" t="s">
        <v>6264</v>
      </c>
      <c r="E3" s="39" t="s">
        <v>6181</v>
      </c>
      <c r="F3" s="39" t="s">
        <v>68</v>
      </c>
      <c r="G3" s="39" t="s">
        <v>6265</v>
      </c>
    </row>
    <row r="4" spans="1:7" ht="58" x14ac:dyDescent="0.35">
      <c r="A4" s="5" t="s">
        <v>6157</v>
      </c>
      <c r="D4" s="39" t="s">
        <v>6284</v>
      </c>
      <c r="E4" s="39" t="s">
        <v>6191</v>
      </c>
      <c r="F4" s="39" t="s">
        <v>68</v>
      </c>
      <c r="G4" s="39" t="s">
        <v>6285</v>
      </c>
    </row>
    <row r="5" spans="1:7" ht="43.5" x14ac:dyDescent="0.35">
      <c r="A5" s="30" t="s">
        <v>6236</v>
      </c>
      <c r="D5" s="39" t="s">
        <v>6248</v>
      </c>
      <c r="E5" s="39" t="s">
        <v>6248</v>
      </c>
      <c r="F5" s="39" t="s">
        <v>68</v>
      </c>
      <c r="G5" s="39" t="s">
        <v>6286</v>
      </c>
    </row>
    <row r="6" spans="1:7" ht="43.5" x14ac:dyDescent="0.35">
      <c r="A6" s="30" t="s">
        <v>6237</v>
      </c>
      <c r="D6" s="39" t="s">
        <v>6287</v>
      </c>
      <c r="E6" s="39" t="s">
        <v>6288</v>
      </c>
      <c r="F6" s="39" t="s">
        <v>68</v>
      </c>
      <c r="G6" s="39" t="s">
        <v>6289</v>
      </c>
    </row>
    <row r="7" spans="1:7" ht="58" x14ac:dyDescent="0.35">
      <c r="A7" s="30" t="s">
        <v>6235</v>
      </c>
      <c r="D7" s="39" t="s">
        <v>6299</v>
      </c>
      <c r="E7" s="39" t="s">
        <v>6245</v>
      </c>
      <c r="F7" s="39" t="s">
        <v>68</v>
      </c>
      <c r="G7" s="39" t="s">
        <v>6300</v>
      </c>
    </row>
    <row r="8" spans="1:7" ht="43.5" x14ac:dyDescent="0.35">
      <c r="A8" s="30" t="s">
        <v>6234</v>
      </c>
      <c r="D8" s="39" t="s">
        <v>6246</v>
      </c>
      <c r="E8" s="39" t="s">
        <v>6246</v>
      </c>
      <c r="F8" s="39" t="s">
        <v>68</v>
      </c>
      <c r="G8" s="39" t="s">
        <v>6301</v>
      </c>
    </row>
    <row r="9" spans="1:7" ht="43.5" x14ac:dyDescent="0.35">
      <c r="A9" s="5" t="s">
        <v>5640</v>
      </c>
      <c r="D9" s="39" t="s">
        <v>6160</v>
      </c>
      <c r="E9" s="39" t="s">
        <v>6160</v>
      </c>
      <c r="F9" s="39" t="s">
        <v>68</v>
      </c>
      <c r="G9" s="39" t="s">
        <v>6302</v>
      </c>
    </row>
    <row r="10" spans="1:7" ht="58" x14ac:dyDescent="0.35">
      <c r="A10" s="5" t="s">
        <v>5645</v>
      </c>
      <c r="D10" s="39" t="s">
        <v>6303</v>
      </c>
      <c r="E10" s="39" t="s">
        <v>6247</v>
      </c>
      <c r="F10" s="39" t="s">
        <v>68</v>
      </c>
      <c r="G10" s="39" t="s">
        <v>6298</v>
      </c>
    </row>
    <row r="11" spans="1:7" ht="43.5" x14ac:dyDescent="0.35">
      <c r="A11" s="5" t="s">
        <v>6233</v>
      </c>
      <c r="D11" s="39" t="s">
        <v>6224</v>
      </c>
      <c r="E11" s="39" t="s">
        <v>6224</v>
      </c>
      <c r="F11" s="39" t="s">
        <v>68</v>
      </c>
      <c r="G11" s="39" t="s">
        <v>6315</v>
      </c>
    </row>
    <row r="12" spans="1:7" ht="43.5" x14ac:dyDescent="0.35">
      <c r="A12" s="5" t="s">
        <v>4582</v>
      </c>
      <c r="D12" s="39" t="s">
        <v>6241</v>
      </c>
      <c r="E12" s="39" t="s">
        <v>6241</v>
      </c>
      <c r="F12" s="39" t="s">
        <v>68</v>
      </c>
      <c r="G12" s="39" t="s">
        <v>6316</v>
      </c>
    </row>
    <row r="13" spans="1:7" ht="43.5" x14ac:dyDescent="0.35">
      <c r="A13" s="5" t="s">
        <v>5656</v>
      </c>
      <c r="D13" s="39" t="s">
        <v>5640</v>
      </c>
      <c r="E13" s="39" t="s">
        <v>6271</v>
      </c>
      <c r="F13" s="39" t="s">
        <v>6272</v>
      </c>
      <c r="G13" s="39" t="s">
        <v>6273</v>
      </c>
    </row>
    <row r="14" spans="1:7" ht="43.5" x14ac:dyDescent="0.35">
      <c r="A14" s="5" t="s">
        <v>6239</v>
      </c>
      <c r="D14" s="39" t="s">
        <v>6254</v>
      </c>
      <c r="E14" s="39" t="s">
        <v>6238</v>
      </c>
      <c r="F14" s="39" t="s">
        <v>6255</v>
      </c>
      <c r="G14" s="39" t="s">
        <v>6256</v>
      </c>
    </row>
    <row r="15" spans="1:7" ht="29" x14ac:dyDescent="0.35">
      <c r="A15" s="5" t="s">
        <v>5679</v>
      </c>
      <c r="D15" s="39" t="s">
        <v>6297</v>
      </c>
      <c r="E15" s="39" t="s">
        <v>6297</v>
      </c>
      <c r="F15" s="39" t="s">
        <v>299</v>
      </c>
      <c r="G15" s="39" t="s">
        <v>6298</v>
      </c>
    </row>
    <row r="16" spans="1:7" ht="29" x14ac:dyDescent="0.35">
      <c r="A16" s="30" t="s">
        <v>6191</v>
      </c>
      <c r="D16" s="39" t="s">
        <v>6268</v>
      </c>
      <c r="E16" s="39" t="s">
        <v>6269</v>
      </c>
      <c r="F16" s="39" t="s">
        <v>341</v>
      </c>
      <c r="G16" s="39" t="s">
        <v>6270</v>
      </c>
    </row>
    <row r="17" spans="1:7" ht="58" x14ac:dyDescent="0.35">
      <c r="A17" s="30" t="s">
        <v>6248</v>
      </c>
      <c r="D17" s="39" t="s">
        <v>6274</v>
      </c>
      <c r="E17" s="39" t="s">
        <v>5645</v>
      </c>
      <c r="F17" s="39" t="s">
        <v>341</v>
      </c>
      <c r="G17" s="39" t="s">
        <v>6275</v>
      </c>
    </row>
    <row r="18" spans="1:7" ht="43.5" x14ac:dyDescent="0.35">
      <c r="A18" s="5" t="s">
        <v>6251</v>
      </c>
      <c r="D18" s="39" t="s">
        <v>6281</v>
      </c>
      <c r="E18" s="39" t="s">
        <v>6282</v>
      </c>
      <c r="F18" s="39" t="s">
        <v>367</v>
      </c>
      <c r="G18" s="39" t="s">
        <v>6283</v>
      </c>
    </row>
    <row r="19" spans="1:7" ht="29" x14ac:dyDescent="0.35">
      <c r="A19" s="5" t="s">
        <v>393</v>
      </c>
      <c r="D19" s="39" t="s">
        <v>6310</v>
      </c>
      <c r="E19" s="39" t="s">
        <v>6243</v>
      </c>
      <c r="F19" s="39" t="s">
        <v>367</v>
      </c>
      <c r="G19" s="39" t="s">
        <v>6311</v>
      </c>
    </row>
    <row r="20" spans="1:7" ht="58" x14ac:dyDescent="0.35">
      <c r="A20" s="5" t="s">
        <v>4702</v>
      </c>
      <c r="D20" s="39" t="s">
        <v>6278</v>
      </c>
      <c r="E20" s="39" t="s">
        <v>4582</v>
      </c>
      <c r="F20" s="39" t="s">
        <v>6279</v>
      </c>
      <c r="G20" s="39" t="s">
        <v>6280</v>
      </c>
    </row>
    <row r="21" spans="1:7" ht="72.5" x14ac:dyDescent="0.35">
      <c r="A21" s="30" t="s">
        <v>6250</v>
      </c>
      <c r="D21" s="39" t="s">
        <v>6290</v>
      </c>
      <c r="E21" s="39" t="s">
        <v>393</v>
      </c>
      <c r="F21" s="39" t="s">
        <v>6279</v>
      </c>
      <c r="G21" s="39" t="s">
        <v>6291</v>
      </c>
    </row>
    <row r="22" spans="1:7" ht="43.5" x14ac:dyDescent="0.35">
      <c r="A22" s="30" t="s">
        <v>6249</v>
      </c>
      <c r="D22" s="39" t="s">
        <v>6266</v>
      </c>
      <c r="E22" s="39" t="s">
        <v>6235</v>
      </c>
      <c r="F22" s="39" t="s">
        <v>466</v>
      </c>
      <c r="G22" s="39" t="s">
        <v>6267</v>
      </c>
    </row>
    <row r="23" spans="1:7" ht="58" x14ac:dyDescent="0.35">
      <c r="A23" s="5" t="s">
        <v>6098</v>
      </c>
      <c r="D23" s="39" t="s">
        <v>6292</v>
      </c>
      <c r="E23" s="39" t="s">
        <v>6250</v>
      </c>
      <c r="F23" s="39" t="s">
        <v>466</v>
      </c>
      <c r="G23" s="39" t="s">
        <v>6293</v>
      </c>
    </row>
    <row r="24" spans="1:7" ht="29" x14ac:dyDescent="0.35">
      <c r="A24" s="5" t="s">
        <v>6245</v>
      </c>
      <c r="D24" s="39" t="s">
        <v>6294</v>
      </c>
      <c r="E24" s="39" t="s">
        <v>6295</v>
      </c>
      <c r="F24" s="39" t="s">
        <v>466</v>
      </c>
      <c r="G24" s="39" t="s">
        <v>6296</v>
      </c>
    </row>
    <row r="25" spans="1:7" ht="43.5" x14ac:dyDescent="0.35">
      <c r="A25" s="5" t="s">
        <v>6246</v>
      </c>
      <c r="D25" s="39" t="s">
        <v>6308</v>
      </c>
      <c r="E25" s="39" t="s">
        <v>6196</v>
      </c>
      <c r="F25" s="39" t="s">
        <v>466</v>
      </c>
      <c r="G25" s="39" t="s">
        <v>6309</v>
      </c>
    </row>
    <row r="26" spans="1:7" ht="43.5" x14ac:dyDescent="0.35">
      <c r="A26" s="5" t="s">
        <v>6160</v>
      </c>
      <c r="D26" s="39" t="s">
        <v>6317</v>
      </c>
      <c r="E26" s="39" t="s">
        <v>6240</v>
      </c>
      <c r="F26" s="39" t="s">
        <v>474</v>
      </c>
      <c r="G26" s="39" t="s">
        <v>6318</v>
      </c>
    </row>
    <row r="27" spans="1:7" ht="101.5" x14ac:dyDescent="0.35">
      <c r="A27" s="5" t="s">
        <v>6247</v>
      </c>
      <c r="D27" s="39" t="s">
        <v>6306</v>
      </c>
      <c r="E27" s="39" t="s">
        <v>6244</v>
      </c>
      <c r="F27" s="39" t="s">
        <v>630</v>
      </c>
      <c r="G27" s="39" t="s">
        <v>6307</v>
      </c>
    </row>
    <row r="28" spans="1:7" ht="29" x14ac:dyDescent="0.35">
      <c r="A28" s="5" t="s">
        <v>361</v>
      </c>
      <c r="D28" s="39" t="s">
        <v>6261</v>
      </c>
      <c r="E28" s="39" t="s">
        <v>6262</v>
      </c>
      <c r="F28" s="39" t="s">
        <v>725</v>
      </c>
      <c r="G28" s="39" t="s">
        <v>6263</v>
      </c>
    </row>
    <row r="29" spans="1:7" ht="43.5" x14ac:dyDescent="0.35">
      <c r="A29" s="5" t="s">
        <v>6244</v>
      </c>
      <c r="D29" s="39" t="s">
        <v>6257</v>
      </c>
      <c r="E29" s="39" t="s">
        <v>6258</v>
      </c>
      <c r="F29" s="39" t="s">
        <v>6259</v>
      </c>
      <c r="G29" s="39" t="s">
        <v>6260</v>
      </c>
    </row>
    <row r="30" spans="1:7" ht="43.5" x14ac:dyDescent="0.35">
      <c r="A30" s="5" t="s">
        <v>6196</v>
      </c>
      <c r="D30" s="39" t="s">
        <v>6276</v>
      </c>
      <c r="E30" s="39" t="s">
        <v>6233</v>
      </c>
      <c r="F30" s="39" t="s">
        <v>6259</v>
      </c>
      <c r="G30" s="39" t="s">
        <v>6277</v>
      </c>
    </row>
    <row r="31" spans="1:7" ht="43.5" x14ac:dyDescent="0.35">
      <c r="A31" s="5" t="s">
        <v>6243</v>
      </c>
      <c r="D31" s="39" t="s">
        <v>6304</v>
      </c>
      <c r="E31" s="39" t="s">
        <v>361</v>
      </c>
      <c r="F31" s="39" t="s">
        <v>6259</v>
      </c>
      <c r="G31" s="39" t="s">
        <v>6305</v>
      </c>
    </row>
    <row r="32" spans="1:7" ht="43.5" x14ac:dyDescent="0.35">
      <c r="A32" s="5" t="s">
        <v>6242</v>
      </c>
      <c r="D32" s="39" t="s">
        <v>6312</v>
      </c>
      <c r="E32" s="39" t="s">
        <v>6313</v>
      </c>
      <c r="F32" s="39" t="s">
        <v>6259</v>
      </c>
      <c r="G32" s="39" t="s">
        <v>6314</v>
      </c>
    </row>
    <row r="33" spans="1:1" x14ac:dyDescent="0.35">
      <c r="A33" s="5" t="s">
        <v>6224</v>
      </c>
    </row>
    <row r="34" spans="1:1" x14ac:dyDescent="0.35">
      <c r="A34" s="5" t="s">
        <v>6241</v>
      </c>
    </row>
    <row r="35" spans="1:1" x14ac:dyDescent="0.35">
      <c r="A35" s="5" t="s">
        <v>6240</v>
      </c>
    </row>
    <row r="36" spans="1:1" ht="14.5" x14ac:dyDescent="0.35">
      <c r="A36"/>
    </row>
    <row r="37" spans="1:1" ht="14.5" x14ac:dyDescent="0.35">
      <c r="A37"/>
    </row>
    <row r="38" spans="1:1" ht="14.5" x14ac:dyDescent="0.35">
      <c r="A38"/>
    </row>
    <row r="39" spans="1:1" ht="14.5" x14ac:dyDescent="0.35">
      <c r="A39"/>
    </row>
    <row r="40" spans="1:1" ht="14.5" x14ac:dyDescent="0.35">
      <c r="A40"/>
    </row>
    <row r="41" spans="1:1" ht="14.5" x14ac:dyDescent="0.35">
      <c r="A41"/>
    </row>
    <row r="42" spans="1:1" ht="14.5" x14ac:dyDescent="0.35">
      <c r="A42"/>
    </row>
    <row r="43" spans="1:1" ht="14.5" x14ac:dyDescent="0.35">
      <c r="A43"/>
    </row>
    <row r="44" spans="1:1" ht="14.5" x14ac:dyDescent="0.35">
      <c r="A44"/>
    </row>
    <row r="45" spans="1:1" ht="14.5" x14ac:dyDescent="0.35">
      <c r="A45"/>
    </row>
    <row r="46" spans="1:1" ht="14.5" x14ac:dyDescent="0.35">
      <c r="A46"/>
    </row>
    <row r="47" spans="1:1" ht="14.5" x14ac:dyDescent="0.35">
      <c r="A47"/>
    </row>
    <row r="48" spans="1:1" ht="14.5" x14ac:dyDescent="0.35">
      <c r="A48"/>
    </row>
    <row r="49" spans="1:1" ht="14.5" x14ac:dyDescent="0.35">
      <c r="A49"/>
    </row>
    <row r="50" spans="1:1" ht="14.5" x14ac:dyDescent="0.35">
      <c r="A50"/>
    </row>
    <row r="51" spans="1:1" ht="14.5" x14ac:dyDescent="0.35">
      <c r="A51"/>
    </row>
    <row r="52" spans="1:1" ht="14.5" x14ac:dyDescent="0.35">
      <c r="A52"/>
    </row>
    <row r="53" spans="1:1" ht="14.5" x14ac:dyDescent="0.35">
      <c r="A53"/>
    </row>
    <row r="54" spans="1:1" ht="14.5" x14ac:dyDescent="0.35">
      <c r="A54"/>
    </row>
    <row r="55" spans="1:1" ht="14.5" x14ac:dyDescent="0.35">
      <c r="A55"/>
    </row>
    <row r="56" spans="1:1" ht="14.5" x14ac:dyDescent="0.35">
      <c r="A56"/>
    </row>
    <row r="57" spans="1:1" ht="14.5" x14ac:dyDescent="0.35">
      <c r="A57"/>
    </row>
    <row r="58" spans="1:1" ht="14.5" x14ac:dyDescent="0.35">
      <c r="A58"/>
    </row>
    <row r="59" spans="1:1" ht="14.5" x14ac:dyDescent="0.35">
      <c r="A59"/>
    </row>
    <row r="60" spans="1:1" ht="14.5" x14ac:dyDescent="0.35">
      <c r="A60"/>
    </row>
    <row r="61" spans="1:1" ht="14.5" x14ac:dyDescent="0.35">
      <c r="A61"/>
    </row>
    <row r="62" spans="1:1" ht="14.5" x14ac:dyDescent="0.35">
      <c r="A62"/>
    </row>
    <row r="63" spans="1:1" ht="14.5" x14ac:dyDescent="0.35">
      <c r="A63"/>
    </row>
    <row r="64" spans="1:1" ht="14.5" x14ac:dyDescent="0.35">
      <c r="A64"/>
    </row>
    <row r="65" spans="1:1" ht="14.5" x14ac:dyDescent="0.35">
      <c r="A65"/>
    </row>
    <row r="66" spans="1:1" ht="14.5" x14ac:dyDescent="0.35">
      <c r="A66"/>
    </row>
    <row r="67" spans="1:1" ht="14.5" x14ac:dyDescent="0.35">
      <c r="A67"/>
    </row>
    <row r="68" spans="1:1" ht="14.5" x14ac:dyDescent="0.35">
      <c r="A68"/>
    </row>
    <row r="69" spans="1:1" ht="14.5" x14ac:dyDescent="0.35">
      <c r="A69"/>
    </row>
    <row r="70" spans="1:1" ht="14.5" x14ac:dyDescent="0.35">
      <c r="A70"/>
    </row>
    <row r="71" spans="1:1" ht="14.5" x14ac:dyDescent="0.35">
      <c r="A71"/>
    </row>
    <row r="72" spans="1:1" ht="14.5" x14ac:dyDescent="0.35">
      <c r="A72"/>
    </row>
    <row r="73" spans="1:1" ht="14.5" x14ac:dyDescent="0.35">
      <c r="A73"/>
    </row>
    <row r="74" spans="1:1" ht="14.5" x14ac:dyDescent="0.35">
      <c r="A74"/>
    </row>
    <row r="75" spans="1:1" ht="14.5" x14ac:dyDescent="0.35">
      <c r="A75"/>
    </row>
    <row r="76" spans="1:1" ht="14.5" x14ac:dyDescent="0.35">
      <c r="A76"/>
    </row>
  </sheetData>
  <autoFilter ref="D2:G32" xr:uid="{00000000-0009-0000-0000-00003D000000}">
    <sortState xmlns:xlrd2="http://schemas.microsoft.com/office/spreadsheetml/2017/richdata2" ref="D3:G32">
      <sortCondition ref="F2:F32"/>
    </sortState>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63</vt:i4>
      </vt:variant>
      <vt:variant>
        <vt:lpstr>Plages nommées</vt:lpstr>
      </vt:variant>
      <vt:variant>
        <vt:i4>1</vt:i4>
      </vt:variant>
    </vt:vector>
  </HeadingPairs>
  <TitlesOfParts>
    <vt:vector size="64"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02-03-09</vt:lpstr>
      <vt:lpstr>03_01_01</vt:lpstr>
      <vt:lpstr>03_01_02</vt:lpstr>
      <vt:lpstr>03_02_01</vt:lpstr>
      <vt:lpstr>03_02_02</vt:lpstr>
      <vt:lpstr>03_02_03</vt:lpstr>
      <vt:lpstr>03_02_04</vt:lpstr>
      <vt:lpstr>03_02_05</vt:lpstr>
      <vt:lpstr>03_02_06</vt:lpstr>
      <vt:lpstr>03-02-07</vt:lpstr>
      <vt:lpstr>Feuil7</vt:lpstr>
      <vt:lpstr>Feuil1</vt:lpstr>
      <vt:lpstr>Feuil2</vt:lpstr>
      <vt:lpstr>Feuil3 (2)</vt:lpstr>
      <vt:lpstr>Feuil3</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2026-02-13T19:03:03Z</dcterms:modified>
</cp:coreProperties>
</file>