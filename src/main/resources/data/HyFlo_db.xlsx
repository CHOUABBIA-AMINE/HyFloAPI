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data\"/>
    </mc:Choice>
  </mc:AlternateContent>
  <xr:revisionPtr revIDLastSave="0" documentId="13_ncr:1_{A22CF1F7-677D-4468-B817-D95EC19924E7}" xr6:coauthVersionLast="47" xr6:coauthVersionMax="47" xr10:uidLastSave="{00000000-0000-0000-0000-000000000000}"/>
  <bookViews>
    <workbookView xWindow="-110" yWindow="-110" windowWidth="19420" windowHeight="10420" firstSheet="31" activeTab="34"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'000202-000203'!$A$2:$B$13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'02-03-01'!$A$2:$H$178</definedName>
    <definedName name="_xlnm._FilterDatabase" localSheetId="32" hidden="1">'02-03-02'!$A$2:$D$157</definedName>
    <definedName name="_xlnm._FilterDatabase" localSheetId="33" hidden="1">'02-03-03'!$A$2:$D$89</definedName>
    <definedName name="_xlnm._FilterDatabase" localSheetId="34" hidden="1">'020303-020308'!$A$2:$C$92</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57" l="1"/>
  <c r="C38" i="57"/>
  <c r="C52"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7" i="57"/>
  <c r="C39" i="57"/>
  <c r="C40" i="57"/>
  <c r="C41" i="57"/>
  <c r="C42" i="57"/>
  <c r="C43" i="57"/>
  <c r="C44" i="57"/>
  <c r="C45" i="57"/>
  <c r="C46" i="57"/>
  <c r="C47" i="57"/>
  <c r="C48" i="57"/>
  <c r="C49" i="57"/>
  <c r="C50" i="57"/>
  <c r="C51" i="57"/>
  <c r="C53" i="57"/>
  <c r="C54" i="57"/>
  <c r="C55" i="57"/>
  <c r="C56" i="57"/>
  <c r="C57" i="57"/>
  <c r="C58" i="57"/>
  <c r="C59" i="57"/>
  <c r="C60" i="57"/>
  <c r="C61" i="57"/>
  <c r="C62" i="57"/>
  <c r="C63" i="57"/>
  <c r="C64" i="57"/>
  <c r="C65" i="57"/>
  <c r="C66" i="57"/>
  <c r="C67" i="57"/>
  <c r="C68" i="57"/>
  <c r="C69" i="57"/>
  <c r="C70" i="57"/>
  <c r="C71" i="57"/>
  <c r="C72" i="57"/>
  <c r="C73" i="57"/>
  <c r="C74" i="57"/>
  <c r="C75" i="57"/>
  <c r="C76" i="57"/>
  <c r="C77" i="57"/>
  <c r="C78" i="57"/>
  <c r="C79" i="57"/>
  <c r="C80" i="57"/>
  <c r="C81" i="57"/>
  <c r="C82" i="57"/>
  <c r="C83" i="57"/>
  <c r="C84" i="57"/>
  <c r="C85" i="57"/>
  <c r="C86" i="57"/>
  <c r="C87" i="57"/>
  <c r="C88" i="57"/>
  <c r="C89" i="57"/>
  <c r="C90" i="57"/>
  <c r="C91" i="57"/>
  <c r="C92" i="57"/>
  <c r="AG59" i="46"/>
  <c r="AG58" i="46"/>
  <c r="AG57" i="46"/>
  <c r="AG56" i="46"/>
  <c r="AG55" i="46"/>
  <c r="AG53" i="46"/>
  <c r="AG52" i="46"/>
  <c r="AG51" i="46"/>
  <c r="AG49" i="46"/>
  <c r="AG48" i="46"/>
  <c r="AG46" i="46"/>
  <c r="AG45" i="46"/>
  <c r="AG42" i="46"/>
  <c r="AG41" i="46"/>
  <c r="AG38" i="46"/>
  <c r="AG35" i="46"/>
  <c r="AG33" i="46"/>
  <c r="AG32" i="46"/>
  <c r="AG31" i="46"/>
  <c r="AG30" i="46"/>
  <c r="AG29" i="46"/>
  <c r="AG28" i="46"/>
  <c r="AG27" i="46"/>
  <c r="AG26" i="46"/>
  <c r="AG25" i="46"/>
  <c r="AG24" i="46"/>
  <c r="AG23" i="46"/>
  <c r="AG22" i="46"/>
  <c r="AG21" i="46"/>
  <c r="AG20" i="46"/>
  <c r="AG19" i="46"/>
  <c r="AG18" i="46"/>
  <c r="AG17" i="46"/>
  <c r="AG16" i="46"/>
  <c r="AG15" i="46"/>
  <c r="AG14" i="46"/>
  <c r="AG13" i="46"/>
  <c r="AG11" i="46"/>
  <c r="AG10" i="46"/>
  <c r="AG9" i="46"/>
  <c r="AG8" i="46"/>
  <c r="AG7" i="46"/>
  <c r="AG6" i="46"/>
  <c r="AG5" i="46"/>
  <c r="AG4" i="46"/>
  <c r="AG3" i="46"/>
  <c r="I6" i="37"/>
  <c r="D4" i="50"/>
  <c r="D5" i="50"/>
  <c r="D6" i="50"/>
  <c r="D7" i="50"/>
  <c r="D8" i="50"/>
  <c r="D9" i="50"/>
  <c r="D10" i="50"/>
  <c r="D11" i="50"/>
  <c r="D12" i="50"/>
  <c r="D13" i="50"/>
  <c r="D14" i="50"/>
  <c r="D53" i="50" l="1"/>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G12" i="46" l="1"/>
  <c r="AG34" i="46"/>
  <c r="AG36" i="46"/>
  <c r="AG37" i="46"/>
  <c r="AG39" i="46"/>
  <c r="AG40" i="46"/>
  <c r="AG43" i="46"/>
  <c r="AG44" i="46"/>
  <c r="AG47" i="46"/>
  <c r="AG50" i="46"/>
  <c r="AG54"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7" i="37"/>
  <c r="I8" i="37"/>
  <c r="I9" i="37"/>
  <c r="I10" i="37"/>
  <c r="I11" i="37"/>
  <c r="I12" i="37"/>
  <c r="I13" i="37"/>
  <c r="I14"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214" i="37"/>
  <c r="I215"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0000000-0015-0000-FFFF-FFFF0C000000}"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00000000-0015-0000-FFFF-FFFF0D000000}"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00000000-0015-0000-FFFF-FFFF0E000000}"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00000000-0015-0000-FFFF-FFFF0F000000}"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00000000-0015-0000-FFFF-FFFF10000000}"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00000000-0015-0000-FFFF-FFFF11000000}"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00000000-0015-0000-FFFF-FFFF12000000}"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00000000-0015-0000-FFFF-FFFF1300000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<sst xmlns="http://schemas.openxmlformats.org/spreadsheetml/2006/main" count="13047" uniqueCount="6815">
  <si>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</si>
  <si>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</si>
  <si>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</si>
  <si>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</si>
  <si>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</si>
  <si>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</si>
  <si>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</si>
  <si>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</si>
  <si>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</si>
  <si>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</si>
  <si>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</si>
  <si>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</si>
  <si>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</si>
  <si>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</si>
  <si>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</si>
  <si>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</si>
  <si>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</si>
  <si>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</si>
  <si>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</si>
  <si>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</si>
  <si>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</si>
  <si>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</si>
  <si>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</si>
  <si>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</si>
  <si>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</si>
  <si>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</si>
  <si>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</si>
  <si>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</si>
  <si>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</si>
  <si>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</si>
  <si>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</si>
  <si>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</si>
  <si>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</si>
  <si>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</si>
  <si>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</si>
  <si>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</si>
  <si>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</si>
  <si>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</si>
  <si>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</si>
  <si>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</si>
  <si>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</si>
  <si>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</si>
  <si>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</si>
  <si>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</si>
  <si>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</si>
  <si>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</si>
  <si>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</si>
  <si>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</si>
  <si>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</si>
  <si>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</si>
  <si>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</si>
  <si>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</si>
  <si>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</si>
  <si>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</si>
  <si>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</si>
  <si>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</si>
  <si>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</si>
  <si>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</si>
  <si>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</si>
  <si>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</si>
  <si>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</si>
  <si>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</si>
  <si>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</si>
  <si>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</si>
  <si>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</si>
  <si>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</si>
  <si>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</si>
  <si>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</si>
  <si>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</si>
  <si>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</si>
  <si>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</si>
  <si>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</si>
  <si>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</si>
  <si>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</si>
  <si>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</si>
  <si>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</si>
  <si>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</si>
  <si>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</si>
  <si>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</si>
  <si>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</si>
  <si>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</si>
  <si>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</si>
  <si>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</si>
  <si>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</si>
  <si>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</si>
  <si>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</si>
  <si>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</si>
  <si>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</si>
  <si>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</si>
  <si>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</si>
  <si>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</si>
  <si>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</si>
  <si>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</si>
  <si>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</si>
  <si>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</si>
  <si>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</si>
  <si>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</si>
  <si>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</si>
  <si>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</si>
  <si>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</si>
  <si>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</si>
  <si>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</si>
  <si>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</si>
  <si>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</si>
  <si>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</si>
  <si>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</si>
  <si>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</si>
  <si>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</si>
  <si>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</si>
  <si>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</si>
  <si>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</si>
  <si>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</si>
  <si>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</si>
  <si>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</si>
  <si>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</si>
  <si>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</si>
  <si>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</si>
  <si>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</si>
  <si>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</si>
  <si>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</si>
  <si>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</si>
  <si>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</si>
  <si>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</si>
  <si>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</si>
  <si>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</si>
  <si>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</si>
  <si>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</si>
  <si>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</si>
  <si>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</si>
  <si>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</si>
  <si>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</si>
  <si>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</si>
  <si>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</si>
  <si>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</si>
  <si>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</si>
  <si>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</si>
  <si>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</si>
  <si>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</si>
  <si>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</si>
  <si>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</si>
  <si>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</si>
  <si>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</si>
  <si>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</si>
  <si>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</si>
  <si>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</si>
  <si>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</si>
  <si>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</si>
  <si>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</si>
  <si>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</si>
  <si>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</si>
  <si>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</si>
  <si>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</si>
  <si>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</si>
  <si>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</si>
  <si>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</si>
  <si>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</si>
  <si>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</si>
  <si>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</si>
  <si>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</si>
  <si>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</si>
  <si>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</si>
  <si>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</si>
  <si>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</si>
  <si>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</si>
  <si>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</si>
  <si>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</si>
  <si>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</si>
  <si>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</si>
  <si>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</si>
  <si>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</si>
  <si>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</si>
  <si>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</si>
  <si>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</si>
  <si>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</si>
  <si>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</si>
  <si>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</si>
  <si>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</si>
  <si>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</si>
  <si>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</si>
  <si>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</si>
  <si>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</si>
  <si>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</si>
  <si>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</si>
  <si>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</si>
  <si>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</si>
  <si>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</si>
  <si>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</si>
  <si>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</si>
  <si>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</si>
  <si>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</si>
  <si>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</si>
  <si>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</si>
  <si>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</si>
  <si>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</si>
  <si>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</si>
  <si>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</si>
  <si>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</si>
  <si>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</si>
  <si>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</si>
  <si>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</si>
  <si>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</si>
  <si>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</si>
  <si>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</si>
  <si>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</si>
  <si>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</si>
  <si>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</si>
  <si>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</si>
  <si>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</si>
  <si>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</si>
  <si>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</si>
  <si>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</si>
  <si>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</si>
  <si>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</si>
  <si>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</si>
  <si>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</si>
  <si>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</si>
  <si>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</si>
  <si>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</si>
  <si>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</si>
  <si>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</si>
  <si>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</si>
  <si>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</si>
  <si>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</si>
  <si>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</si>
  <si>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</si>
  <si>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</si>
  <si>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</si>
  <si>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</si>
  <si>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</si>
  <si>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</si>
  <si>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</si>
  <si>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</si>
  <si>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</si>
  <si>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</si>
  <si>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</si>
  <si>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</si>
  <si>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</si>
  <si>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</si>
  <si>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</si>
  <si>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</si>
  <si>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</si>
  <si>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</si>
  <si>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</si>
  <si>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</si>
  <si>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</si>
  <si>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</si>
  <si>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</si>
  <si>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</si>
  <si>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</si>
  <si>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</si>
  <si>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</si>
  <si>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</si>
  <si>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</si>
  <si>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</si>
  <si>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</si>
  <si>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</si>
  <si>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</si>
  <si>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</si>
  <si>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</si>
  <si>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</si>
  <si>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</si>
  <si>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</si>
  <si>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</si>
  <si>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</si>
  <si>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</si>
  <si>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</si>
  <si>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</si>
  <si>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</si>
  <si>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</si>
  <si>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</si>
  <si>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</si>
  <si>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</si>
  <si>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</si>
  <si>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</si>
  <si>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</si>
  <si>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</si>
  <si>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</si>
  <si>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</si>
  <si>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</si>
  <si>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</si>
  <si>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</si>
  <si>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</si>
  <si>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</si>
  <si>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</si>
  <si>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</si>
  <si>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</si>
  <si>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</si>
  <si>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</si>
  <si>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</si>
  <si>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</si>
  <si>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</si>
  <si>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</si>
  <si>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</si>
  <si>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</si>
  <si>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</si>
  <si>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</si>
  <si>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</si>
  <si>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</si>
  <si>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</si>
  <si>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</si>
  <si>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</si>
  <si>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</si>
  <si>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</si>
  <si>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</si>
  <si>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</si>
  <si>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</si>
  <si>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</si>
  <si>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</si>
  <si>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</si>
  <si>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</si>
  <si>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</si>
  <si>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</si>
  <si>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</si>
  <si>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</si>
  <si>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</si>
  <si>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</si>
  <si>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</si>
  <si>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</si>
  <si>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</si>
  <si>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</si>
  <si>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</si>
  <si>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</si>
  <si>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</si>
  <si>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</si>
  <si>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</si>
  <si>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</si>
  <si>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</si>
  <si>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</si>
  <si>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</si>
  <si>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</si>
  <si>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</si>
  <si>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</si>
  <si>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</si>
  <si>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</si>
  <si>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</si>
  <si>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</si>
  <si>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</si>
  <si>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</si>
  <si>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</si>
  <si>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</si>
  <si>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</si>
  <si>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</si>
  <si>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</si>
  <si>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</si>
  <si>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</si>
  <si>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</si>
  <si>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</si>
  <si>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</si>
  <si>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</si>
  <si>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</si>
  <si>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</si>
  <si>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</si>
  <si>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</si>
  <si>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</si>
  <si>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</si>
  <si>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</si>
  <si>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</si>
  <si>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</si>
  <si>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</si>
  <si>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</si>
  <si>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</si>
  <si>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</si>
  <si>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</si>
  <si>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</si>
  <si>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</si>
  <si>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</si>
  <si>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</si>
  <si>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</si>
  <si>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</si>
  <si>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</si>
  <si>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</si>
  <si>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</si>
  <si>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</si>
  <si>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</si>
  <si>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</si>
  <si>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</si>
  <si>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</si>
  <si>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</si>
  <si>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</si>
  <si>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</si>
  <si>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</si>
  <si>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</si>
  <si>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</si>
  <si>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</si>
  <si>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</si>
  <si>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</si>
  <si>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</si>
  <si>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</si>
  <si>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</si>
  <si>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</si>
  <si>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</si>
  <si>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</si>
  <si>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</si>
  <si>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</si>
  <si>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</si>
  <si>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</si>
  <si>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</si>
  <si>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</si>
  <si>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</si>
  <si>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</si>
  <si>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</si>
  <si>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</si>
  <si>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</si>
  <si>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</si>
  <si>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</si>
  <si>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</si>
  <si>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</si>
  <si>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</si>
  <si>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</si>
  <si>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</si>
  <si>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</si>
  <si>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</si>
  <si>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</si>
  <si>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</si>
  <si>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</si>
  <si>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</si>
  <si>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</si>
  <si>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</si>
  <si>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</si>
  <si>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</si>
  <si>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</si>
  <si>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</si>
  <si>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</si>
  <si>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</si>
  <si>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</si>
  <si>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</si>
  <si>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</si>
  <si>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</si>
  <si>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</si>
  <si>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</si>
  <si>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</si>
  <si>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</si>
  <si>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</si>
  <si>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</si>
  <si>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</si>
  <si>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</si>
  <si>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</si>
  <si>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</si>
  <si>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</si>
  <si>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</si>
  <si>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</si>
  <si>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</si>
  <si>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</si>
  <si>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</si>
  <si>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</si>
  <si>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</si>
  <si>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</si>
  <si>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</si>
  <si>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</si>
  <si>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</si>
  <si>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</si>
  <si>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</si>
  <si>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</si>
  <si>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</si>
  <si>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</si>
  <si>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</si>
  <si>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</si>
  <si>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</si>
  <si>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</si>
  <si>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</si>
  <si>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</si>
  <si>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</si>
  <si>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</si>
  <si>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</si>
  <si>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</si>
  <si>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</si>
  <si>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</si>
  <si>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</si>
  <si>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</si>
  <si>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</si>
  <si>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</si>
  <si>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</si>
  <si>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</si>
  <si>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</si>
  <si>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</si>
  <si>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</si>
  <si>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</si>
  <si>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</si>
  <si>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</si>
  <si>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</si>
  <si>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</si>
  <si>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</si>
  <si>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</si>
  <si>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</si>
  <si>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</si>
  <si>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</si>
  <si>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</si>
  <si>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</si>
  <si>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</si>
  <si>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</si>
  <si>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</si>
  <si>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</si>
  <si>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</si>
  <si>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</si>
  <si>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</si>
  <si>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</si>
  <si>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</si>
  <si>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</si>
  <si>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</si>
  <si>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</si>
  <si>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</si>
  <si>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</si>
  <si>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</si>
  <si>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</si>
  <si>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</si>
  <si>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</si>
  <si>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</si>
  <si>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</si>
  <si>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</si>
  <si>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</si>
  <si>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</si>
  <si>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</si>
  <si>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</si>
  <si>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</si>
  <si>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</si>
  <si>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</si>
  <si>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</si>
  <si>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</si>
  <si>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</si>
  <si>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</si>
  <si>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</si>
  <si>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</si>
  <si>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</si>
  <si>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</si>
  <si>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</si>
  <si>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</si>
  <si>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</si>
  <si>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</si>
  <si>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</si>
  <si>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</si>
  <si>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</si>
  <si>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</si>
  <si>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</si>
  <si>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</si>
  <si>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</si>
  <si>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</si>
  <si>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</si>
  <si>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</si>
  <si>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</si>
  <si>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</si>
  <si>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</si>
  <si>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</si>
  <si>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</si>
  <si>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</si>
  <si>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</si>
  <si>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</si>
  <si>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</si>
  <si>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</si>
  <si>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</si>
  <si>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</si>
  <si>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</si>
  <si>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</si>
  <si>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</si>
  <si>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</si>
  <si>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</si>
  <si>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</si>
  <si>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</si>
  <si>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</si>
  <si>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</si>
  <si>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</si>
  <si>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</si>
  <si>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</si>
  <si>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</si>
  <si>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</si>
  <si>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</si>
  <si>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</si>
  <si>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</si>
  <si>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</si>
  <si>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</si>
  <si>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</si>
  <si>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</si>
  <si>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</si>
  <si>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</si>
  <si>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</si>
  <si>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</si>
  <si>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</si>
  <si>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</si>
  <si>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</si>
  <si>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</si>
  <si>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</si>
  <si>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</si>
  <si>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</si>
  <si>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</si>
  <si>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</si>
  <si>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</si>
  <si>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</si>
  <si>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</si>
  <si>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</si>
  <si>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</si>
  <si>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</si>
  <si>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</si>
  <si>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</si>
  <si>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</si>
  <si>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</si>
  <si>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</si>
  <si>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</si>
  <si>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</si>
  <si>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</si>
  <si>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</si>
  <si>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</si>
  <si>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</si>
  <si>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</si>
  <si>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</si>
  <si>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</si>
  <si>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</si>
  <si>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</si>
  <si>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</si>
  <si>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</si>
  <si>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</si>
  <si>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</si>
  <si>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</si>
  <si>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</si>
  <si>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</si>
  <si>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</si>
  <si>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</si>
  <si>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</si>
  <si>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</si>
  <si>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</si>
  <si>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</si>
  <si>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</si>
  <si>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</si>
  <si>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</si>
  <si>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</si>
  <si>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</si>
  <si>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</si>
  <si>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</si>
  <si>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</si>
  <si>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</si>
  <si>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</si>
  <si>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</si>
  <si>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</si>
  <si>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</si>
  <si>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</si>
  <si>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</si>
  <si>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</si>
  <si>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</si>
  <si>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</si>
  <si>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</si>
  <si>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</si>
  <si>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</si>
  <si>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</si>
  <si>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</si>
  <si>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</si>
  <si>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</si>
  <si>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</si>
  <si>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</si>
  <si>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</si>
  <si>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</si>
  <si>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</si>
  <si>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</si>
  <si>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</si>
  <si>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</si>
  <si>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</si>
  <si>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</si>
  <si>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</si>
  <si>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</si>
  <si>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</si>
  <si>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</si>
  <si>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</si>
  <si>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</si>
  <si>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</si>
  <si>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</si>
  <si>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</si>
  <si>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</si>
  <si>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</si>
  <si>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</si>
  <si>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</si>
  <si>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</si>
  <si>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</si>
  <si>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</si>
  <si>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</si>
  <si>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</si>
  <si>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</si>
  <si>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</si>
  <si>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</si>
  <si>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</si>
  <si>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</si>
  <si>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</si>
  <si>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</si>
  <si>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</si>
  <si>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</si>
  <si>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</si>
  <si>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</si>
  <si>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</si>
  <si>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</si>
  <si>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</si>
  <si>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</si>
  <si>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</si>
  <si>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</si>
  <si>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</si>
  <si>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</si>
  <si>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</si>
  <si>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</si>
  <si>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</si>
  <si>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</si>
  <si>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</si>
  <si>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</si>
  <si>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</si>
  <si>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</si>
  <si>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</si>
  <si>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</si>
  <si>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</si>
  <si>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</si>
  <si>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</si>
  <si>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</si>
  <si>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</si>
  <si>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</si>
  <si>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</si>
  <si>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</si>
  <si>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</si>
  <si>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</si>
  <si>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</si>
  <si>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</si>
  <si>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</si>
  <si>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</si>
  <si>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</si>
  <si>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</si>
  <si>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</si>
  <si>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</si>
  <si>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</si>
  <si>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</si>
  <si>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</si>
  <si>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</si>
  <si>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</si>
  <si>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</si>
  <si>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</si>
  <si>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</si>
  <si>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</si>
  <si>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</si>
  <si>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</si>
  <si>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</si>
  <si>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</si>
  <si>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</si>
  <si>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</si>
  <si>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</si>
  <si>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</si>
  <si>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</si>
  <si>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</si>
  <si>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</si>
  <si>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</si>
  <si>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</si>
  <si>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</si>
  <si>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</si>
  <si>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</si>
  <si>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</si>
  <si>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</si>
  <si>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</si>
  <si>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</si>
  <si>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</si>
  <si>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</si>
  <si>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</si>
  <si>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</si>
  <si>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</si>
  <si>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</si>
  <si>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</si>
  <si>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</si>
  <si>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</si>
  <si>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</si>
  <si>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</si>
  <si>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</si>
  <si>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</si>
  <si>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</si>
  <si>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</si>
  <si>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</si>
  <si>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</si>
  <si>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</si>
  <si>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</si>
  <si>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</si>
  <si>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</si>
  <si>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</si>
  <si>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</si>
  <si>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</si>
  <si>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</si>
  <si>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</si>
  <si>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</si>
  <si>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</si>
  <si>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</si>
  <si>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</si>
  <si>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</si>
  <si>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</si>
  <si>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</si>
  <si>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</si>
  <si>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</si>
  <si>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</si>
  <si>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</si>
  <si>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</si>
  <si>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</si>
  <si>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</si>
  <si>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</si>
  <si>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</si>
  <si>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</si>
  <si>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</si>
  <si>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</si>
  <si>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</si>
  <si>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</si>
  <si>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</si>
  <si>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</si>
  <si>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</si>
  <si>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</si>
  <si>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</si>
  <si>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</si>
  <si>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</si>
  <si>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</si>
  <si>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</si>
  <si>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</si>
  <si>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</si>
  <si>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</si>
  <si>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</si>
  <si>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</si>
  <si>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</si>
  <si>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</si>
  <si>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</si>
  <si>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</si>
  <si>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</si>
  <si>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</si>
  <si>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</si>
  <si>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</si>
  <si>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</si>
  <si>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</si>
  <si>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</si>
  <si>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</si>
  <si>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</si>
  <si>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</si>
  <si>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</si>
  <si>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</si>
  <si>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</si>
  <si>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</si>
  <si>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</si>
  <si>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</si>
  <si>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</si>
  <si>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</si>
  <si>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</si>
  <si>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</si>
  <si>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</si>
  <si>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</si>
  <si>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</si>
  <si>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</si>
  <si>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</si>
  <si>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</si>
  <si>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</si>
  <si>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</si>
  <si>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</si>
  <si>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</si>
  <si>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</si>
  <si>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</si>
  <si>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</si>
  <si>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</si>
  <si>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</si>
  <si>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</si>
  <si>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</si>
  <si>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</si>
  <si>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</si>
  <si>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</si>
  <si>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</si>
  <si>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</si>
  <si>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</si>
  <si>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</si>
  <si>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</si>
  <si>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</si>
  <si>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</si>
  <si>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</si>
  <si>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</si>
  <si>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</si>
  <si>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</si>
  <si>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</si>
  <si>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</si>
  <si>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</si>
  <si>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</si>
  <si>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</si>
  <si>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</si>
  <si>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</si>
  <si>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</si>
  <si>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</si>
  <si>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</si>
  <si>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</si>
  <si>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</si>
  <si>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</si>
  <si>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</si>
  <si>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</si>
  <si>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</si>
  <si>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</si>
  <si>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</si>
  <si>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</si>
  <si>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</si>
  <si>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</si>
  <si>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</si>
  <si>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</si>
  <si>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</si>
  <si>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</si>
  <si>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</si>
  <si>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</si>
  <si>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</si>
  <si>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</si>
  <si>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</si>
  <si>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</si>
  <si>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</si>
  <si>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</si>
  <si>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</si>
  <si>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</si>
  <si>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</si>
  <si>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</si>
  <si>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</si>
  <si>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</si>
  <si>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</si>
  <si>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</si>
  <si>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</si>
  <si>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</si>
  <si>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</si>
  <si>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</si>
  <si>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</si>
  <si>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</si>
  <si>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</si>
  <si>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</si>
  <si>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</si>
  <si>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</si>
  <si>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</si>
  <si>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</si>
  <si>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</si>
  <si>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</si>
  <si>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</si>
  <si>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</si>
  <si>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</si>
  <si>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</si>
  <si>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</si>
  <si>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</si>
  <si>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</si>
  <si>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</si>
  <si>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</si>
  <si>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</si>
  <si>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</si>
  <si>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</si>
  <si>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</si>
  <si>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</si>
  <si>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</si>
  <si>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</si>
  <si>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</si>
  <si>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</si>
  <si>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</si>
  <si>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</si>
  <si>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</si>
  <si>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</si>
  <si>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</si>
  <si>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</si>
  <si>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</si>
  <si>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</si>
  <si>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</si>
  <si>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</si>
  <si>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</si>
  <si>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</si>
  <si>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</si>
  <si>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</si>
  <si>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</si>
  <si>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</si>
  <si>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</si>
  <si>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</si>
  <si>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</si>
  <si>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</si>
  <si>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</si>
  <si>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</si>
  <si>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</si>
  <si>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</si>
  <si>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</si>
  <si>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</si>
  <si>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</si>
  <si>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</si>
  <si>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</si>
  <si>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</si>
  <si>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</si>
  <si>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</si>
  <si>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</si>
  <si>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</si>
  <si>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</si>
  <si>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</si>
  <si>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</si>
  <si>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</si>
  <si>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</si>
  <si>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</si>
  <si>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</si>
  <si>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</si>
  <si>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</si>
  <si>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</si>
  <si>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</si>
  <si>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</si>
  <si>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</si>
  <si>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</si>
  <si>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</si>
  <si>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</si>
  <si>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</si>
  <si>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</si>
  <si>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</si>
  <si>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</si>
  <si>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</si>
  <si>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</si>
  <si>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</si>
  <si>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</si>
  <si>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</si>
  <si>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</si>
  <si>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</si>
  <si>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</si>
  <si>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</si>
  <si>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</si>
  <si>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</si>
  <si>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</si>
  <si>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</si>
  <si>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</si>
  <si>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</si>
  <si>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</si>
  <si>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</si>
  <si>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</si>
  <si>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</si>
  <si>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</si>
  <si>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</si>
  <si>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</si>
  <si>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</si>
  <si>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</si>
  <si>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</si>
  <si>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</si>
  <si>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</si>
  <si>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</si>
  <si>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</si>
  <si>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</si>
  <si>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</si>
  <si>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</si>
  <si>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</si>
  <si>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</si>
  <si>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</si>
  <si>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</si>
  <si>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</si>
  <si>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</si>
  <si>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</si>
  <si>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</si>
  <si>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</si>
  <si>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</si>
  <si>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</si>
  <si>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</si>
  <si>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</si>
  <si>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</si>
  <si>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</si>
  <si>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</si>
  <si>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</si>
  <si>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</si>
  <si>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</si>
  <si>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</si>
  <si>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</si>
  <si>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</si>
  <si>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</si>
  <si>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</si>
  <si>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</si>
  <si>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</si>
  <si>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</si>
  <si>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</si>
  <si>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</si>
  <si>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</si>
  <si>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</si>
  <si>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</si>
  <si>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</si>
  <si>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</si>
  <si>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</si>
  <si>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</si>
  <si>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</si>
  <si>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</si>
  <si>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</si>
  <si>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</si>
  <si>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</si>
  <si>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</si>
  <si>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</si>
  <si>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</si>
  <si>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</si>
  <si>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</si>
  <si>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</si>
  <si>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</si>
  <si>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</si>
  <si>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</si>
  <si>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</si>
  <si>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</si>
  <si>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</si>
  <si>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</si>
  <si>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</si>
  <si>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</si>
  <si>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</si>
  <si>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</si>
  <si>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</si>
  <si>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</si>
  <si>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</si>
  <si>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</si>
  <si>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</si>
  <si>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</si>
  <si>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</si>
  <si>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</si>
  <si>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</si>
  <si>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</si>
  <si>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</si>
  <si>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</si>
  <si>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</si>
  <si>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</si>
  <si>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</si>
  <si>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</si>
  <si>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</si>
  <si>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</si>
  <si>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</si>
  <si>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</si>
  <si>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</si>
  <si>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</si>
  <si>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</si>
  <si>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</si>
  <si>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</si>
  <si>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</si>
  <si>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</si>
  <si>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</si>
  <si>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</si>
  <si>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</si>
  <si>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</si>
  <si>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</si>
  <si>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</si>
  <si>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</si>
  <si>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</si>
  <si>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</si>
  <si>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</si>
  <si>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</si>
  <si>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</si>
  <si>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</si>
  <si>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</si>
  <si>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</si>
  <si>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</si>
  <si>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</si>
  <si>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</si>
  <si>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</si>
  <si>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</si>
  <si>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</si>
  <si>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</si>
  <si>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</si>
  <si>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</si>
  <si>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</si>
  <si>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</si>
  <si>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</si>
  <si>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</si>
  <si>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</si>
  <si>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</si>
  <si>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</si>
  <si>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</si>
  <si>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</si>
  <si>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</si>
  <si>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</si>
  <si>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</si>
  <si>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</si>
  <si>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</si>
  <si>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</si>
  <si>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</si>
  <si>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</si>
  <si>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</si>
  <si>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</si>
  <si>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</si>
  <si>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</si>
  <si>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</si>
  <si>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</si>
  <si>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</si>
  <si>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</si>
  <si>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</si>
  <si>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</si>
  <si>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</si>
  <si>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</si>
  <si>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</si>
  <si>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</si>
  <si>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</si>
  <si>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</si>
  <si>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</si>
  <si>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</si>
  <si>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</si>
  <si>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</si>
  <si>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</si>
  <si>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</si>
  <si>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</si>
  <si>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</si>
  <si>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</si>
  <si>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</si>
  <si>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</si>
  <si>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</si>
  <si>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</si>
  <si>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</si>
  <si>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</si>
  <si>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</si>
  <si>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</si>
  <si>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</si>
  <si>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</si>
  <si>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</si>
  <si>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</si>
  <si>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</si>
  <si>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</si>
  <si>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</si>
  <si>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</si>
  <si>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</si>
  <si>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</si>
  <si>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</si>
  <si>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</si>
  <si>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</si>
  <si>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</si>
  <si>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</si>
  <si>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</si>
  <si>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</si>
  <si>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</si>
  <si>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</si>
  <si>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</si>
  <si>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</si>
  <si>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</si>
  <si>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</si>
  <si>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</si>
  <si>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</si>
  <si>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</si>
  <si>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</si>
  <si>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</si>
  <si>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</si>
  <si>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</si>
  <si>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</si>
  <si>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</si>
  <si>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</si>
  <si>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</si>
  <si>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</si>
  <si>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</si>
  <si>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</si>
  <si>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</si>
  <si>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</si>
  <si>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</si>
  <si>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</si>
  <si>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</si>
  <si>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</si>
  <si>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</si>
  <si>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</si>
  <si>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</si>
  <si>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</si>
  <si>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</si>
  <si>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</si>
  <si>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</si>
  <si>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</si>
  <si>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</si>
  <si>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</si>
  <si>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</si>
  <si>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</si>
  <si>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</si>
  <si>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</si>
  <si>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</si>
  <si>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</si>
  <si>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</si>
  <si>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</si>
  <si>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</si>
  <si>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</si>
  <si>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</si>
  <si>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</si>
  <si>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</si>
  <si>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</si>
  <si>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</si>
  <si>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</si>
  <si>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</si>
  <si>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</si>
  <si>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</si>
  <si>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</si>
  <si>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</si>
  <si>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</si>
  <si>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</si>
  <si>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</si>
  <si>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</si>
  <si>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</si>
  <si>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</si>
  <si>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</si>
  <si>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</si>
  <si>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</si>
  <si>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</si>
  <si>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</si>
  <si>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</si>
  <si>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</si>
  <si>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</si>
  <si>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</si>
  <si>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</si>
  <si>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</si>
  <si>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</si>
  <si>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</si>
  <si>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</si>
  <si>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</si>
  <si>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</si>
  <si>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</si>
  <si>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</si>
  <si>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</si>
  <si>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</si>
  <si>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</si>
  <si>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</si>
  <si>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</si>
  <si>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</si>
  <si>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</si>
  <si>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</si>
  <si>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</si>
  <si>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</si>
  <si>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</si>
  <si>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</si>
  <si>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</si>
  <si>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</si>
  <si>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</si>
  <si>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</si>
  <si>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</si>
  <si>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</si>
  <si>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</si>
  <si>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</si>
  <si>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</si>
  <si>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</si>
  <si>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</si>
  <si>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</si>
  <si>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</si>
  <si>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</si>
  <si>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</si>
  <si>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</si>
  <si>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</si>
  <si>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</si>
  <si>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</si>
  <si>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</si>
  <si>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</si>
  <si>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</si>
  <si>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</si>
  <si>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</si>
  <si>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</si>
  <si>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</si>
  <si>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</si>
  <si>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</si>
  <si>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</si>
  <si>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</si>
  <si>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</si>
  <si>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</si>
  <si>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</si>
  <si>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</si>
  <si>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</si>
  <si>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</si>
  <si>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</si>
  <si>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</si>
  <si>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</si>
  <si>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</si>
  <si>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</si>
  <si>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</si>
  <si>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</si>
  <si>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</si>
  <si>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</si>
  <si>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</si>
  <si>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</si>
  <si>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</si>
  <si>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</si>
  <si>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</si>
  <si>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</si>
  <si>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</si>
  <si>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</si>
  <si>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</si>
  <si>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</si>
  <si>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</si>
  <si>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</si>
  <si>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</si>
  <si>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</si>
  <si>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</si>
  <si>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</si>
  <si>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</si>
  <si>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</si>
  <si>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</si>
  <si>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</si>
  <si>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</si>
  <si>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</si>
  <si>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</si>
  <si>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</si>
  <si>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</si>
  <si>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</si>
  <si>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</si>
  <si>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</si>
  <si>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</si>
  <si>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</si>
  <si>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</si>
  <si>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</si>
  <si>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</si>
  <si>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</si>
  <si>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</si>
  <si>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</si>
  <si>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</si>
  <si>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</si>
  <si>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</si>
  <si>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</si>
  <si>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</si>
  <si>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</si>
  <si>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</si>
  <si>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</si>
  <si>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</si>
  <si>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</si>
  <si>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</si>
  <si>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</si>
  <si>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</si>
  <si>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</si>
  <si>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</si>
  <si>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</si>
  <si>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</si>
  <si>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</si>
  <si>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</si>
  <si>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</si>
  <si>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</si>
  <si>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</si>
  <si>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</si>
  <si>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</si>
  <si>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</si>
  <si>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</si>
  <si>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</si>
  <si>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</si>
  <si>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</si>
  <si>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</si>
  <si>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</si>
  <si>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</si>
  <si>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</si>
  <si>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</si>
  <si>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</si>
  <si>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</si>
  <si>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</si>
  <si>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</si>
  <si>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</si>
  <si>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</si>
  <si>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</si>
  <si>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</si>
  <si>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</si>
  <si>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</si>
  <si>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</si>
  <si>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</si>
  <si>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</si>
  <si>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</si>
  <si>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</si>
  <si>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</si>
  <si>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</si>
  <si>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</si>
  <si>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</si>
  <si>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</si>
  <si>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</si>
  <si>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</si>
  <si>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</si>
  <si>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</si>
  <si>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</si>
  <si>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</si>
  <si>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</si>
  <si>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</si>
  <si>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</si>
  <si>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</si>
  <si>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</si>
  <si>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</si>
  <si>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</si>
  <si>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</si>
  <si>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</si>
  <si>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</si>
  <si>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</si>
  <si>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</si>
  <si>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</si>
  <si>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</si>
  <si>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</si>
  <si>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</si>
  <si>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</si>
  <si>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</si>
  <si>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</si>
  <si>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</si>
  <si>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</si>
  <si>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</si>
  <si>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</si>
  <si>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</si>
  <si>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</si>
  <si>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</si>
  <si>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</si>
  <si>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</si>
  <si>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</si>
  <si>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</si>
  <si>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</si>
  <si>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</si>
  <si>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</si>
  <si>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</si>
  <si>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</si>
  <si>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</si>
  <si>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</si>
  <si>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</si>
  <si>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</si>
  <si>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</si>
  <si>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</si>
  <si>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</si>
  <si>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</si>
  <si>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</si>
  <si>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</si>
  <si>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</si>
  <si>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</si>
  <si>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</si>
  <si>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</si>
  <si>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</si>
  <si>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</si>
  <si>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</si>
  <si>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</si>
  <si>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</si>
  <si>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</si>
  <si>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</si>
  <si>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</si>
  <si>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</si>
  <si>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</si>
  <si>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</si>
  <si>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</si>
  <si>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</si>
  <si>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</si>
  <si>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</si>
  <si>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</si>
  <si>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</si>
  <si>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</si>
  <si>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</si>
  <si>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</si>
  <si>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</si>
  <si>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</si>
  <si>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</si>
  <si>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</si>
  <si>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</si>
  <si>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</si>
  <si>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</si>
  <si>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</si>
  <si>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</si>
  <si>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</si>
  <si>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</si>
  <si>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</si>
  <si>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</si>
  <si>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</si>
  <si>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</si>
  <si>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</si>
  <si>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</si>
  <si>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</si>
  <si>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</si>
  <si>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</si>
  <si>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</si>
  <si>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</si>
  <si>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</si>
  <si>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</si>
  <si>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</si>
  <si>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</si>
  <si>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</si>
  <si>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</si>
  <si>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</si>
  <si>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</si>
  <si>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</si>
  <si>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</si>
  <si>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</si>
  <si>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</si>
  <si>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</si>
  <si>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</si>
  <si>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</si>
  <si>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</si>
  <si>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</si>
  <si>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</si>
  <si>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</si>
  <si>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</si>
  <si>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</si>
  <si>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</si>
  <si>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</si>
  <si>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</si>
  <si>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</si>
  <si>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</si>
  <si>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</si>
  <si>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</si>
  <si>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</si>
  <si>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</si>
  <si>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</si>
  <si>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</si>
  <si>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</si>
  <si>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</si>
  <si>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</si>
  <si>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</si>
  <si>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</si>
  <si>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</si>
  <si>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</si>
  <si>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</si>
  <si>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</si>
  <si>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</si>
  <si>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</si>
  <si>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</si>
  <si>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</si>
  <si>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</si>
  <si>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</si>
  <si>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</si>
  <si>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</si>
  <si>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</si>
  <si>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</si>
  <si>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</si>
  <si>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</si>
  <si>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</si>
  <si>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</si>
  <si>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</si>
  <si>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</si>
  <si>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</si>
  <si>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</si>
  <si>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</si>
  <si>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</si>
  <si>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</si>
  <si>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</si>
  <si>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</si>
  <si>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</si>
  <si>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</si>
  <si>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</si>
  <si>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</si>
  <si>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</si>
  <si>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</si>
  <si>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</si>
  <si>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</si>
  <si>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</si>
  <si>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</si>
  <si>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</si>
  <si>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</si>
  <si>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</si>
  <si>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</si>
  <si>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</si>
  <si>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</si>
  <si>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</si>
  <si>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</si>
  <si>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</si>
  <si>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</si>
  <si>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</si>
  <si>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</si>
  <si>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</si>
  <si>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</si>
  <si>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</si>
  <si>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</si>
  <si>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</si>
  <si>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</si>
  <si>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</si>
  <si>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</si>
  <si>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</si>
  <si>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</si>
  <si>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</si>
  <si>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</si>
  <si>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</si>
  <si>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</si>
  <si>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</si>
  <si>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</si>
  <si>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</si>
  <si>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</si>
  <si>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</si>
  <si>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</si>
  <si>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</si>
  <si>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</si>
  <si>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</si>
  <si>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</si>
  <si>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</si>
  <si>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</si>
  <si>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</si>
  <si>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</si>
  <si>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</si>
  <si>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</si>
  <si>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</si>
  <si>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</si>
  <si>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</si>
  <si>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</si>
  <si>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</si>
  <si>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</si>
  <si>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</si>
  <si>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</si>
  <si>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</si>
  <si>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</si>
  <si>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</si>
  <si>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</si>
  <si>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</si>
  <si>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</si>
  <si>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</si>
  <si>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</si>
  <si>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</si>
  <si>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</si>
  <si>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</si>
  <si>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</si>
  <si>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</si>
  <si>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</si>
  <si>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</si>
  <si>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</si>
  <si>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</si>
  <si>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</si>
  <si>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</si>
  <si>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</si>
  <si>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</si>
  <si>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</si>
  <si>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</si>
  <si>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</si>
  <si>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</si>
  <si>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</si>
  <si>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</si>
  <si>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</si>
  <si>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</si>
  <si>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</si>
  <si>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</si>
  <si>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</si>
  <si>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</si>
  <si>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</si>
  <si>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</si>
  <si>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</si>
  <si>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</si>
  <si>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</si>
  <si>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</si>
  <si>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</si>
  <si>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</si>
  <si>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</si>
  <si>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</si>
  <si>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</si>
  <si>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</si>
  <si>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</si>
  <si>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</si>
  <si>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</si>
  <si>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</si>
  <si>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</si>
  <si>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</si>
  <si>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</si>
  <si>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</si>
  <si>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</si>
  <si>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</si>
  <si>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</si>
  <si>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</si>
  <si>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</si>
  <si>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</si>
  <si>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</si>
  <si>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</si>
  <si>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</si>
  <si>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</si>
  <si>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</si>
  <si>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</si>
  <si>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</si>
  <si>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</si>
  <si>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</si>
  <si>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</si>
  <si>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</si>
  <si>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</si>
  <si>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</si>
  <si>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</si>
  <si>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</si>
  <si>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</si>
  <si>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</si>
  <si>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</si>
  <si>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</si>
  <si>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</si>
  <si>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</si>
  <si>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</si>
  <si>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</si>
  <si>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</si>
  <si>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</si>
  <si>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</si>
  <si>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</si>
  <si>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</si>
  <si>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</si>
  <si>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</si>
  <si>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</si>
  <si>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</si>
  <si>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</si>
  <si>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</si>
  <si>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</si>
  <si>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</si>
  <si>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</si>
  <si>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</si>
  <si>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</si>
  <si>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</si>
  <si>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</si>
  <si>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</si>
  <si>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</si>
  <si>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</si>
  <si>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</si>
  <si>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</si>
  <si>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</si>
  <si>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</si>
  <si>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</si>
  <si>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</si>
  <si>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</si>
  <si>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</si>
  <si>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</si>
  <si>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</si>
  <si>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</si>
  <si>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</si>
  <si>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</si>
  <si>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</si>
  <si>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</si>
  <si>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</si>
  <si>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</si>
  <si>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</si>
  <si>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</si>
  <si>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</si>
  <si>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</si>
  <si>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</si>
  <si>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</si>
  <si>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</si>
  <si>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</si>
  <si>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</si>
  <si>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</si>
  <si>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</si>
  <si>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</si>
  <si>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</si>
  <si>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</si>
  <si>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</si>
  <si>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</si>
  <si>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</si>
  <si>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</si>
  <si>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</si>
  <si>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</si>
  <si>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</si>
  <si>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</si>
  <si>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</si>
  <si>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</si>
  <si>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</si>
  <si>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</si>
  <si>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</si>
  <si>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</si>
  <si>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</si>
  <si>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</si>
  <si>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</si>
  <si>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</si>
  <si>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</si>
  <si>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</si>
  <si>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</si>
  <si>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</si>
  <si>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</si>
  <si>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</si>
  <si>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</si>
  <si>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</si>
  <si>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</si>
  <si>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</si>
  <si>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</si>
  <si>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</si>
  <si>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</si>
  <si>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</si>
  <si>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</si>
  <si>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</si>
  <si>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</si>
  <si>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</si>
  <si>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</si>
  <si>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</si>
  <si>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</si>
  <si>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</si>
  <si>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</si>
  <si>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</si>
  <si>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</si>
  <si>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</si>
  <si>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</si>
  <si>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</si>
  <si>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</si>
  <si>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</si>
  <si>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</si>
  <si>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</si>
  <si>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</si>
  <si>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</si>
  <si>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</si>
  <si>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</si>
  <si>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</si>
  <si>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</si>
  <si>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</si>
  <si>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</si>
  <si>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</si>
  <si>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</si>
  <si>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</si>
  <si>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</si>
  <si>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</si>
  <si>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</si>
  <si>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</si>
  <si>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</si>
  <si>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</si>
  <si>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</si>
  <si>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</si>
  <si>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</si>
  <si>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</si>
  <si>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</si>
  <si>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</si>
  <si>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</si>
  <si>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</si>
  <si>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</si>
  <si>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</si>
  <si>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</si>
  <si>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</si>
  <si>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</si>
  <si>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</si>
  <si>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</si>
  <si>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</si>
  <si>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</si>
  <si>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</si>
  <si>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</si>
  <si>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</si>
  <si>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</si>
  <si>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</si>
  <si>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</si>
  <si>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</si>
  <si>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</si>
  <si>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</si>
  <si>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</si>
  <si>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</si>
  <si>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</si>
  <si>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</si>
  <si>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</si>
  <si>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</si>
  <si>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</si>
  <si>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</si>
  <si>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</si>
  <si>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</si>
  <si>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</si>
  <si>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</si>
  <si>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</si>
  <si>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</si>
  <si>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</si>
  <si>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</si>
  <si>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</si>
  <si>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</si>
  <si>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</si>
  <si>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</si>
  <si>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</si>
  <si>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</si>
  <si>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</si>
  <si>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</si>
  <si>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</si>
  <si>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</si>
  <si>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</si>
  <si>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</si>
  <si>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</si>
  <si>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</si>
  <si>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</si>
  <si>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</si>
  <si>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</si>
  <si>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</si>
  <si>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</si>
  <si>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</si>
  <si>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</si>
  <si>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</si>
  <si>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</si>
  <si>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</si>
  <si>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</si>
  <si>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</si>
  <si>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</si>
  <si>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</si>
  <si>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</si>
  <si>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</si>
  <si>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</si>
  <si>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</si>
  <si>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</si>
  <si>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</si>
  <si>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</si>
  <si>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</si>
  <si>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</si>
  <si>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</si>
  <si>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</si>
  <si>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</si>
  <si>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</si>
  <si>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</si>
  <si>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</si>
  <si>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</si>
  <si>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</si>
  <si>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</si>
  <si>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</si>
  <si>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</si>
  <si>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</si>
  <si>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</si>
  <si>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</si>
  <si>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</si>
  <si>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</si>
  <si>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</si>
  <si>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</si>
  <si>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</si>
  <si>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</si>
  <si>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</si>
  <si>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</si>
  <si>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</si>
  <si>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</si>
  <si>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</si>
  <si>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</si>
  <si>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</si>
  <si>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</si>
  <si>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</si>
  <si>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</si>
  <si>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</si>
  <si>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</si>
  <si>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</si>
  <si>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</si>
  <si>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</si>
  <si>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</si>
  <si>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</si>
  <si>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</si>
  <si>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</si>
  <si>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</si>
  <si>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</si>
  <si>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</si>
  <si>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</si>
  <si>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</si>
  <si>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</si>
  <si>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</si>
  <si>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</si>
  <si>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</si>
  <si>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</si>
  <si>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</si>
  <si>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</si>
  <si>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</si>
  <si>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</si>
  <si>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</si>
  <si>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</si>
  <si>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</si>
  <si>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</si>
  <si>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</si>
  <si>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</si>
  <si>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</si>
  <si>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</si>
  <si>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</si>
  <si>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</si>
  <si>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</si>
  <si>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</si>
  <si>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</si>
  <si>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</si>
  <si>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</si>
  <si>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</si>
  <si>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</si>
  <si>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</si>
  <si>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</si>
  <si>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</si>
  <si>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</si>
  <si>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</si>
  <si>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</si>
  <si>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</si>
  <si>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</si>
  <si>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</si>
  <si>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</si>
  <si>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</si>
  <si>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</si>
  <si>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</si>
  <si>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</si>
  <si>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</si>
  <si>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</si>
  <si>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</si>
  <si>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</si>
  <si>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</si>
  <si>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</si>
  <si>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</si>
  <si>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</si>
  <si>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</si>
  <si>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</si>
  <si>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</si>
  <si>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</si>
  <si>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</si>
  <si>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</si>
  <si>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</si>
  <si>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</si>
  <si>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</si>
  <si>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</si>
  <si>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</si>
  <si>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</si>
  <si>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</si>
  <si>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</si>
  <si>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</si>
  <si>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</si>
  <si>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</si>
  <si>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</si>
  <si>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</si>
  <si>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</si>
  <si>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</si>
  <si>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</si>
  <si>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</si>
  <si>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</si>
  <si>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</si>
  <si>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</si>
  <si>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</si>
  <si>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</si>
  <si>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</si>
  <si>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</si>
  <si>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</si>
  <si>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</si>
  <si>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</si>
  <si>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</si>
  <si>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</si>
  <si>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</si>
  <si>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</si>
  <si>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</si>
  <si>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</si>
  <si>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</si>
  <si>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</si>
  <si>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</si>
  <si>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</si>
  <si>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</si>
  <si>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</si>
  <si>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</si>
  <si>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</si>
  <si>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</si>
  <si>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</si>
  <si>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</si>
  <si>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</si>
  <si>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</si>
  <si>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</si>
  <si>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</si>
  <si>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</si>
  <si>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</si>
  <si>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</si>
  <si>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</si>
  <si>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</si>
  <si>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</si>
  <si>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</si>
  <si>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</si>
  <si>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</si>
  <si>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</si>
  <si>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</si>
  <si>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</si>
  <si>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</si>
  <si>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</si>
  <si>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</si>
  <si>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</si>
  <si>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</si>
  <si>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</si>
  <si>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</si>
  <si>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</si>
  <si>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</si>
  <si>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</si>
  <si>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</si>
  <si>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</si>
  <si>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</si>
  <si>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</si>
  <si>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</si>
  <si>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</si>
  <si>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</si>
  <si>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</si>
  <si>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</si>
  <si>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</si>
  <si>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</si>
  <si>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</si>
  <si>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</si>
  <si>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</si>
  <si>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</si>
  <si>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</si>
  <si>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</si>
  <si>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</si>
  <si>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</si>
  <si>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</si>
  <si>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</si>
  <si>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</si>
  <si>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</si>
  <si>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</si>
  <si>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</si>
  <si>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</si>
  <si>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</si>
  <si>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</si>
  <si>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</si>
  <si>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</si>
  <si>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</si>
  <si>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</si>
  <si>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</si>
  <si>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</si>
  <si>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</si>
  <si>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</si>
  <si>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</si>
  <si>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</si>
  <si>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</si>
  <si>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</si>
  <si>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</si>
  <si>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</si>
  <si>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</si>
  <si>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</si>
  <si>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</si>
  <si>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</si>
  <si>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</si>
  <si>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</si>
  <si>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</si>
  <si>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</si>
  <si>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</si>
  <si>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</si>
  <si>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</si>
  <si>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</si>
  <si>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</si>
  <si>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</si>
  <si>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</si>
  <si>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</si>
  <si>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</si>
  <si>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</si>
  <si>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</si>
  <si>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</si>
  <si>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</si>
  <si>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</si>
  <si>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</si>
  <si>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</si>
  <si>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</si>
  <si>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</si>
  <si>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</si>
  <si>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</si>
  <si>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</si>
  <si>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</si>
  <si>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</si>
  <si>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</si>
  <si>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</si>
  <si>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</si>
  <si>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</si>
  <si>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</si>
  <si>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</si>
  <si>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</si>
  <si>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</si>
  <si>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</si>
  <si>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</si>
  <si>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</si>
  <si>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</si>
  <si>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</si>
  <si>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</si>
  <si>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</si>
  <si>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</si>
  <si>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</si>
  <si>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</si>
  <si>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</si>
  <si>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</si>
  <si>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</si>
  <si>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</si>
  <si>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</si>
  <si>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</si>
  <si>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</si>
  <si>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</si>
  <si>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</si>
  <si>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</si>
  <si>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</si>
  <si>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</si>
  <si>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</si>
  <si>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</si>
  <si>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</si>
  <si>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</si>
  <si>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</si>
  <si>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</si>
  <si>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</si>
  <si>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</si>
  <si>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</si>
  <si>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</si>
  <si>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</si>
  <si>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</si>
  <si>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</si>
  <si>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</si>
  <si>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</si>
  <si>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</si>
  <si>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</si>
  <si>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</si>
  <si>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</si>
  <si>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</si>
  <si>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</si>
  <si>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</si>
  <si>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</si>
  <si>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</si>
  <si>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</si>
  <si>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</si>
  <si>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</si>
  <si>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</si>
  <si>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</si>
  <si>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</si>
  <si>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</si>
  <si>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</si>
  <si>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</si>
  <si>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</si>
  <si>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</si>
  <si>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</si>
  <si>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</si>
  <si>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</si>
  <si>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</si>
  <si>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</si>
  <si>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</si>
  <si>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</si>
  <si>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</si>
  <si>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</si>
  <si>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</si>
  <si>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</si>
  <si>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</si>
  <si>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</si>
  <si>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</si>
  <si>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</si>
  <si>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</si>
  <si>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</si>
  <si>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</si>
  <si>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</si>
  <si>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</si>
  <si>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</si>
  <si>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</si>
  <si>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</si>
  <si>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</si>
  <si>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</si>
  <si>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</si>
  <si>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</si>
  <si>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</si>
  <si>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</si>
  <si>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</si>
  <si>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</si>
  <si>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</si>
  <si>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</si>
  <si>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</si>
  <si>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</si>
  <si>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</si>
  <si>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</si>
  <si>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</si>
  <si>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</si>
  <si>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</si>
  <si>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</si>
  <si>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</si>
  <si>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</si>
  <si>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</si>
  <si>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</si>
  <si>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</si>
  <si>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</si>
  <si>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</si>
  <si>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</si>
  <si>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</si>
  <si>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</si>
  <si>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</si>
  <si>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</si>
  <si>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</si>
  <si>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</si>
  <si>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</si>
  <si>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</si>
  <si>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</si>
  <si>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</si>
  <si>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</si>
  <si>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</si>
  <si>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</si>
  <si>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</si>
  <si>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</si>
  <si>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</si>
  <si>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</si>
  <si>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</si>
  <si>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</si>
  <si>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</si>
  <si>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</si>
  <si>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</si>
  <si>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</si>
  <si>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</si>
  <si>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</si>
  <si>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</si>
  <si>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</si>
  <si>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</si>
  <si>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</si>
  <si>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</si>
  <si>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</si>
  <si>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</si>
  <si>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</si>
  <si>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</si>
  <si>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</si>
  <si>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</si>
  <si>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</si>
  <si>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</si>
  <si>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</si>
  <si>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</si>
  <si>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</si>
  <si>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</si>
  <si>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</si>
  <si>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</si>
  <si>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</si>
  <si>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</si>
  <si>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</si>
  <si>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</si>
  <si>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</si>
  <si>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</si>
  <si>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</si>
  <si>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</si>
  <si>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</si>
  <si>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</si>
  <si>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</si>
  <si>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</si>
  <si>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</si>
  <si>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</si>
  <si>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</si>
  <si>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</si>
  <si>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</si>
  <si>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</si>
  <si>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</si>
  <si>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</si>
  <si>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</si>
  <si>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</si>
  <si>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</si>
  <si>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</si>
  <si>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</si>
  <si>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</si>
  <si>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</si>
  <si>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</si>
  <si>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</si>
  <si>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</si>
  <si>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</si>
  <si>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</si>
  <si>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</si>
  <si>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</si>
  <si>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</si>
  <si>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</si>
  <si>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</si>
  <si>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</si>
  <si>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</si>
  <si>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</si>
  <si>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</si>
  <si>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</si>
  <si>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</si>
  <si>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</si>
  <si>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</si>
  <si>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</si>
  <si>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</si>
  <si>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</si>
  <si>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</si>
  <si>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</si>
  <si>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</si>
  <si>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</si>
  <si>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</si>
  <si>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</si>
  <si>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</si>
  <si>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</si>
  <si>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</si>
  <si>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</si>
  <si>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</si>
  <si>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</si>
  <si>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</si>
  <si>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</si>
  <si>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</si>
  <si>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</si>
  <si>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</si>
  <si>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</si>
  <si>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</si>
  <si>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</si>
  <si>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</si>
  <si>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</si>
  <si>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</si>
  <si>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</si>
  <si>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</si>
  <si>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</si>
  <si>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</si>
  <si>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</si>
  <si>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</si>
  <si>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</si>
  <si>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</si>
  <si>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</si>
  <si>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</si>
  <si>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</si>
  <si>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</si>
  <si>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</si>
  <si>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</si>
  <si>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</si>
  <si>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</si>
  <si>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</si>
  <si>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</si>
  <si>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</si>
  <si>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</si>
  <si>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</si>
  <si>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</si>
  <si>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</si>
  <si>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</si>
  <si>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</si>
  <si>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</si>
  <si>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</si>
  <si>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</si>
  <si>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</si>
  <si>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</si>
  <si>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</si>
  <si>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</si>
  <si>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</si>
  <si>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</si>
  <si>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</si>
  <si>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</si>
  <si>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</si>
  <si>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</si>
  <si>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</si>
  <si>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</si>
  <si>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</si>
  <si>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</si>
  <si>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</si>
  <si>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</si>
  <si>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</si>
  <si>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</si>
  <si>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</si>
  <si>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</si>
  <si>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</si>
  <si>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</si>
  <si>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</si>
  <si>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</si>
  <si>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</si>
  <si>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</si>
  <si>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</si>
  <si>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</si>
  <si>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</si>
  <si>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</si>
  <si>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</si>
  <si>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</si>
  <si>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</si>
  <si>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</si>
  <si>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</si>
  <si>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</si>
  <si>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</si>
  <si>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</si>
  <si>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</si>
  <si>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</si>
  <si>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</si>
  <si>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</si>
  <si>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</si>
  <si>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</si>
  <si>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</si>
  <si>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</si>
  <si>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</si>
  <si>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</si>
  <si>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</si>
  <si>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</si>
  <si>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</si>
  <si>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</si>
  <si>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</si>
  <si>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</si>
  <si>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</si>
  <si>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</si>
  <si>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</si>
  <si>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</si>
  <si>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</si>
  <si>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</si>
  <si>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</si>
  <si>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</si>
  <si>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</si>
  <si>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</si>
  <si>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</si>
  <si>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</si>
  <si>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</si>
  <si>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</si>
  <si>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</si>
  <si>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</si>
  <si>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</si>
  <si>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</si>
  <si>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</si>
  <si>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</si>
  <si>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</si>
  <si>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</si>
  <si>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</si>
  <si>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</si>
  <si>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</si>
  <si>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</si>
  <si>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</si>
  <si>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</si>
  <si>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</si>
  <si>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</si>
  <si>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</si>
  <si>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</si>
  <si>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</si>
  <si>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</si>
  <si>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</si>
  <si>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</si>
  <si>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</si>
  <si>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</si>
  <si>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</si>
  <si>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</si>
  <si>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</si>
  <si>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</si>
  <si>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</si>
  <si>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</si>
  <si>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</si>
  <si>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</si>
  <si>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</si>
  <si>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</si>
  <si>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</si>
  <si>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</si>
  <si>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</si>
  <si>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</si>
  <si>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</si>
  <si>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</si>
  <si>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</si>
  <si>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</si>
  <si>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</si>
  <si>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</si>
  <si>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</si>
  <si>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</si>
  <si>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</si>
  <si>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</si>
  <si>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</si>
  <si>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</si>
  <si>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</si>
  <si>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</si>
  <si>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</si>
  <si>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</si>
  <si>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</si>
  <si>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</si>
  <si>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</si>
  <si>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</si>
  <si>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</si>
  <si>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</si>
  <si>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</si>
  <si>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</si>
  <si>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</si>
  <si>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</si>
  <si>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</si>
  <si>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</si>
  <si>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</si>
  <si>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</si>
  <si>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</si>
  <si>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</si>
  <si>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</si>
  <si>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</si>
  <si>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</si>
  <si>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</si>
  <si>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</si>
  <si>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</si>
  <si>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</si>
  <si>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</si>
  <si>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</si>
  <si>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</si>
  <si>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</si>
  <si>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</si>
  <si>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</si>
  <si>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</si>
  <si>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</si>
  <si>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</si>
  <si>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</si>
  <si>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</si>
  <si>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</si>
  <si>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</si>
  <si>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</si>
  <si>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</si>
  <si>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</si>
  <si>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</si>
  <si>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</si>
  <si>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</si>
  <si>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</si>
  <si>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</si>
  <si>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</si>
  <si>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</si>
  <si>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</si>
  <si>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</si>
  <si>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</si>
  <si>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</si>
  <si>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</si>
  <si>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</si>
  <si>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</si>
  <si>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</si>
  <si>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</si>
  <si>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</si>
  <si>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</si>
  <si>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</si>
  <si>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</si>
  <si>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</si>
  <si>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</si>
  <si>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</si>
  <si>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</si>
  <si>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</si>
  <si>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</si>
  <si>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</si>
  <si>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</si>
  <si>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</si>
  <si>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</si>
  <si>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</si>
  <si>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</si>
  <si>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</si>
  <si>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</si>
  <si>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</si>
  <si>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</si>
  <si>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</si>
  <si>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</si>
  <si>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</si>
  <si>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</si>
  <si>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</si>
  <si>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</si>
  <si>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</si>
  <si>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</si>
  <si>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</si>
  <si>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</si>
  <si>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</si>
  <si>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</si>
  <si>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</si>
  <si>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</si>
  <si>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</si>
  <si>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</si>
  <si>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</si>
  <si>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</si>
  <si>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</si>
  <si>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</si>
  <si>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</si>
  <si>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</si>
  <si>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</si>
  <si>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</si>
  <si>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</si>
  <si>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</si>
  <si>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</si>
  <si>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</si>
  <si>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</si>
  <si>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</si>
  <si>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</si>
  <si>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</si>
  <si>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</si>
  <si>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</si>
  <si>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</si>
  <si>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</si>
  <si>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</si>
  <si>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</si>
  <si>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</si>
  <si>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</si>
  <si>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</si>
  <si>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</si>
  <si>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</si>
  <si>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</si>
  <si>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</si>
  <si>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</si>
  <si>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</si>
  <si>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</si>
  <si>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</si>
  <si>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</si>
  <si>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</si>
  <si>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</si>
  <si>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</si>
  <si>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</si>
  <si>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</si>
  <si>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</si>
  <si>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</si>
  <si>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</si>
  <si>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</si>
  <si>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</si>
  <si>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</si>
  <si>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</si>
  <si>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</si>
  <si>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</si>
  <si>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</si>
  <si>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</si>
  <si>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</si>
  <si>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</si>
  <si>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</si>
  <si>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</si>
  <si>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</si>
  <si>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</si>
  <si>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</si>
  <si>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</si>
  <si>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</si>
  <si>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</si>
  <si>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</si>
  <si>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</si>
  <si>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</si>
  <si>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</si>
  <si>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</si>
  <si>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</si>
  <si>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</si>
  <si>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</si>
  <si>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</si>
  <si>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</si>
  <si>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</si>
  <si>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</si>
  <si>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</si>
  <si>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</si>
  <si>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</si>
  <si>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</si>
  <si>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</si>
  <si>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</si>
  <si>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</si>
  <si>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</si>
  <si>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</si>
  <si>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</si>
  <si>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</si>
  <si>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</si>
  <si>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</si>
  <si>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</si>
  <si>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</si>
  <si>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</si>
  <si>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</si>
  <si>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</si>
  <si>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</si>
  <si>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</si>
  <si>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</si>
  <si>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</si>
  <si>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</si>
  <si>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</si>
  <si>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</si>
  <si>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</si>
  <si>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</si>
  <si>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</si>
  <si>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</si>
  <si>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</si>
  <si>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</si>
  <si>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</si>
  <si>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</si>
  <si>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</si>
  <si>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</si>
  <si>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</si>
  <si>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</si>
  <si>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</si>
  <si>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</si>
  <si>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</si>
  <si>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</si>
  <si>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</si>
  <si>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</si>
  <si>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</si>
  <si>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</si>
  <si>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</si>
  <si>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</si>
  <si>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</si>
  <si>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</si>
  <si>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</si>
  <si>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</si>
  <si>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</si>
  <si>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</si>
  <si>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</si>
  <si>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</si>
  <si>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</si>
  <si>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</si>
  <si>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</si>
  <si>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</si>
  <si>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</si>
  <si>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</si>
  <si>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</si>
  <si>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</si>
  <si>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</si>
  <si>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</si>
  <si>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</si>
  <si>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</si>
  <si>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</si>
  <si>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</si>
  <si>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</si>
  <si>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</si>
  <si>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</si>
  <si>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</si>
  <si>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</si>
  <si>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</si>
  <si>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</si>
  <si>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</si>
  <si>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</si>
  <si>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</si>
  <si>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</si>
  <si>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</si>
  <si>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</si>
  <si>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</si>
  <si>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</si>
  <si>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</si>
  <si>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</si>
  <si>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</si>
  <si>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</si>
  <si>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</si>
  <si>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</si>
  <si>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</si>
  <si>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</si>
  <si>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</si>
  <si>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</si>
  <si>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</si>
  <si>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</si>
  <si>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</si>
  <si>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</si>
  <si>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</si>
  <si>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</si>
  <si>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</si>
  <si>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</si>
  <si>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</si>
  <si>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</si>
  <si>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</si>
  <si>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</si>
  <si>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</si>
  <si>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</si>
  <si>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</si>
  <si>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</si>
  <si>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</si>
  <si>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</si>
  <si>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</si>
  <si>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</si>
  <si>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</si>
  <si>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</si>
  <si>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</si>
  <si>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</si>
  <si>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</si>
  <si>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</si>
  <si>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</si>
  <si>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</si>
  <si>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</si>
  <si>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</si>
  <si>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</si>
  <si>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</si>
  <si>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</si>
  <si>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</si>
  <si>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</si>
  <si>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</si>
  <si>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</si>
  <si>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</si>
  <si>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</si>
  <si>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</si>
  <si>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</si>
  <si>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</si>
  <si>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</si>
  <si>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</si>
  <si>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</si>
  <si>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</si>
  <si>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</si>
  <si>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</si>
  <si>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</si>
  <si>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</si>
  <si>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</si>
  <si>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</si>
  <si>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</si>
  <si>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</si>
  <si>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</si>
  <si>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</si>
  <si>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</si>
  <si>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</si>
  <si>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</si>
  <si>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</si>
  <si>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</si>
  <si>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</si>
  <si>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</si>
  <si>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</si>
  <si>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</si>
  <si>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</si>
  <si>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</si>
  <si>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</si>
  <si>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</si>
  <si>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</si>
  <si>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</si>
  <si>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</si>
  <si>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</si>
  <si>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</si>
  <si>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</si>
  <si>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</si>
  <si>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</si>
  <si>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</si>
  <si>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</si>
  <si>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</si>
  <si>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</si>
  <si>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</si>
  <si>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</si>
  <si>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</si>
  <si>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</si>
  <si>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</si>
  <si>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</si>
  <si>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</si>
  <si>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</si>
  <si>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</si>
  <si>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</si>
  <si>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</si>
  <si>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</si>
  <si>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</si>
  <si>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</si>
  <si>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</si>
  <si>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</si>
  <si>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</si>
  <si>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</si>
  <si>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</si>
  <si>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</si>
  <si>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</si>
  <si>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</si>
  <si>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</si>
  <si>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</si>
  <si>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</si>
  <si>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</si>
  <si>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</si>
  <si>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</si>
  <si>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</si>
  <si>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</si>
  <si>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</si>
  <si>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</si>
  <si>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</si>
  <si>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</si>
  <si>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</si>
  <si>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</si>
  <si>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</si>
  <si>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</si>
  <si>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</si>
  <si>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</si>
  <si>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</si>
  <si>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</si>
  <si>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</si>
  <si>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</si>
  <si>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</si>
  <si>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</si>
  <si>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</si>
  <si>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</si>
  <si>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</si>
  <si>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</si>
  <si>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</si>
  <si>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</si>
  <si>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</si>
  <si>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</si>
  <si>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</si>
  <si>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</si>
  <si>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</si>
  <si>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</si>
  <si>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</si>
  <si>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</si>
  <si>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</si>
  <si>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</si>
  <si>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</si>
  <si>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</si>
  <si>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</si>
  <si>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</si>
  <si>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</si>
  <si>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</si>
  <si>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</si>
  <si>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</si>
  <si>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</si>
  <si>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</si>
  <si>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</si>
  <si>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</si>
  <si>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</si>
  <si>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</si>
  <si>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</si>
  <si>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</si>
  <si>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</si>
  <si>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</si>
  <si>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</si>
  <si>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</si>
  <si>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</si>
  <si>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</si>
  <si>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</si>
  <si>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</si>
  <si>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</si>
  <si>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</si>
  <si>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</si>
  <si>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</si>
  <si>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</si>
  <si>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</si>
  <si>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</si>
  <si>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</si>
  <si>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</si>
  <si>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</si>
  <si>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</si>
  <si>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</si>
  <si>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</si>
  <si>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</si>
  <si>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</si>
  <si>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</si>
  <si>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</si>
  <si>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</si>
  <si>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</si>
  <si>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</si>
  <si>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</si>
  <si>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</si>
  <si>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</si>
  <si>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</si>
  <si>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</si>
  <si>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</si>
  <si>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</si>
  <si>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</si>
  <si>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</si>
  <si>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</si>
  <si>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</si>
  <si>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</si>
  <si>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</si>
  <si>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</si>
  <si>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</si>
  <si>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</si>
  <si>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</si>
  <si>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</si>
  <si>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</si>
  <si>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</si>
  <si>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</si>
  <si>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</si>
  <si>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</si>
  <si>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</si>
  <si>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</si>
  <si>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</si>
  <si>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</si>
  <si>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</si>
  <si>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</si>
  <si>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</si>
  <si>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</si>
  <si>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</si>
  <si>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</si>
  <si>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</si>
  <si>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</si>
  <si>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</si>
  <si>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</si>
  <si>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</si>
  <si>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</si>
  <si>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</si>
  <si>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</si>
  <si>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</si>
  <si>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</si>
  <si>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</si>
  <si>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</si>
  <si>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</si>
  <si>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</si>
  <si>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</si>
  <si>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</si>
  <si>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</si>
  <si>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</si>
  <si>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</si>
  <si>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</si>
  <si>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</si>
  <si>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</si>
  <si>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</si>
  <si>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</si>
  <si>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</si>
  <si>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</si>
  <si>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</si>
  <si>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</si>
  <si>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</si>
  <si>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</si>
  <si>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</si>
  <si>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</si>
  <si>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</si>
  <si>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</si>
  <si>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</si>
  <si>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</si>
  <si>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</si>
  <si>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</si>
  <si>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</si>
  <si>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</si>
  <si>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</si>
  <si>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</si>
  <si>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</si>
  <si>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</si>
  <si>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</si>
  <si>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</si>
  <si>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</si>
  <si>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</si>
  <si>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</si>
  <si>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</si>
  <si>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</si>
  <si>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</si>
  <si>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</si>
  <si>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</si>
  <si>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</si>
  <si>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</si>
  <si>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</si>
  <si>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</si>
  <si>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</si>
  <si>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</si>
  <si>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</si>
  <si>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</si>
  <si>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</si>
  <si>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</si>
  <si>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</si>
  <si>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</si>
  <si>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</si>
  <si>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</si>
  <si>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</si>
  <si>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</si>
  <si>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</si>
  <si>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</si>
  <si>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</si>
  <si>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</si>
  <si>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</si>
  <si>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</si>
  <si>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</si>
  <si>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</si>
  <si>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</si>
  <si>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</si>
  <si>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</si>
  <si>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</si>
  <si>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</si>
  <si>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</si>
  <si>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</si>
  <si>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</si>
  <si>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</si>
  <si>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</si>
  <si>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</si>
  <si>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</si>
  <si>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</si>
  <si>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</si>
  <si>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</si>
  <si>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</si>
  <si>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</si>
  <si>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</si>
  <si>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</si>
  <si>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</si>
  <si>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</si>
  <si>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</si>
  <si>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</si>
  <si>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</si>
  <si>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</si>
  <si>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</si>
  <si>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</si>
  <si>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</si>
  <si>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</si>
  <si>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</si>
  <si>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</si>
  <si>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</si>
  <si>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</si>
  <si>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</si>
  <si>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</si>
  <si>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</si>
  <si>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</si>
  <si>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</si>
  <si>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</si>
  <si>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</si>
  <si>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</si>
  <si>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</si>
  <si>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</si>
  <si>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</si>
  <si>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</si>
  <si>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</si>
  <si>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</si>
  <si>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</si>
  <si>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</si>
  <si>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</si>
  <si>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</si>
  <si>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</si>
  <si>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</si>
  <si>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</si>
  <si>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</si>
  <si>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</si>
  <si>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</si>
  <si>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</si>
  <si>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</si>
  <si>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</si>
  <si>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</si>
  <si>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</si>
  <si>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</si>
  <si>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</si>
  <si>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</si>
  <si>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</si>
  <si>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</si>
  <si>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</si>
  <si>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</si>
  <si>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</si>
  <si>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</si>
  <si>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</si>
  <si>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</si>
  <si>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</si>
  <si>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</si>
  <si>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</si>
  <si>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</si>
  <si>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</si>
  <si>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</si>
  <si>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</si>
  <si>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</si>
  <si>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</si>
  <si>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</si>
  <si>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</si>
  <si>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</si>
  <si>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</si>
  <si>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</si>
  <si>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</si>
  <si>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</si>
  <si>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</si>
  <si>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</si>
  <si>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</si>
  <si>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</si>
  <si>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</si>
  <si>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</si>
  <si>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</si>
  <si>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</si>
  <si>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</si>
  <si>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</si>
  <si>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</si>
  <si>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</si>
  <si>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</si>
  <si>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</si>
  <si>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</si>
  <si>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</si>
  <si>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</si>
  <si>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</si>
  <si>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</si>
  <si>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</si>
  <si>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</si>
  <si>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</si>
  <si>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</si>
  <si>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</si>
  <si>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</si>
  <si>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</si>
  <si>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</si>
  <si>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</si>
  <si>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</si>
  <si>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</si>
  <si>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</si>
  <si>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</si>
  <si>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</si>
  <si>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</si>
  <si>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</si>
  <si>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</si>
  <si>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</si>
  <si>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</si>
  <si>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</si>
  <si>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</si>
  <si>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</si>
  <si>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</si>
  <si>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</si>
  <si>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</si>
  <si>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</si>
  <si>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</si>
  <si>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</si>
  <si>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</si>
  <si>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</si>
  <si>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</si>
  <si>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</si>
  <si>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</si>
  <si>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</si>
  <si>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</si>
  <si>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</si>
  <si>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</si>
  <si>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</si>
  <si>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</si>
  <si>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</si>
  <si>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</si>
  <si>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</si>
  <si>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</si>
  <si>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</si>
  <si>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</si>
  <si>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</si>
  <si>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</si>
  <si>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</si>
  <si>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</si>
  <si>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</si>
  <si>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</si>
  <si>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</si>
  <si>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</si>
  <si>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</si>
  <si>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</si>
  <si>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</si>
  <si>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</si>
  <si>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</si>
  <si>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</si>
  <si>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</si>
  <si>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</si>
  <si>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</si>
  <si>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</si>
  <si>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</si>
  <si>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</si>
  <si>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</si>
  <si>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</si>
  <si>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</si>
  <si>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</si>
  <si>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</si>
  <si>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</si>
  <si>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</si>
  <si>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</si>
  <si>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</si>
  <si>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</si>
  <si>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</si>
  <si>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</si>
  <si>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</si>
  <si>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</si>
  <si>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</si>
  <si>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</si>
  <si>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</si>
  <si>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</si>
  <si>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</si>
  <si>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</si>
  <si>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</si>
  <si>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</si>
  <si>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</si>
  <si>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</si>
  <si>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</si>
  <si>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</si>
  <si>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</si>
  <si>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</si>
  <si>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</si>
  <si>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</si>
  <si>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</si>
  <si>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</si>
  <si>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</si>
  <si>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</si>
  <si>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</si>
  <si>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</si>
  <si>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</si>
  <si>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</si>
  <si>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</si>
  <si>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</si>
  <si>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</si>
  <si>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</si>
  <si>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</si>
  <si>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</si>
  <si>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</si>
  <si>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</si>
  <si>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</si>
  <si>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</si>
  <si>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</si>
  <si>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</si>
  <si>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</si>
  <si>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</si>
  <si>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</si>
  <si>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</si>
  <si>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</si>
  <si>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</si>
  <si>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</si>
  <si>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</si>
  <si>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</si>
  <si>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</si>
  <si>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</si>
  <si>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</si>
  <si>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</si>
  <si>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</si>
  <si>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</si>
  <si>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</si>
  <si>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</si>
  <si>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</si>
  <si>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</si>
  <si>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</si>
  <si>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</si>
  <si>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</si>
  <si>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</si>
  <si>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</si>
  <si>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</si>
  <si>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</si>
  <si>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</si>
  <si>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</si>
  <si>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</si>
  <si>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</si>
  <si>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</si>
  <si>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</si>
  <si>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</si>
  <si>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</si>
  <si>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</si>
  <si>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</si>
  <si>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</si>
  <si>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</si>
  <si>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</si>
  <si>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</si>
  <si>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</si>
  <si>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</si>
  <si>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</si>
  <si>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</si>
  <si>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</si>
  <si>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</si>
  <si>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</si>
  <si>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</si>
  <si>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</si>
  <si>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</si>
  <si>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</si>
  <si>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</si>
  <si>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</si>
  <si>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</si>
  <si>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</si>
  <si>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</si>
  <si>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</si>
  <si>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</si>
  <si>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</si>
  <si>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</si>
  <si>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</si>
  <si>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</si>
  <si>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</si>
  <si>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</si>
  <si>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</si>
  <si>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</si>
  <si>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</si>
  <si>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</si>
  <si>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</si>
  <si>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</si>
  <si>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</si>
  <si>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</si>
  <si>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</si>
  <si>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</si>
  <si>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</si>
  <si>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</si>
  <si>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</si>
  <si>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</si>
  <si>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</si>
  <si>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</si>
  <si>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</si>
  <si>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</si>
  <si>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</si>
  <si>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</si>
  <si>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</si>
  <si>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</si>
  <si>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</si>
  <si>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</si>
  <si>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</si>
  <si>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</si>
  <si>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</si>
  <si>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</si>
  <si>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</si>
  <si>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</si>
  <si>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</si>
  <si>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</si>
  <si>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</si>
  <si>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</si>
  <si>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</si>
  <si>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</si>
  <si>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</si>
  <si>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</si>
  <si>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</si>
  <si>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</si>
  <si>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</si>
  <si>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</si>
  <si>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</si>
  <si>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</si>
  <si>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</si>
  <si>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</si>
  <si>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</si>
  <si>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</si>
  <si>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</si>
  <si>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</si>
  <si>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</si>
  <si>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</si>
  <si>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</si>
  <si>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</si>
  <si>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</si>
  <si>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</si>
  <si>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</si>
  <si>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</si>
  <si>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</si>
  <si>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</si>
  <si>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</si>
  <si>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</si>
  <si>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</si>
  <si>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</si>
  <si>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</si>
  <si>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</si>
  <si>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</si>
  <si>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</si>
  <si>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</si>
  <si>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</si>
  <si>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</si>
  <si>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</si>
  <si>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</si>
  <si>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</si>
  <si>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</si>
  <si>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</si>
  <si>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</si>
  <si>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</si>
  <si>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</si>
  <si>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</si>
  <si>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</si>
  <si>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</si>
  <si>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</si>
  <si>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</si>
  <si>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</si>
  <si>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</si>
  <si>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</si>
  <si>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</si>
  <si>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</si>
  <si>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</si>
  <si>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</si>
  <si>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</si>
  <si>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</si>
  <si>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</si>
  <si>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</si>
  <si>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</si>
  <si>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</si>
  <si>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</si>
  <si>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</si>
  <si>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</si>
  <si>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</si>
  <si>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</si>
  <si>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</si>
  <si>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</si>
  <si>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</si>
  <si>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</si>
  <si>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</si>
  <si>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</si>
  <si>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</si>
  <si>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</si>
  <si>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</si>
  <si>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</si>
  <si>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</si>
  <si>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</si>
  <si>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</si>
  <si>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</si>
  <si>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</si>
  <si>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</si>
  <si>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</si>
  <si>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</si>
  <si>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</si>
  <si>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</si>
  <si>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</si>
  <si>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</si>
  <si>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</si>
  <si>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</si>
  <si>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</si>
  <si>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</si>
  <si>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</si>
  <si>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</si>
  <si>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</si>
  <si>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</si>
  <si>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</si>
  <si>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</si>
  <si>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</si>
  <si>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</si>
  <si>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</si>
  <si>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</si>
  <si>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</si>
  <si>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</si>
  <si>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</si>
  <si>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</si>
  <si>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</si>
  <si>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</si>
  <si>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</si>
  <si>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</si>
  <si>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</si>
  <si>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</si>
  <si>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</si>
  <si>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</si>
  <si>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</si>
  <si>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</si>
  <si>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</si>
  <si>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</si>
  <si>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</si>
  <si>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</si>
  <si>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</si>
  <si>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</si>
  <si>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</si>
  <si>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</si>
  <si>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</si>
  <si>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</si>
  <si>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</si>
  <si>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</si>
  <si>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</si>
  <si>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</si>
  <si>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</si>
  <si>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</si>
  <si>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</si>
  <si>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</si>
  <si>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</si>
  <si>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</si>
  <si>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</si>
  <si>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</si>
  <si>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</si>
  <si>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</si>
  <si>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</si>
  <si>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</si>
  <si>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</si>
  <si>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</si>
  <si>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</si>
  <si>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</si>
  <si>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</si>
  <si>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</si>
  <si>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</si>
  <si>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</si>
  <si>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</si>
  <si>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</si>
  <si>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</si>
  <si>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</si>
  <si>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</si>
  <si>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</si>
  <si>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</si>
  <si>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</si>
  <si>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</si>
  <si>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</si>
  <si>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</si>
  <si>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</si>
  <si>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</si>
  <si>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</si>
  <si>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</si>
  <si>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</si>
  <si>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</si>
  <si>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</si>
  <si>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</si>
  <si>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</si>
  <si>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</si>
  <si>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</si>
  <si>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</si>
  <si>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</si>
  <si>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</si>
  <si>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</si>
  <si>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</si>
  <si>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</si>
  <si>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</si>
  <si>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</si>
  <si>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</si>
  <si>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</si>
  <si>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</si>
  <si>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</si>
  <si>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</si>
  <si>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</si>
  <si>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</si>
  <si>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</si>
  <si>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</si>
  <si>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</si>
  <si>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</si>
  <si>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</si>
  <si>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</si>
  <si>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</si>
  <si>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</si>
  <si>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</si>
  <si>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</si>
  <si>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</si>
  <si>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</si>
  <si>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</si>
  <si>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</si>
  <si>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</si>
  <si>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</si>
  <si>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</si>
  <si>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</si>
  <si>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</si>
  <si>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</si>
  <si>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</si>
  <si>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</si>
  <si>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</si>
  <si>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</si>
  <si>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</si>
  <si>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</si>
  <si>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</si>
  <si>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</si>
  <si>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</si>
  <si>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</si>
  <si>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</si>
  <si>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</si>
  <si>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</si>
  <si>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</si>
  <si>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</si>
  <si>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</si>
  <si>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</si>
  <si>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</si>
  <si>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</si>
  <si>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</si>
  <si>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</si>
  <si>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</si>
  <si>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</si>
  <si>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</si>
  <si>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</si>
  <si>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</si>
  <si>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</si>
  <si>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</si>
  <si>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</si>
  <si>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</si>
  <si>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</si>
  <si>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</si>
  <si>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</si>
  <si>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</si>
  <si>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</si>
  <si>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</si>
  <si>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</si>
  <si>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</si>
  <si>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</si>
  <si>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</si>
  <si>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</si>
  <si>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</si>
  <si>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</si>
  <si>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</si>
  <si>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</si>
  <si>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</si>
  <si>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</si>
  <si>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</si>
  <si>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</si>
  <si>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</si>
  <si>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</si>
  <si>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</si>
  <si>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</si>
  <si>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</si>
  <si>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</si>
  <si>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</si>
  <si>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</si>
  <si>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</si>
  <si>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</si>
  <si>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</si>
  <si>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</si>
  <si>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</si>
  <si>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</si>
  <si>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</si>
  <si>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</si>
  <si>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</si>
  <si>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</si>
  <si>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</si>
  <si>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</si>
  <si>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</si>
  <si>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</si>
  <si>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</si>
  <si>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</si>
  <si>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</si>
  <si>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</si>
  <si>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</si>
  <si>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</si>
  <si>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</si>
  <si>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</si>
  <si>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</si>
  <si>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</si>
  <si>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</si>
  <si>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</si>
  <si>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</si>
  <si>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</si>
  <si>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</si>
  <si>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</si>
  <si>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</si>
  <si>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</si>
  <si>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</si>
  <si>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</si>
  <si>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</si>
  <si>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</si>
  <si>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</si>
  <si>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</si>
  <si>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</si>
  <si>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</si>
  <si>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</si>
  <si>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</si>
  <si>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</si>
  <si>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</si>
  <si>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</si>
  <si>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</si>
  <si>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</si>
  <si>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</si>
  <si>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</si>
  <si>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</si>
  <si>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</si>
  <si>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</si>
  <si>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</si>
  <si>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</si>
  <si>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</si>
  <si>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</si>
  <si>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</si>
  <si>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</si>
  <si>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</si>
  <si>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</si>
  <si>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</si>
  <si>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</si>
  <si>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</si>
  <si>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</si>
  <si>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</si>
  <si>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</si>
  <si>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</si>
  <si>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</si>
  <si>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</si>
  <si>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</si>
  <si>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</si>
  <si>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</si>
  <si>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</si>
  <si>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</si>
  <si>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</si>
  <si>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</si>
  <si>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</si>
  <si>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</si>
  <si>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</si>
  <si>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</si>
  <si>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</si>
  <si>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</si>
  <si>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</si>
  <si>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</si>
  <si>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</si>
  <si>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</si>
  <si>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</si>
  <si>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</si>
  <si>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</si>
  <si>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</si>
  <si>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</si>
  <si>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</si>
  <si>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</si>
  <si>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</si>
  <si>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</si>
  <si>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</si>
  <si>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</si>
  <si>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</si>
  <si>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</si>
  <si>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</si>
  <si>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</si>
  <si>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</si>
  <si>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</si>
  <si>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</si>
  <si>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</si>
  <si>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</si>
  <si>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</si>
  <si>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</si>
  <si>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</si>
  <si>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</si>
  <si>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</si>
  <si>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</si>
  <si>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</si>
  <si>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</si>
  <si>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</si>
  <si>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</si>
  <si>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</si>
  <si>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</si>
  <si>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</si>
  <si>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</si>
  <si>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</si>
  <si>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</si>
  <si>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</si>
  <si>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</si>
  <si>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</si>
  <si>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</si>
  <si>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</si>
  <si>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</si>
  <si>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</si>
  <si>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</si>
  <si>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</si>
  <si>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</si>
  <si>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</si>
  <si>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</si>
  <si>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</si>
  <si>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</si>
  <si>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</si>
  <si>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</si>
  <si>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</si>
  <si>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</si>
  <si>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</si>
  <si>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</si>
  <si>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</si>
  <si>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</si>
  <si>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</si>
  <si>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</si>
  <si>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</si>
  <si>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</si>
  <si>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</si>
  <si>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</si>
  <si>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</si>
  <si>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</si>
  <si>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</si>
  <si>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</si>
  <si>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</si>
  <si>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</si>
  <si>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</si>
  <si>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</si>
  <si>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</si>
  <si>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</si>
  <si>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</si>
  <si>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</si>
  <si>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</si>
  <si>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</si>
  <si>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</si>
  <si>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</si>
  <si>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</si>
  <si>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</si>
  <si>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</si>
  <si>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</si>
  <si>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</si>
  <si>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</si>
  <si>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</si>
  <si>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</si>
  <si>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</si>
  <si>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</si>
  <si>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</si>
  <si>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</si>
  <si>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</si>
  <si>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</si>
  <si>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</si>
  <si>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</si>
  <si>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</si>
  <si>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</si>
  <si>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</si>
  <si>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</si>
  <si>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</si>
  <si>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</si>
  <si>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</si>
  <si>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</si>
  <si>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</si>
  <si>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</si>
  <si>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</si>
  <si>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</si>
  <si>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</si>
  <si>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</si>
  <si>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</si>
  <si>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</si>
  <si>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</si>
  <si>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</si>
  <si>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</si>
  <si>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</si>
  <si>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</si>
  <si>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</si>
  <si>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</si>
  <si>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</si>
  <si>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</si>
  <si>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</si>
  <si>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</si>
  <si>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</si>
  <si>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</si>
  <si>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</si>
  <si>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</si>
  <si>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</si>
  <si>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</si>
  <si>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</si>
  <si>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</si>
  <si>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</si>
  <si>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</si>
  <si>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</si>
  <si>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</si>
  <si>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</si>
  <si>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</si>
  <si>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</si>
  <si>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</si>
  <si>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</si>
  <si>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</si>
  <si>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</si>
  <si>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</si>
  <si>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</si>
  <si>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</si>
  <si>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</si>
  <si>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</si>
  <si>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</si>
  <si>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</si>
  <si>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</si>
  <si>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</si>
  <si>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</si>
  <si>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</si>
  <si>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</si>
  <si>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</si>
  <si>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</si>
  <si>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</si>
  <si>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</si>
  <si>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</si>
  <si>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</si>
  <si>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</si>
  <si>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</si>
  <si>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</si>
  <si>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</si>
  <si>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</si>
  <si>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</si>
  <si>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</si>
  <si>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</si>
  <si>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</si>
  <si>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</si>
  <si>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</si>
  <si>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</si>
  <si>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</si>
  <si>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</si>
  <si>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</si>
  <si>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</si>
  <si>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</si>
  <si>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</si>
  <si>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</si>
  <si>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</si>
  <si>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</si>
  <si>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</si>
  <si>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</si>
  <si>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</si>
  <si>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</si>
  <si>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</si>
  <si>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</si>
  <si>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</si>
  <si>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</si>
  <si>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</si>
  <si>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</si>
  <si>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</si>
  <si>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</si>
  <si>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</si>
  <si>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</si>
  <si>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</si>
  <si>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</si>
  <si>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</si>
  <si>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</si>
  <si>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</si>
  <si>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</si>
  <si>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</si>
  <si>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</si>
  <si>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</si>
  <si>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</si>
  <si>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</si>
  <si>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</si>
  <si>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</si>
  <si>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</si>
  <si>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</si>
  <si>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</si>
  <si>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</si>
  <si>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</si>
  <si>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</si>
  <si>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</si>
  <si>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</si>
  <si>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</si>
  <si>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</si>
  <si>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</si>
  <si>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</si>
  <si>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</si>
  <si>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</si>
  <si>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</si>
  <si>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</si>
  <si>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</si>
  <si>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</si>
  <si>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</si>
  <si>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</si>
  <si>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</si>
  <si>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</si>
  <si>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</si>
  <si>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</si>
  <si>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</si>
  <si>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</si>
  <si>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</si>
  <si>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</si>
  <si>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</si>
  <si>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</si>
  <si>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</si>
  <si>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</si>
  <si>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</si>
  <si>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</si>
  <si>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</si>
  <si>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</si>
  <si>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</si>
  <si>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</si>
  <si>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</si>
  <si>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</si>
  <si>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</si>
  <si>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</si>
  <si>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</si>
  <si>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</si>
  <si>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</si>
  <si>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</si>
  <si>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</si>
  <si>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</si>
  <si>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</si>
  <si>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</si>
  <si>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</si>
  <si>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</si>
  <si>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</si>
  <si>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</si>
  <si>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</si>
  <si>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</si>
  <si>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</si>
  <si>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</si>
  <si>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</si>
  <si>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</si>
  <si>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</si>
  <si>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</si>
  <si>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</si>
  <si>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</si>
  <si>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</si>
  <si>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</si>
  <si>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</si>
  <si>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</si>
  <si>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</si>
  <si>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</si>
  <si>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</si>
  <si>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</si>
  <si>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</si>
  <si>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</si>
  <si>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</si>
  <si>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</si>
  <si>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</si>
  <si>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</si>
  <si>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</si>
  <si>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</si>
  <si>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</si>
  <si>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</si>
  <si>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</si>
  <si>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</si>
  <si>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</si>
  <si>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</si>
  <si>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</si>
  <si>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</si>
  <si>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</si>
  <si>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</si>
  <si>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</si>
  <si>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</si>
  <si>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</si>
  <si>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</si>
  <si>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</si>
  <si>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</si>
  <si>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</si>
  <si>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</si>
  <si>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</si>
  <si>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</si>
  <si>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</si>
  <si>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</si>
  <si>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</si>
  <si>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</si>
  <si>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</si>
  <si>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</si>
  <si>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</si>
  <si>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</si>
  <si>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</si>
  <si>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</si>
  <si>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</si>
  <si>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</si>
  <si>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</si>
  <si>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</si>
  <si>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</si>
  <si>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</si>
  <si>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</si>
  <si>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</si>
  <si>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</si>
  <si>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</si>
  <si>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</si>
  <si>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</si>
  <si>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</si>
  <si>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</si>
  <si>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</si>
  <si>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</si>
  <si>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</si>
  <si>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</si>
  <si>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</si>
  <si>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</si>
  <si>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</si>
  <si>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</si>
  <si>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</si>
  <si>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</si>
  <si>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</si>
  <si>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</si>
  <si>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</si>
  <si>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</si>
  <si>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</si>
  <si>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</si>
  <si>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</si>
  <si>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</si>
  <si>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</si>
  <si>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</si>
  <si>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</si>
  <si>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</si>
  <si>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</si>
  <si>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</si>
  <si>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</si>
  <si>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</si>
  <si>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</si>
  <si>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</si>
  <si>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</si>
  <si>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</si>
  <si>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</si>
  <si>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</si>
  <si>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</si>
  <si>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</si>
  <si>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</si>
  <si>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</si>
  <si>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</si>
  <si>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</si>
  <si>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</si>
  <si>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</si>
  <si>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</si>
  <si>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</si>
  <si>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</si>
  <si>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</si>
  <si>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</si>
  <si>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</si>
  <si>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</si>
  <si>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</si>
  <si>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</si>
  <si>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</si>
  <si>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</si>
  <si>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</si>
  <si>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</si>
  <si>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</si>
  <si>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</si>
  <si>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</si>
  <si>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</si>
  <si>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</si>
  <si>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</si>
  <si>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</si>
  <si>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</si>
  <si>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</si>
  <si>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</si>
  <si>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</si>
  <si>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</si>
  <si>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</si>
  <si>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</si>
  <si>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</si>
  <si>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</si>
  <si>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</si>
  <si>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</si>
  <si>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</si>
  <si>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</si>
  <si>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</si>
  <si>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</si>
  <si>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</si>
  <si>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</si>
  <si>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</si>
  <si>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</si>
  <si>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</si>
  <si>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</si>
  <si>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</si>
  <si>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</si>
  <si>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</si>
  <si>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</si>
  <si>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</si>
  <si>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</si>
  <si>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</si>
  <si>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</si>
  <si>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</si>
  <si>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</si>
  <si>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</si>
  <si>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</si>
  <si>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</si>
  <si>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</si>
  <si>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</si>
  <si>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</si>
  <si>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</si>
  <si>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</si>
  <si>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</si>
  <si>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</si>
  <si>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</si>
  <si>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</si>
  <si>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</si>
  <si>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</si>
  <si>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</si>
  <si>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</si>
  <si>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</si>
  <si>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</si>
  <si>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</si>
  <si>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</si>
  <si>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</si>
  <si>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</si>
  <si>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</si>
  <si>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</si>
  <si>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</si>
  <si>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</si>
  <si>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</si>
  <si>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</si>
  <si>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</si>
  <si>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</si>
  <si>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</si>
  <si>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</si>
  <si>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</si>
  <si>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</si>
  <si>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</si>
  <si>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</si>
  <si>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</si>
  <si>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</si>
  <si>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</si>
  <si>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</si>
  <si>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</si>
  <si>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</si>
  <si>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</si>
  <si>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</si>
  <si>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</si>
  <si>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</si>
  <si>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</si>
  <si>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</si>
  <si>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</si>
  <si>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</si>
  <si>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</si>
  <si>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</si>
  <si>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</si>
  <si>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</si>
  <si>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</si>
  <si>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</si>
  <si>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</si>
  <si>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</si>
  <si>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</si>
  <si>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</si>
  <si>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</si>
  <si>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</si>
  <si>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</si>
  <si>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</si>
  <si>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</si>
  <si>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</si>
  <si>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</si>
  <si>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</si>
  <si>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</si>
  <si>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</si>
  <si>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</si>
  <si>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</si>
  <si>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</si>
  <si>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</si>
  <si>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</si>
  <si>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</si>
  <si>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</si>
  <si>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</si>
  <si>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</si>
  <si>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</si>
  <si>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</si>
  <si>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</si>
  <si>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</si>
  <si>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</si>
  <si>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</si>
  <si>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</si>
  <si>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</si>
  <si>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</si>
  <si>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</si>
  <si>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</si>
  <si>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</si>
  <si>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</si>
  <si>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</si>
  <si>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</si>
  <si>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</si>
  <si>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</si>
  <si>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</si>
  <si>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</si>
  <si>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</si>
  <si>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</si>
  <si>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</si>
  <si>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</si>
  <si>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</si>
  <si>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</si>
  <si>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</si>
  <si>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</si>
  <si>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</si>
  <si>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</si>
  <si>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</si>
  <si>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</si>
  <si>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</si>
  <si>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</si>
  <si>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</si>
  <si>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</si>
  <si>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</si>
  <si>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</si>
  <si>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</si>
  <si>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</si>
  <si>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</si>
  <si>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</si>
  <si>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</si>
  <si>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</si>
  <si>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</si>
  <si>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</si>
  <si>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</si>
  <si>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</si>
  <si>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</si>
  <si>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</si>
  <si>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</si>
  <si>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</si>
  <si>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</si>
  <si>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</si>
  <si>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</si>
  <si>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</si>
  <si>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</si>
  <si>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</si>
  <si>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</si>
  <si>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</si>
  <si>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</si>
  <si>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</si>
  <si>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</si>
  <si>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</si>
  <si>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</si>
  <si>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</si>
  <si>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</si>
  <si>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</si>
  <si>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</si>
  <si>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</si>
  <si>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</si>
  <si>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</si>
  <si>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</si>
  <si>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</si>
  <si>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</si>
  <si>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</si>
  <si>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</si>
  <si>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</si>
  <si>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</si>
  <si>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</si>
  <si>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</si>
  <si>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</si>
  <si>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</si>
  <si>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</si>
  <si>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</si>
  <si>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</si>
  <si>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</si>
  <si>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</si>
  <si>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</si>
  <si>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</si>
  <si>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</si>
  <si>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</si>
  <si>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</si>
  <si>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</si>
  <si>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</si>
  <si>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</si>
  <si>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</si>
  <si>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</si>
  <si>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</si>
  <si>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</si>
  <si>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</si>
  <si>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</si>
  <si>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</si>
  <si>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</si>
  <si>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</si>
  <si>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</si>
  <si>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</si>
  <si>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</si>
  <si>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</si>
  <si>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</si>
  <si>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</si>
  <si>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</si>
  <si>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</si>
  <si>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</si>
  <si>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</si>
  <si>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</si>
  <si>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</si>
  <si>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</si>
  <si>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</si>
  <si>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</si>
  <si>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</si>
  <si>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</si>
  <si>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</si>
  <si>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</si>
  <si>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</si>
  <si>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</si>
  <si>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</si>
  <si>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</si>
  <si>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</si>
  <si>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</si>
  <si>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</si>
  <si>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</si>
  <si>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</si>
  <si>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</si>
  <si>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</si>
  <si>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</si>
  <si>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</si>
  <si>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</si>
  <si>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</si>
  <si>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</si>
  <si>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</si>
  <si>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</si>
  <si>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</si>
  <si>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</si>
  <si>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</si>
  <si>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</si>
  <si>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</si>
  <si>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</si>
  <si>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</si>
  <si>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</si>
  <si>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</si>
  <si>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</si>
  <si>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</si>
  <si>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</si>
  <si>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</si>
  <si>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</si>
  <si>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</si>
  <si>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</si>
  <si>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</si>
  <si>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</si>
  <si>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</si>
  <si>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</si>
  <si>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</si>
  <si>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</si>
  <si>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</si>
  <si>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</si>
  <si>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</si>
  <si>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</si>
  <si>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</si>
  <si>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</si>
  <si>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</si>
  <si>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</si>
  <si>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</si>
  <si>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</si>
  <si>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</si>
  <si>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</si>
  <si>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</si>
  <si>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</si>
  <si>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</si>
  <si>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</si>
  <si>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</si>
  <si>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</si>
  <si>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</si>
  <si>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</si>
  <si>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</si>
  <si>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</si>
  <si>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</si>
  <si>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</si>
  <si>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</si>
  <si>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</si>
  <si>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</si>
  <si>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</si>
  <si>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</si>
  <si>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</si>
  <si>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</si>
  <si>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</si>
  <si>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</si>
  <si>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</si>
  <si>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</si>
  <si>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</si>
  <si>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</si>
  <si>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</si>
  <si>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</si>
  <si>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</si>
  <si>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</si>
  <si>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</si>
  <si>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</si>
  <si>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</si>
  <si>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</si>
  <si>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</si>
  <si>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</si>
  <si>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</si>
  <si>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</si>
  <si>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</si>
  <si>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</si>
  <si>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</si>
  <si>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</si>
  <si>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</si>
  <si>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</si>
  <si>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</si>
  <si>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</si>
  <si>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</si>
  <si>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</si>
  <si>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</si>
  <si>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</si>
  <si>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</si>
  <si>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</si>
  <si>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</si>
  <si>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</si>
  <si>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</si>
  <si>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</si>
  <si>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</si>
  <si>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</si>
  <si>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</si>
  <si>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</si>
  <si>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</si>
  <si>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</si>
  <si>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</si>
  <si>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</si>
  <si>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</si>
  <si>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</si>
  <si>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</si>
  <si>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</si>
  <si>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</si>
  <si>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</si>
  <si>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</si>
  <si>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</si>
  <si>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</si>
  <si>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</si>
  <si>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</si>
  <si>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</si>
  <si>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</si>
  <si>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</si>
  <si>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</si>
  <si>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</si>
  <si>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</si>
  <si>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</si>
  <si>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</si>
  <si>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</si>
  <si>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</si>
  <si>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</si>
  <si>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</si>
  <si>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</si>
  <si>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</si>
  <si>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</si>
  <si>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</si>
  <si>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</si>
  <si>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</si>
  <si>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</si>
  <si>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</si>
  <si>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</si>
  <si>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</si>
  <si>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</si>
  <si>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</si>
  <si>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</si>
  <si>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</si>
  <si>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</si>
  <si>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</si>
  <si>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</si>
  <si>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</si>
  <si>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</si>
  <si>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</si>
  <si>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</si>
  <si>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</si>
  <si>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</si>
  <si>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</si>
  <si>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</si>
  <si>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</si>
  <si>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</si>
  <si>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</si>
  <si>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</si>
  <si>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</si>
  <si>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</si>
  <si>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</si>
  <si>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</si>
  <si>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</si>
  <si>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</si>
  <si>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</si>
  <si>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</si>
  <si>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</si>
  <si>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</si>
  <si>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</si>
  <si>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</si>
  <si>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</si>
  <si>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</si>
  <si>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</si>
  <si>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</si>
  <si>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</si>
  <si>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</si>
  <si>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</si>
  <si>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</si>
  <si>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</si>
  <si>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</si>
  <si>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</si>
  <si>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</si>
  <si>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</si>
  <si>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</si>
  <si>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</si>
  <si>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</si>
  <si>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</si>
  <si>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</si>
  <si>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</si>
  <si>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</si>
  <si>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</si>
  <si>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</si>
  <si>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</si>
  <si>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</si>
  <si>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</si>
  <si>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</si>
  <si>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</si>
  <si>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</si>
  <si>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</si>
  <si>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</si>
  <si>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</si>
  <si>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</si>
  <si>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</si>
  <si>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</si>
  <si>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</si>
  <si>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</si>
  <si>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</si>
  <si>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</si>
  <si>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</si>
  <si>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</si>
  <si>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</si>
  <si>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</si>
  <si>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</si>
  <si>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</si>
  <si>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</si>
  <si>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</si>
  <si>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</si>
  <si>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</si>
  <si>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</si>
  <si>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</si>
  <si>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</si>
  <si>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</si>
  <si>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</si>
  <si>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</si>
  <si>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</si>
  <si>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</si>
  <si>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</si>
  <si>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</si>
  <si>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</si>
  <si>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</si>
  <si>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</si>
  <si>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</si>
  <si>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</si>
  <si>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</si>
  <si>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</si>
  <si>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</si>
  <si>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</si>
  <si>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</si>
  <si>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</si>
  <si>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</si>
  <si>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</si>
  <si>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</si>
  <si>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</si>
  <si>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</si>
  <si>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</si>
  <si>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</si>
  <si>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</si>
  <si>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</si>
  <si>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</si>
  <si>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</si>
  <si>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</si>
  <si>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</si>
  <si>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</si>
  <si>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</si>
  <si>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</si>
  <si>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</si>
  <si>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</si>
  <si>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</si>
  <si>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</si>
  <si>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</si>
  <si>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</si>
  <si>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</si>
  <si>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</si>
  <si>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</si>
  <si>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</si>
  <si>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</si>
  <si>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</si>
  <si>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</si>
  <si>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</si>
  <si>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</si>
  <si>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</si>
  <si>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</si>
  <si>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</si>
  <si>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</si>
  <si>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</si>
  <si>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</si>
  <si>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</si>
  <si>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</si>
  <si>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</si>
  <si>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</si>
  <si>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</si>
  <si>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</si>
  <si>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</si>
  <si>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</si>
  <si>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</si>
  <si>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</si>
  <si>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</si>
  <si>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</si>
  <si>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</si>
  <si>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</si>
  <si>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</si>
  <si>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</si>
  <si>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</si>
  <si>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</si>
  <si>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</si>
  <si>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</si>
  <si>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</si>
  <si>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</si>
  <si>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</si>
  <si>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</si>
  <si>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</si>
  <si>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</si>
  <si>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</si>
  <si>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</si>
  <si>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</si>
  <si>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</si>
  <si>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</si>
  <si>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</si>
  <si>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</si>
  <si>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</si>
  <si>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</si>
  <si>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</si>
  <si>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</si>
  <si>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</si>
  <si>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</si>
  <si>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</si>
  <si>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</si>
  <si>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</si>
  <si>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</si>
  <si>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</si>
  <si>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</si>
  <si>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</si>
  <si>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</si>
  <si>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</si>
  <si>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</si>
  <si>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</si>
  <si>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</si>
  <si>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</si>
  <si>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</si>
  <si>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</si>
  <si>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</si>
  <si>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</si>
  <si>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</si>
  <si>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</si>
  <si>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</si>
  <si>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</si>
  <si>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</si>
  <si>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</si>
  <si>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</si>
  <si>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</si>
  <si>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</si>
  <si>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</si>
  <si>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</si>
  <si>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</si>
  <si>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</si>
  <si>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</si>
  <si>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</si>
  <si>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</si>
  <si>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</si>
  <si>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</si>
  <si>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</si>
  <si>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</si>
  <si>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</si>
  <si>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</si>
  <si>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</si>
  <si>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</si>
  <si>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</si>
  <si>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</si>
  <si>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</si>
  <si>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</si>
  <si>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</si>
  <si>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</si>
  <si>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</si>
  <si>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</si>
  <si>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</si>
  <si>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</si>
  <si>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</si>
  <si>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</si>
  <si>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</si>
  <si>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</si>
  <si>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</si>
  <si>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</si>
  <si>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</si>
  <si>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</si>
  <si>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</si>
  <si>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</si>
  <si>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</si>
  <si>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</si>
  <si>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</si>
  <si>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</si>
  <si>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</si>
  <si>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</si>
  <si>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</si>
  <si>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</si>
  <si>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</si>
  <si>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</si>
  <si>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</si>
  <si>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</si>
  <si>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</si>
  <si>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</si>
  <si>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</si>
  <si>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</si>
  <si>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</si>
  <si>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</si>
  <si>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</si>
  <si>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</si>
  <si>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</si>
  <si>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</si>
  <si>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</si>
  <si>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</si>
  <si>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</si>
  <si>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</si>
  <si>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</si>
  <si>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</si>
  <si>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</si>
  <si>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</si>
  <si>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</si>
  <si>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</si>
  <si>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</si>
  <si>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</si>
  <si>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</si>
  <si>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</si>
  <si>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</si>
  <si>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</si>
  <si>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</si>
  <si>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</si>
  <si>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</si>
  <si>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</si>
  <si>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</si>
  <si>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</si>
  <si>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</si>
  <si>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</si>
  <si>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</si>
  <si>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</si>
  <si>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</si>
  <si>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</si>
  <si>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</si>
  <si>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</si>
  <si>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</si>
  <si>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</si>
  <si>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</si>
  <si>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</si>
  <si>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</si>
  <si>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</si>
  <si>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</si>
  <si>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</si>
  <si>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</si>
  <si>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</si>
  <si>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</si>
  <si>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</si>
  <si>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</si>
  <si>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</si>
  <si>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</si>
  <si>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</si>
  <si>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</si>
  <si>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</si>
  <si>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</si>
  <si>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</si>
  <si>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</si>
  <si>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</si>
  <si>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</si>
  <si>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</si>
  <si>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</si>
  <si>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</si>
  <si>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</si>
  <si>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</si>
  <si>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</si>
  <si>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</si>
  <si>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</si>
  <si>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</si>
  <si>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</si>
  <si>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</si>
  <si>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</si>
  <si>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</si>
  <si>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</si>
  <si>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</si>
  <si>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</si>
  <si>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</si>
  <si>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</si>
  <si>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</si>
  <si>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</si>
  <si>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</si>
  <si>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</si>
  <si>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</si>
  <si>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</si>
  <si>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</si>
  <si>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</si>
  <si>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</si>
  <si>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</si>
  <si>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</si>
  <si>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</si>
  <si>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</si>
  <si>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</si>
  <si>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</si>
  <si>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</si>
  <si>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</si>
  <si>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</si>
  <si>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</si>
  <si>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</si>
  <si>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</si>
  <si>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</si>
  <si>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</si>
  <si>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</si>
  <si>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</si>
  <si>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</si>
  <si>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</si>
  <si>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</si>
  <si>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</si>
  <si>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</si>
  <si>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</si>
  <si>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</si>
  <si>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</si>
  <si>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</si>
  <si>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</si>
  <si>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</si>
  <si>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</si>
  <si>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</si>
  <si>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</si>
  <si>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</si>
  <si>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</si>
  <si>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</si>
  <si>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</si>
  <si>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</si>
  <si>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</si>
  <si>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</si>
  <si>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</si>
  <si>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</si>
  <si>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</si>
  <si>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</si>
  <si>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</si>
  <si>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</si>
  <si>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</si>
  <si>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</si>
  <si>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</si>
  <si>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</si>
  <si>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</si>
  <si>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</si>
  <si>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</si>
  <si>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</si>
  <si>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</si>
  <si>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</si>
  <si>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</si>
  <si>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</si>
  <si>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</si>
  <si>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</si>
  <si>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</si>
  <si>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</si>
  <si>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</si>
  <si>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</si>
  <si>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</si>
  <si>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</si>
  <si>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</si>
  <si>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</si>
  <si>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</si>
  <si>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</si>
  <si>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</si>
  <si>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</si>
  <si>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</si>
  <si>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</si>
  <si>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</si>
  <si>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</si>
  <si>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</si>
  <si>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</si>
  <si>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</si>
  <si>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</si>
  <si>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</si>
  <si>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</si>
  <si>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</si>
  <si>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</si>
  <si>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</si>
  <si>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</si>
  <si>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</si>
  <si>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</si>
  <si>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</si>
  <si>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</si>
  <si>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</si>
  <si>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</si>
  <si>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</si>
  <si>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</si>
  <si>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</si>
  <si>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</si>
  <si>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</si>
  <si>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</si>
  <si>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</si>
  <si>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</si>
  <si>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</si>
  <si>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</si>
  <si>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</si>
  <si>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</si>
  <si>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</si>
  <si>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</si>
  <si>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</si>
  <si>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</si>
  <si>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</si>
  <si>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</si>
  <si>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</si>
  <si>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</si>
  <si>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</si>
  <si>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</si>
  <si>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</si>
  <si>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</si>
  <si>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</si>
  <si>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</si>
  <si>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</si>
  <si>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</si>
  <si>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</si>
  <si>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</si>
  <si>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</si>
  <si>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</si>
  <si>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</si>
  <si>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</si>
  <si>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</si>
  <si>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</si>
  <si>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</si>
  <si>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</si>
  <si>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</si>
  <si>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</si>
  <si>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</si>
  <si>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</si>
  <si>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</si>
  <si>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</si>
  <si>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</si>
  <si>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</si>
  <si>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</si>
  <si>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</si>
  <si>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</si>
  <si>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</si>
  <si>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</si>
  <si>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</si>
  <si>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</si>
  <si>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</si>
  <si>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</si>
  <si>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</si>
  <si>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</si>
  <si>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</si>
  <si>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</si>
  <si>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</si>
  <si>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</si>
  <si>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</si>
  <si>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</si>
  <si>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</si>
  <si>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</si>
  <si>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</si>
  <si>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</si>
  <si>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</si>
  <si>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</si>
  <si>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</si>
  <si>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</si>
  <si>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</si>
  <si>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</si>
  <si>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</si>
  <si>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</si>
  <si>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</si>
  <si>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</si>
  <si>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</si>
  <si>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</si>
  <si>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</si>
  <si>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</si>
  <si>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</si>
  <si>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</si>
  <si>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</si>
  <si>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</si>
  <si>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</si>
  <si>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</si>
  <si>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</si>
  <si>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</si>
  <si>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</si>
  <si>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</si>
  <si>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</si>
  <si>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</si>
  <si>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</si>
  <si>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</si>
  <si>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</si>
  <si>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</si>
  <si>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</si>
  <si>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</si>
  <si>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</si>
  <si>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</si>
  <si>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</si>
  <si>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</si>
  <si>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</si>
  <si>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</si>
  <si>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</si>
  <si>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</si>
  <si>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</si>
  <si>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</si>
  <si>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</si>
  <si>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</si>
  <si>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</si>
  <si>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</si>
  <si>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</si>
  <si>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</si>
  <si>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</si>
  <si>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</si>
  <si>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</si>
  <si>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</si>
  <si>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</si>
  <si>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</si>
  <si>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</si>
  <si>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</si>
  <si>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</si>
  <si>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</si>
  <si>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</si>
  <si>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</si>
  <si>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</si>
  <si>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</si>
  <si>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</si>
  <si>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</si>
  <si>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</si>
  <si>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</si>
  <si>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</si>
  <si>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</si>
  <si>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</si>
  <si>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</si>
  <si>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</si>
  <si>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</si>
  <si>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</si>
  <si>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</si>
  <si>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</si>
  <si>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</si>
  <si>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</si>
  <si>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</si>
  <si>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</si>
  <si>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</si>
  <si>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</si>
  <si>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</si>
  <si>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</si>
  <si>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</si>
  <si>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</si>
  <si>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</si>
  <si>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</si>
  <si>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</si>
  <si>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</si>
  <si>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</si>
  <si>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</si>
  <si>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</si>
  <si>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</si>
  <si>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</si>
  <si>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</si>
  <si>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</si>
  <si>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</si>
  <si>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</si>
  <si>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</si>
  <si>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</si>
  <si>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</si>
  <si>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</si>
  <si>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</si>
  <si>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</si>
  <si>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</si>
  <si>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</si>
  <si>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</si>
  <si>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</si>
  <si>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</si>
  <si>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</si>
  <si>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</si>
  <si>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</si>
  <si>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</si>
  <si>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</si>
  <si>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</si>
  <si>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</si>
  <si>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</si>
  <si>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</si>
  <si>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</si>
  <si>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</si>
  <si>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</si>
  <si>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</si>
  <si>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</si>
  <si>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</si>
  <si>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</si>
  <si>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</si>
  <si>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</si>
  <si>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</si>
  <si>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</si>
  <si>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</si>
  <si>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</si>
  <si>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</si>
  <si>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</si>
  <si>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</si>
  <si>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</si>
  <si>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</si>
  <si>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</si>
  <si>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</si>
  <si>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</si>
  <si>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</si>
  <si>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</si>
  <si>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</si>
  <si>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</si>
  <si>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</si>
  <si>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</si>
  <si>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</si>
  <si>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</si>
  <si>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</si>
  <si>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</si>
  <si>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</si>
  <si>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</si>
  <si>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</si>
  <si>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</si>
  <si>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</si>
  <si>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</si>
  <si>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</si>
  <si>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</si>
  <si>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</si>
  <si>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</si>
  <si>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</si>
  <si>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</si>
  <si>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</si>
  <si>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</si>
  <si>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</si>
  <si>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</si>
  <si>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</si>
  <si>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</si>
  <si>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</si>
  <si>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</si>
  <si>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</si>
  <si>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</si>
  <si>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</si>
  <si>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</si>
  <si>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</si>
  <si>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</si>
  <si>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</si>
  <si>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</si>
  <si>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</si>
  <si>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</si>
  <si>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</si>
  <si>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</si>
  <si>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</si>
  <si>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</si>
  <si>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</si>
  <si>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</si>
  <si>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</si>
  <si>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</si>
  <si>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</si>
  <si>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</si>
  <si>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</si>
  <si>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</si>
  <si>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</si>
  <si>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</si>
  <si>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</si>
  <si>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</si>
  <si>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</si>
  <si>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</si>
  <si>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</si>
  <si>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</si>
  <si>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</si>
  <si>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</si>
  <si>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</si>
  <si>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</si>
  <si>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</si>
  <si>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</si>
  <si>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</si>
  <si>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</si>
  <si>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</si>
  <si>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</si>
  <si>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</si>
  <si>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</si>
  <si>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</si>
  <si>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</si>
  <si>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</si>
  <si>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</si>
  <si>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</si>
  <si>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</si>
  <si>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</si>
  <si>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</si>
  <si>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</si>
  <si>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</si>
  <si>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</si>
  <si>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</si>
  <si>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</si>
  <si>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</si>
  <si>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</si>
  <si>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</si>
  <si>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</si>
  <si>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</si>
  <si>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</si>
  <si>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</si>
  <si>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</si>
  <si>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</si>
  <si>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</si>
  <si>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</si>
  <si>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</si>
  <si>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</si>
  <si>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</si>
  <si>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</si>
  <si>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</si>
  <si>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</si>
  <si>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</si>
  <si>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</si>
  <si>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</si>
  <si>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</si>
  <si>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</si>
  <si>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</si>
  <si>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</si>
  <si>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</si>
  <si>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</si>
  <si>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</si>
  <si>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</si>
  <si>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</si>
  <si>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</si>
  <si>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</si>
  <si>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</si>
  <si>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</si>
  <si>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</si>
  <si>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</si>
  <si>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</si>
  <si>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</si>
  <si>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</si>
  <si>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</si>
  <si>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</si>
  <si>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</si>
  <si>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</si>
  <si>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</si>
  <si>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</si>
  <si>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</si>
  <si>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</si>
  <si>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</si>
  <si>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</si>
  <si>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</si>
  <si>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</si>
  <si>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</si>
  <si>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</si>
  <si>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</si>
  <si>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</si>
  <si>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</si>
  <si>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</si>
  <si>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</si>
  <si>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</si>
  <si>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</si>
  <si>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</si>
  <si>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</si>
  <si>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</si>
  <si>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</si>
  <si>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</si>
  <si>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</si>
  <si>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</si>
  <si>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</si>
  <si>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</si>
  <si>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</si>
  <si>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</si>
  <si>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</si>
  <si>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</si>
  <si>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</si>
  <si>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</si>
  <si>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</si>
  <si>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</si>
  <si>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</si>
  <si>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</si>
  <si>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</si>
  <si>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</si>
  <si>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</si>
  <si>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</si>
  <si>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</si>
  <si>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</si>
  <si>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</si>
  <si>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</si>
  <si>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</si>
  <si>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</si>
  <si>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</si>
  <si>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</si>
  <si>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</si>
  <si>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</si>
  <si>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</si>
  <si>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</si>
  <si>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</si>
  <si>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</si>
  <si>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</si>
  <si>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</si>
  <si>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</si>
  <si>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</si>
  <si>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</si>
  <si>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</si>
  <si>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</si>
  <si>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</si>
  <si>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</si>
  <si>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</si>
  <si>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</si>
  <si>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</si>
  <si>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</si>
  <si>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</si>
  <si>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</si>
  <si>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</si>
  <si>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</si>
  <si>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</si>
  <si>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</si>
  <si>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</si>
  <si>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</si>
  <si>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</si>
  <si>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</si>
  <si>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</si>
  <si>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</si>
  <si>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</si>
  <si>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</si>
  <si>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</si>
  <si>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</si>
  <si>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</si>
  <si>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</si>
  <si>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</si>
  <si>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</si>
  <si>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</si>
  <si>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</si>
  <si>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</si>
  <si>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</si>
  <si>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</si>
  <si>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</si>
  <si>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</si>
  <si>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</si>
  <si>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</si>
  <si>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</si>
  <si>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</si>
  <si>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</si>
  <si>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</si>
  <si>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</si>
  <si>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</si>
  <si>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</si>
  <si>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</si>
  <si>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</si>
  <si>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</si>
  <si>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</si>
  <si>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</si>
  <si>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</si>
  <si>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</si>
  <si>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</si>
  <si>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</si>
  <si>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</si>
  <si>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</si>
  <si>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</si>
  <si>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</si>
  <si>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</si>
  <si>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</si>
  <si>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</si>
  <si>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</si>
  <si>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</si>
  <si>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</si>
  <si>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</si>
  <si>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</si>
  <si>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</si>
  <si>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</si>
  <si>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</si>
  <si>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</si>
  <si>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</si>
  <si>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</si>
  <si>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</si>
  <si>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</si>
  <si>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</si>
  <si>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</si>
  <si>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</si>
  <si>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</si>
  <si>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</si>
  <si>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</si>
  <si>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</si>
  <si>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</si>
  <si>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</si>
  <si>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</si>
  <si>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</si>
  <si>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</si>
  <si>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</si>
  <si>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</si>
  <si>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</si>
  <si>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</si>
  <si>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</si>
  <si>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</si>
  <si>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</si>
  <si>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</si>
  <si>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</si>
  <si>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</si>
  <si>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</si>
  <si>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</si>
  <si>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</si>
  <si>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</si>
  <si>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</si>
  <si>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</si>
  <si>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</si>
  <si>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</si>
  <si>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</si>
  <si>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</si>
  <si>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</si>
  <si>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</si>
  <si>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</si>
  <si>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</si>
  <si>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</si>
  <si>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</si>
  <si>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</si>
  <si>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</si>
  <si>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</si>
  <si>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</si>
  <si>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</si>
  <si>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</si>
  <si>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</si>
  <si>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</si>
  <si>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</si>
  <si>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</si>
  <si>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</si>
  <si>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</si>
  <si>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</si>
  <si>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</si>
  <si>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</si>
  <si>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</si>
  <si>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</si>
  <si>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</si>
  <si>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</si>
  <si>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</si>
  <si>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</si>
  <si>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</si>
  <si>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</si>
  <si>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</si>
  <si>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</si>
  <si>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</si>
  <si>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</si>
  <si>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</si>
  <si>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</si>
  <si>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</si>
  <si>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</si>
  <si>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</si>
  <si>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</si>
  <si>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</si>
  <si>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</si>
  <si>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</si>
  <si>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</si>
  <si>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</si>
  <si>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</si>
  <si>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</si>
  <si>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</si>
  <si>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</si>
  <si>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</si>
  <si>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</si>
  <si>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</si>
  <si>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</si>
  <si>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</si>
  <si>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</si>
  <si>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</si>
  <si>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</si>
  <si>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</si>
  <si>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</si>
  <si>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</si>
  <si>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</si>
  <si>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</si>
  <si>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</si>
  <si>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</si>
  <si>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</si>
  <si>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</si>
  <si>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</si>
  <si>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</si>
  <si>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</si>
  <si>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</si>
  <si>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</si>
  <si>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</si>
  <si>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</si>
  <si>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</si>
  <si>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</si>
  <si>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</si>
  <si>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</si>
  <si>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</si>
  <si>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</si>
  <si>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</si>
  <si>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</si>
  <si>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</si>
  <si>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</si>
  <si>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</si>
  <si>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</si>
  <si>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</si>
  <si>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</si>
  <si>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</si>
  <si>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</si>
  <si>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</si>
  <si>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</si>
  <si>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</si>
  <si>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</si>
  <si>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</si>
  <si>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</si>
  <si>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</si>
  <si>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</si>
  <si>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</si>
  <si>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</si>
  <si>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</si>
  <si>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</si>
  <si>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</si>
  <si>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</si>
  <si>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</si>
  <si>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</si>
  <si>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</si>
  <si>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</si>
  <si>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</si>
  <si>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</si>
  <si>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</si>
  <si>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</si>
  <si>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</si>
  <si>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</si>
  <si>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</si>
  <si>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</si>
  <si>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</si>
  <si>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</si>
  <si>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</si>
  <si>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</si>
  <si>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</si>
  <si>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</si>
  <si>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</si>
  <si>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</si>
  <si>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</si>
  <si>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</si>
  <si>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</si>
  <si>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</si>
  <si>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</si>
  <si>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</si>
  <si>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</si>
  <si>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</si>
  <si>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</si>
  <si>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</si>
  <si>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</si>
  <si>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</si>
  <si>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</si>
  <si>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</si>
  <si>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</si>
  <si>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</si>
  <si>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</si>
  <si>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</si>
  <si>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</si>
  <si>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</si>
  <si>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</si>
  <si>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</si>
  <si>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</si>
  <si>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</si>
  <si>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</si>
  <si>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</si>
  <si>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</si>
  <si>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</si>
  <si>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</si>
  <si>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</si>
  <si>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</si>
  <si>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</si>
  <si>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</si>
  <si>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</si>
  <si>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</si>
  <si>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</si>
  <si>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</si>
  <si>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</si>
  <si>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</si>
  <si>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</si>
  <si>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</si>
  <si>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</si>
  <si>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</si>
  <si>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</si>
  <si>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</si>
  <si>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</si>
  <si>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</si>
  <si>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</si>
  <si>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</si>
  <si>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</si>
  <si>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</si>
  <si>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</si>
  <si>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</si>
  <si>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</si>
  <si>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</si>
  <si>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</si>
  <si>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</si>
  <si>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</si>
  <si>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</si>
  <si>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</si>
  <si>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</si>
  <si>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</si>
  <si>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</si>
  <si>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</si>
  <si>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</si>
  <si>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</si>
  <si>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</si>
  <si>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</si>
  <si>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</si>
  <si>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</si>
  <si>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</si>
  <si>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</si>
  <si>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</si>
  <si>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</si>
  <si>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</si>
  <si>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</si>
  <si>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</si>
  <si>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</si>
  <si>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</si>
  <si>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</si>
  <si>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</si>
  <si>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</si>
  <si>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</si>
  <si>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</si>
  <si>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</si>
  <si>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</si>
  <si>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</si>
  <si>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</si>
  <si>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</si>
  <si>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</si>
  <si>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</si>
  <si>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</si>
  <si>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</si>
  <si>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</si>
  <si>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</si>
  <si>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</si>
  <si>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</si>
  <si>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</si>
  <si>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</si>
  <si>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</si>
  <si>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</si>
  <si>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</si>
  <si>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</si>
  <si>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</si>
  <si>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</si>
  <si>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</si>
  <si>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</si>
  <si>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</si>
  <si>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</si>
  <si>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</si>
  <si>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</si>
  <si>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</si>
  <si>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</si>
  <si>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</si>
  <si>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</si>
  <si>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</si>
  <si>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</si>
  <si>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</si>
  <si>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</si>
  <si>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</si>
  <si>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</si>
  <si>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</si>
  <si>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</si>
  <si>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</si>
  <si>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</si>
  <si>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</si>
  <si>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</si>
  <si>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</si>
  <si>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</si>
  <si>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</si>
  <si>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</si>
  <si>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</si>
  <si>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</si>
  <si>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</si>
  <si>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</si>
  <si>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</si>
  <si>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</si>
  <si>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</si>
  <si>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</si>
  <si>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</si>
  <si>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</si>
  <si>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</si>
  <si>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</si>
  <si>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</si>
  <si>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</si>
  <si>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</si>
  <si>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</si>
  <si>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</si>
  <si>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</si>
  <si>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</si>
  <si>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</si>
  <si>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</si>
  <si>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</si>
  <si>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</si>
  <si>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</si>
  <si>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</si>
  <si>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</si>
  <si>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</si>
  <si>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</si>
  <si>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</si>
  <si>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</si>
  <si>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</si>
  <si>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</si>
  <si>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</si>
  <si>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</si>
  <si>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</si>
  <si>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</si>
  <si>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</si>
  <si>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</si>
  <si>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</si>
  <si>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</si>
  <si>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</si>
  <si>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</si>
  <si>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</si>
  <si>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</si>
  <si>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</si>
  <si>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</si>
  <si>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</si>
  <si>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</si>
  <si>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</si>
  <si>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</si>
  <si>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</si>
  <si>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</si>
  <si>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</si>
  <si>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</si>
  <si>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</si>
  <si>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</si>
  <si>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</si>
  <si>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</si>
  <si>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</si>
  <si>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</si>
  <si>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</si>
  <si>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</si>
  <si>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</si>
  <si>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</si>
  <si>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</si>
  <si>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</si>
  <si>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</si>
  <si>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</si>
  <si>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</si>
  <si>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</si>
  <si>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</si>
  <si>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</si>
  <si>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</si>
  <si>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</si>
  <si>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</si>
  <si>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</si>
  <si>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</si>
  <si>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</si>
  <si>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</si>
  <si>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</si>
  <si>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</si>
  <si>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</si>
  <si>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</si>
  <si>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</si>
  <si>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</si>
  <si>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</si>
  <si>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</si>
  <si>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</si>
  <si>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</si>
  <si>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</si>
  <si>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</si>
  <si>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</si>
  <si>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</si>
  <si>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</si>
  <si>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</si>
  <si>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</si>
  <si>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</si>
  <si>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</si>
  <si>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</si>
  <si>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</si>
  <si>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</si>
  <si>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</si>
  <si>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</si>
  <si>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</si>
  <si>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</si>
  <si>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</si>
  <si>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</si>
  <si>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</si>
  <si>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</si>
  <si>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</si>
  <si>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</si>
  <si>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</si>
  <si>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</si>
  <si>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</si>
  <si>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</si>
  <si>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</si>
  <si>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</si>
  <si>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</si>
  <si>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</si>
  <si>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</si>
  <si>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</si>
  <si>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</si>
  <si>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</si>
  <si>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</si>
  <si>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</si>
  <si>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</si>
  <si>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</si>
  <si>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</si>
  <si>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</si>
  <si>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</si>
  <si>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</si>
  <si>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</si>
  <si>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</si>
  <si>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</si>
  <si>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</si>
  <si>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</si>
  <si>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</si>
  <si>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</si>
  <si>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</si>
  <si>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</si>
  <si>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</si>
  <si>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</si>
  <si>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</si>
  <si>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</si>
  <si>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</si>
  <si>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</si>
  <si>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</si>
  <si>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</si>
  <si>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</si>
  <si>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</si>
  <si>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</si>
  <si>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</si>
  <si>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</si>
  <si>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</si>
  <si>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</si>
  <si>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</si>
  <si>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</si>
  <si>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</si>
  <si>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</si>
  <si>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</si>
  <si>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</si>
  <si>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</si>
  <si>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</si>
  <si>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</si>
  <si>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</si>
  <si>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</si>
  <si>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</si>
  <si>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</si>
  <si>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</si>
  <si>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</si>
  <si>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</si>
  <si>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</si>
  <si>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</si>
  <si>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</si>
  <si>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</si>
  <si>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</si>
  <si>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</si>
  <si>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</si>
  <si>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</si>
  <si>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</si>
  <si>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</si>
  <si>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</si>
  <si>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</si>
  <si>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</si>
  <si>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</si>
  <si>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</si>
  <si>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</si>
  <si>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</si>
  <si>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</si>
  <si>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</si>
  <si>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</si>
  <si>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</si>
  <si>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</si>
  <si>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</si>
  <si>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</si>
  <si>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</si>
  <si>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</si>
  <si>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</si>
  <si>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</si>
  <si>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</si>
  <si>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</si>
  <si>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</si>
  <si>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</si>
  <si>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</si>
  <si>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</si>
  <si>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</si>
  <si>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</si>
  <si>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</si>
  <si>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</si>
  <si>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</si>
  <si>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</si>
  <si>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</si>
  <si>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</si>
  <si>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</si>
  <si>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</si>
  <si>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</si>
  <si>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</si>
  <si>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</si>
  <si>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</si>
  <si>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</si>
  <si>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</si>
  <si>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</si>
  <si>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</si>
  <si>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</si>
  <si>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</si>
  <si>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</si>
  <si>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</si>
  <si>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</si>
  <si>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</si>
  <si>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</si>
  <si>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</si>
  <si>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</si>
  <si>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</si>
  <si>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</si>
  <si>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</si>
  <si>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</si>
  <si>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</si>
  <si>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</si>
  <si>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</si>
  <si>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</si>
  <si>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</si>
  <si>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</si>
  <si>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</si>
  <si>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</si>
  <si>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</si>
  <si>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</si>
  <si>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</si>
  <si>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</si>
  <si>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</si>
  <si>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</si>
  <si>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</si>
  <si>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</si>
  <si>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</si>
  <si>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</si>
  <si>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</si>
  <si>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</si>
  <si>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</si>
  <si>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</si>
  <si>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</si>
  <si>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</si>
  <si>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</si>
  <si>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</si>
  <si>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</si>
  <si>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</si>
  <si>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</si>
  <si>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</si>
  <si>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</si>
  <si>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</si>
  <si>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</si>
  <si>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</si>
  <si>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</si>
  <si>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</si>
  <si>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</si>
  <si>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</si>
  <si>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</si>
  <si>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</si>
  <si>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</si>
  <si>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</si>
  <si>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</si>
  <si>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</si>
  <si>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</si>
  <si>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</si>
  <si>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</si>
  <si>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</si>
  <si>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</si>
  <si>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</si>
  <si>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</si>
  <si>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</si>
  <si>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</si>
  <si>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</si>
  <si>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</si>
  <si>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</si>
  <si>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</si>
  <si>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</si>
  <si>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</si>
  <si>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</si>
  <si>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</si>
  <si>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</si>
  <si>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</si>
  <si>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</si>
  <si>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</si>
  <si>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</si>
  <si>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</si>
  <si>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</si>
  <si>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</si>
  <si>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</si>
  <si>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</si>
  <si>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</si>
  <si>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</si>
  <si>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</si>
  <si>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</si>
  <si>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</si>
  <si>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</si>
  <si>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</si>
  <si>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</si>
  <si>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</si>
  <si>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</si>
  <si>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</si>
  <si>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</si>
  <si>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</si>
  <si>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</si>
  <si>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</si>
  <si>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</si>
  <si>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</si>
  <si>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</si>
  <si>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</si>
  <si>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</si>
  <si>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</si>
  <si>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</si>
  <si>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</si>
  <si>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</si>
  <si>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</si>
  <si>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</si>
  <si>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</si>
  <si>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</si>
  <si>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</si>
  <si>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</si>
  <si>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</si>
  <si>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</si>
  <si>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</si>
  <si>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</si>
  <si>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</si>
  <si>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</si>
  <si>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</si>
  <si>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</si>
  <si>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</si>
  <si>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</si>
  <si>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</si>
  <si>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</si>
  <si>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</si>
  <si>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</si>
  <si>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</si>
  <si>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</si>
  <si>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</si>
  <si>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</si>
  <si>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</si>
  <si>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</si>
  <si>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</si>
  <si>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</si>
  <si>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</si>
  <si>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</si>
  <si>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</si>
  <si>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</si>
  <si>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</si>
  <si>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</si>
  <si>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</si>
  <si>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</si>
  <si>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</si>
  <si>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</si>
  <si>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</si>
  <si>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</si>
  <si>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</si>
  <si>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</si>
  <si>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</si>
  <si>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</si>
  <si>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</si>
  <si>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</si>
  <si>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</si>
  <si>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</si>
  <si>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</si>
  <si>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</si>
  <si>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</si>
  <si>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</si>
  <si>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</si>
  <si>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</si>
  <si>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</si>
  <si>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</si>
  <si>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</si>
  <si>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</si>
  <si>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</si>
  <si>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</si>
  <si>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</si>
  <si>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</si>
  <si>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</si>
  <si>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</si>
  <si>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</si>
  <si>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</si>
  <si>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</si>
  <si>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</si>
  <si>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</si>
  <si>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</si>
  <si>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</si>
  <si>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</si>
  <si>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</si>
  <si>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</si>
  <si>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</si>
  <si>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</si>
  <si>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</si>
  <si>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</si>
  <si>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</si>
  <si>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</si>
  <si>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</si>
  <si>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</si>
  <si>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</si>
  <si>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</si>
  <si>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</si>
  <si>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</si>
  <si>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</si>
  <si>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</si>
  <si>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</si>
  <si>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</si>
  <si>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</si>
  <si>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</si>
  <si>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</si>
  <si>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</si>
  <si>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</si>
  <si>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</si>
  <si>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</si>
  <si>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</si>
  <si>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</si>
  <si>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</si>
  <si>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</si>
  <si>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</si>
  <si>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</si>
  <si>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</si>
  <si>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</si>
  <si>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</si>
  <si>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</si>
  <si>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</si>
  <si>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</si>
  <si>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</si>
  <si>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</si>
  <si>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</si>
  <si>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</si>
  <si>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</si>
  <si>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</si>
  <si>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</si>
  <si>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</si>
  <si>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</si>
  <si>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</si>
  <si>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</si>
  <si>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</si>
  <si>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</si>
  <si>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</si>
  <si>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</si>
  <si>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</si>
  <si>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</si>
  <si>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</si>
  <si>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</si>
  <si>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</si>
  <si>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</si>
  <si>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</si>
  <si>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</si>
  <si>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</si>
  <si>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</si>
  <si>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</si>
  <si>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</si>
  <si>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</si>
  <si>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</si>
  <si>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</si>
  <si>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</si>
  <si>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</si>
  <si>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</si>
  <si>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</si>
  <si>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</si>
  <si>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</si>
  <si>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</si>
  <si>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</si>
  <si>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</si>
  <si>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</si>
  <si>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</si>
  <si>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</si>
  <si>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</si>
  <si>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</si>
  <si>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</si>
  <si>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</si>
  <si>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</si>
  <si>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</si>
  <si>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</si>
  <si>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</si>
  <si>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</si>
  <si>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</si>
  <si>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</si>
  <si>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</si>
  <si>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</si>
  <si>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</si>
  <si>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</si>
  <si>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</si>
  <si>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</si>
  <si>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</si>
  <si>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</si>
  <si>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</si>
  <si>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</si>
  <si>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</si>
  <si>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</si>
  <si>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</si>
  <si>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</si>
  <si>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</si>
  <si>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</si>
  <si>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</si>
  <si>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</si>
  <si>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</si>
  <si>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</si>
  <si>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</si>
  <si>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</si>
  <si>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</si>
  <si>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</si>
  <si>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</si>
  <si>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</si>
  <si>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</si>
  <si>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</si>
  <si>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</si>
  <si>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</si>
  <si>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</si>
  <si>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</si>
  <si>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</si>
  <si>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</si>
  <si>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</si>
  <si>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</si>
  <si>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</si>
  <si>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</si>
  <si>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</si>
  <si>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</si>
  <si>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</si>
  <si>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</si>
  <si>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</si>
  <si>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</si>
  <si>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</si>
  <si>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</si>
  <si>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</si>
  <si>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</si>
  <si>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</si>
  <si>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</si>
  <si>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</si>
  <si>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</si>
  <si>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</si>
  <si>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</si>
  <si>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</si>
  <si>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</si>
  <si>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</si>
  <si>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</si>
  <si>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</si>
  <si>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</si>
  <si>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</si>
  <si>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</si>
  <si>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</si>
  <si>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</si>
  <si>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</si>
  <si>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</si>
  <si>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</si>
  <si>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</si>
  <si>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</si>
  <si>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</si>
  <si>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</si>
  <si>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</si>
  <si>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</si>
  <si>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</si>
  <si>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</si>
  <si>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</si>
  <si>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</si>
  <si>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</si>
  <si>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</si>
  <si>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</si>
  <si>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</si>
  <si>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</si>
  <si>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</si>
  <si>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</si>
  <si>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</si>
  <si>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</si>
  <si>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</si>
  <si>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</si>
  <si>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</si>
  <si>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</si>
  <si>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</si>
  <si>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</si>
  <si>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</si>
  <si>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</si>
  <si>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</si>
  <si>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</si>
  <si>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</si>
  <si>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</si>
  <si>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</si>
  <si>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</si>
  <si>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</si>
  <si>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</si>
  <si>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</si>
  <si>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</si>
  <si>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</si>
  <si>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</si>
  <si>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</si>
  <si>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</si>
  <si>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</si>
  <si>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</si>
  <si>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</si>
  <si>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</si>
  <si>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</si>
  <si>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</si>
  <si>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</si>
  <si>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</si>
  <si>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</si>
  <si>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</si>
  <si>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</si>
  <si>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</si>
  <si>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</si>
  <si>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</si>
  <si>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</si>
  <si>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</si>
  <si>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</si>
  <si>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</si>
  <si>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</si>
  <si>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</si>
  <si>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</si>
  <si>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</si>
  <si>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</si>
  <si>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</si>
  <si>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</si>
  <si>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</si>
  <si>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</si>
  <si>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</si>
  <si>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</si>
  <si>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</si>
  <si>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</si>
  <si>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</si>
  <si>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</si>
  <si>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</si>
  <si>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</si>
  <si>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</si>
  <si>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</si>
  <si>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</si>
  <si>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</si>
  <si>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</si>
  <si>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</si>
  <si>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</si>
  <si>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</si>
  <si>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</si>
  <si>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</si>
  <si>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</si>
  <si>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</si>
  <si>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</si>
  <si>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</si>
  <si>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</si>
  <si>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</si>
  <si>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</si>
  <si>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</si>
  <si>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</si>
  <si>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</si>
  <si>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</si>
  <si>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</si>
  <si>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</si>
  <si>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</si>
  <si>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</si>
  <si>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</si>
  <si>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</si>
  <si>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</si>
  <si>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</si>
  <si>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</si>
  <si>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</si>
  <si>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</si>
  <si>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</si>
  <si>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</si>
  <si>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</si>
  <si>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</si>
  <si>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</si>
  <si>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</si>
  <si>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</si>
  <si>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</si>
  <si>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</si>
  <si>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</si>
  <si>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</si>
  <si>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</si>
  <si>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</si>
  <si>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</si>
  <si>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</si>
  <si>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</si>
  <si>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</si>
  <si>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</si>
  <si>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</si>
  <si>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</si>
  <si>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</si>
  <si>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</si>
  <si>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</si>
  <si>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</si>
  <si>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</si>
  <si>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</si>
  <si>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</si>
  <si>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</si>
  <si>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</si>
  <si>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</si>
  <si>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</si>
  <si>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</si>
  <si>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</si>
  <si>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</si>
  <si>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</si>
  <si>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</si>
  <si>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</si>
  <si>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</si>
  <si>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</si>
  <si>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</si>
  <si>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</si>
  <si>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</si>
  <si>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</si>
  <si>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</si>
  <si>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</si>
  <si>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</si>
  <si>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</si>
  <si>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</si>
  <si>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</si>
  <si>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</si>
  <si>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</si>
  <si>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</si>
  <si>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</si>
  <si>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</si>
  <si>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</si>
  <si>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</si>
  <si>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</si>
  <si>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</si>
  <si>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</si>
  <si>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</si>
  <si>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</si>
  <si>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</si>
  <si>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</si>
  <si>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</si>
  <si>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</si>
  <si>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</si>
  <si>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</si>
  <si>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</si>
  <si>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</si>
  <si>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</si>
  <si>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</si>
  <si>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</si>
  <si>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</si>
  <si>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</si>
  <si>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</si>
  <si>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</si>
  <si>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</si>
  <si>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</si>
  <si>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</si>
  <si>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</si>
  <si>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</si>
  <si>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</si>
  <si>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</si>
  <si>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</si>
  <si>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</si>
  <si>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</si>
  <si>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</si>
  <si>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</si>
  <si>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</si>
  <si>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</si>
  <si>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</si>
  <si>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</si>
  <si>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</si>
  <si>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</si>
  <si>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</si>
  <si>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</si>
  <si>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</si>
  <si>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</si>
  <si>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</si>
  <si>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</si>
  <si>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</si>
  <si>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</si>
  <si>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</si>
  <si>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</si>
  <si>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</si>
  <si>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</si>
  <si>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</si>
  <si>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</si>
  <si>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</si>
  <si>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</si>
  <si>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</si>
  <si>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</si>
  <si>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</si>
  <si>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</si>
  <si>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</si>
  <si>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</si>
  <si>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</si>
  <si>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</si>
  <si>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</si>
  <si>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</si>
  <si>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</si>
  <si>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</si>
  <si>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</si>
  <si>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</si>
  <si>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</si>
  <si>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</si>
  <si>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</si>
  <si>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</si>
  <si>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</si>
  <si>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</si>
  <si>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</si>
  <si>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</si>
  <si>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</si>
  <si>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</si>
  <si>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</si>
  <si>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</si>
  <si>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</si>
  <si>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</si>
  <si>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</si>
  <si>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</si>
  <si>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</si>
  <si>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</si>
  <si>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</si>
  <si>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</si>
  <si>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</si>
  <si>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</si>
  <si>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</si>
  <si>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</si>
  <si>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</si>
  <si>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</si>
  <si>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</si>
  <si>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</si>
  <si>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</si>
  <si>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</si>
  <si>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</si>
  <si>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</si>
  <si>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</si>
  <si>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</si>
  <si>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</si>
  <si>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</si>
  <si>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</si>
  <si>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</si>
  <si>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</si>
  <si>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</si>
  <si>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</si>
  <si>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</si>
  <si>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</si>
  <si>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</si>
  <si>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</si>
  <si>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</si>
  <si>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</si>
  <si>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</si>
  <si>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</si>
  <si>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</si>
  <si>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</si>
  <si>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</si>
  <si>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</si>
  <si>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</si>
  <si>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</si>
  <si>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</si>
  <si>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</si>
  <si>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</si>
  <si>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</si>
  <si>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</si>
  <si>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</si>
  <si>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</si>
  <si>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</si>
  <si>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</si>
  <si>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</si>
  <si>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</si>
  <si>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</si>
  <si>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</si>
  <si>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</si>
  <si>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</si>
  <si>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</si>
  <si>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</si>
  <si>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</si>
  <si>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</si>
  <si>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</si>
  <si>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</si>
  <si>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</si>
  <si>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</si>
  <si>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</si>
  <si>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</si>
  <si>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</si>
  <si>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</si>
  <si>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</si>
  <si>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</si>
  <si>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</si>
  <si>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</si>
  <si>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</si>
  <si>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</si>
  <si>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</si>
  <si>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</si>
  <si>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</si>
  <si>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</si>
  <si>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</si>
  <si>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</si>
  <si>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</si>
  <si>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</si>
  <si>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</si>
  <si>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</si>
  <si>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</si>
  <si>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</si>
  <si>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</si>
  <si>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</si>
  <si>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</si>
  <si>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</si>
  <si>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</si>
  <si>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</si>
  <si>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</si>
  <si>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</si>
  <si>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</si>
  <si>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</si>
  <si>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</si>
  <si>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</si>
  <si>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</si>
  <si>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</si>
  <si>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</si>
  <si>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</si>
  <si>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</si>
  <si>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</si>
  <si>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</si>
  <si>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</si>
  <si>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</si>
  <si>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</si>
  <si>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</si>
  <si>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</si>
  <si>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</si>
  <si>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</si>
  <si>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</si>
  <si>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</si>
  <si>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</si>
  <si>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</si>
  <si>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</si>
  <si>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</si>
  <si>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</si>
  <si>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</si>
  <si>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</si>
  <si>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</si>
  <si>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</si>
  <si>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</si>
  <si>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</si>
  <si>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</si>
  <si>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</si>
  <si>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</si>
  <si>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</si>
  <si>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</si>
  <si>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</si>
  <si>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</si>
  <si>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</si>
  <si>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</si>
  <si>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</si>
  <si>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</si>
  <si>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</si>
  <si>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</si>
  <si>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</si>
  <si>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</si>
  <si>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</si>
  <si>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</si>
  <si>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</si>
  <si>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</si>
  <si>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</si>
  <si>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</si>
  <si>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</si>
  <si>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</si>
  <si>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</si>
  <si>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</si>
  <si>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</si>
  <si>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</si>
  <si>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</si>
  <si>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</si>
  <si>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</si>
  <si>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</si>
  <si>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</si>
  <si>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</si>
  <si>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</si>
  <si>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</si>
  <si>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</si>
  <si>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</si>
  <si>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</si>
  <si>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</si>
  <si>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</si>
  <si>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</si>
  <si>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</si>
  <si>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</si>
  <si>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</si>
  <si>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</si>
  <si>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</si>
  <si>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</si>
  <si>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</si>
  <si>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</si>
  <si>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</si>
  <si>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</si>
  <si>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</si>
  <si>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</si>
  <si>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</si>
  <si>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</si>
  <si>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</si>
  <si>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</si>
  <si>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</si>
  <si>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</si>
  <si>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</si>
  <si>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</si>
  <si>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</si>
  <si>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</si>
  <si>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</si>
  <si>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</si>
  <si>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</si>
  <si>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</si>
  <si>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</si>
  <si>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</si>
  <si>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</si>
  <si>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</si>
  <si>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</si>
  <si>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</si>
  <si>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</si>
  <si>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</si>
  <si>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</si>
  <si>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</si>
  <si>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</si>
  <si>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</si>
  <si>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</si>
  <si>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</si>
  <si>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</si>
  <si>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</si>
  <si>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</si>
  <si>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</si>
  <si>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</si>
  <si>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</si>
  <si>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</si>
  <si>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</si>
  <si>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</si>
  <si>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</si>
  <si>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</si>
  <si>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</si>
  <si>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</si>
  <si>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</si>
  <si>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</si>
  <si>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</si>
  <si>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</si>
  <si>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</si>
  <si>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</si>
  <si>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</si>
  <si>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</si>
  <si>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</si>
  <si>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</si>
  <si>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</si>
  <si>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</si>
  <si>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</si>
  <si>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</si>
  <si>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</si>
  <si>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</si>
  <si>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</si>
  <si>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</si>
  <si>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</si>
  <si>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</si>
  <si>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</si>
  <si>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</si>
  <si>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</si>
  <si>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</si>
  <si>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</si>
  <si>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</si>
  <si>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</si>
  <si>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</si>
  <si>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</si>
  <si>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</si>
  <si>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</si>
  <si>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</si>
  <si>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</si>
  <si>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</si>
  <si>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</si>
  <si>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</si>
  <si>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</si>
  <si>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</si>
  <si>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</si>
  <si>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</si>
  <si>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</si>
  <si>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</si>
  <si>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</si>
  <si>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</si>
  <si>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</si>
  <si>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</si>
  <si>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</si>
  <si>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</si>
  <si>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</si>
  <si>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</si>
  <si>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</si>
  <si>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</si>
  <si>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</si>
  <si>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</si>
  <si>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</si>
  <si>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</si>
  <si>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</si>
  <si>
    <t>ONET-KL</t>
  </si>
  <si>
    <t>Terminal d\'Exportation Terrestre El Kala</t>
  </si>
  <si>
    <t>Manager</t>
  </si>
  <si>
    <t>INSERT INTO T_02_03_08 (F_00, F_08, F_09, F_10, F_11, F_12, F_13, F_14, F_15, F_16, F_17, F_18, F_19, F_20, F_21, F_22, F_23, F_24) VALUES</t>
  </si>
  <si>
    <t>DT-MDZ</t>
  </si>
  <si>
    <t>Terminal de Distribution Mocta Douz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</si>
</sst>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
      <patternFill patternType="solid">
        <fgColor rgb="FFFF0000"/>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5">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xf numFmtId="0" fontId="1" fillId="0" borderId="0" xfId="0" applyFont="1" applyAlignment="1">
      <alignment horizontal="left"/>
    </xf>
    <xf numFmtId="169" fontId="1" fillId="0" borderId="1" xfId="0" applyNumberFormat="1" applyFont="1" applyFill="1" applyBorder="1" applyAlignment="1">
      <alignment horizontal="left" vertical="center"/>
    </xf>
    <xf numFmtId="165" fontId="1" fillId="7" borderId="1" xfId="0" applyNumberFormat="1" applyFont="1" applyFill="1" applyBorder="1" applyAlignment="1">
      <alignment horizontal="left" vertical="center"/>
    </xf>
    <xf numFmtId="0" fontId="1" fillId="3" borderId="0" xfId="0" applyFont="1" applyFill="1" applyBorder="1" applyAlignment="1">
      <alignment horizontal="center" vertical="center"/>
    </xf>
    <xf numFmtId="0" fontId="1" fillId="3" borderId="1" xfId="0" applyFont="1" applyFill="1" applyBorder="1" applyAlignment="1">
      <alignment horizontal="center" vertical="center"/>
    </xf>
    <xf numFmtId="165" fontId="1" fillId="3" borderId="1" xfId="0" applyNumberFormat="1" applyFont="1" applyFill="1" applyBorder="1" applyAlignment="1">
      <alignment horizontal="left" vertical="center"/>
    </xf>
    <xf numFmtId="167" fontId="1" fillId="3" borderId="1" xfId="0" applyNumberFormat="1" applyFont="1" applyFill="1" applyBorder="1" applyAlignment="1">
      <alignment horizontal="center" vertical="center"/>
    </xf>
    <xf numFmtId="0" fontId="1" fillId="8" borderId="1" xfId="0" applyFont="1" applyFill="1" applyBorder="1" applyAlignment="1">
      <alignment horizontal="center" vertical="center"/>
    </xf>
    <xf numFmtId="164" fontId="1" fillId="8" borderId="1" xfId="0" applyNumberFormat="1" applyFont="1" applyFill="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3A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workbookViewId="0">
      <selection activeCell="B7" sqref="B7:B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5849</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6080</v>
      </c>
      <c r="B1" s="1" t="s">
        <v>6081</v>
      </c>
      <c r="C1" s="1" t="s">
        <v>5603</v>
      </c>
    </row>
    <row r="2" spans="1:3" ht="20.149999999999999" customHeight="1" x14ac:dyDescent="0.35">
      <c r="A2" s="1" t="s">
        <v>41</v>
      </c>
      <c r="B2" s="1" t="s">
        <v>42</v>
      </c>
      <c r="C2" s="1" t="s">
        <v>6082</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5792</v>
      </c>
      <c r="C1" s="1" t="s">
        <v>5791</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5850</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C10"/>
  <sheetViews>
    <sheetView workbookViewId="0">
      <selection activeCell="F12" sqref="F12"/>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6088</v>
      </c>
      <c r="B1" s="1" t="s">
        <v>6080</v>
      </c>
      <c r="C1" s="1" t="s">
        <v>5603</v>
      </c>
    </row>
    <row r="2" spans="1:3" ht="20.149999999999999" customHeight="1" x14ac:dyDescent="0.35">
      <c r="A2" s="1" t="s">
        <v>41</v>
      </c>
      <c r="B2" s="1" t="s">
        <v>42</v>
      </c>
      <c r="C2" s="1" t="s">
        <v>6084</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C13"/>
  <sheetViews>
    <sheetView workbookViewId="0">
      <selection activeCell="C2" sqref="C2:C13"/>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6088</v>
      </c>
      <c r="B1" s="1" t="s">
        <v>6081</v>
      </c>
      <c r="C1" s="1" t="s">
        <v>5603</v>
      </c>
    </row>
    <row r="2" spans="1:3" ht="20.149999999999999" customHeight="1" x14ac:dyDescent="0.35">
      <c r="A2" s="1" t="s">
        <v>41</v>
      </c>
      <c r="B2" s="1" t="s">
        <v>42</v>
      </c>
      <c r="C2" s="1" t="s">
        <v>6083</v>
      </c>
    </row>
    <row r="3" spans="1:3" ht="20.149999999999999" customHeight="1" x14ac:dyDescent="0.35">
      <c r="A3" s="4">
        <v>1</v>
      </c>
      <c r="B3" s="4">
        <v>1</v>
      </c>
      <c r="C3" s="16" t="str">
        <f>CONCATENATE("(",A3,",",B3,"),")</f>
        <v>(1,1),</v>
      </c>
    </row>
    <row r="4" spans="1:3" ht="20.149999999999999" customHeight="1" x14ac:dyDescent="0.35">
      <c r="A4" s="4">
        <v>1</v>
      </c>
      <c r="B4" s="4">
        <v>2</v>
      </c>
      <c r="C4" s="16" t="str">
        <f t="shared" ref="C4:C13"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sheetData>
  <autoFilter ref="A2:B13"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D66"/>
  <sheetViews>
    <sheetView workbookViewId="0">
      <selection activeCell="D3" sqref="D3:D13"/>
    </sheetView>
  </sheetViews>
  <sheetFormatPr baseColWidth="10" defaultColWidth="10.81640625" defaultRowHeight="15.5" x14ac:dyDescent="0.35"/>
  <cols>
    <col min="1" max="1" width="4.453125" style="2" customWidth="1"/>
    <col min="2" max="2" width="39.26953125" style="2" customWidth="1"/>
    <col min="3" max="3" width="66.81640625" style="2" bestFit="1" customWidth="1"/>
    <col min="4" max="4" width="93.7265625" style="2" bestFit="1"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6398</v>
      </c>
      <c r="C2" s="1" t="s">
        <v>41</v>
      </c>
      <c r="D2" s="1" t="s">
        <v>5851</v>
      </c>
    </row>
    <row r="3" spans="1:4" ht="20.149999999999999" customHeight="1" x14ac:dyDescent="0.35">
      <c r="A3" s="3">
        <v>1</v>
      </c>
      <c r="B3" s="4" t="s">
        <v>6787</v>
      </c>
      <c r="C3" s="4" t="s">
        <v>6798</v>
      </c>
      <c r="D3" s="16" t="str">
        <f>CONCATENATE("(",A3,",'",B3,"','",C3,"'),")</f>
        <v>(1,'SYSTEM_ADMIN','Manage system (Security, Settings, Audit)'),</v>
      </c>
    </row>
    <row r="4" spans="1:4" ht="20.149999999999999" customHeight="1" x14ac:dyDescent="0.35">
      <c r="A4" s="3">
        <v>2</v>
      </c>
      <c r="B4" s="4" t="s">
        <v>6788</v>
      </c>
      <c r="C4" s="4" t="s">
        <v>6799</v>
      </c>
      <c r="D4" s="16" t="str">
        <f t="shared" ref="D4:D13" si="0">CONCATENATE("(",A4,",'",B4,"','",C4,"'),")</f>
        <v>(2,'INFRASTRUCTURE_ADMIN','Manage infrastructure (type, common and core infrastructure)'),</v>
      </c>
    </row>
    <row r="5" spans="1:4" ht="20.149999999999999" customHeight="1" x14ac:dyDescent="0.35">
      <c r="A5" s="3">
        <v>3</v>
      </c>
      <c r="B5" s="4" t="s">
        <v>6789</v>
      </c>
      <c r="C5" s="4" t="s">
        <v>6800</v>
      </c>
      <c r="D5" s="16" t="str">
        <f t="shared" si="0"/>
        <v>(3,'INFRASTRUCTURE_EDITOR','Edit infrastructure (common and core infrastructure)'),</v>
      </c>
    </row>
    <row r="6" spans="1:4" ht="20.149999999999999" customHeight="1" x14ac:dyDescent="0.35">
      <c r="A6" s="3">
        <v>4</v>
      </c>
      <c r="B6" s="4" t="s">
        <v>6790</v>
      </c>
      <c r="C6" s="4" t="s">
        <v>6803</v>
      </c>
      <c r="D6" s="16" t="str">
        <f t="shared" si="0"/>
        <v>(4,'INFRASTRUCTURE_CONSULTANT','View infrastructure data'),</v>
      </c>
    </row>
    <row r="7" spans="1:4" ht="20.149999999999999" customHeight="1" x14ac:dyDescent="0.35">
      <c r="A7" s="3">
        <v>5</v>
      </c>
      <c r="B7" s="4" t="s">
        <v>6791</v>
      </c>
      <c r="C7" s="4" t="s">
        <v>6802</v>
      </c>
      <c r="D7" s="16" t="str">
        <f t="shared" si="0"/>
        <v>(5,'ORGANIZATION_ADMIN','Manage organization (type, common and core organization and localization)'),</v>
      </c>
    </row>
    <row r="8" spans="1:4" ht="20.149999999999999" customHeight="1" x14ac:dyDescent="0.35">
      <c r="A8" s="3">
        <v>6</v>
      </c>
      <c r="B8" s="4" t="s">
        <v>6793</v>
      </c>
      <c r="C8" s="4" t="s">
        <v>6801</v>
      </c>
      <c r="D8" s="16" t="str">
        <f t="shared" si="0"/>
        <v>(6,'ORGANIZATION_EDITOR','Edit organization (common and core organization and localization)'),</v>
      </c>
    </row>
    <row r="9" spans="1:4" ht="20.149999999999999" customHeight="1" x14ac:dyDescent="0.35">
      <c r="A9" s="3">
        <v>7</v>
      </c>
      <c r="B9" s="4" t="s">
        <v>6794</v>
      </c>
      <c r="C9" s="4" t="s">
        <v>6804</v>
      </c>
      <c r="D9" s="16" t="str">
        <f t="shared" si="0"/>
        <v>(7,'ORGANIZATION_CONSULTANT','View organization data'),</v>
      </c>
    </row>
    <row r="10" spans="1:4" ht="20.149999999999999" customHeight="1" x14ac:dyDescent="0.35">
      <c r="A10" s="3">
        <v>8</v>
      </c>
      <c r="B10" s="4" t="s">
        <v>6792</v>
      </c>
      <c r="C10" s="4" t="s">
        <v>6805</v>
      </c>
      <c r="D10" s="16" t="str">
        <f t="shared" si="0"/>
        <v>(8,'MONITORING_ADMIN','Manage flow monitoring process'),</v>
      </c>
    </row>
    <row r="11" spans="1:4" ht="20.149999999999999" customHeight="1" x14ac:dyDescent="0.35">
      <c r="A11" s="3">
        <v>9</v>
      </c>
      <c r="B11" s="4" t="s">
        <v>6797</v>
      </c>
      <c r="C11" s="4" t="s">
        <v>6806</v>
      </c>
      <c r="D11" s="16" t="str">
        <f t="shared" si="0"/>
        <v>(9,'MONITORING_VALIDATOR','Validate flow monitoring readings'),</v>
      </c>
    </row>
    <row r="12" spans="1:4" ht="20.149999999999999" customHeight="1" x14ac:dyDescent="0.35">
      <c r="A12" s="3">
        <v>10</v>
      </c>
      <c r="B12" s="4" t="s">
        <v>6796</v>
      </c>
      <c r="C12" s="4" t="s">
        <v>6807</v>
      </c>
      <c r="D12" s="16" t="str">
        <f t="shared" si="0"/>
        <v>(10,'MONITORING_OPERATOR','Record flow monitoring data'),</v>
      </c>
    </row>
    <row r="13" spans="1:4" ht="20.149999999999999" customHeight="1" x14ac:dyDescent="0.35">
      <c r="A13" s="3">
        <v>11</v>
      </c>
      <c r="B13" s="4" t="s">
        <v>6795</v>
      </c>
      <c r="C13" s="4" t="s">
        <v>6808</v>
      </c>
      <c r="D13" s="16" t="str">
        <f t="shared" si="0"/>
        <v>(11,'MONITORING_CONSULTANT','View flow monitoring data and statistics'),</v>
      </c>
    </row>
    <row r="14" spans="1:4" ht="20.149999999999999" customHeight="1" x14ac:dyDescent="0.35">
      <c r="A14" s="42">
        <v>1</v>
      </c>
      <c r="B14" s="43" t="s">
        <v>6413</v>
      </c>
      <c r="C14" s="43" t="s">
        <v>6412</v>
      </c>
      <c r="D14" s="44" t="str">
        <f>CONCATENATE("(",A14,",'",B14,"','",C14,"'),")</f>
        <v>(1,'SYSTEM-SETTING-ADMIN','Manage system setting data'),</v>
      </c>
    </row>
    <row r="15" spans="1:4" ht="20.149999999999999" customHeight="1" x14ac:dyDescent="0.35">
      <c r="A15" s="42">
        <v>2</v>
      </c>
      <c r="B15" s="43" t="s">
        <v>6434</v>
      </c>
      <c r="C15" s="43" t="s">
        <v>6414</v>
      </c>
      <c r="D15" s="44" t="str">
        <f t="shared" ref="D15:D26" si="1">CONCATENATE("(",A15,",'",B15,"','",C15,"'),")</f>
        <v>(2,'SYSTEM-UTILITY-ADMIN','Manage system utility data'),</v>
      </c>
    </row>
    <row r="16" spans="1:4" ht="20.149999999999999" customHeight="1" x14ac:dyDescent="0.35">
      <c r="A16" s="42">
        <v>3</v>
      </c>
      <c r="B16" s="43" t="s">
        <v>6397</v>
      </c>
      <c r="C16" s="43" t="s">
        <v>5743</v>
      </c>
      <c r="D16" s="44" t="str">
        <f t="shared" si="1"/>
        <v>(3,'SYSTEM-SECURITY-ADMIN','Manage system security data'),</v>
      </c>
    </row>
    <row r="17" spans="1:4" ht="20.149999999999999" customHeight="1" x14ac:dyDescent="0.35">
      <c r="A17" s="42">
        <v>4</v>
      </c>
      <c r="B17" s="43" t="s">
        <v>6399</v>
      </c>
      <c r="C17" s="43" t="s">
        <v>5744</v>
      </c>
      <c r="D17" s="44" t="str">
        <f t="shared" si="1"/>
        <v>(4,'SYSTEM-AUDIT-ADMIN','Manage system audit data'),</v>
      </c>
    </row>
    <row r="18" spans="1:4" ht="20.149999999999999" customHeight="1" x14ac:dyDescent="0.35">
      <c r="A18" s="42">
        <v>5</v>
      </c>
      <c r="B18" s="43" t="s">
        <v>6400</v>
      </c>
      <c r="C18" s="43" t="s">
        <v>5748</v>
      </c>
      <c r="D18" s="44" t="str">
        <f t="shared" si="1"/>
        <v>(5,'GENERAL-TYPE-ADMIN','Manage general Type'),</v>
      </c>
    </row>
    <row r="19" spans="1:4" ht="20.149999999999999" customHeight="1" x14ac:dyDescent="0.35">
      <c r="A19" s="42">
        <v>6</v>
      </c>
      <c r="B19" s="43" t="s">
        <v>6401</v>
      </c>
      <c r="C19" s="43" t="s">
        <v>5749</v>
      </c>
      <c r="D19" s="44" t="str">
        <f t="shared" si="1"/>
        <v>(6,'GENERAL-LOCALIZATION-ADMIN','Manage general localization'),</v>
      </c>
    </row>
    <row r="20" spans="1:4" ht="20.149999999999999" customHeight="1" x14ac:dyDescent="0.35">
      <c r="A20" s="42">
        <v>7</v>
      </c>
      <c r="B20" s="43" t="s">
        <v>6402</v>
      </c>
      <c r="C20" s="43" t="s">
        <v>5750</v>
      </c>
      <c r="D20" s="44" t="str">
        <f t="shared" si="1"/>
        <v>(7,'GENERAL-ORGANIZATION-ADMIN','Manage general organization'),</v>
      </c>
    </row>
    <row r="21" spans="1:4" ht="20.149999999999999" customHeight="1" x14ac:dyDescent="0.35">
      <c r="A21" s="42">
        <v>8</v>
      </c>
      <c r="B21" s="43" t="s">
        <v>6403</v>
      </c>
      <c r="C21" s="43" t="s">
        <v>5745</v>
      </c>
      <c r="D21" s="44" t="str">
        <f t="shared" si="1"/>
        <v>(8,'NETWORK-TYPE-ADMIN','Manage network type data'),</v>
      </c>
    </row>
    <row r="22" spans="1:4" ht="20.149999999999999" customHeight="1" x14ac:dyDescent="0.35">
      <c r="A22" s="42">
        <v>9</v>
      </c>
      <c r="B22" s="43" t="s">
        <v>6404</v>
      </c>
      <c r="C22" s="43" t="s">
        <v>5746</v>
      </c>
      <c r="D22" s="44" t="str">
        <f t="shared" si="1"/>
        <v>(9,'NETWORK-COMMON-ADMIN','Manage network common data'),</v>
      </c>
    </row>
    <row r="23" spans="1:4" ht="20.149999999999999" customHeight="1" x14ac:dyDescent="0.35">
      <c r="A23" s="42">
        <v>10</v>
      </c>
      <c r="B23" s="43" t="s">
        <v>6405</v>
      </c>
      <c r="C23" s="43" t="s">
        <v>5747</v>
      </c>
      <c r="D23" s="44" t="str">
        <f t="shared" si="1"/>
        <v>(10,'NETWORK-CORE-ADMIN','Manage network core data'),</v>
      </c>
    </row>
    <row r="24" spans="1:4" ht="20.149999999999999" customHeight="1" x14ac:dyDescent="0.35">
      <c r="A24" s="42">
        <v>11</v>
      </c>
      <c r="B24" s="43" t="s">
        <v>6406</v>
      </c>
      <c r="C24" s="43" t="s">
        <v>6409</v>
      </c>
      <c r="D24" s="44" t="str">
        <f t="shared" si="1"/>
        <v>(11,'FLOW-TYPE-ADMIN','Manage flow type data'),</v>
      </c>
    </row>
    <row r="25" spans="1:4" ht="20.149999999999999" customHeight="1" x14ac:dyDescent="0.35">
      <c r="A25" s="42">
        <v>12</v>
      </c>
      <c r="B25" s="43" t="s">
        <v>6407</v>
      </c>
      <c r="C25" s="43" t="s">
        <v>6410</v>
      </c>
      <c r="D25" s="44" t="str">
        <f t="shared" si="1"/>
        <v>(12,'FLOW-COMMON-ADMIN','Manage flow common data'),</v>
      </c>
    </row>
    <row r="26" spans="1:4" ht="20.149999999999999" customHeight="1" x14ac:dyDescent="0.35">
      <c r="A26" s="42">
        <v>13</v>
      </c>
      <c r="B26" s="43" t="s">
        <v>6408</v>
      </c>
      <c r="C26" s="43" t="s">
        <v>6411</v>
      </c>
      <c r="D26" s="44" t="str">
        <f t="shared" si="1"/>
        <v>(13,'FLOW-CORE-ADMIN','Manage flow core data'),</v>
      </c>
    </row>
    <row r="27" spans="1:4" ht="20.149999999999999" customHeight="1" x14ac:dyDescent="0.35">
      <c r="A27" s="42">
        <v>21</v>
      </c>
      <c r="B27" s="43" t="s">
        <v>6435</v>
      </c>
      <c r="C27" s="43" t="s">
        <v>6415</v>
      </c>
      <c r="D27" s="44" t="str">
        <f>CONCATENATE("(",A27,",'",B27,"','",C27,"'),")</f>
        <v>(21,'SYSTEM-SETTING-EDITOR','Update system setting data'),</v>
      </c>
    </row>
    <row r="28" spans="1:4" ht="20.149999999999999" customHeight="1" x14ac:dyDescent="0.35">
      <c r="A28" s="42">
        <v>22</v>
      </c>
      <c r="B28" s="43" t="s">
        <v>6447</v>
      </c>
      <c r="C28" s="43" t="s">
        <v>6416</v>
      </c>
      <c r="D28" s="44" t="str">
        <f t="shared" ref="D28:D39" si="2">CONCATENATE("(",A28,",'",B28,"','",C28,"'),")</f>
        <v>(22,'SYSTEM-UTILITY-EDITOR','Update system utility data'),</v>
      </c>
    </row>
    <row r="29" spans="1:4" ht="20.149999999999999" customHeight="1" x14ac:dyDescent="0.35">
      <c r="A29" s="42">
        <v>23</v>
      </c>
      <c r="B29" s="43" t="s">
        <v>6436</v>
      </c>
      <c r="C29" s="43" t="s">
        <v>6417</v>
      </c>
      <c r="D29" s="44" t="str">
        <f t="shared" si="2"/>
        <v>(23,'SYSTEM-SECURITY-EDITOR','Update system security data'),</v>
      </c>
    </row>
    <row r="30" spans="1:4" ht="20.149999999999999" customHeight="1" x14ac:dyDescent="0.35">
      <c r="A30" s="42">
        <v>24</v>
      </c>
      <c r="B30" s="43" t="s">
        <v>6437</v>
      </c>
      <c r="C30" s="43" t="s">
        <v>6418</v>
      </c>
      <c r="D30" s="44" t="str">
        <f t="shared" si="2"/>
        <v>(24,'SYSTEM-AUDIT-EDITOR','Update system audit data'),</v>
      </c>
    </row>
    <row r="31" spans="1:4" ht="20.149999999999999" customHeight="1" x14ac:dyDescent="0.35">
      <c r="A31" s="42">
        <v>25</v>
      </c>
      <c r="B31" s="43" t="s">
        <v>6438</v>
      </c>
      <c r="C31" s="43" t="s">
        <v>6419</v>
      </c>
      <c r="D31" s="44" t="str">
        <f t="shared" si="2"/>
        <v>(25,'GENERAL-TYPE-EDITOR','Update general Type'),</v>
      </c>
    </row>
    <row r="32" spans="1:4" ht="20.149999999999999" customHeight="1" x14ac:dyDescent="0.35">
      <c r="A32" s="42">
        <v>26</v>
      </c>
      <c r="B32" s="43" t="s">
        <v>6439</v>
      </c>
      <c r="C32" s="43" t="s">
        <v>6420</v>
      </c>
      <c r="D32" s="44" t="str">
        <f t="shared" si="2"/>
        <v>(26,'GENERAL-LOCALIZATION-EDITOR','Update general localization'),</v>
      </c>
    </row>
    <row r="33" spans="1:4" ht="20.149999999999999" customHeight="1" x14ac:dyDescent="0.35">
      <c r="A33" s="42">
        <v>27</v>
      </c>
      <c r="B33" s="43" t="s">
        <v>6440</v>
      </c>
      <c r="C33" s="43" t="s">
        <v>6421</v>
      </c>
      <c r="D33" s="44" t="str">
        <f t="shared" si="2"/>
        <v>(27,'GENERAL-ORGANIZATION-EDITOR','Update general organization'),</v>
      </c>
    </row>
    <row r="34" spans="1:4" ht="20.149999999999999" customHeight="1" x14ac:dyDescent="0.35">
      <c r="A34" s="42">
        <v>28</v>
      </c>
      <c r="B34" s="43" t="s">
        <v>6441</v>
      </c>
      <c r="C34" s="43" t="s">
        <v>6422</v>
      </c>
      <c r="D34" s="44" t="str">
        <f t="shared" si="2"/>
        <v>(28,'NETWORK-TYPE-EDITOR','Update network type data'),</v>
      </c>
    </row>
    <row r="35" spans="1:4" ht="20.149999999999999" customHeight="1" x14ac:dyDescent="0.35">
      <c r="A35" s="42">
        <v>29</v>
      </c>
      <c r="B35" s="43" t="s">
        <v>6442</v>
      </c>
      <c r="C35" s="43" t="s">
        <v>6423</v>
      </c>
      <c r="D35" s="44" t="str">
        <f t="shared" si="2"/>
        <v>(29,'NETWORK-COMMON-EDITOR','Update network common data'),</v>
      </c>
    </row>
    <row r="36" spans="1:4" ht="20.149999999999999" customHeight="1" x14ac:dyDescent="0.35">
      <c r="A36" s="42">
        <v>30</v>
      </c>
      <c r="B36" s="43" t="s">
        <v>6443</v>
      </c>
      <c r="C36" s="43" t="s">
        <v>6424</v>
      </c>
      <c r="D36" s="44" t="str">
        <f t="shared" si="2"/>
        <v>(30,'NETWORK-CORE-EDITOR','Update network core data'),</v>
      </c>
    </row>
    <row r="37" spans="1:4" ht="20.149999999999999" customHeight="1" x14ac:dyDescent="0.35">
      <c r="A37" s="42">
        <v>31</v>
      </c>
      <c r="B37" s="43" t="s">
        <v>6444</v>
      </c>
      <c r="C37" s="43" t="s">
        <v>6425</v>
      </c>
      <c r="D37" s="44" t="str">
        <f t="shared" si="2"/>
        <v>(31,'FLOW-TYPE-EDITOR','Update flow type data'),</v>
      </c>
    </row>
    <row r="38" spans="1:4" ht="20.149999999999999" customHeight="1" x14ac:dyDescent="0.35">
      <c r="A38" s="42">
        <v>32</v>
      </c>
      <c r="B38" s="43" t="s">
        <v>6445</v>
      </c>
      <c r="C38" s="43" t="s">
        <v>6426</v>
      </c>
      <c r="D38" s="44" t="str">
        <f t="shared" si="2"/>
        <v>(32,'FLOW-COMMON-EDITOR','Update flow common data'),</v>
      </c>
    </row>
    <row r="39" spans="1:4" ht="20.149999999999999" customHeight="1" x14ac:dyDescent="0.35">
      <c r="A39" s="42">
        <v>33</v>
      </c>
      <c r="B39" s="43" t="s">
        <v>6446</v>
      </c>
      <c r="C39" s="43" t="s">
        <v>6427</v>
      </c>
      <c r="D39" s="44" t="str">
        <f t="shared" si="2"/>
        <v>(33,'FLOW-CORE-EDITOR','Update flow core data'),</v>
      </c>
    </row>
    <row r="40" spans="1:4" ht="20.149999999999999" customHeight="1" x14ac:dyDescent="0.35">
      <c r="A40" s="42">
        <v>41</v>
      </c>
      <c r="B40" s="43" t="s">
        <v>6735</v>
      </c>
      <c r="C40" s="43" t="s">
        <v>6748</v>
      </c>
      <c r="D40" s="44" t="str">
        <f>CONCATENATE("(",A40,",'",B40,"','",C40,"'),")</f>
        <v>(41,'SYSTEM-SETTING-CONSULTANT','Consult system setting data'),</v>
      </c>
    </row>
    <row r="41" spans="1:4" ht="20.149999999999999" customHeight="1" x14ac:dyDescent="0.35">
      <c r="A41" s="42">
        <v>42</v>
      </c>
      <c r="B41" s="43" t="s">
        <v>6736</v>
      </c>
      <c r="C41" s="43" t="s">
        <v>6749</v>
      </c>
      <c r="D41" s="44" t="str">
        <f t="shared" ref="D41:D65" si="3">CONCATENATE("(",A41,",'",B41,"','",C41,"'),")</f>
        <v>(42,'SYSTEM-UTILITY-CONSULTANT','Consult system utility data'),</v>
      </c>
    </row>
    <row r="42" spans="1:4" ht="20.149999999999999" customHeight="1" x14ac:dyDescent="0.35">
      <c r="A42" s="42">
        <v>43</v>
      </c>
      <c r="B42" s="43" t="s">
        <v>6737</v>
      </c>
      <c r="C42" s="43" t="s">
        <v>6750</v>
      </c>
      <c r="D42" s="44" t="str">
        <f t="shared" si="3"/>
        <v>(43,'SYSTEM-SECURITY-CONSULTANT','Consult system security data'),</v>
      </c>
    </row>
    <row r="43" spans="1:4" ht="20.149999999999999" customHeight="1" x14ac:dyDescent="0.35">
      <c r="A43" s="42">
        <v>44</v>
      </c>
      <c r="B43" s="43" t="s">
        <v>6738</v>
      </c>
      <c r="C43" s="43" t="s">
        <v>6751</v>
      </c>
      <c r="D43" s="44" t="str">
        <f t="shared" si="3"/>
        <v>(44,'SYSTEM-AUDIT-CONSULTANT','Consult system audit data'),</v>
      </c>
    </row>
    <row r="44" spans="1:4" ht="20.149999999999999" customHeight="1" x14ac:dyDescent="0.35">
      <c r="A44" s="42">
        <v>45</v>
      </c>
      <c r="B44" s="43" t="s">
        <v>6739</v>
      </c>
      <c r="C44" s="43" t="s">
        <v>6752</v>
      </c>
      <c r="D44" s="44" t="str">
        <f t="shared" si="3"/>
        <v>(45,'GENERAL-TYPE-CONSULTANT','Consult general Type'),</v>
      </c>
    </row>
    <row r="45" spans="1:4" ht="20.149999999999999" customHeight="1" x14ac:dyDescent="0.35">
      <c r="A45" s="42">
        <v>46</v>
      </c>
      <c r="B45" s="43" t="s">
        <v>6740</v>
      </c>
      <c r="C45" s="43" t="s">
        <v>6753</v>
      </c>
      <c r="D45" s="44" t="str">
        <f t="shared" si="3"/>
        <v>(46,'GENERAL-LOCALIZATION-CONSULTANT','Consult general localization'),</v>
      </c>
    </row>
    <row r="46" spans="1:4" ht="20.149999999999999" customHeight="1" x14ac:dyDescent="0.35">
      <c r="A46" s="42">
        <v>47</v>
      </c>
      <c r="B46" s="43" t="s">
        <v>6741</v>
      </c>
      <c r="C46" s="43" t="s">
        <v>6754</v>
      </c>
      <c r="D46" s="44" t="str">
        <f t="shared" si="3"/>
        <v>(47,'GENERAL-ORGANIZATION-CONSULTANT','Consult general organization'),</v>
      </c>
    </row>
    <row r="47" spans="1:4" ht="20.149999999999999" customHeight="1" x14ac:dyDescent="0.35">
      <c r="A47" s="42">
        <v>48</v>
      </c>
      <c r="B47" s="43" t="s">
        <v>6742</v>
      </c>
      <c r="C47" s="43" t="s">
        <v>6755</v>
      </c>
      <c r="D47" s="44" t="str">
        <f t="shared" si="3"/>
        <v>(48,'NETWORK-TYPE-CONSULTANT','Consult network type data'),</v>
      </c>
    </row>
    <row r="48" spans="1:4" ht="20.149999999999999" customHeight="1" x14ac:dyDescent="0.35">
      <c r="A48" s="42">
        <v>49</v>
      </c>
      <c r="B48" s="43" t="s">
        <v>6743</v>
      </c>
      <c r="C48" s="43" t="s">
        <v>6756</v>
      </c>
      <c r="D48" s="44" t="str">
        <f t="shared" si="3"/>
        <v>(49,'NETWORK-COMMON-CONSULTANT','Consult network common data'),</v>
      </c>
    </row>
    <row r="49" spans="1:4" ht="20.149999999999999" customHeight="1" x14ac:dyDescent="0.35">
      <c r="A49" s="42">
        <v>50</v>
      </c>
      <c r="B49" s="43" t="s">
        <v>6744</v>
      </c>
      <c r="C49" s="43" t="s">
        <v>6757</v>
      </c>
      <c r="D49" s="44" t="str">
        <f t="shared" si="3"/>
        <v>(50,'NETWORK-CORE-CONSULTANT','Consult network core data'),</v>
      </c>
    </row>
    <row r="50" spans="1:4" ht="20.149999999999999" customHeight="1" x14ac:dyDescent="0.35">
      <c r="A50" s="42">
        <v>51</v>
      </c>
      <c r="B50" s="43" t="s">
        <v>6745</v>
      </c>
      <c r="C50" s="43" t="s">
        <v>6758</v>
      </c>
      <c r="D50" s="44" t="str">
        <f t="shared" si="3"/>
        <v>(51,'FLOW-TYPE-CONSULTANT','Consult flow type data'),</v>
      </c>
    </row>
    <row r="51" spans="1:4" ht="20.149999999999999" customHeight="1" x14ac:dyDescent="0.35">
      <c r="A51" s="42">
        <v>52</v>
      </c>
      <c r="B51" s="43" t="s">
        <v>6746</v>
      </c>
      <c r="C51" s="43" t="s">
        <v>6759</v>
      </c>
      <c r="D51" s="44" t="str">
        <f t="shared" si="3"/>
        <v>(52,'FLOW-COMMON-CONSULTANT','Consult flow common data'),</v>
      </c>
    </row>
    <row r="52" spans="1:4" ht="20.149999999999999" customHeight="1" x14ac:dyDescent="0.35">
      <c r="A52" s="42">
        <v>53</v>
      </c>
      <c r="B52" s="43" t="s">
        <v>6747</v>
      </c>
      <c r="C52" s="43" t="s">
        <v>6760</v>
      </c>
      <c r="D52" s="44" t="str">
        <f t="shared" si="3"/>
        <v>(53,'FLOW-CORE-CONSULTANT','Consult flow core data'),</v>
      </c>
    </row>
    <row r="53" spans="1:4" ht="20.149999999999999" customHeight="1" x14ac:dyDescent="0.35">
      <c r="A53" s="42">
        <v>61</v>
      </c>
      <c r="B53" s="43" t="s">
        <v>6774</v>
      </c>
      <c r="C53" s="43" t="s">
        <v>6762</v>
      </c>
      <c r="D53" s="44" t="str">
        <f t="shared" si="3"/>
        <v>(61,'SYSTEM-SETTING-VALIDATOR','Validate system setting data'),</v>
      </c>
    </row>
    <row r="54" spans="1:4" ht="20.149999999999999" customHeight="1" x14ac:dyDescent="0.35">
      <c r="A54" s="42">
        <v>62</v>
      </c>
      <c r="B54" s="43" t="s">
        <v>6775</v>
      </c>
      <c r="C54" s="43" t="s">
        <v>6763</v>
      </c>
      <c r="D54" s="44" t="str">
        <f t="shared" si="3"/>
        <v>(62,'SYSTEM-UTILITY-VALIDATOR','Validate system utility data'),</v>
      </c>
    </row>
    <row r="55" spans="1:4" ht="20.149999999999999" customHeight="1" x14ac:dyDescent="0.35">
      <c r="A55" s="42">
        <v>63</v>
      </c>
      <c r="B55" s="43" t="s">
        <v>6776</v>
      </c>
      <c r="C55" s="43" t="s">
        <v>6764</v>
      </c>
      <c r="D55" s="44" t="str">
        <f t="shared" si="3"/>
        <v>(63,'SYSTEM-SECURITY-VALIDATOR','Validate system security data'),</v>
      </c>
    </row>
    <row r="56" spans="1:4" ht="20.149999999999999" customHeight="1" x14ac:dyDescent="0.35">
      <c r="A56" s="42">
        <v>64</v>
      </c>
      <c r="B56" s="43" t="s">
        <v>6777</v>
      </c>
      <c r="C56" s="43" t="s">
        <v>6765</v>
      </c>
      <c r="D56" s="44" t="str">
        <f t="shared" si="3"/>
        <v>(64,'SYSTEM-AUDIT-VALIDATOR','Validate system audit data'),</v>
      </c>
    </row>
    <row r="57" spans="1:4" ht="20.149999999999999" customHeight="1" x14ac:dyDescent="0.35">
      <c r="A57" s="42">
        <v>65</v>
      </c>
      <c r="B57" s="43" t="s">
        <v>6778</v>
      </c>
      <c r="C57" s="43" t="s">
        <v>6766</v>
      </c>
      <c r="D57" s="44" t="str">
        <f t="shared" si="3"/>
        <v>(65,'GENERAL-TYPE-VALIDATOR','Validate general Type'),</v>
      </c>
    </row>
    <row r="58" spans="1:4" ht="20.149999999999999" customHeight="1" x14ac:dyDescent="0.35">
      <c r="A58" s="42">
        <v>66</v>
      </c>
      <c r="B58" s="43" t="s">
        <v>6779</v>
      </c>
      <c r="C58" s="43" t="s">
        <v>6767</v>
      </c>
      <c r="D58" s="44" t="str">
        <f t="shared" si="3"/>
        <v>(66,'GENERAL-LOCALIZATION-VALIDATOR','Validate general localization'),</v>
      </c>
    </row>
    <row r="59" spans="1:4" ht="20.149999999999999" customHeight="1" x14ac:dyDescent="0.35">
      <c r="A59" s="42">
        <v>67</v>
      </c>
      <c r="B59" s="43" t="s">
        <v>6780</v>
      </c>
      <c r="C59" s="43" t="s">
        <v>6768</v>
      </c>
      <c r="D59" s="44" t="str">
        <f t="shared" si="3"/>
        <v>(67,'GENERAL-ORGANIZATION-VALIDATOR','Validate general organization'),</v>
      </c>
    </row>
    <row r="60" spans="1:4" ht="20.149999999999999" customHeight="1" x14ac:dyDescent="0.35">
      <c r="A60" s="42">
        <v>68</v>
      </c>
      <c r="B60" s="43" t="s">
        <v>6781</v>
      </c>
      <c r="C60" s="43" t="s">
        <v>6769</v>
      </c>
      <c r="D60" s="44" t="str">
        <f t="shared" si="3"/>
        <v>(68,'NETWORK-TYPE-VALIDATOR','Validate network type data'),</v>
      </c>
    </row>
    <row r="61" spans="1:4" ht="20.149999999999999" customHeight="1" x14ac:dyDescent="0.35">
      <c r="A61" s="42">
        <v>69</v>
      </c>
      <c r="B61" s="43" t="s">
        <v>6782</v>
      </c>
      <c r="C61" s="43" t="s">
        <v>6770</v>
      </c>
      <c r="D61" s="44" t="str">
        <f t="shared" si="3"/>
        <v>(69,'NETWORK-COMMON-VALIDATOR','Validate network common data'),</v>
      </c>
    </row>
    <row r="62" spans="1:4" ht="20.149999999999999" customHeight="1" x14ac:dyDescent="0.35">
      <c r="A62" s="42">
        <v>70</v>
      </c>
      <c r="B62" s="43" t="s">
        <v>6783</v>
      </c>
      <c r="C62" s="43" t="s">
        <v>6771</v>
      </c>
      <c r="D62" s="44" t="str">
        <f t="shared" si="3"/>
        <v>(70,'NETWORK-CORE-VALIDATOR','Validate network core data'),</v>
      </c>
    </row>
    <row r="63" spans="1:4" ht="20.149999999999999" customHeight="1" x14ac:dyDescent="0.35">
      <c r="A63" s="42">
        <v>71</v>
      </c>
      <c r="B63" s="43" t="s">
        <v>6784</v>
      </c>
      <c r="C63" s="43" t="s">
        <v>6772</v>
      </c>
      <c r="D63" s="44" t="str">
        <f t="shared" si="3"/>
        <v>(71,'FLOW-TYPE-VALIDATOR','Validate flow type data'),</v>
      </c>
    </row>
    <row r="64" spans="1:4" ht="20.149999999999999" customHeight="1" x14ac:dyDescent="0.35">
      <c r="A64" s="42">
        <v>72</v>
      </c>
      <c r="B64" s="43" t="s">
        <v>6785</v>
      </c>
      <c r="C64" s="43" t="s">
        <v>6773</v>
      </c>
      <c r="D64" s="44" t="str">
        <f t="shared" si="3"/>
        <v>(72,'FLOW-COMMON-VALIDATOR','Validate flow common data'),</v>
      </c>
    </row>
    <row r="65" spans="1:4" ht="20.149999999999999" customHeight="1" x14ac:dyDescent="0.35">
      <c r="A65" s="42">
        <v>73</v>
      </c>
      <c r="B65" s="43" t="s">
        <v>6786</v>
      </c>
      <c r="C65" s="43" t="s">
        <v>6761</v>
      </c>
      <c r="D65" s="44" t="str">
        <f t="shared" si="3"/>
        <v>(73,'FLOW-CORE-VALIDATOR','Validate flow core data'),</v>
      </c>
    </row>
    <row r="66" spans="1:4" ht="20.149999999999999" customHeight="1" x14ac:dyDescent="0.35">
      <c r="A66" s="42">
        <v>99</v>
      </c>
      <c r="B66" s="43" t="s">
        <v>6448</v>
      </c>
      <c r="C66" s="43" t="s">
        <v>6449</v>
      </c>
      <c r="D66" s="44" t="str">
        <f t="shared" ref="D66" si="4">CONCATENATE("(",A66,",'",B66,"','",C66,"'),")</f>
        <v>(99,'TESTER','Test Role'),</v>
      </c>
    </row>
  </sheetData>
  <autoFilter ref="A2:B2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C474"/>
  <sheetViews>
    <sheetView workbookViewId="0">
      <selection activeCell="C474" sqref="C2:C474"/>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6081</v>
      </c>
      <c r="B1" s="1" t="s">
        <v>6089</v>
      </c>
      <c r="C1" s="1" t="s">
        <v>5603</v>
      </c>
    </row>
    <row r="2" spans="1:3" ht="20.149999999999999" customHeight="1" x14ac:dyDescent="0.35">
      <c r="A2" s="1" t="s">
        <v>41</v>
      </c>
      <c r="B2" s="1" t="s">
        <v>42</v>
      </c>
      <c r="C2" s="1" t="s">
        <v>6085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2</v>
      </c>
      <c r="B11" s="4">
        <v>9</v>
      </c>
      <c r="C11" s="16" t="str">
        <f t="shared" si="0"/>
        <v>(2,9),</v>
      </c>
    </row>
    <row r="12" spans="1:3" ht="20.149999999999999" customHeight="1" x14ac:dyDescent="0.35">
      <c r="A12" s="4">
        <v>2</v>
      </c>
      <c r="B12" s="4">
        <v>10</v>
      </c>
      <c r="C12" s="16" t="str">
        <f t="shared" si="0"/>
        <v>(2,10),</v>
      </c>
    </row>
    <row r="13" spans="1:3" ht="20.149999999999999" customHeight="1" x14ac:dyDescent="0.35">
      <c r="A13" s="4">
        <v>2</v>
      </c>
      <c r="B13" s="4">
        <v>11</v>
      </c>
      <c r="C13" s="16" t="str">
        <f t="shared" si="0"/>
        <v>(2,11),</v>
      </c>
    </row>
    <row r="14" spans="1:3" ht="20.149999999999999" customHeight="1" x14ac:dyDescent="0.35">
      <c r="A14" s="4">
        <v>2</v>
      </c>
      <c r="B14" s="4">
        <v>12</v>
      </c>
      <c r="C14" s="16" t="str">
        <f t="shared" si="0"/>
        <v>(2,12),</v>
      </c>
    </row>
    <row r="15" spans="1:3" ht="20.149999999999999" customHeight="1" x14ac:dyDescent="0.35">
      <c r="A15" s="4">
        <v>2</v>
      </c>
      <c r="B15" s="4">
        <v>13</v>
      </c>
      <c r="C15" s="16" t="str">
        <f t="shared" si="0"/>
        <v>(2,13),</v>
      </c>
    </row>
    <row r="16" spans="1:3" ht="20.149999999999999" customHeight="1" x14ac:dyDescent="0.35">
      <c r="A16" s="4">
        <v>2</v>
      </c>
      <c r="B16" s="4">
        <v>14</v>
      </c>
      <c r="C16" s="16" t="str">
        <f t="shared" si="0"/>
        <v>(2,14),</v>
      </c>
    </row>
    <row r="17" spans="1:3" ht="20.149999999999999" customHeight="1" x14ac:dyDescent="0.35">
      <c r="A17" s="4">
        <v>2</v>
      </c>
      <c r="B17" s="4">
        <v>15</v>
      </c>
      <c r="C17" s="16" t="str">
        <f t="shared" si="0"/>
        <v>(2,15),</v>
      </c>
    </row>
    <row r="18" spans="1:3" ht="20.149999999999999" customHeight="1" x14ac:dyDescent="0.35">
      <c r="A18" s="4">
        <v>2</v>
      </c>
      <c r="B18" s="4">
        <v>16</v>
      </c>
      <c r="C18" s="16" t="str">
        <f t="shared" si="0"/>
        <v>(2,16),</v>
      </c>
    </row>
    <row r="19" spans="1:3" ht="20.149999999999999" customHeight="1" x14ac:dyDescent="0.35">
      <c r="A19" s="4">
        <v>2</v>
      </c>
      <c r="B19" s="4">
        <v>17</v>
      </c>
      <c r="C19" s="16" t="str">
        <f t="shared" si="0"/>
        <v>(2,17),</v>
      </c>
    </row>
    <row r="20" spans="1:3" ht="20.149999999999999" customHeight="1" x14ac:dyDescent="0.35">
      <c r="A20" s="4">
        <v>2</v>
      </c>
      <c r="B20" s="4">
        <v>18</v>
      </c>
      <c r="C20" s="16" t="str">
        <f t="shared" ref="C20:C22" si="1">CONCATENATE("(",A20,",",B20,"),")</f>
        <v>(2,18),</v>
      </c>
    </row>
    <row r="21" spans="1:3" ht="20.149999999999999" customHeight="1" x14ac:dyDescent="0.35">
      <c r="A21" s="4">
        <v>2</v>
      </c>
      <c r="B21" s="4">
        <v>19</v>
      </c>
      <c r="C21" s="16" t="str">
        <f t="shared" si="1"/>
        <v>(2,19),</v>
      </c>
    </row>
    <row r="22" spans="1:3" ht="20.149999999999999" customHeight="1" x14ac:dyDescent="0.35">
      <c r="A22" s="4">
        <v>2</v>
      </c>
      <c r="B22" s="4">
        <v>20</v>
      </c>
      <c r="C22" s="16" t="str">
        <f t="shared" si="1"/>
        <v>(2,20),</v>
      </c>
    </row>
    <row r="23" spans="1:3" ht="20.149999999999999" customHeight="1" x14ac:dyDescent="0.35">
      <c r="A23" s="4">
        <v>5</v>
      </c>
      <c r="B23" s="4">
        <v>21</v>
      </c>
      <c r="C23" s="16" t="str">
        <f t="shared" ref="C23:C86" si="2">CONCATENATE("(",A23,",",B23,"),")</f>
        <v>(5,21),</v>
      </c>
    </row>
    <row r="24" spans="1:3" ht="20.149999999999999" customHeight="1" x14ac:dyDescent="0.35">
      <c r="A24" s="4">
        <v>5</v>
      </c>
      <c r="B24" s="4">
        <v>22</v>
      </c>
      <c r="C24" s="16" t="str">
        <f t="shared" si="2"/>
        <v>(5,22),</v>
      </c>
    </row>
    <row r="25" spans="1:3" ht="20.149999999999999" customHeight="1" x14ac:dyDescent="0.35">
      <c r="A25" s="4">
        <v>5</v>
      </c>
      <c r="B25" s="4">
        <v>23</v>
      </c>
      <c r="C25" s="16" t="str">
        <f t="shared" si="2"/>
        <v>(5,23),</v>
      </c>
    </row>
    <row r="26" spans="1:3" ht="20.149999999999999" customHeight="1" x14ac:dyDescent="0.35">
      <c r="A26" s="4">
        <v>5</v>
      </c>
      <c r="B26" s="4">
        <v>24</v>
      </c>
      <c r="C26" s="16" t="str">
        <f t="shared" si="2"/>
        <v>(5,24),</v>
      </c>
    </row>
    <row r="27" spans="1:3" ht="20.149999999999999" customHeight="1" x14ac:dyDescent="0.35">
      <c r="A27" s="4">
        <v>5</v>
      </c>
      <c r="B27" s="4">
        <v>25</v>
      </c>
      <c r="C27" s="16" t="str">
        <f t="shared" si="2"/>
        <v>(5,25),</v>
      </c>
    </row>
    <row r="28" spans="1:3" ht="20.149999999999999" customHeight="1" x14ac:dyDescent="0.35">
      <c r="A28" s="4">
        <v>5</v>
      </c>
      <c r="B28" s="4">
        <v>26</v>
      </c>
      <c r="C28" s="16" t="str">
        <f t="shared" si="2"/>
        <v>(5,26),</v>
      </c>
    </row>
    <row r="29" spans="1:3" ht="20.149999999999999" customHeight="1" x14ac:dyDescent="0.35">
      <c r="A29" s="4">
        <v>5</v>
      </c>
      <c r="B29" s="4">
        <v>27</v>
      </c>
      <c r="C29" s="16" t="str">
        <f t="shared" si="2"/>
        <v>(5,27),</v>
      </c>
    </row>
    <row r="30" spans="1:3" ht="20.149999999999999" customHeight="1" x14ac:dyDescent="0.35">
      <c r="A30" s="4">
        <v>5</v>
      </c>
      <c r="B30" s="4">
        <v>28</v>
      </c>
      <c r="C30" s="16" t="str">
        <f t="shared" si="2"/>
        <v>(5,28),</v>
      </c>
    </row>
    <row r="31" spans="1:3" ht="20.149999999999999" customHeight="1" x14ac:dyDescent="0.35">
      <c r="A31" s="4">
        <v>5</v>
      </c>
      <c r="B31" s="4">
        <v>29</v>
      </c>
      <c r="C31" s="16" t="str">
        <f t="shared" si="2"/>
        <v>(5,29),</v>
      </c>
    </row>
    <row r="32" spans="1:3" ht="20.149999999999999" customHeight="1" x14ac:dyDescent="0.35">
      <c r="A32" s="4">
        <v>5</v>
      </c>
      <c r="B32" s="4">
        <v>30</v>
      </c>
      <c r="C32" s="16" t="str">
        <f t="shared" si="2"/>
        <v>(5,30),</v>
      </c>
    </row>
    <row r="33" spans="1:3" ht="20.149999999999999" customHeight="1" x14ac:dyDescent="0.35">
      <c r="A33" s="4">
        <v>5</v>
      </c>
      <c r="B33" s="4">
        <v>31</v>
      </c>
      <c r="C33" s="16" t="str">
        <f t="shared" si="2"/>
        <v>(5,31),</v>
      </c>
    </row>
    <row r="34" spans="1:3" ht="20.149999999999999" customHeight="1" x14ac:dyDescent="0.35">
      <c r="A34" s="4">
        <v>5</v>
      </c>
      <c r="B34" s="4">
        <v>32</v>
      </c>
      <c r="C34" s="16" t="str">
        <f t="shared" si="2"/>
        <v>(5,32),</v>
      </c>
    </row>
    <row r="35" spans="1:3" ht="20.149999999999999" customHeight="1" x14ac:dyDescent="0.35">
      <c r="A35" s="4">
        <v>5</v>
      </c>
      <c r="B35" s="4">
        <v>33</v>
      </c>
      <c r="C35" s="16" t="str">
        <f t="shared" si="2"/>
        <v>(5,33),</v>
      </c>
    </row>
    <row r="36" spans="1:3" ht="20.149999999999999" customHeight="1" x14ac:dyDescent="0.35">
      <c r="A36" s="4">
        <v>5</v>
      </c>
      <c r="B36" s="4">
        <v>34</v>
      </c>
      <c r="C36" s="16" t="str">
        <f t="shared" si="2"/>
        <v>(5,34),</v>
      </c>
    </row>
    <row r="37" spans="1:3" ht="20.149999999999999" customHeight="1" x14ac:dyDescent="0.35">
      <c r="A37" s="4">
        <v>5</v>
      </c>
      <c r="B37" s="4">
        <v>35</v>
      </c>
      <c r="C37" s="16" t="str">
        <f t="shared" si="2"/>
        <v>(5,35),</v>
      </c>
    </row>
    <row r="38" spans="1:3" ht="20.149999999999999" customHeight="1" x14ac:dyDescent="0.35">
      <c r="A38" s="4">
        <v>5</v>
      </c>
      <c r="B38" s="4">
        <v>36</v>
      </c>
      <c r="C38" s="16" t="str">
        <f t="shared" si="2"/>
        <v>(5,36),</v>
      </c>
    </row>
    <row r="39" spans="1:3" ht="20.149999999999999" customHeight="1" x14ac:dyDescent="0.35">
      <c r="A39" s="4">
        <v>5</v>
      </c>
      <c r="B39" s="4">
        <v>37</v>
      </c>
      <c r="C39" s="16" t="str">
        <f t="shared" si="2"/>
        <v>(5,37),</v>
      </c>
    </row>
    <row r="40" spans="1:3" ht="20.149999999999999" customHeight="1" x14ac:dyDescent="0.35">
      <c r="A40" s="4">
        <v>5</v>
      </c>
      <c r="B40" s="4">
        <v>38</v>
      </c>
      <c r="C40" s="16" t="str">
        <f t="shared" si="2"/>
        <v>(5,38),</v>
      </c>
    </row>
    <row r="41" spans="1:3" ht="20.149999999999999" customHeight="1" x14ac:dyDescent="0.35">
      <c r="A41" s="4">
        <v>5</v>
      </c>
      <c r="B41" s="4">
        <v>39</v>
      </c>
      <c r="C41" s="16" t="str">
        <f t="shared" si="2"/>
        <v>(5,39),</v>
      </c>
    </row>
    <row r="42" spans="1:3" ht="20.149999999999999" customHeight="1" x14ac:dyDescent="0.35">
      <c r="A42" s="4">
        <v>5</v>
      </c>
      <c r="B42" s="4">
        <v>40</v>
      </c>
      <c r="C42" s="16" t="str">
        <f t="shared" si="2"/>
        <v>(5,40),</v>
      </c>
    </row>
    <row r="43" spans="1:3" ht="20.149999999999999" customHeight="1" x14ac:dyDescent="0.35">
      <c r="A43" s="4">
        <v>5</v>
      </c>
      <c r="B43" s="4">
        <v>41</v>
      </c>
      <c r="C43" s="16" t="str">
        <f t="shared" si="2"/>
        <v>(5,41),</v>
      </c>
    </row>
    <row r="44" spans="1:3" ht="20.149999999999999" customHeight="1" x14ac:dyDescent="0.35">
      <c r="A44" s="4">
        <v>5</v>
      </c>
      <c r="B44" s="4">
        <v>42</v>
      </c>
      <c r="C44" s="16" t="str">
        <f t="shared" si="2"/>
        <v>(5,42),</v>
      </c>
    </row>
    <row r="45" spans="1:3" ht="20.149999999999999" customHeight="1" x14ac:dyDescent="0.35">
      <c r="A45" s="4">
        <v>5</v>
      </c>
      <c r="B45" s="4">
        <v>43</v>
      </c>
      <c r="C45" s="16" t="str">
        <f t="shared" si="2"/>
        <v>(5,43),</v>
      </c>
    </row>
    <row r="46" spans="1:3" ht="20.149999999999999" customHeight="1" x14ac:dyDescent="0.35">
      <c r="A46" s="4">
        <v>5</v>
      </c>
      <c r="B46" s="4">
        <v>44</v>
      </c>
      <c r="C46" s="16" t="str">
        <f t="shared" si="2"/>
        <v>(5,44),</v>
      </c>
    </row>
    <row r="47" spans="1:3" ht="20.149999999999999" customHeight="1" x14ac:dyDescent="0.35">
      <c r="A47" s="4">
        <v>8</v>
      </c>
      <c r="B47" s="4">
        <v>45</v>
      </c>
      <c r="C47" s="16" t="str">
        <f t="shared" si="2"/>
        <v>(8,45),</v>
      </c>
    </row>
    <row r="48" spans="1:3" ht="20.149999999999999" customHeight="1" x14ac:dyDescent="0.35">
      <c r="A48" s="4">
        <v>8</v>
      </c>
      <c r="B48" s="4">
        <v>46</v>
      </c>
      <c r="C48" s="16" t="str">
        <f t="shared" si="2"/>
        <v>(8,46),</v>
      </c>
    </row>
    <row r="49" spans="1:3" ht="20.149999999999999" customHeight="1" x14ac:dyDescent="0.35">
      <c r="A49" s="4">
        <v>8</v>
      </c>
      <c r="B49" s="4">
        <v>47</v>
      </c>
      <c r="C49" s="16" t="str">
        <f t="shared" si="2"/>
        <v>(8,47),</v>
      </c>
    </row>
    <row r="50" spans="1:3" ht="20.149999999999999" customHeight="1" x14ac:dyDescent="0.35">
      <c r="A50" s="4">
        <v>8</v>
      </c>
      <c r="B50" s="4">
        <v>48</v>
      </c>
      <c r="C50" s="16" t="str">
        <f t="shared" si="2"/>
        <v>(8,48),</v>
      </c>
    </row>
    <row r="51" spans="1:3" ht="20.149999999999999" customHeight="1" x14ac:dyDescent="0.35">
      <c r="A51" s="4">
        <v>8</v>
      </c>
      <c r="B51" s="4">
        <v>49</v>
      </c>
      <c r="C51" s="16" t="str">
        <f t="shared" si="2"/>
        <v>(8,49),</v>
      </c>
    </row>
    <row r="52" spans="1:3" ht="20.149999999999999" customHeight="1" x14ac:dyDescent="0.35">
      <c r="A52" s="4">
        <v>8</v>
      </c>
      <c r="B52" s="4">
        <v>50</v>
      </c>
      <c r="C52" s="16" t="str">
        <f t="shared" si="2"/>
        <v>(8,50),</v>
      </c>
    </row>
    <row r="53" spans="1:3" ht="20.149999999999999" customHeight="1" x14ac:dyDescent="0.35">
      <c r="A53" s="4">
        <v>8</v>
      </c>
      <c r="B53" s="4">
        <v>51</v>
      </c>
      <c r="C53" s="16" t="str">
        <f t="shared" si="2"/>
        <v>(8,51),</v>
      </c>
    </row>
    <row r="54" spans="1:3" ht="20.149999999999999" customHeight="1" x14ac:dyDescent="0.35">
      <c r="A54" s="4">
        <v>8</v>
      </c>
      <c r="B54" s="4">
        <v>52</v>
      </c>
      <c r="C54" s="16" t="str">
        <f t="shared" si="2"/>
        <v>(8,52),</v>
      </c>
    </row>
    <row r="55" spans="1:3" ht="20.149999999999999" customHeight="1" x14ac:dyDescent="0.35">
      <c r="A55" s="4">
        <v>8</v>
      </c>
      <c r="B55" s="4">
        <v>53</v>
      </c>
      <c r="C55" s="16" t="str">
        <f t="shared" si="2"/>
        <v>(8,53),</v>
      </c>
    </row>
    <row r="56" spans="1:3" ht="20.149999999999999" customHeight="1" x14ac:dyDescent="0.35">
      <c r="A56" s="4">
        <v>8</v>
      </c>
      <c r="B56" s="4">
        <v>54</v>
      </c>
      <c r="C56" s="16" t="str">
        <f t="shared" si="2"/>
        <v>(8,54),</v>
      </c>
    </row>
    <row r="57" spans="1:3" ht="20.149999999999999" customHeight="1" x14ac:dyDescent="0.35">
      <c r="A57" s="4">
        <v>8</v>
      </c>
      <c r="B57" s="4">
        <v>55</v>
      </c>
      <c r="C57" s="16" t="str">
        <f t="shared" si="2"/>
        <v>(8,55),</v>
      </c>
    </row>
    <row r="58" spans="1:3" ht="20.149999999999999" customHeight="1" x14ac:dyDescent="0.35">
      <c r="A58" s="4">
        <v>8</v>
      </c>
      <c r="B58" s="4">
        <v>56</v>
      </c>
      <c r="C58" s="16" t="str">
        <f t="shared" si="2"/>
        <v>(8,56),</v>
      </c>
    </row>
    <row r="59" spans="1:3" ht="20.149999999999999" customHeight="1" x14ac:dyDescent="0.35">
      <c r="A59" s="4">
        <v>8</v>
      </c>
      <c r="B59" s="4">
        <v>57</v>
      </c>
      <c r="C59" s="16" t="str">
        <f t="shared" si="2"/>
        <v>(8,57),</v>
      </c>
    </row>
    <row r="60" spans="1:3" ht="20.149999999999999" customHeight="1" x14ac:dyDescent="0.35">
      <c r="A60" s="4">
        <v>8</v>
      </c>
      <c r="B60" s="4">
        <v>58</v>
      </c>
      <c r="C60" s="16" t="str">
        <f t="shared" si="2"/>
        <v>(8,58),</v>
      </c>
    </row>
    <row r="61" spans="1:3" ht="20.149999999999999" customHeight="1" x14ac:dyDescent="0.35">
      <c r="A61" s="4">
        <v>8</v>
      </c>
      <c r="B61" s="4">
        <v>59</v>
      </c>
      <c r="C61" s="16" t="str">
        <f t="shared" si="2"/>
        <v>(8,59),</v>
      </c>
    </row>
    <row r="62" spans="1:3" ht="20.149999999999999" customHeight="1" x14ac:dyDescent="0.35">
      <c r="A62" s="4">
        <v>1</v>
      </c>
      <c r="B62" s="4">
        <v>101</v>
      </c>
      <c r="C62" s="16" t="str">
        <f t="shared" si="2"/>
        <v>(1,101),</v>
      </c>
    </row>
    <row r="63" spans="1:3" ht="20.149999999999999" customHeight="1" x14ac:dyDescent="0.35">
      <c r="A63" s="4">
        <v>1</v>
      </c>
      <c r="B63" s="4">
        <v>102</v>
      </c>
      <c r="C63" s="16" t="str">
        <f t="shared" si="2"/>
        <v>(1,102),</v>
      </c>
    </row>
    <row r="64" spans="1:3" ht="20.149999999999999" customHeight="1" x14ac:dyDescent="0.35">
      <c r="A64" s="4">
        <v>1</v>
      </c>
      <c r="B64" s="4">
        <v>103</v>
      </c>
      <c r="C64" s="16" t="str">
        <f t="shared" si="2"/>
        <v>(1,103),</v>
      </c>
    </row>
    <row r="65" spans="1:3" ht="20.149999999999999" customHeight="1" x14ac:dyDescent="0.35">
      <c r="A65" s="4">
        <v>1</v>
      </c>
      <c r="B65" s="4">
        <v>104</v>
      </c>
      <c r="C65" s="16" t="str">
        <f t="shared" si="2"/>
        <v>(1,104),</v>
      </c>
    </row>
    <row r="66" spans="1:3" ht="20.149999999999999" customHeight="1" x14ac:dyDescent="0.35">
      <c r="A66" s="4">
        <v>1</v>
      </c>
      <c r="B66" s="4">
        <v>105</v>
      </c>
      <c r="C66" s="16" t="str">
        <f t="shared" si="2"/>
        <v>(1,105),</v>
      </c>
    </row>
    <row r="67" spans="1:3" ht="20.149999999999999" customHeight="1" x14ac:dyDescent="0.35">
      <c r="A67" s="4">
        <v>1</v>
      </c>
      <c r="B67" s="4">
        <v>106</v>
      </c>
      <c r="C67" s="16" t="str">
        <f t="shared" si="2"/>
        <v>(1,106),</v>
      </c>
    </row>
    <row r="68" spans="1:3" ht="20.149999999999999" customHeight="1" x14ac:dyDescent="0.35">
      <c r="A68" s="4">
        <v>1</v>
      </c>
      <c r="B68" s="4">
        <v>107</v>
      </c>
      <c r="C68" s="16" t="str">
        <f t="shared" si="2"/>
        <v>(1,107),</v>
      </c>
    </row>
    <row r="69" spans="1:3" ht="20.149999999999999" customHeight="1" x14ac:dyDescent="0.35">
      <c r="A69" s="4">
        <v>1</v>
      </c>
      <c r="B69" s="4">
        <v>108</v>
      </c>
      <c r="C69" s="16" t="str">
        <f t="shared" si="2"/>
        <v>(1,108),</v>
      </c>
    </row>
    <row r="70" spans="1:3" ht="20.149999999999999" customHeight="1" x14ac:dyDescent="0.35">
      <c r="A70" s="4">
        <v>7</v>
      </c>
      <c r="B70" s="4">
        <v>109</v>
      </c>
      <c r="C70" s="16" t="str">
        <f t="shared" si="2"/>
        <v>(7,109),</v>
      </c>
    </row>
    <row r="71" spans="1:3" ht="20.149999999999999" customHeight="1" x14ac:dyDescent="0.35">
      <c r="A71" s="4">
        <v>7</v>
      </c>
      <c r="B71" s="4">
        <v>110</v>
      </c>
      <c r="C71" s="16" t="str">
        <f t="shared" si="2"/>
        <v>(7,110),</v>
      </c>
    </row>
    <row r="72" spans="1:3" ht="20.149999999999999" customHeight="1" x14ac:dyDescent="0.35">
      <c r="A72" s="4">
        <v>7</v>
      </c>
      <c r="B72" s="4">
        <v>111</v>
      </c>
      <c r="C72" s="16" t="str">
        <f t="shared" si="2"/>
        <v>(7,111),</v>
      </c>
    </row>
    <row r="73" spans="1:3" ht="20.149999999999999" customHeight="1" x14ac:dyDescent="0.35">
      <c r="A73" s="4">
        <v>7</v>
      </c>
      <c r="B73" s="4">
        <v>112</v>
      </c>
      <c r="C73" s="16" t="str">
        <f t="shared" si="2"/>
        <v>(7,112),</v>
      </c>
    </row>
    <row r="74" spans="1:3" ht="20.149999999999999" customHeight="1" x14ac:dyDescent="0.35">
      <c r="A74" s="4">
        <v>7</v>
      </c>
      <c r="B74" s="4">
        <v>113</v>
      </c>
      <c r="C74" s="16" t="str">
        <f t="shared" si="2"/>
        <v>(7,113),</v>
      </c>
    </row>
    <row r="75" spans="1:3" ht="20.149999999999999" customHeight="1" x14ac:dyDescent="0.35">
      <c r="A75" s="4">
        <v>7</v>
      </c>
      <c r="B75" s="4">
        <v>114</v>
      </c>
      <c r="C75" s="16" t="str">
        <f t="shared" si="2"/>
        <v>(7,114),</v>
      </c>
    </row>
    <row r="76" spans="1:3" ht="20.149999999999999" customHeight="1" x14ac:dyDescent="0.35">
      <c r="A76" s="4">
        <v>7</v>
      </c>
      <c r="B76" s="4">
        <v>115</v>
      </c>
      <c r="C76" s="16" t="str">
        <f t="shared" si="2"/>
        <v>(7,115),</v>
      </c>
    </row>
    <row r="77" spans="1:3" ht="20.149999999999999" customHeight="1" x14ac:dyDescent="0.35">
      <c r="A77" s="4">
        <v>7</v>
      </c>
      <c r="B77" s="4">
        <v>116</v>
      </c>
      <c r="C77" s="16" t="str">
        <f t="shared" si="2"/>
        <v>(7,116),</v>
      </c>
    </row>
    <row r="78" spans="1:3" ht="20.149999999999999" customHeight="1" x14ac:dyDescent="0.35">
      <c r="A78" s="4">
        <v>7</v>
      </c>
      <c r="B78" s="4">
        <v>117</v>
      </c>
      <c r="C78" s="16" t="str">
        <f t="shared" si="2"/>
        <v>(7,117),</v>
      </c>
    </row>
    <row r="79" spans="1:3" ht="20.149999999999999" customHeight="1" x14ac:dyDescent="0.35">
      <c r="A79" s="4">
        <v>7</v>
      </c>
      <c r="B79" s="4">
        <v>118</v>
      </c>
      <c r="C79" s="16" t="str">
        <f t="shared" si="2"/>
        <v>(7,118),</v>
      </c>
    </row>
    <row r="80" spans="1:3" ht="20.149999999999999" customHeight="1" x14ac:dyDescent="0.35">
      <c r="A80" s="4">
        <v>7</v>
      </c>
      <c r="B80" s="4">
        <v>119</v>
      </c>
      <c r="C80" s="16" t="str">
        <f t="shared" si="2"/>
        <v>(7,119),</v>
      </c>
    </row>
    <row r="81" spans="1:3" ht="20.149999999999999" customHeight="1" x14ac:dyDescent="0.35">
      <c r="A81" s="4">
        <v>7</v>
      </c>
      <c r="B81" s="4">
        <v>120</v>
      </c>
      <c r="C81" s="16" t="str">
        <f t="shared" si="2"/>
        <v>(7,120),</v>
      </c>
    </row>
    <row r="82" spans="1:3" ht="20.149999999999999" customHeight="1" x14ac:dyDescent="0.35">
      <c r="A82" s="4">
        <v>4</v>
      </c>
      <c r="B82" s="4">
        <v>121</v>
      </c>
      <c r="C82" s="16" t="str">
        <f t="shared" si="2"/>
        <v>(4,121),</v>
      </c>
    </row>
    <row r="83" spans="1:3" ht="20.149999999999999" customHeight="1" x14ac:dyDescent="0.35">
      <c r="A83" s="4">
        <v>4</v>
      </c>
      <c r="B83" s="4">
        <v>122</v>
      </c>
      <c r="C83" s="16" t="str">
        <f t="shared" si="2"/>
        <v>(4,122),</v>
      </c>
    </row>
    <row r="84" spans="1:3" ht="20.149999999999999" customHeight="1" x14ac:dyDescent="0.35">
      <c r="A84" s="4">
        <v>4</v>
      </c>
      <c r="B84" s="4">
        <v>123</v>
      </c>
      <c r="C84" s="16" t="str">
        <f t="shared" si="2"/>
        <v>(4,123),</v>
      </c>
    </row>
    <row r="85" spans="1:3" ht="20.149999999999999" customHeight="1" x14ac:dyDescent="0.35">
      <c r="A85" s="4">
        <v>4</v>
      </c>
      <c r="B85" s="4">
        <v>124</v>
      </c>
      <c r="C85" s="16" t="str">
        <f t="shared" si="2"/>
        <v>(4,124),</v>
      </c>
    </row>
    <row r="86" spans="1:3" ht="20.149999999999999" customHeight="1" x14ac:dyDescent="0.35">
      <c r="A86" s="4">
        <v>4</v>
      </c>
      <c r="B86" s="4">
        <v>125</v>
      </c>
      <c r="C86" s="16" t="str">
        <f t="shared" si="2"/>
        <v>(4,125),</v>
      </c>
    </row>
    <row r="87" spans="1:3" ht="20.149999999999999" customHeight="1" x14ac:dyDescent="0.35">
      <c r="A87" s="4">
        <v>4</v>
      </c>
      <c r="B87" s="4">
        <v>126</v>
      </c>
      <c r="C87" s="16" t="str">
        <f t="shared" ref="C87:C150" si="3">CONCATENATE("(",A87,",",B87,"),")</f>
        <v>(4,126),</v>
      </c>
    </row>
    <row r="88" spans="1:3" ht="20.149999999999999" customHeight="1" x14ac:dyDescent="0.35">
      <c r="A88" s="4">
        <v>4</v>
      </c>
      <c r="B88" s="4">
        <v>127</v>
      </c>
      <c r="C88" s="16" t="str">
        <f t="shared" si="3"/>
        <v>(4,127),</v>
      </c>
    </row>
    <row r="89" spans="1:3" ht="20.149999999999999" customHeight="1" x14ac:dyDescent="0.35">
      <c r="A89" s="4">
        <v>4</v>
      </c>
      <c r="B89" s="4">
        <v>128</v>
      </c>
      <c r="C89" s="16" t="str">
        <f t="shared" si="3"/>
        <v>(4,128),</v>
      </c>
    </row>
    <row r="90" spans="1:3" ht="20.149999999999999" customHeight="1" x14ac:dyDescent="0.35">
      <c r="A90" s="4">
        <v>4</v>
      </c>
      <c r="B90" s="4">
        <v>129</v>
      </c>
      <c r="C90" s="16" t="str">
        <f t="shared" si="3"/>
        <v>(4,129),</v>
      </c>
    </row>
    <row r="91" spans="1:3" ht="20.149999999999999" customHeight="1" x14ac:dyDescent="0.35">
      <c r="A91" s="4">
        <v>4</v>
      </c>
      <c r="B91" s="4">
        <v>130</v>
      </c>
      <c r="C91" s="16" t="str">
        <f t="shared" si="3"/>
        <v>(4,130),</v>
      </c>
    </row>
    <row r="92" spans="1:3" ht="20.149999999999999" customHeight="1" x14ac:dyDescent="0.35">
      <c r="A92" s="4">
        <v>4</v>
      </c>
      <c r="B92" s="4">
        <v>131</v>
      </c>
      <c r="C92" s="16" t="str">
        <f t="shared" si="3"/>
        <v>(4,131),</v>
      </c>
    </row>
    <row r="93" spans="1:3" ht="20.149999999999999" customHeight="1" x14ac:dyDescent="0.35">
      <c r="A93" s="4">
        <v>4</v>
      </c>
      <c r="B93" s="4">
        <v>132</v>
      </c>
      <c r="C93" s="16" t="str">
        <f t="shared" si="3"/>
        <v>(4,132),</v>
      </c>
    </row>
    <row r="94" spans="1:3" ht="20.149999999999999" customHeight="1" x14ac:dyDescent="0.35">
      <c r="A94" s="4">
        <v>4</v>
      </c>
      <c r="B94" s="4">
        <v>133</v>
      </c>
      <c r="C94" s="16" t="str">
        <f t="shared" si="3"/>
        <v>(4,133),</v>
      </c>
    </row>
    <row r="95" spans="1:3" ht="20.149999999999999" customHeight="1" x14ac:dyDescent="0.35">
      <c r="A95" s="4">
        <v>4</v>
      </c>
      <c r="B95" s="4">
        <v>134</v>
      </c>
      <c r="C95" s="16" t="str">
        <f t="shared" si="3"/>
        <v>(4,134),</v>
      </c>
    </row>
    <row r="96" spans="1:3" ht="20.149999999999999" customHeight="1" x14ac:dyDescent="0.35">
      <c r="A96" s="4">
        <v>4</v>
      </c>
      <c r="B96" s="4">
        <v>135</v>
      </c>
      <c r="C96" s="16" t="str">
        <f t="shared" si="3"/>
        <v>(4,135),</v>
      </c>
    </row>
    <row r="97" spans="1:3" ht="20.149999999999999" customHeight="1" x14ac:dyDescent="0.35">
      <c r="A97" s="4">
        <v>4</v>
      </c>
      <c r="B97" s="4">
        <v>136</v>
      </c>
      <c r="C97" s="16" t="str">
        <f t="shared" si="3"/>
        <v>(4,136),</v>
      </c>
    </row>
    <row r="98" spans="1:3" ht="20.149999999999999" customHeight="1" x14ac:dyDescent="0.35">
      <c r="A98" s="4">
        <v>4</v>
      </c>
      <c r="B98" s="4">
        <v>137</v>
      </c>
      <c r="C98" s="16" t="str">
        <f t="shared" si="3"/>
        <v>(4,137),</v>
      </c>
    </row>
    <row r="99" spans="1:3" ht="20.149999999999999" customHeight="1" x14ac:dyDescent="0.35">
      <c r="A99" s="4">
        <v>4</v>
      </c>
      <c r="B99" s="4">
        <v>138</v>
      </c>
      <c r="C99" s="16" t="str">
        <f t="shared" si="3"/>
        <v>(4,138),</v>
      </c>
    </row>
    <row r="100" spans="1:3" ht="20.149999999999999" customHeight="1" x14ac:dyDescent="0.35">
      <c r="A100" s="4">
        <v>4</v>
      </c>
      <c r="B100" s="4">
        <v>139</v>
      </c>
      <c r="C100" s="16" t="str">
        <f t="shared" si="3"/>
        <v>(4,139),</v>
      </c>
    </row>
    <row r="101" spans="1:3" ht="20.149999999999999" customHeight="1" x14ac:dyDescent="0.35">
      <c r="A101" s="4">
        <v>4</v>
      </c>
      <c r="B101" s="4">
        <v>140</v>
      </c>
      <c r="C101" s="16" t="str">
        <f t="shared" si="3"/>
        <v>(4,140),</v>
      </c>
    </row>
    <row r="102" spans="1:3" ht="20.149999999999999" customHeight="1" x14ac:dyDescent="0.35">
      <c r="A102" s="4">
        <v>4</v>
      </c>
      <c r="B102" s="4">
        <v>141</v>
      </c>
      <c r="C102" s="16" t="str">
        <f t="shared" si="3"/>
        <v>(4,141),</v>
      </c>
    </row>
    <row r="103" spans="1:3" ht="20.149999999999999" customHeight="1" x14ac:dyDescent="0.35">
      <c r="A103" s="4">
        <v>4</v>
      </c>
      <c r="B103" s="4">
        <v>142</v>
      </c>
      <c r="C103" s="16" t="str">
        <f t="shared" si="3"/>
        <v>(4,142),</v>
      </c>
    </row>
    <row r="104" spans="1:3" ht="20.149999999999999" customHeight="1" x14ac:dyDescent="0.35">
      <c r="A104" s="4">
        <v>4</v>
      </c>
      <c r="B104" s="4">
        <v>143</v>
      </c>
      <c r="C104" s="16" t="str">
        <f t="shared" si="3"/>
        <v>(4,143),</v>
      </c>
    </row>
    <row r="105" spans="1:3" ht="20.149999999999999" customHeight="1" x14ac:dyDescent="0.35">
      <c r="A105" s="4">
        <v>4</v>
      </c>
      <c r="B105" s="4">
        <v>144</v>
      </c>
      <c r="C105" s="16" t="str">
        <f t="shared" si="3"/>
        <v>(4,144),</v>
      </c>
    </row>
    <row r="106" spans="1:3" ht="20.149999999999999" customHeight="1" x14ac:dyDescent="0.35">
      <c r="A106" s="4">
        <v>11</v>
      </c>
      <c r="B106" s="4">
        <v>145</v>
      </c>
      <c r="C106" s="16" t="str">
        <f t="shared" si="3"/>
        <v>(11,145),</v>
      </c>
    </row>
    <row r="107" spans="1:3" ht="20.149999999999999" customHeight="1" x14ac:dyDescent="0.35">
      <c r="A107" s="4">
        <v>11</v>
      </c>
      <c r="B107" s="4">
        <v>146</v>
      </c>
      <c r="C107" s="16" t="str">
        <f t="shared" si="3"/>
        <v>(11,146),</v>
      </c>
    </row>
    <row r="108" spans="1:3" ht="20.149999999999999" customHeight="1" x14ac:dyDescent="0.35">
      <c r="A108" s="4">
        <v>11</v>
      </c>
      <c r="B108" s="4">
        <v>147</v>
      </c>
      <c r="C108" s="16" t="str">
        <f t="shared" si="3"/>
        <v>(11,147),</v>
      </c>
    </row>
    <row r="109" spans="1:3" ht="20.149999999999999" customHeight="1" x14ac:dyDescent="0.35">
      <c r="A109" s="4">
        <v>11</v>
      </c>
      <c r="B109" s="4">
        <v>148</v>
      </c>
      <c r="C109" s="16" t="str">
        <f t="shared" si="3"/>
        <v>(11,148),</v>
      </c>
    </row>
    <row r="110" spans="1:3" ht="20.149999999999999" customHeight="1" x14ac:dyDescent="0.35">
      <c r="A110" s="4">
        <v>11</v>
      </c>
      <c r="B110" s="4">
        <v>149</v>
      </c>
      <c r="C110" s="16" t="str">
        <f t="shared" si="3"/>
        <v>(11,149),</v>
      </c>
    </row>
    <row r="111" spans="1:3" ht="20.149999999999999" customHeight="1" x14ac:dyDescent="0.35">
      <c r="A111" s="4">
        <v>11</v>
      </c>
      <c r="B111" s="4">
        <v>150</v>
      </c>
      <c r="C111" s="16" t="str">
        <f t="shared" si="3"/>
        <v>(11,150),</v>
      </c>
    </row>
    <row r="112" spans="1:3" ht="20.149999999999999" customHeight="1" x14ac:dyDescent="0.35">
      <c r="A112" s="4">
        <v>11</v>
      </c>
      <c r="B112" s="4">
        <v>151</v>
      </c>
      <c r="C112" s="16" t="str">
        <f t="shared" si="3"/>
        <v>(11,151),</v>
      </c>
    </row>
    <row r="113" spans="1:3" ht="20.149999999999999" customHeight="1" x14ac:dyDescent="0.35">
      <c r="A113" s="4">
        <v>11</v>
      </c>
      <c r="B113" s="4">
        <v>152</v>
      </c>
      <c r="C113" s="16" t="str">
        <f t="shared" si="3"/>
        <v>(11,152),</v>
      </c>
    </row>
    <row r="114" spans="1:3" ht="20.149999999999999" customHeight="1" x14ac:dyDescent="0.35">
      <c r="A114" s="4">
        <v>11</v>
      </c>
      <c r="B114" s="4">
        <v>153</v>
      </c>
      <c r="C114" s="16" t="str">
        <f t="shared" si="3"/>
        <v>(11,153),</v>
      </c>
    </row>
    <row r="115" spans="1:3" ht="20.149999999999999" customHeight="1" x14ac:dyDescent="0.35">
      <c r="A115" s="4">
        <v>11</v>
      </c>
      <c r="B115" s="4">
        <v>154</v>
      </c>
      <c r="C115" s="16" t="str">
        <f t="shared" si="3"/>
        <v>(11,154),</v>
      </c>
    </row>
    <row r="116" spans="1:3" ht="20.149999999999999" customHeight="1" x14ac:dyDescent="0.35">
      <c r="A116" s="4">
        <v>11</v>
      </c>
      <c r="B116" s="4">
        <v>155</v>
      </c>
      <c r="C116" s="16" t="str">
        <f t="shared" si="3"/>
        <v>(11,155),</v>
      </c>
    </row>
    <row r="117" spans="1:3" ht="20.149999999999999" customHeight="1" x14ac:dyDescent="0.35">
      <c r="A117" s="4">
        <v>11</v>
      </c>
      <c r="B117" s="4">
        <v>156</v>
      </c>
      <c r="C117" s="16" t="str">
        <f t="shared" si="3"/>
        <v>(11,156),</v>
      </c>
    </row>
    <row r="118" spans="1:3" ht="20.149999999999999" customHeight="1" x14ac:dyDescent="0.35">
      <c r="A118" s="4">
        <v>11</v>
      </c>
      <c r="B118" s="4">
        <v>157</v>
      </c>
      <c r="C118" s="16" t="str">
        <f t="shared" si="3"/>
        <v>(11,157),</v>
      </c>
    </row>
    <row r="119" spans="1:3" ht="20.149999999999999" customHeight="1" x14ac:dyDescent="0.35">
      <c r="A119" s="4">
        <v>11</v>
      </c>
      <c r="B119" s="4">
        <v>158</v>
      </c>
      <c r="C119" s="16" t="str">
        <f t="shared" si="3"/>
        <v>(11,158),</v>
      </c>
    </row>
    <row r="120" spans="1:3" ht="20.149999999999999" customHeight="1" x14ac:dyDescent="0.35">
      <c r="A120" s="4">
        <v>11</v>
      </c>
      <c r="B120" s="4">
        <v>159</v>
      </c>
      <c r="C120" s="16" t="str">
        <f t="shared" si="3"/>
        <v>(11,159),</v>
      </c>
    </row>
    <row r="121" spans="1:3" ht="20.149999999999999" customHeight="1" x14ac:dyDescent="0.35">
      <c r="A121" s="4">
        <v>1</v>
      </c>
      <c r="B121" s="4">
        <v>201</v>
      </c>
      <c r="C121" s="16" t="str">
        <f t="shared" si="3"/>
        <v>(1,201),</v>
      </c>
    </row>
    <row r="122" spans="1:3" ht="20.149999999999999" customHeight="1" x14ac:dyDescent="0.35">
      <c r="A122" s="4">
        <v>1</v>
      </c>
      <c r="B122" s="4">
        <v>202</v>
      </c>
      <c r="C122" s="16" t="str">
        <f t="shared" si="3"/>
        <v>(1,202),</v>
      </c>
    </row>
    <row r="123" spans="1:3" ht="20.149999999999999" customHeight="1" x14ac:dyDescent="0.35">
      <c r="A123" s="4">
        <v>1</v>
      </c>
      <c r="B123" s="4">
        <v>203</v>
      </c>
      <c r="C123" s="16" t="str">
        <f t="shared" si="3"/>
        <v>(1,203),</v>
      </c>
    </row>
    <row r="124" spans="1:3" ht="20.149999999999999" customHeight="1" x14ac:dyDescent="0.35">
      <c r="A124" s="4">
        <v>1</v>
      </c>
      <c r="B124" s="4">
        <v>204</v>
      </c>
      <c r="C124" s="16" t="str">
        <f t="shared" si="3"/>
        <v>(1,204),</v>
      </c>
    </row>
    <row r="125" spans="1:3" ht="20.149999999999999" customHeight="1" x14ac:dyDescent="0.35">
      <c r="A125" s="4">
        <v>1</v>
      </c>
      <c r="B125" s="4">
        <v>205</v>
      </c>
      <c r="C125" s="16" t="str">
        <f t="shared" si="3"/>
        <v>(1,205),</v>
      </c>
    </row>
    <row r="126" spans="1:3" ht="20.149999999999999" customHeight="1" x14ac:dyDescent="0.35">
      <c r="A126" s="4">
        <v>1</v>
      </c>
      <c r="B126" s="4">
        <v>206</v>
      </c>
      <c r="C126" s="16" t="str">
        <f t="shared" si="3"/>
        <v>(1,206),</v>
      </c>
    </row>
    <row r="127" spans="1:3" ht="20.149999999999999" customHeight="1" x14ac:dyDescent="0.35">
      <c r="A127" s="4">
        <v>1</v>
      </c>
      <c r="B127" s="4">
        <v>207</v>
      </c>
      <c r="C127" s="16" t="str">
        <f t="shared" si="3"/>
        <v>(1,207),</v>
      </c>
    </row>
    <row r="128" spans="1:3" ht="20.149999999999999" customHeight="1" x14ac:dyDescent="0.35">
      <c r="A128" s="4">
        <v>1</v>
      </c>
      <c r="B128" s="4">
        <v>208</v>
      </c>
      <c r="C128" s="16" t="str">
        <f t="shared" si="3"/>
        <v>(1,208),</v>
      </c>
    </row>
    <row r="129" spans="1:3" ht="20.149999999999999" customHeight="1" x14ac:dyDescent="0.35">
      <c r="A129" s="4">
        <v>6</v>
      </c>
      <c r="B129" s="4">
        <v>209</v>
      </c>
      <c r="C129" s="16" t="str">
        <f t="shared" si="3"/>
        <v>(6,209),</v>
      </c>
    </row>
    <row r="130" spans="1:3" ht="20.149999999999999" customHeight="1" x14ac:dyDescent="0.35">
      <c r="A130" s="4">
        <v>6</v>
      </c>
      <c r="B130" s="4">
        <v>210</v>
      </c>
      <c r="C130" s="16" t="str">
        <f t="shared" si="3"/>
        <v>(6,210),</v>
      </c>
    </row>
    <row r="131" spans="1:3" ht="20.149999999999999" customHeight="1" x14ac:dyDescent="0.35">
      <c r="A131" s="4">
        <v>6</v>
      </c>
      <c r="B131" s="4">
        <v>211</v>
      </c>
      <c r="C131" s="16" t="str">
        <f t="shared" si="3"/>
        <v>(6,211),</v>
      </c>
    </row>
    <row r="132" spans="1:3" ht="20.149999999999999" customHeight="1" x14ac:dyDescent="0.35">
      <c r="A132" s="4">
        <v>6</v>
      </c>
      <c r="B132" s="4">
        <v>212</v>
      </c>
      <c r="C132" s="16" t="str">
        <f t="shared" si="3"/>
        <v>(6,212),</v>
      </c>
    </row>
    <row r="133" spans="1:3" ht="20.149999999999999" customHeight="1" x14ac:dyDescent="0.35">
      <c r="A133" s="4">
        <v>6</v>
      </c>
      <c r="B133" s="4">
        <v>213</v>
      </c>
      <c r="C133" s="16" t="str">
        <f t="shared" si="3"/>
        <v>(6,213),</v>
      </c>
    </row>
    <row r="134" spans="1:3" ht="20.149999999999999" customHeight="1" x14ac:dyDescent="0.35">
      <c r="A134" s="4">
        <v>6</v>
      </c>
      <c r="B134" s="4">
        <v>214</v>
      </c>
      <c r="C134" s="16" t="str">
        <f t="shared" si="3"/>
        <v>(6,214),</v>
      </c>
    </row>
    <row r="135" spans="1:3" ht="20.149999999999999" customHeight="1" x14ac:dyDescent="0.35">
      <c r="A135" s="4">
        <v>6</v>
      </c>
      <c r="B135" s="4">
        <v>215</v>
      </c>
      <c r="C135" s="16" t="str">
        <f t="shared" si="3"/>
        <v>(6,215),</v>
      </c>
    </row>
    <row r="136" spans="1:3" ht="20.149999999999999" customHeight="1" x14ac:dyDescent="0.35">
      <c r="A136" s="4">
        <v>6</v>
      </c>
      <c r="B136" s="4">
        <v>216</v>
      </c>
      <c r="C136" s="16" t="str">
        <f t="shared" si="3"/>
        <v>(6,216),</v>
      </c>
    </row>
    <row r="137" spans="1:3" ht="20.149999999999999" customHeight="1" x14ac:dyDescent="0.35">
      <c r="A137" s="4">
        <v>6</v>
      </c>
      <c r="B137" s="4">
        <v>217</v>
      </c>
      <c r="C137" s="16" t="str">
        <f t="shared" si="3"/>
        <v>(6,217),</v>
      </c>
    </row>
    <row r="138" spans="1:3" ht="20.149999999999999" customHeight="1" x14ac:dyDescent="0.35">
      <c r="A138" s="4">
        <v>6</v>
      </c>
      <c r="B138" s="4">
        <v>218</v>
      </c>
      <c r="C138" s="16" t="str">
        <f t="shared" si="3"/>
        <v>(6,218),</v>
      </c>
    </row>
    <row r="139" spans="1:3" ht="20.149999999999999" customHeight="1" x14ac:dyDescent="0.35">
      <c r="A139" s="4">
        <v>6</v>
      </c>
      <c r="B139" s="4">
        <v>219</v>
      </c>
      <c r="C139" s="16" t="str">
        <f t="shared" si="3"/>
        <v>(6,219),</v>
      </c>
    </row>
    <row r="140" spans="1:3" ht="20.149999999999999" customHeight="1" x14ac:dyDescent="0.35">
      <c r="A140" s="4">
        <v>6</v>
      </c>
      <c r="B140" s="4">
        <v>220</v>
      </c>
      <c r="C140" s="16" t="str">
        <f t="shared" si="3"/>
        <v>(6,220),</v>
      </c>
    </row>
    <row r="141" spans="1:3" ht="20.149999999999999" customHeight="1" x14ac:dyDescent="0.35">
      <c r="A141" s="4">
        <v>3</v>
      </c>
      <c r="B141" s="4">
        <v>221</v>
      </c>
      <c r="C141" s="16" t="str">
        <f t="shared" si="3"/>
        <v>(3,221),</v>
      </c>
    </row>
    <row r="142" spans="1:3" ht="20.149999999999999" customHeight="1" x14ac:dyDescent="0.35">
      <c r="A142" s="4">
        <v>3</v>
      </c>
      <c r="B142" s="4">
        <v>222</v>
      </c>
      <c r="C142" s="16" t="str">
        <f t="shared" si="3"/>
        <v>(3,222),</v>
      </c>
    </row>
    <row r="143" spans="1:3" ht="20.149999999999999" customHeight="1" x14ac:dyDescent="0.35">
      <c r="A143" s="4">
        <v>3</v>
      </c>
      <c r="B143" s="4">
        <v>223</v>
      </c>
      <c r="C143" s="16" t="str">
        <f t="shared" si="3"/>
        <v>(3,223),</v>
      </c>
    </row>
    <row r="144" spans="1:3" ht="20.149999999999999" customHeight="1" x14ac:dyDescent="0.35">
      <c r="A144" s="4">
        <v>3</v>
      </c>
      <c r="B144" s="4">
        <v>224</v>
      </c>
      <c r="C144" s="16" t="str">
        <f t="shared" si="3"/>
        <v>(3,224),</v>
      </c>
    </row>
    <row r="145" spans="1:3" ht="20.149999999999999" customHeight="1" x14ac:dyDescent="0.35">
      <c r="A145" s="4">
        <v>3</v>
      </c>
      <c r="B145" s="4">
        <v>225</v>
      </c>
      <c r="C145" s="16" t="str">
        <f t="shared" si="3"/>
        <v>(3,225),</v>
      </c>
    </row>
    <row r="146" spans="1:3" ht="20.149999999999999" customHeight="1" x14ac:dyDescent="0.35">
      <c r="A146" s="4">
        <v>3</v>
      </c>
      <c r="B146" s="4">
        <v>226</v>
      </c>
      <c r="C146" s="16" t="str">
        <f t="shared" si="3"/>
        <v>(3,226),</v>
      </c>
    </row>
    <row r="147" spans="1:3" ht="20.149999999999999" customHeight="1" x14ac:dyDescent="0.35">
      <c r="A147" s="4">
        <v>3</v>
      </c>
      <c r="B147" s="4">
        <v>227</v>
      </c>
      <c r="C147" s="16" t="str">
        <f t="shared" si="3"/>
        <v>(3,227),</v>
      </c>
    </row>
    <row r="148" spans="1:3" ht="20.149999999999999" customHeight="1" x14ac:dyDescent="0.35">
      <c r="A148" s="4">
        <v>3</v>
      </c>
      <c r="B148" s="4">
        <v>228</v>
      </c>
      <c r="C148" s="16" t="str">
        <f t="shared" si="3"/>
        <v>(3,228),</v>
      </c>
    </row>
    <row r="149" spans="1:3" ht="20.149999999999999" customHeight="1" x14ac:dyDescent="0.35">
      <c r="A149" s="4">
        <v>3</v>
      </c>
      <c r="B149" s="4">
        <v>229</v>
      </c>
      <c r="C149" s="16" t="str">
        <f t="shared" si="3"/>
        <v>(3,229),</v>
      </c>
    </row>
    <row r="150" spans="1:3" ht="20.149999999999999" customHeight="1" x14ac:dyDescent="0.35">
      <c r="A150" s="4">
        <v>3</v>
      </c>
      <c r="B150" s="4">
        <v>230</v>
      </c>
      <c r="C150" s="16" t="str">
        <f t="shared" si="3"/>
        <v>(3,230),</v>
      </c>
    </row>
    <row r="151" spans="1:3" ht="20.149999999999999" customHeight="1" x14ac:dyDescent="0.35">
      <c r="A151" s="4">
        <v>3</v>
      </c>
      <c r="B151" s="4">
        <v>231</v>
      </c>
      <c r="C151" s="16" t="str">
        <f t="shared" ref="C151:C214" si="4">CONCATENATE("(",A151,",",B151,"),")</f>
        <v>(3,231),</v>
      </c>
    </row>
    <row r="152" spans="1:3" ht="20.149999999999999" customHeight="1" x14ac:dyDescent="0.35">
      <c r="A152" s="4">
        <v>3</v>
      </c>
      <c r="B152" s="4">
        <v>232</v>
      </c>
      <c r="C152" s="16" t="str">
        <f t="shared" si="4"/>
        <v>(3,232),</v>
      </c>
    </row>
    <row r="153" spans="1:3" ht="20.149999999999999" customHeight="1" x14ac:dyDescent="0.35">
      <c r="A153" s="4">
        <v>3</v>
      </c>
      <c r="B153" s="4">
        <v>233</v>
      </c>
      <c r="C153" s="16" t="str">
        <f t="shared" si="4"/>
        <v>(3,233),</v>
      </c>
    </row>
    <row r="154" spans="1:3" ht="20.149999999999999" customHeight="1" x14ac:dyDescent="0.35">
      <c r="A154" s="4">
        <v>3</v>
      </c>
      <c r="B154" s="4">
        <v>234</v>
      </c>
      <c r="C154" s="16" t="str">
        <f t="shared" si="4"/>
        <v>(3,234),</v>
      </c>
    </row>
    <row r="155" spans="1:3" ht="20.149999999999999" customHeight="1" x14ac:dyDescent="0.35">
      <c r="A155" s="4">
        <v>3</v>
      </c>
      <c r="B155" s="4">
        <v>235</v>
      </c>
      <c r="C155" s="16" t="str">
        <f t="shared" si="4"/>
        <v>(3,235),</v>
      </c>
    </row>
    <row r="156" spans="1:3" ht="20.149999999999999" customHeight="1" x14ac:dyDescent="0.35">
      <c r="A156" s="4">
        <v>3</v>
      </c>
      <c r="B156" s="4">
        <v>236</v>
      </c>
      <c r="C156" s="16" t="str">
        <f t="shared" si="4"/>
        <v>(3,236),</v>
      </c>
    </row>
    <row r="157" spans="1:3" ht="20.149999999999999" customHeight="1" x14ac:dyDescent="0.35">
      <c r="A157" s="4">
        <v>3</v>
      </c>
      <c r="B157" s="4">
        <v>237</v>
      </c>
      <c r="C157" s="16" t="str">
        <f t="shared" si="4"/>
        <v>(3,237),</v>
      </c>
    </row>
    <row r="158" spans="1:3" ht="20.149999999999999" customHeight="1" x14ac:dyDescent="0.35">
      <c r="A158" s="4">
        <v>3</v>
      </c>
      <c r="B158" s="4">
        <v>238</v>
      </c>
      <c r="C158" s="16" t="str">
        <f t="shared" si="4"/>
        <v>(3,238),</v>
      </c>
    </row>
    <row r="159" spans="1:3" ht="20.149999999999999" customHeight="1" x14ac:dyDescent="0.35">
      <c r="A159" s="4">
        <v>3</v>
      </c>
      <c r="B159" s="4">
        <v>239</v>
      </c>
      <c r="C159" s="16" t="str">
        <f t="shared" si="4"/>
        <v>(3,239),</v>
      </c>
    </row>
    <row r="160" spans="1:3" ht="20.149999999999999" customHeight="1" x14ac:dyDescent="0.35">
      <c r="A160" s="4">
        <v>3</v>
      </c>
      <c r="B160" s="4">
        <v>240</v>
      </c>
      <c r="C160" s="16" t="str">
        <f t="shared" si="4"/>
        <v>(3,240),</v>
      </c>
    </row>
    <row r="161" spans="1:3" ht="20.149999999999999" customHeight="1" x14ac:dyDescent="0.35">
      <c r="A161" s="4">
        <v>3</v>
      </c>
      <c r="B161" s="4">
        <v>241</v>
      </c>
      <c r="C161" s="16" t="str">
        <f t="shared" si="4"/>
        <v>(3,241),</v>
      </c>
    </row>
    <row r="162" spans="1:3" ht="20.149999999999999" customHeight="1" x14ac:dyDescent="0.35">
      <c r="A162" s="4">
        <v>3</v>
      </c>
      <c r="B162" s="4">
        <v>242</v>
      </c>
      <c r="C162" s="16" t="str">
        <f t="shared" si="4"/>
        <v>(3,242),</v>
      </c>
    </row>
    <row r="163" spans="1:3" ht="20.149999999999999" customHeight="1" x14ac:dyDescent="0.35">
      <c r="A163" s="4">
        <v>3</v>
      </c>
      <c r="B163" s="4">
        <v>243</v>
      </c>
      <c r="C163" s="16" t="str">
        <f t="shared" si="4"/>
        <v>(3,243),</v>
      </c>
    </row>
    <row r="164" spans="1:3" ht="20.149999999999999" customHeight="1" x14ac:dyDescent="0.35">
      <c r="A164" s="4">
        <v>3</v>
      </c>
      <c r="B164" s="4">
        <v>244</v>
      </c>
      <c r="C164" s="16" t="str">
        <f t="shared" si="4"/>
        <v>(3,244),</v>
      </c>
    </row>
    <row r="165" spans="1:3" ht="20.149999999999999" customHeight="1" x14ac:dyDescent="0.35">
      <c r="A165" s="4">
        <v>9</v>
      </c>
      <c r="B165" s="4">
        <v>245</v>
      </c>
      <c r="C165" s="16" t="str">
        <f t="shared" si="4"/>
        <v>(9,245),</v>
      </c>
    </row>
    <row r="166" spans="1:3" ht="20.149999999999999" customHeight="1" x14ac:dyDescent="0.35">
      <c r="A166" s="4">
        <v>9</v>
      </c>
      <c r="B166" s="4">
        <v>246</v>
      </c>
      <c r="C166" s="16" t="str">
        <f t="shared" si="4"/>
        <v>(9,246),</v>
      </c>
    </row>
    <row r="167" spans="1:3" ht="20.149999999999999" customHeight="1" x14ac:dyDescent="0.35">
      <c r="A167" s="4">
        <v>9</v>
      </c>
      <c r="B167" s="4">
        <v>247</v>
      </c>
      <c r="C167" s="16" t="str">
        <f t="shared" si="4"/>
        <v>(9,247),</v>
      </c>
    </row>
    <row r="168" spans="1:3" ht="20.149999999999999" customHeight="1" x14ac:dyDescent="0.35">
      <c r="A168" s="4">
        <v>9</v>
      </c>
      <c r="B168" s="4">
        <v>248</v>
      </c>
      <c r="C168" s="16" t="str">
        <f t="shared" si="4"/>
        <v>(9,248),</v>
      </c>
    </row>
    <row r="169" spans="1:3" ht="20.149999999999999" customHeight="1" x14ac:dyDescent="0.35">
      <c r="A169" s="4">
        <v>9</v>
      </c>
      <c r="B169" s="4">
        <v>249</v>
      </c>
      <c r="C169" s="16" t="str">
        <f t="shared" si="4"/>
        <v>(9,249),</v>
      </c>
    </row>
    <row r="170" spans="1:3" ht="20.149999999999999" customHeight="1" x14ac:dyDescent="0.35">
      <c r="A170" s="4">
        <v>9</v>
      </c>
      <c r="B170" s="4">
        <v>250</v>
      </c>
      <c r="C170" s="16" t="str">
        <f t="shared" si="4"/>
        <v>(9,250),</v>
      </c>
    </row>
    <row r="171" spans="1:3" ht="20.149999999999999" customHeight="1" x14ac:dyDescent="0.35">
      <c r="A171" s="4">
        <v>9</v>
      </c>
      <c r="B171" s="4">
        <v>251</v>
      </c>
      <c r="C171" s="16" t="str">
        <f t="shared" si="4"/>
        <v>(9,251),</v>
      </c>
    </row>
    <row r="172" spans="1:3" ht="20.149999999999999" customHeight="1" x14ac:dyDescent="0.35">
      <c r="A172" s="4">
        <v>9</v>
      </c>
      <c r="B172" s="4">
        <v>252</v>
      </c>
      <c r="C172" s="16" t="str">
        <f t="shared" si="4"/>
        <v>(9,252),</v>
      </c>
    </row>
    <row r="173" spans="1:3" ht="20.149999999999999" customHeight="1" x14ac:dyDescent="0.35">
      <c r="A173" s="4">
        <v>9</v>
      </c>
      <c r="B173" s="4">
        <v>253</v>
      </c>
      <c r="C173" s="16" t="str">
        <f t="shared" si="4"/>
        <v>(9,253),</v>
      </c>
    </row>
    <row r="174" spans="1:3" ht="20.149999999999999" customHeight="1" x14ac:dyDescent="0.35">
      <c r="A174" s="4">
        <v>9</v>
      </c>
      <c r="B174" s="4">
        <v>254</v>
      </c>
      <c r="C174" s="16" t="str">
        <f t="shared" si="4"/>
        <v>(9,254),</v>
      </c>
    </row>
    <row r="175" spans="1:3" ht="20.149999999999999" customHeight="1" x14ac:dyDescent="0.35">
      <c r="A175" s="4">
        <v>9</v>
      </c>
      <c r="B175" s="4">
        <v>255</v>
      </c>
      <c r="C175" s="16" t="str">
        <f t="shared" si="4"/>
        <v>(9,255),</v>
      </c>
    </row>
    <row r="176" spans="1:3" ht="20.149999999999999" customHeight="1" x14ac:dyDescent="0.35">
      <c r="A176" s="4">
        <v>9</v>
      </c>
      <c r="B176" s="4">
        <v>256</v>
      </c>
      <c r="C176" s="16" t="str">
        <f t="shared" si="4"/>
        <v>(9,256),</v>
      </c>
    </row>
    <row r="177" spans="1:3" ht="20.149999999999999" customHeight="1" x14ac:dyDescent="0.35">
      <c r="A177" s="4">
        <v>9</v>
      </c>
      <c r="B177" s="4">
        <v>257</v>
      </c>
      <c r="C177" s="16" t="str">
        <f t="shared" si="4"/>
        <v>(9,257),</v>
      </c>
    </row>
    <row r="178" spans="1:3" ht="20.149999999999999" customHeight="1" x14ac:dyDescent="0.35">
      <c r="A178" s="4">
        <v>9</v>
      </c>
      <c r="B178" s="4">
        <v>258</v>
      </c>
      <c r="C178" s="16" t="str">
        <f t="shared" si="4"/>
        <v>(9,258),</v>
      </c>
    </row>
    <row r="179" spans="1:3" ht="20.149999999999999" customHeight="1" x14ac:dyDescent="0.35">
      <c r="A179" s="4">
        <v>9</v>
      </c>
      <c r="B179" s="4">
        <v>259</v>
      </c>
      <c r="C179" s="16" t="str">
        <f t="shared" si="4"/>
        <v>(9,259),</v>
      </c>
    </row>
    <row r="180" spans="1:3" ht="20.149999999999999" customHeight="1" x14ac:dyDescent="0.35">
      <c r="A180" s="4">
        <v>1</v>
      </c>
      <c r="B180" s="4">
        <v>301</v>
      </c>
      <c r="C180" s="16" t="str">
        <f t="shared" si="4"/>
        <v>(1,301),</v>
      </c>
    </row>
    <row r="181" spans="1:3" ht="20.149999999999999" customHeight="1" x14ac:dyDescent="0.35">
      <c r="A181" s="4">
        <v>1</v>
      </c>
      <c r="B181" s="4">
        <v>302</v>
      </c>
      <c r="C181" s="16" t="str">
        <f t="shared" si="4"/>
        <v>(1,302),</v>
      </c>
    </row>
    <row r="182" spans="1:3" ht="20.149999999999999" customHeight="1" x14ac:dyDescent="0.35">
      <c r="A182" s="4">
        <v>1</v>
      </c>
      <c r="B182" s="4">
        <v>303</v>
      </c>
      <c r="C182" s="16" t="str">
        <f t="shared" si="4"/>
        <v>(1,303),</v>
      </c>
    </row>
    <row r="183" spans="1:3" ht="20.149999999999999" customHeight="1" x14ac:dyDescent="0.35">
      <c r="A183" s="4">
        <v>1</v>
      </c>
      <c r="B183" s="4">
        <v>304</v>
      </c>
      <c r="C183" s="16" t="str">
        <f t="shared" si="4"/>
        <v>(1,304),</v>
      </c>
    </row>
    <row r="184" spans="1:3" ht="20.149999999999999" customHeight="1" x14ac:dyDescent="0.35">
      <c r="A184" s="4">
        <v>1</v>
      </c>
      <c r="B184" s="4">
        <v>305</v>
      </c>
      <c r="C184" s="16" t="str">
        <f t="shared" si="4"/>
        <v>(1,305),</v>
      </c>
    </row>
    <row r="185" spans="1:3" ht="20.149999999999999" customHeight="1" x14ac:dyDescent="0.35">
      <c r="A185" s="4">
        <v>1</v>
      </c>
      <c r="B185" s="4">
        <v>306</v>
      </c>
      <c r="C185" s="16" t="str">
        <f t="shared" si="4"/>
        <v>(1,306),</v>
      </c>
    </row>
    <row r="186" spans="1:3" ht="20.149999999999999" customHeight="1" x14ac:dyDescent="0.35">
      <c r="A186" s="4">
        <v>1</v>
      </c>
      <c r="B186" s="4">
        <v>307</v>
      </c>
      <c r="C186" s="16" t="str">
        <f t="shared" si="4"/>
        <v>(1,307),</v>
      </c>
    </row>
    <row r="187" spans="1:3" ht="20.149999999999999" customHeight="1" x14ac:dyDescent="0.35">
      <c r="A187" s="4">
        <v>1</v>
      </c>
      <c r="B187" s="4">
        <v>308</v>
      </c>
      <c r="C187" s="16" t="str">
        <f t="shared" si="4"/>
        <v>(1,308),</v>
      </c>
    </row>
    <row r="188" spans="1:3" ht="20.149999999999999" customHeight="1" x14ac:dyDescent="0.35">
      <c r="A188" s="4">
        <v>6</v>
      </c>
      <c r="B188" s="4">
        <v>309</v>
      </c>
      <c r="C188" s="16" t="str">
        <f t="shared" si="4"/>
        <v>(6,309),</v>
      </c>
    </row>
    <row r="189" spans="1:3" ht="20.149999999999999" customHeight="1" x14ac:dyDescent="0.35">
      <c r="A189" s="4">
        <v>6</v>
      </c>
      <c r="B189" s="4">
        <v>310</v>
      </c>
      <c r="C189" s="16" t="str">
        <f t="shared" si="4"/>
        <v>(6,310),</v>
      </c>
    </row>
    <row r="190" spans="1:3" ht="20.149999999999999" customHeight="1" x14ac:dyDescent="0.35">
      <c r="A190" s="4">
        <v>6</v>
      </c>
      <c r="B190" s="4">
        <v>311</v>
      </c>
      <c r="C190" s="16" t="str">
        <f t="shared" si="4"/>
        <v>(6,311),</v>
      </c>
    </row>
    <row r="191" spans="1:3" ht="20.149999999999999" customHeight="1" x14ac:dyDescent="0.35">
      <c r="A191" s="4">
        <v>6</v>
      </c>
      <c r="B191" s="4">
        <v>312</v>
      </c>
      <c r="C191" s="16" t="str">
        <f t="shared" si="4"/>
        <v>(6,312),</v>
      </c>
    </row>
    <row r="192" spans="1:3" ht="20.149999999999999" customHeight="1" x14ac:dyDescent="0.35">
      <c r="A192" s="4">
        <v>6</v>
      </c>
      <c r="B192" s="4">
        <v>313</v>
      </c>
      <c r="C192" s="16" t="str">
        <f t="shared" si="4"/>
        <v>(6,313),</v>
      </c>
    </row>
    <row r="193" spans="1:3" ht="20.149999999999999" customHeight="1" x14ac:dyDescent="0.35">
      <c r="A193" s="4">
        <v>6</v>
      </c>
      <c r="B193" s="4">
        <v>314</v>
      </c>
      <c r="C193" s="16" t="str">
        <f t="shared" si="4"/>
        <v>(6,314),</v>
      </c>
    </row>
    <row r="194" spans="1:3" ht="20.149999999999999" customHeight="1" x14ac:dyDescent="0.35">
      <c r="A194" s="4">
        <v>6</v>
      </c>
      <c r="B194" s="4">
        <v>315</v>
      </c>
      <c r="C194" s="16" t="str">
        <f t="shared" si="4"/>
        <v>(6,315),</v>
      </c>
    </row>
    <row r="195" spans="1:3" ht="20.149999999999999" customHeight="1" x14ac:dyDescent="0.35">
      <c r="A195" s="4">
        <v>6</v>
      </c>
      <c r="B195" s="4">
        <v>316</v>
      </c>
      <c r="C195" s="16" t="str">
        <f t="shared" si="4"/>
        <v>(6,316),</v>
      </c>
    </row>
    <row r="196" spans="1:3" ht="20.149999999999999" customHeight="1" x14ac:dyDescent="0.35">
      <c r="A196" s="4">
        <v>6</v>
      </c>
      <c r="B196" s="4">
        <v>317</v>
      </c>
      <c r="C196" s="16" t="str">
        <f t="shared" si="4"/>
        <v>(6,317),</v>
      </c>
    </row>
    <row r="197" spans="1:3" ht="20.149999999999999" customHeight="1" x14ac:dyDescent="0.35">
      <c r="A197" s="4">
        <v>6</v>
      </c>
      <c r="B197" s="4">
        <v>318</v>
      </c>
      <c r="C197" s="16" t="str">
        <f t="shared" si="4"/>
        <v>(6,318),</v>
      </c>
    </row>
    <row r="198" spans="1:3" ht="20.149999999999999" customHeight="1" x14ac:dyDescent="0.35">
      <c r="A198" s="4">
        <v>6</v>
      </c>
      <c r="B198" s="4">
        <v>319</v>
      </c>
      <c r="C198" s="16" t="str">
        <f t="shared" si="4"/>
        <v>(6,319),</v>
      </c>
    </row>
    <row r="199" spans="1:3" ht="20.149999999999999" customHeight="1" x14ac:dyDescent="0.35">
      <c r="A199" s="4">
        <v>6</v>
      </c>
      <c r="B199" s="4">
        <v>320</v>
      </c>
      <c r="C199" s="16" t="str">
        <f t="shared" si="4"/>
        <v>(6,320),</v>
      </c>
    </row>
    <row r="200" spans="1:3" ht="20.149999999999999" customHeight="1" x14ac:dyDescent="0.35">
      <c r="A200" s="4">
        <v>3</v>
      </c>
      <c r="B200" s="4">
        <v>321</v>
      </c>
      <c r="C200" s="16" t="str">
        <f t="shared" si="4"/>
        <v>(3,321),</v>
      </c>
    </row>
    <row r="201" spans="1:3" ht="20.149999999999999" customHeight="1" x14ac:dyDescent="0.35">
      <c r="A201" s="4">
        <v>3</v>
      </c>
      <c r="B201" s="4">
        <v>322</v>
      </c>
      <c r="C201" s="16" t="str">
        <f t="shared" si="4"/>
        <v>(3,322),</v>
      </c>
    </row>
    <row r="202" spans="1:3" ht="20.149999999999999" customHeight="1" x14ac:dyDescent="0.35">
      <c r="A202" s="4">
        <v>3</v>
      </c>
      <c r="B202" s="4">
        <v>323</v>
      </c>
      <c r="C202" s="16" t="str">
        <f t="shared" si="4"/>
        <v>(3,323),</v>
      </c>
    </row>
    <row r="203" spans="1:3" ht="20.149999999999999" customHeight="1" x14ac:dyDescent="0.35">
      <c r="A203" s="4">
        <v>3</v>
      </c>
      <c r="B203" s="4">
        <v>324</v>
      </c>
      <c r="C203" s="16" t="str">
        <f t="shared" si="4"/>
        <v>(3,324),</v>
      </c>
    </row>
    <row r="204" spans="1:3" ht="20.149999999999999" customHeight="1" x14ac:dyDescent="0.35">
      <c r="A204" s="4">
        <v>3</v>
      </c>
      <c r="B204" s="4">
        <v>325</v>
      </c>
      <c r="C204" s="16" t="str">
        <f t="shared" si="4"/>
        <v>(3,325),</v>
      </c>
    </row>
    <row r="205" spans="1:3" ht="20.149999999999999" customHeight="1" x14ac:dyDescent="0.35">
      <c r="A205" s="4">
        <v>3</v>
      </c>
      <c r="B205" s="4">
        <v>326</v>
      </c>
      <c r="C205" s="16" t="str">
        <f t="shared" si="4"/>
        <v>(3,326),</v>
      </c>
    </row>
    <row r="206" spans="1:3" ht="20.149999999999999" customHeight="1" x14ac:dyDescent="0.35">
      <c r="A206" s="4">
        <v>3</v>
      </c>
      <c r="B206" s="4">
        <v>327</v>
      </c>
      <c r="C206" s="16" t="str">
        <f t="shared" si="4"/>
        <v>(3,327),</v>
      </c>
    </row>
    <row r="207" spans="1:3" ht="20.149999999999999" customHeight="1" x14ac:dyDescent="0.35">
      <c r="A207" s="4">
        <v>3</v>
      </c>
      <c r="B207" s="4">
        <v>328</v>
      </c>
      <c r="C207" s="16" t="str">
        <f t="shared" si="4"/>
        <v>(3,328),</v>
      </c>
    </row>
    <row r="208" spans="1:3" ht="20.149999999999999" customHeight="1" x14ac:dyDescent="0.35">
      <c r="A208" s="4">
        <v>3</v>
      </c>
      <c r="B208" s="4">
        <v>329</v>
      </c>
      <c r="C208" s="16" t="str">
        <f t="shared" si="4"/>
        <v>(3,329),</v>
      </c>
    </row>
    <row r="209" spans="1:3" ht="20.149999999999999" customHeight="1" x14ac:dyDescent="0.35">
      <c r="A209" s="4">
        <v>3</v>
      </c>
      <c r="B209" s="4">
        <v>330</v>
      </c>
      <c r="C209" s="16" t="str">
        <f t="shared" si="4"/>
        <v>(3,330),</v>
      </c>
    </row>
    <row r="210" spans="1:3" ht="20.149999999999999" customHeight="1" x14ac:dyDescent="0.35">
      <c r="A210" s="4">
        <v>3</v>
      </c>
      <c r="B210" s="4">
        <v>331</v>
      </c>
      <c r="C210" s="16" t="str">
        <f t="shared" si="4"/>
        <v>(3,331),</v>
      </c>
    </row>
    <row r="211" spans="1:3" ht="20.149999999999999" customHeight="1" x14ac:dyDescent="0.35">
      <c r="A211" s="4">
        <v>3</v>
      </c>
      <c r="B211" s="4">
        <v>332</v>
      </c>
      <c r="C211" s="16" t="str">
        <f t="shared" si="4"/>
        <v>(3,332),</v>
      </c>
    </row>
    <row r="212" spans="1:3" ht="20.149999999999999" customHeight="1" x14ac:dyDescent="0.35">
      <c r="A212" s="4">
        <v>3</v>
      </c>
      <c r="B212" s="4">
        <v>333</v>
      </c>
      <c r="C212" s="16" t="str">
        <f t="shared" si="4"/>
        <v>(3,333),</v>
      </c>
    </row>
    <row r="213" spans="1:3" ht="20.149999999999999" customHeight="1" x14ac:dyDescent="0.35">
      <c r="A213" s="4">
        <v>3</v>
      </c>
      <c r="B213" s="4">
        <v>334</v>
      </c>
      <c r="C213" s="16" t="str">
        <f t="shared" si="4"/>
        <v>(3,334),</v>
      </c>
    </row>
    <row r="214" spans="1:3" ht="20.149999999999999" customHeight="1" x14ac:dyDescent="0.35">
      <c r="A214" s="4">
        <v>3</v>
      </c>
      <c r="B214" s="4">
        <v>335</v>
      </c>
      <c r="C214" s="16" t="str">
        <f t="shared" si="4"/>
        <v>(3,335),</v>
      </c>
    </row>
    <row r="215" spans="1:3" ht="20.149999999999999" customHeight="1" x14ac:dyDescent="0.35">
      <c r="A215" s="4">
        <v>3</v>
      </c>
      <c r="B215" s="4">
        <v>336</v>
      </c>
      <c r="C215" s="16" t="str">
        <f t="shared" ref="C215:C278" si="5">CONCATENATE("(",A215,",",B215,"),")</f>
        <v>(3,336),</v>
      </c>
    </row>
    <row r="216" spans="1:3" ht="20.149999999999999" customHeight="1" x14ac:dyDescent="0.35">
      <c r="A216" s="4">
        <v>3</v>
      </c>
      <c r="B216" s="4">
        <v>337</v>
      </c>
      <c r="C216" s="16" t="str">
        <f t="shared" si="5"/>
        <v>(3,337),</v>
      </c>
    </row>
    <row r="217" spans="1:3" ht="20.149999999999999" customHeight="1" x14ac:dyDescent="0.35">
      <c r="A217" s="4">
        <v>3</v>
      </c>
      <c r="B217" s="4">
        <v>338</v>
      </c>
      <c r="C217" s="16" t="str">
        <f t="shared" si="5"/>
        <v>(3,338),</v>
      </c>
    </row>
    <row r="218" spans="1:3" ht="20.149999999999999" customHeight="1" x14ac:dyDescent="0.35">
      <c r="A218" s="4">
        <v>3</v>
      </c>
      <c r="B218" s="4">
        <v>339</v>
      </c>
      <c r="C218" s="16" t="str">
        <f t="shared" si="5"/>
        <v>(3,339),</v>
      </c>
    </row>
    <row r="219" spans="1:3" ht="20.149999999999999" customHeight="1" x14ac:dyDescent="0.35">
      <c r="A219" s="4">
        <v>3</v>
      </c>
      <c r="B219" s="4">
        <v>340</v>
      </c>
      <c r="C219" s="16" t="str">
        <f t="shared" si="5"/>
        <v>(3,340),</v>
      </c>
    </row>
    <row r="220" spans="1:3" ht="20.149999999999999" customHeight="1" x14ac:dyDescent="0.35">
      <c r="A220" s="4">
        <v>3</v>
      </c>
      <c r="B220" s="4">
        <v>341</v>
      </c>
      <c r="C220" s="16" t="str">
        <f t="shared" si="5"/>
        <v>(3,341),</v>
      </c>
    </row>
    <row r="221" spans="1:3" ht="20.149999999999999" customHeight="1" x14ac:dyDescent="0.35">
      <c r="A221" s="4">
        <v>3</v>
      </c>
      <c r="B221" s="4">
        <v>342</v>
      </c>
      <c r="C221" s="16" t="str">
        <f t="shared" si="5"/>
        <v>(3,342),</v>
      </c>
    </row>
    <row r="222" spans="1:3" ht="20.149999999999999" customHeight="1" x14ac:dyDescent="0.35">
      <c r="A222" s="4">
        <v>3</v>
      </c>
      <c r="B222" s="4">
        <v>343</v>
      </c>
      <c r="C222" s="16" t="str">
        <f t="shared" si="5"/>
        <v>(3,343),</v>
      </c>
    </row>
    <row r="223" spans="1:3" ht="20.149999999999999" customHeight="1" x14ac:dyDescent="0.35">
      <c r="A223" s="4">
        <v>3</v>
      </c>
      <c r="B223" s="4">
        <v>344</v>
      </c>
      <c r="C223" s="16" t="str">
        <f t="shared" si="5"/>
        <v>(3,344),</v>
      </c>
    </row>
    <row r="224" spans="1:3" ht="20.149999999999999" customHeight="1" x14ac:dyDescent="0.35">
      <c r="A224" s="4">
        <v>8</v>
      </c>
      <c r="B224" s="4">
        <v>345</v>
      </c>
      <c r="C224" s="16" t="str">
        <f t="shared" si="5"/>
        <v>(8,345),</v>
      </c>
    </row>
    <row r="225" spans="1:3" ht="20.149999999999999" customHeight="1" x14ac:dyDescent="0.35">
      <c r="A225" s="4">
        <v>8</v>
      </c>
      <c r="B225" s="4">
        <v>346</v>
      </c>
      <c r="C225" s="16" t="str">
        <f t="shared" si="5"/>
        <v>(8,346),</v>
      </c>
    </row>
    <row r="226" spans="1:3" ht="20.149999999999999" customHeight="1" x14ac:dyDescent="0.35">
      <c r="A226" s="4">
        <v>8</v>
      </c>
      <c r="B226" s="4">
        <v>347</v>
      </c>
      <c r="C226" s="16" t="str">
        <f t="shared" si="5"/>
        <v>(8,347),</v>
      </c>
    </row>
    <row r="227" spans="1:3" ht="20.149999999999999" customHeight="1" x14ac:dyDescent="0.35">
      <c r="A227" s="4">
        <v>8</v>
      </c>
      <c r="B227" s="4">
        <v>348</v>
      </c>
      <c r="C227" s="16" t="str">
        <f t="shared" si="5"/>
        <v>(8,348),</v>
      </c>
    </row>
    <row r="228" spans="1:3" ht="20.149999999999999" customHeight="1" x14ac:dyDescent="0.35">
      <c r="A228" s="4">
        <v>8</v>
      </c>
      <c r="B228" s="4">
        <v>349</v>
      </c>
      <c r="C228" s="16" t="str">
        <f t="shared" si="5"/>
        <v>(8,349),</v>
      </c>
    </row>
    <row r="229" spans="1:3" ht="20.149999999999999" customHeight="1" x14ac:dyDescent="0.35">
      <c r="A229" s="4">
        <v>8</v>
      </c>
      <c r="B229" s="4">
        <v>350</v>
      </c>
      <c r="C229" s="16" t="str">
        <f t="shared" si="5"/>
        <v>(8,350),</v>
      </c>
    </row>
    <row r="230" spans="1:3" ht="20.149999999999999" customHeight="1" x14ac:dyDescent="0.35">
      <c r="A230" s="4">
        <v>8</v>
      </c>
      <c r="B230" s="4">
        <v>351</v>
      </c>
      <c r="C230" s="16" t="str">
        <f t="shared" si="5"/>
        <v>(8,351),</v>
      </c>
    </row>
    <row r="231" spans="1:3" ht="20.149999999999999" customHeight="1" x14ac:dyDescent="0.35">
      <c r="A231" s="4">
        <v>8</v>
      </c>
      <c r="B231" s="4">
        <v>352</v>
      </c>
      <c r="C231" s="16" t="str">
        <f t="shared" si="5"/>
        <v>(8,352),</v>
      </c>
    </row>
    <row r="232" spans="1:3" ht="20.149999999999999" customHeight="1" x14ac:dyDescent="0.35">
      <c r="A232" s="4">
        <v>8</v>
      </c>
      <c r="B232" s="4">
        <v>353</v>
      </c>
      <c r="C232" s="16" t="str">
        <f t="shared" si="5"/>
        <v>(8,353),</v>
      </c>
    </row>
    <row r="233" spans="1:3" ht="20.149999999999999" customHeight="1" x14ac:dyDescent="0.35">
      <c r="A233" s="4">
        <v>9</v>
      </c>
      <c r="B233" s="4">
        <v>354</v>
      </c>
      <c r="C233" s="16" t="str">
        <f t="shared" si="5"/>
        <v>(9,354),</v>
      </c>
    </row>
    <row r="234" spans="1:3" ht="20.149999999999999" customHeight="1" x14ac:dyDescent="0.35">
      <c r="A234" s="4">
        <v>9</v>
      </c>
      <c r="B234" s="4">
        <v>355</v>
      </c>
      <c r="C234" s="16" t="str">
        <f t="shared" si="5"/>
        <v>(9,355),</v>
      </c>
    </row>
    <row r="235" spans="1:3" ht="20.149999999999999" customHeight="1" x14ac:dyDescent="0.35">
      <c r="A235" s="4">
        <v>9</v>
      </c>
      <c r="B235" s="4">
        <v>356</v>
      </c>
      <c r="C235" s="16" t="str">
        <f t="shared" si="5"/>
        <v>(9,356),</v>
      </c>
    </row>
    <row r="236" spans="1:3" ht="20.149999999999999" customHeight="1" x14ac:dyDescent="0.35">
      <c r="A236" s="4">
        <v>9</v>
      </c>
      <c r="B236" s="4">
        <v>357</v>
      </c>
      <c r="C236" s="16" t="str">
        <f t="shared" si="5"/>
        <v>(9,357),</v>
      </c>
    </row>
    <row r="237" spans="1:3" ht="20.149999999999999" customHeight="1" x14ac:dyDescent="0.35">
      <c r="A237" s="4">
        <v>9</v>
      </c>
      <c r="B237" s="4">
        <v>358</v>
      </c>
      <c r="C237" s="16" t="str">
        <f t="shared" si="5"/>
        <v>(9,358),</v>
      </c>
    </row>
    <row r="238" spans="1:3" ht="20.149999999999999" customHeight="1" x14ac:dyDescent="0.35">
      <c r="A238" s="4">
        <v>9</v>
      </c>
      <c r="B238" s="4">
        <v>359</v>
      </c>
      <c r="C238" s="16" t="str">
        <f t="shared" si="5"/>
        <v>(9,359),</v>
      </c>
    </row>
    <row r="239" spans="1:3" ht="20.149999999999999" customHeight="1" x14ac:dyDescent="0.35">
      <c r="A239" s="4">
        <v>1</v>
      </c>
      <c r="B239" s="4">
        <v>401</v>
      </c>
      <c r="C239" s="16" t="str">
        <f t="shared" si="5"/>
        <v>(1,401),</v>
      </c>
    </row>
    <row r="240" spans="1:3" ht="20.149999999999999" customHeight="1" x14ac:dyDescent="0.35">
      <c r="A240" s="4">
        <v>1</v>
      </c>
      <c r="B240" s="4">
        <v>402</v>
      </c>
      <c r="C240" s="16" t="str">
        <f t="shared" si="5"/>
        <v>(1,402),</v>
      </c>
    </row>
    <row r="241" spans="1:3" ht="20.149999999999999" customHeight="1" x14ac:dyDescent="0.35">
      <c r="A241" s="4">
        <v>1</v>
      </c>
      <c r="B241" s="4">
        <v>403</v>
      </c>
      <c r="C241" s="16" t="str">
        <f t="shared" si="5"/>
        <v>(1,403),</v>
      </c>
    </row>
    <row r="242" spans="1:3" ht="20.149999999999999" customHeight="1" x14ac:dyDescent="0.35">
      <c r="A242" s="4">
        <v>1</v>
      </c>
      <c r="B242" s="4">
        <v>404</v>
      </c>
      <c r="C242" s="16" t="str">
        <f t="shared" si="5"/>
        <v>(1,404),</v>
      </c>
    </row>
    <row r="243" spans="1:3" ht="20.149999999999999" customHeight="1" x14ac:dyDescent="0.35">
      <c r="A243" s="4">
        <v>1</v>
      </c>
      <c r="B243" s="4">
        <v>405</v>
      </c>
      <c r="C243" s="16" t="str">
        <f t="shared" si="5"/>
        <v>(1,405),</v>
      </c>
    </row>
    <row r="244" spans="1:3" ht="20.149999999999999" customHeight="1" x14ac:dyDescent="0.35">
      <c r="A244" s="4">
        <v>1</v>
      </c>
      <c r="B244" s="4">
        <v>406</v>
      </c>
      <c r="C244" s="16" t="str">
        <f t="shared" si="5"/>
        <v>(1,406),</v>
      </c>
    </row>
    <row r="245" spans="1:3" ht="20.149999999999999" customHeight="1" x14ac:dyDescent="0.35">
      <c r="A245" s="4">
        <v>1</v>
      </c>
      <c r="B245" s="4">
        <v>407</v>
      </c>
      <c r="C245" s="16" t="str">
        <f t="shared" si="5"/>
        <v>(1,407),</v>
      </c>
    </row>
    <row r="246" spans="1:3" ht="20.149999999999999" customHeight="1" x14ac:dyDescent="0.35">
      <c r="A246" s="4">
        <v>1</v>
      </c>
      <c r="B246" s="4">
        <v>408</v>
      </c>
      <c r="C246" s="16" t="str">
        <f t="shared" si="5"/>
        <v>(1,408),</v>
      </c>
    </row>
    <row r="247" spans="1:3" ht="20.149999999999999" customHeight="1" x14ac:dyDescent="0.35">
      <c r="A247" s="4">
        <v>6</v>
      </c>
      <c r="B247" s="4">
        <v>409</v>
      </c>
      <c r="C247" s="16" t="str">
        <f t="shared" si="5"/>
        <v>(6,409),</v>
      </c>
    </row>
    <row r="248" spans="1:3" ht="20.149999999999999" customHeight="1" x14ac:dyDescent="0.35">
      <c r="A248" s="4">
        <v>6</v>
      </c>
      <c r="B248" s="4">
        <v>410</v>
      </c>
      <c r="C248" s="16" t="str">
        <f t="shared" si="5"/>
        <v>(6,410),</v>
      </c>
    </row>
    <row r="249" spans="1:3" ht="20.149999999999999" customHeight="1" x14ac:dyDescent="0.35">
      <c r="A249" s="4">
        <v>6</v>
      </c>
      <c r="B249" s="4">
        <v>411</v>
      </c>
      <c r="C249" s="16" t="str">
        <f t="shared" si="5"/>
        <v>(6,411),</v>
      </c>
    </row>
    <row r="250" spans="1:3" ht="20.149999999999999" customHeight="1" x14ac:dyDescent="0.35">
      <c r="A250" s="4">
        <v>6</v>
      </c>
      <c r="B250" s="4">
        <v>412</v>
      </c>
      <c r="C250" s="16" t="str">
        <f t="shared" si="5"/>
        <v>(6,412),</v>
      </c>
    </row>
    <row r="251" spans="1:3" ht="20.149999999999999" customHeight="1" x14ac:dyDescent="0.35">
      <c r="A251" s="4">
        <v>6</v>
      </c>
      <c r="B251" s="4">
        <v>413</v>
      </c>
      <c r="C251" s="16" t="str">
        <f t="shared" si="5"/>
        <v>(6,413),</v>
      </c>
    </row>
    <row r="252" spans="1:3" ht="20.149999999999999" customHeight="1" x14ac:dyDescent="0.35">
      <c r="A252" s="4">
        <v>6</v>
      </c>
      <c r="B252" s="4">
        <v>414</v>
      </c>
      <c r="C252" s="16" t="str">
        <f t="shared" si="5"/>
        <v>(6,414),</v>
      </c>
    </row>
    <row r="253" spans="1:3" ht="20.149999999999999" customHeight="1" x14ac:dyDescent="0.35">
      <c r="A253" s="4">
        <v>6</v>
      </c>
      <c r="B253" s="4">
        <v>415</v>
      </c>
      <c r="C253" s="16" t="str">
        <f t="shared" si="5"/>
        <v>(6,415),</v>
      </c>
    </row>
    <row r="254" spans="1:3" ht="20.149999999999999" customHeight="1" x14ac:dyDescent="0.35">
      <c r="A254" s="4">
        <v>6</v>
      </c>
      <c r="B254" s="4">
        <v>416</v>
      </c>
      <c r="C254" s="16" t="str">
        <f t="shared" si="5"/>
        <v>(6,416),</v>
      </c>
    </row>
    <row r="255" spans="1:3" ht="20.149999999999999" customHeight="1" x14ac:dyDescent="0.35">
      <c r="A255" s="4">
        <v>6</v>
      </c>
      <c r="B255" s="4">
        <v>417</v>
      </c>
      <c r="C255" s="16" t="str">
        <f t="shared" si="5"/>
        <v>(6,417),</v>
      </c>
    </row>
    <row r="256" spans="1:3" ht="20.149999999999999" customHeight="1" x14ac:dyDescent="0.35">
      <c r="A256" s="4">
        <v>6</v>
      </c>
      <c r="B256" s="4">
        <v>418</v>
      </c>
      <c r="C256" s="16" t="str">
        <f t="shared" si="5"/>
        <v>(6,418),</v>
      </c>
    </row>
    <row r="257" spans="1:3" ht="20.149999999999999" customHeight="1" x14ac:dyDescent="0.35">
      <c r="A257" s="4">
        <v>6</v>
      </c>
      <c r="B257" s="4">
        <v>419</v>
      </c>
      <c r="C257" s="16" t="str">
        <f t="shared" si="5"/>
        <v>(6,419),</v>
      </c>
    </row>
    <row r="258" spans="1:3" ht="20.149999999999999" customHeight="1" x14ac:dyDescent="0.35">
      <c r="A258" s="4">
        <v>6</v>
      </c>
      <c r="B258" s="4">
        <v>420</v>
      </c>
      <c r="C258" s="16" t="str">
        <f t="shared" si="5"/>
        <v>(6,420),</v>
      </c>
    </row>
    <row r="259" spans="1:3" ht="20.149999999999999" customHeight="1" x14ac:dyDescent="0.35">
      <c r="A259" s="4">
        <v>3</v>
      </c>
      <c r="B259" s="4">
        <v>421</v>
      </c>
      <c r="C259" s="16" t="str">
        <f t="shared" si="5"/>
        <v>(3,421),</v>
      </c>
    </row>
    <row r="260" spans="1:3" ht="20.149999999999999" customHeight="1" x14ac:dyDescent="0.35">
      <c r="A260" s="4">
        <v>3</v>
      </c>
      <c r="B260" s="4">
        <v>422</v>
      </c>
      <c r="C260" s="16" t="str">
        <f t="shared" si="5"/>
        <v>(3,422),</v>
      </c>
    </row>
    <row r="261" spans="1:3" ht="20.149999999999999" customHeight="1" x14ac:dyDescent="0.35">
      <c r="A261" s="4">
        <v>3</v>
      </c>
      <c r="B261" s="4">
        <v>423</v>
      </c>
      <c r="C261" s="16" t="str">
        <f t="shared" si="5"/>
        <v>(3,423),</v>
      </c>
    </row>
    <row r="262" spans="1:3" ht="20.149999999999999" customHeight="1" x14ac:dyDescent="0.35">
      <c r="A262" s="4">
        <v>3</v>
      </c>
      <c r="B262" s="4">
        <v>424</v>
      </c>
      <c r="C262" s="16" t="str">
        <f t="shared" si="5"/>
        <v>(3,424),</v>
      </c>
    </row>
    <row r="263" spans="1:3" ht="20.149999999999999" customHeight="1" x14ac:dyDescent="0.35">
      <c r="A263" s="4">
        <v>3</v>
      </c>
      <c r="B263" s="4">
        <v>425</v>
      </c>
      <c r="C263" s="16" t="str">
        <f t="shared" si="5"/>
        <v>(3,425),</v>
      </c>
    </row>
    <row r="264" spans="1:3" ht="20.149999999999999" customHeight="1" x14ac:dyDescent="0.35">
      <c r="A264" s="4">
        <v>3</v>
      </c>
      <c r="B264" s="4">
        <v>426</v>
      </c>
      <c r="C264" s="16" t="str">
        <f t="shared" si="5"/>
        <v>(3,426),</v>
      </c>
    </row>
    <row r="265" spans="1:3" ht="20.149999999999999" customHeight="1" x14ac:dyDescent="0.35">
      <c r="A265" s="4">
        <v>3</v>
      </c>
      <c r="B265" s="4">
        <v>427</v>
      </c>
      <c r="C265" s="16" t="str">
        <f t="shared" si="5"/>
        <v>(3,427),</v>
      </c>
    </row>
    <row r="266" spans="1:3" ht="20.149999999999999" customHeight="1" x14ac:dyDescent="0.35">
      <c r="A266" s="4">
        <v>3</v>
      </c>
      <c r="B266" s="4">
        <v>428</v>
      </c>
      <c r="C266" s="16" t="str">
        <f t="shared" si="5"/>
        <v>(3,428),</v>
      </c>
    </row>
    <row r="267" spans="1:3" ht="20.149999999999999" customHeight="1" x14ac:dyDescent="0.35">
      <c r="A267" s="4">
        <v>3</v>
      </c>
      <c r="B267" s="4">
        <v>429</v>
      </c>
      <c r="C267" s="16" t="str">
        <f t="shared" si="5"/>
        <v>(3,429),</v>
      </c>
    </row>
    <row r="268" spans="1:3" ht="20.149999999999999" customHeight="1" x14ac:dyDescent="0.35">
      <c r="A268" s="4">
        <v>3</v>
      </c>
      <c r="B268" s="4">
        <v>430</v>
      </c>
      <c r="C268" s="16" t="str">
        <f t="shared" si="5"/>
        <v>(3,430),</v>
      </c>
    </row>
    <row r="269" spans="1:3" ht="20.149999999999999" customHeight="1" x14ac:dyDescent="0.35">
      <c r="A269" s="4">
        <v>3</v>
      </c>
      <c r="B269" s="4">
        <v>431</v>
      </c>
      <c r="C269" s="16" t="str">
        <f t="shared" si="5"/>
        <v>(3,431),</v>
      </c>
    </row>
    <row r="270" spans="1:3" ht="20.149999999999999" customHeight="1" x14ac:dyDescent="0.35">
      <c r="A270" s="4">
        <v>3</v>
      </c>
      <c r="B270" s="4">
        <v>432</v>
      </c>
      <c r="C270" s="16" t="str">
        <f t="shared" si="5"/>
        <v>(3,432),</v>
      </c>
    </row>
    <row r="271" spans="1:3" ht="20.149999999999999" customHeight="1" x14ac:dyDescent="0.35">
      <c r="A271" s="4">
        <v>3</v>
      </c>
      <c r="B271" s="4">
        <v>433</v>
      </c>
      <c r="C271" s="16" t="str">
        <f t="shared" si="5"/>
        <v>(3,433),</v>
      </c>
    </row>
    <row r="272" spans="1:3" ht="20.149999999999999" customHeight="1" x14ac:dyDescent="0.35">
      <c r="A272" s="4">
        <v>3</v>
      </c>
      <c r="B272" s="4">
        <v>434</v>
      </c>
      <c r="C272" s="16" t="str">
        <f t="shared" si="5"/>
        <v>(3,434),</v>
      </c>
    </row>
    <row r="273" spans="1:3" ht="20.149999999999999" customHeight="1" x14ac:dyDescent="0.35">
      <c r="A273" s="4">
        <v>3</v>
      </c>
      <c r="B273" s="4">
        <v>435</v>
      </c>
      <c r="C273" s="16" t="str">
        <f t="shared" si="5"/>
        <v>(3,435),</v>
      </c>
    </row>
    <row r="274" spans="1:3" ht="20.149999999999999" customHeight="1" x14ac:dyDescent="0.35">
      <c r="A274" s="4">
        <v>3</v>
      </c>
      <c r="B274" s="4">
        <v>436</v>
      </c>
      <c r="C274" s="16" t="str">
        <f t="shared" si="5"/>
        <v>(3,436),</v>
      </c>
    </row>
    <row r="275" spans="1:3" ht="20.149999999999999" customHeight="1" x14ac:dyDescent="0.35">
      <c r="A275" s="4">
        <v>3</v>
      </c>
      <c r="B275" s="4">
        <v>437</v>
      </c>
      <c r="C275" s="16" t="str">
        <f t="shared" si="5"/>
        <v>(3,437),</v>
      </c>
    </row>
    <row r="276" spans="1:3" ht="20.149999999999999" customHeight="1" x14ac:dyDescent="0.35">
      <c r="A276" s="4">
        <v>3</v>
      </c>
      <c r="B276" s="4">
        <v>438</v>
      </c>
      <c r="C276" s="16" t="str">
        <f t="shared" si="5"/>
        <v>(3,438),</v>
      </c>
    </row>
    <row r="277" spans="1:3" ht="20.149999999999999" customHeight="1" x14ac:dyDescent="0.35">
      <c r="A277" s="4">
        <v>3</v>
      </c>
      <c r="B277" s="4">
        <v>439</v>
      </c>
      <c r="C277" s="16" t="str">
        <f t="shared" si="5"/>
        <v>(3,439),</v>
      </c>
    </row>
    <row r="278" spans="1:3" ht="20.149999999999999" customHeight="1" x14ac:dyDescent="0.35">
      <c r="A278" s="4">
        <v>3</v>
      </c>
      <c r="B278" s="4">
        <v>440</v>
      </c>
      <c r="C278" s="16" t="str">
        <f t="shared" si="5"/>
        <v>(3,440),</v>
      </c>
    </row>
    <row r="279" spans="1:3" ht="20.149999999999999" customHeight="1" x14ac:dyDescent="0.35">
      <c r="A279" s="4">
        <v>3</v>
      </c>
      <c r="B279" s="4">
        <v>441</v>
      </c>
      <c r="C279" s="16" t="str">
        <f t="shared" ref="C279:C342" si="6">CONCATENATE("(",A279,",",B279,"),")</f>
        <v>(3,441),</v>
      </c>
    </row>
    <row r="280" spans="1:3" ht="20.149999999999999" customHeight="1" x14ac:dyDescent="0.35">
      <c r="A280" s="4">
        <v>3</v>
      </c>
      <c r="B280" s="4">
        <v>442</v>
      </c>
      <c r="C280" s="16" t="str">
        <f t="shared" si="6"/>
        <v>(3,442),</v>
      </c>
    </row>
    <row r="281" spans="1:3" ht="20.149999999999999" customHeight="1" x14ac:dyDescent="0.35">
      <c r="A281" s="4">
        <v>3</v>
      </c>
      <c r="B281" s="4">
        <v>443</v>
      </c>
      <c r="C281" s="16" t="str">
        <f t="shared" si="6"/>
        <v>(3,443),</v>
      </c>
    </row>
    <row r="282" spans="1:3" ht="20.149999999999999" customHeight="1" x14ac:dyDescent="0.35">
      <c r="A282" s="4">
        <v>3</v>
      </c>
      <c r="B282" s="4">
        <v>444</v>
      </c>
      <c r="C282" s="16" t="str">
        <f t="shared" si="6"/>
        <v>(3,444),</v>
      </c>
    </row>
    <row r="283" spans="1:3" ht="20.149999999999999" customHeight="1" x14ac:dyDescent="0.35">
      <c r="A283" s="4">
        <v>8</v>
      </c>
      <c r="B283" s="4">
        <v>445</v>
      </c>
      <c r="C283" s="16" t="str">
        <f t="shared" si="6"/>
        <v>(8,445),</v>
      </c>
    </row>
    <row r="284" spans="1:3" ht="20.149999999999999" customHeight="1" x14ac:dyDescent="0.35">
      <c r="A284" s="4">
        <v>8</v>
      </c>
      <c r="B284" s="4">
        <v>446</v>
      </c>
      <c r="C284" s="16" t="str">
        <f t="shared" si="6"/>
        <v>(8,446),</v>
      </c>
    </row>
    <row r="285" spans="1:3" ht="20.149999999999999" customHeight="1" x14ac:dyDescent="0.35">
      <c r="A285" s="4">
        <v>8</v>
      </c>
      <c r="B285" s="4">
        <v>447</v>
      </c>
      <c r="C285" s="16" t="str">
        <f t="shared" si="6"/>
        <v>(8,447),</v>
      </c>
    </row>
    <row r="286" spans="1:3" ht="20.149999999999999" customHeight="1" x14ac:dyDescent="0.35">
      <c r="A286" s="4">
        <v>8</v>
      </c>
      <c r="B286" s="4">
        <v>448</v>
      </c>
      <c r="C286" s="16" t="str">
        <f t="shared" si="6"/>
        <v>(8,448),</v>
      </c>
    </row>
    <row r="287" spans="1:3" ht="20.149999999999999" customHeight="1" x14ac:dyDescent="0.35">
      <c r="A287" s="4">
        <v>8</v>
      </c>
      <c r="B287" s="4">
        <v>449</v>
      </c>
      <c r="C287" s="16" t="str">
        <f t="shared" si="6"/>
        <v>(8,449),</v>
      </c>
    </row>
    <row r="288" spans="1:3" ht="20.149999999999999" customHeight="1" x14ac:dyDescent="0.35">
      <c r="A288" s="4">
        <v>8</v>
      </c>
      <c r="B288" s="4">
        <v>450</v>
      </c>
      <c r="C288" s="16" t="str">
        <f t="shared" si="6"/>
        <v>(8,450),</v>
      </c>
    </row>
    <row r="289" spans="1:3" ht="20.149999999999999" customHeight="1" x14ac:dyDescent="0.35">
      <c r="A289" s="4">
        <v>8</v>
      </c>
      <c r="B289" s="4">
        <v>451</v>
      </c>
      <c r="C289" s="16" t="str">
        <f t="shared" si="6"/>
        <v>(8,451),</v>
      </c>
    </row>
    <row r="290" spans="1:3" ht="20.149999999999999" customHeight="1" x14ac:dyDescent="0.35">
      <c r="A290" s="4">
        <v>8</v>
      </c>
      <c r="B290" s="4">
        <v>452</v>
      </c>
      <c r="C290" s="16" t="str">
        <f t="shared" si="6"/>
        <v>(8,452),</v>
      </c>
    </row>
    <row r="291" spans="1:3" ht="20.149999999999999" customHeight="1" x14ac:dyDescent="0.35">
      <c r="A291" s="4">
        <v>8</v>
      </c>
      <c r="B291" s="4">
        <v>453</v>
      </c>
      <c r="C291" s="16" t="str">
        <f t="shared" si="6"/>
        <v>(8,453),</v>
      </c>
    </row>
    <row r="292" spans="1:3" ht="20.149999999999999" customHeight="1" x14ac:dyDescent="0.35">
      <c r="A292" s="4">
        <v>9</v>
      </c>
      <c r="B292" s="4">
        <v>454</v>
      </c>
      <c r="C292" s="16" t="str">
        <f t="shared" si="6"/>
        <v>(9,454),</v>
      </c>
    </row>
    <row r="293" spans="1:3" ht="20.149999999999999" customHeight="1" x14ac:dyDescent="0.35">
      <c r="A293" s="4">
        <v>9</v>
      </c>
      <c r="B293" s="4">
        <v>455</v>
      </c>
      <c r="C293" s="16" t="str">
        <f t="shared" si="6"/>
        <v>(9,455),</v>
      </c>
    </row>
    <row r="294" spans="1:3" ht="20.149999999999999" customHeight="1" x14ac:dyDescent="0.35">
      <c r="A294" s="4">
        <v>9</v>
      </c>
      <c r="B294" s="4">
        <v>456</v>
      </c>
      <c r="C294" s="16" t="str">
        <f t="shared" si="6"/>
        <v>(9,456),</v>
      </c>
    </row>
    <row r="295" spans="1:3" ht="20.149999999999999" customHeight="1" x14ac:dyDescent="0.35">
      <c r="A295" s="4">
        <v>9</v>
      </c>
      <c r="B295" s="4">
        <v>457</v>
      </c>
      <c r="C295" s="16" t="str">
        <f t="shared" si="6"/>
        <v>(9,457),</v>
      </c>
    </row>
    <row r="296" spans="1:3" ht="20.149999999999999" customHeight="1" x14ac:dyDescent="0.35">
      <c r="A296" s="4">
        <v>9</v>
      </c>
      <c r="B296" s="4">
        <v>458</v>
      </c>
      <c r="C296" s="16" t="str">
        <f t="shared" si="6"/>
        <v>(9,458),</v>
      </c>
    </row>
    <row r="297" spans="1:3" ht="20.149999999999999" customHeight="1" x14ac:dyDescent="0.35">
      <c r="A297" s="4">
        <v>9</v>
      </c>
      <c r="B297" s="4">
        <v>459</v>
      </c>
      <c r="C297" s="16" t="str">
        <f t="shared" si="6"/>
        <v>(9,459),</v>
      </c>
    </row>
    <row r="298" spans="1:3" ht="20.149999999999999" customHeight="1" x14ac:dyDescent="0.35">
      <c r="A298" s="4">
        <v>1</v>
      </c>
      <c r="B298" s="4">
        <v>501</v>
      </c>
      <c r="C298" s="16" t="str">
        <f t="shared" si="6"/>
        <v>(1,501),</v>
      </c>
    </row>
    <row r="299" spans="1:3" ht="20.149999999999999" customHeight="1" x14ac:dyDescent="0.35">
      <c r="A299" s="4">
        <v>1</v>
      </c>
      <c r="B299" s="4">
        <v>502</v>
      </c>
      <c r="C299" s="16" t="str">
        <f t="shared" si="6"/>
        <v>(1,502),</v>
      </c>
    </row>
    <row r="300" spans="1:3" ht="20.149999999999999" customHeight="1" x14ac:dyDescent="0.35">
      <c r="A300" s="4">
        <v>1</v>
      </c>
      <c r="B300" s="4">
        <v>503</v>
      </c>
      <c r="C300" s="16" t="str">
        <f t="shared" si="6"/>
        <v>(1,503),</v>
      </c>
    </row>
    <row r="301" spans="1:3" ht="20.149999999999999" customHeight="1" x14ac:dyDescent="0.35">
      <c r="A301" s="4">
        <v>1</v>
      </c>
      <c r="B301" s="4">
        <v>504</v>
      </c>
      <c r="C301" s="16" t="str">
        <f t="shared" si="6"/>
        <v>(1,504),</v>
      </c>
    </row>
    <row r="302" spans="1:3" ht="20.149999999999999" customHeight="1" x14ac:dyDescent="0.35">
      <c r="A302" s="4">
        <v>1</v>
      </c>
      <c r="B302" s="4">
        <v>505</v>
      </c>
      <c r="C302" s="16" t="str">
        <f t="shared" si="6"/>
        <v>(1,505),</v>
      </c>
    </row>
    <row r="303" spans="1:3" ht="20.149999999999999" customHeight="1" x14ac:dyDescent="0.35">
      <c r="A303" s="4">
        <v>1</v>
      </c>
      <c r="B303" s="4">
        <v>506</v>
      </c>
      <c r="C303" s="16" t="str">
        <f t="shared" si="6"/>
        <v>(1,506),</v>
      </c>
    </row>
    <row r="304" spans="1:3" ht="20.149999999999999" customHeight="1" x14ac:dyDescent="0.35">
      <c r="A304" s="4">
        <v>1</v>
      </c>
      <c r="B304" s="4">
        <v>507</v>
      </c>
      <c r="C304" s="16" t="str">
        <f t="shared" si="6"/>
        <v>(1,507),</v>
      </c>
    </row>
    <row r="305" spans="1:3" ht="20.149999999999999" customHeight="1" x14ac:dyDescent="0.35">
      <c r="A305" s="4">
        <v>1</v>
      </c>
      <c r="B305" s="4">
        <v>508</v>
      </c>
      <c r="C305" s="16" t="str">
        <f t="shared" si="6"/>
        <v>(1,508),</v>
      </c>
    </row>
    <row r="306" spans="1:3" ht="20.149999999999999" customHeight="1" x14ac:dyDescent="0.35">
      <c r="A306" s="4">
        <v>6</v>
      </c>
      <c r="B306" s="4">
        <v>509</v>
      </c>
      <c r="C306" s="16" t="str">
        <f t="shared" si="6"/>
        <v>(6,509),</v>
      </c>
    </row>
    <row r="307" spans="1:3" ht="20.149999999999999" customHeight="1" x14ac:dyDescent="0.35">
      <c r="A307" s="4">
        <v>6</v>
      </c>
      <c r="B307" s="4">
        <v>510</v>
      </c>
      <c r="C307" s="16" t="str">
        <f t="shared" si="6"/>
        <v>(6,510),</v>
      </c>
    </row>
    <row r="308" spans="1:3" ht="20.149999999999999" customHeight="1" x14ac:dyDescent="0.35">
      <c r="A308" s="4">
        <v>6</v>
      </c>
      <c r="B308" s="4">
        <v>511</v>
      </c>
      <c r="C308" s="16" t="str">
        <f t="shared" si="6"/>
        <v>(6,511),</v>
      </c>
    </row>
    <row r="309" spans="1:3" ht="20.149999999999999" customHeight="1" x14ac:dyDescent="0.35">
      <c r="A309" s="4">
        <v>6</v>
      </c>
      <c r="B309" s="4">
        <v>512</v>
      </c>
      <c r="C309" s="16" t="str">
        <f t="shared" si="6"/>
        <v>(6,512),</v>
      </c>
    </row>
    <row r="310" spans="1:3" ht="20.149999999999999" customHeight="1" x14ac:dyDescent="0.35">
      <c r="A310" s="4">
        <v>6</v>
      </c>
      <c r="B310" s="4">
        <v>513</v>
      </c>
      <c r="C310" s="16" t="str">
        <f t="shared" si="6"/>
        <v>(6,513),</v>
      </c>
    </row>
    <row r="311" spans="1:3" ht="20.149999999999999" customHeight="1" x14ac:dyDescent="0.35">
      <c r="A311" s="4">
        <v>6</v>
      </c>
      <c r="B311" s="4">
        <v>514</v>
      </c>
      <c r="C311" s="16" t="str">
        <f t="shared" si="6"/>
        <v>(6,514),</v>
      </c>
    </row>
    <row r="312" spans="1:3" ht="20.149999999999999" customHeight="1" x14ac:dyDescent="0.35">
      <c r="A312" s="4">
        <v>6</v>
      </c>
      <c r="B312" s="4">
        <v>515</v>
      </c>
      <c r="C312" s="16" t="str">
        <f t="shared" si="6"/>
        <v>(6,515),</v>
      </c>
    </row>
    <row r="313" spans="1:3" ht="20.149999999999999" customHeight="1" x14ac:dyDescent="0.35">
      <c r="A313" s="4">
        <v>6</v>
      </c>
      <c r="B313" s="4">
        <v>516</v>
      </c>
      <c r="C313" s="16" t="str">
        <f t="shared" si="6"/>
        <v>(6,516),</v>
      </c>
    </row>
    <row r="314" spans="1:3" ht="20.149999999999999" customHeight="1" x14ac:dyDescent="0.35">
      <c r="A314" s="4">
        <v>6</v>
      </c>
      <c r="B314" s="4">
        <v>517</v>
      </c>
      <c r="C314" s="16" t="str">
        <f t="shared" si="6"/>
        <v>(6,517),</v>
      </c>
    </row>
    <row r="315" spans="1:3" ht="20.149999999999999" customHeight="1" x14ac:dyDescent="0.35">
      <c r="A315" s="4">
        <v>6</v>
      </c>
      <c r="B315" s="4">
        <v>518</v>
      </c>
      <c r="C315" s="16" t="str">
        <f t="shared" si="6"/>
        <v>(6,518),</v>
      </c>
    </row>
    <row r="316" spans="1:3" ht="20.149999999999999" customHeight="1" x14ac:dyDescent="0.35">
      <c r="A316" s="4">
        <v>6</v>
      </c>
      <c r="B316" s="4">
        <v>519</v>
      </c>
      <c r="C316" s="16" t="str">
        <f t="shared" si="6"/>
        <v>(6,519),</v>
      </c>
    </row>
    <row r="317" spans="1:3" ht="20.149999999999999" customHeight="1" x14ac:dyDescent="0.35">
      <c r="A317" s="4">
        <v>6</v>
      </c>
      <c r="B317" s="4">
        <v>520</v>
      </c>
      <c r="C317" s="16" t="str">
        <f t="shared" si="6"/>
        <v>(6,520),</v>
      </c>
    </row>
    <row r="318" spans="1:3" ht="20.149999999999999" customHeight="1" x14ac:dyDescent="0.35">
      <c r="A318" s="4">
        <v>3</v>
      </c>
      <c r="B318" s="4">
        <v>521</v>
      </c>
      <c r="C318" s="16" t="str">
        <f t="shared" si="6"/>
        <v>(3,521),</v>
      </c>
    </row>
    <row r="319" spans="1:3" ht="20.149999999999999" customHeight="1" x14ac:dyDescent="0.35">
      <c r="A319" s="4">
        <v>3</v>
      </c>
      <c r="B319" s="4">
        <v>522</v>
      </c>
      <c r="C319" s="16" t="str">
        <f t="shared" si="6"/>
        <v>(3,522),</v>
      </c>
    </row>
    <row r="320" spans="1:3" ht="20.149999999999999" customHeight="1" x14ac:dyDescent="0.35">
      <c r="A320" s="4">
        <v>3</v>
      </c>
      <c r="B320" s="4">
        <v>523</v>
      </c>
      <c r="C320" s="16" t="str">
        <f t="shared" si="6"/>
        <v>(3,523),</v>
      </c>
    </row>
    <row r="321" spans="1:3" ht="20.149999999999999" customHeight="1" x14ac:dyDescent="0.35">
      <c r="A321" s="4">
        <v>3</v>
      </c>
      <c r="B321" s="4">
        <v>524</v>
      </c>
      <c r="C321" s="16" t="str">
        <f t="shared" si="6"/>
        <v>(3,524),</v>
      </c>
    </row>
    <row r="322" spans="1:3" ht="20.149999999999999" customHeight="1" x14ac:dyDescent="0.35">
      <c r="A322" s="4">
        <v>3</v>
      </c>
      <c r="B322" s="4">
        <v>525</v>
      </c>
      <c r="C322" s="16" t="str">
        <f t="shared" si="6"/>
        <v>(3,525),</v>
      </c>
    </row>
    <row r="323" spans="1:3" ht="20.149999999999999" customHeight="1" x14ac:dyDescent="0.35">
      <c r="A323" s="4">
        <v>3</v>
      </c>
      <c r="B323" s="4">
        <v>526</v>
      </c>
      <c r="C323" s="16" t="str">
        <f t="shared" si="6"/>
        <v>(3,526),</v>
      </c>
    </row>
    <row r="324" spans="1:3" ht="20.149999999999999" customHeight="1" x14ac:dyDescent="0.35">
      <c r="A324" s="4">
        <v>3</v>
      </c>
      <c r="B324" s="4">
        <v>527</v>
      </c>
      <c r="C324" s="16" t="str">
        <f t="shared" si="6"/>
        <v>(3,527),</v>
      </c>
    </row>
    <row r="325" spans="1:3" ht="20.149999999999999" customHeight="1" x14ac:dyDescent="0.35">
      <c r="A325" s="4">
        <v>3</v>
      </c>
      <c r="B325" s="4">
        <v>528</v>
      </c>
      <c r="C325" s="16" t="str">
        <f t="shared" si="6"/>
        <v>(3,528),</v>
      </c>
    </row>
    <row r="326" spans="1:3" ht="20.149999999999999" customHeight="1" x14ac:dyDescent="0.35">
      <c r="A326" s="4">
        <v>3</v>
      </c>
      <c r="B326" s="4">
        <v>529</v>
      </c>
      <c r="C326" s="16" t="str">
        <f t="shared" si="6"/>
        <v>(3,529),</v>
      </c>
    </row>
    <row r="327" spans="1:3" ht="20.149999999999999" customHeight="1" x14ac:dyDescent="0.35">
      <c r="A327" s="4">
        <v>3</v>
      </c>
      <c r="B327" s="4">
        <v>530</v>
      </c>
      <c r="C327" s="16" t="str">
        <f t="shared" si="6"/>
        <v>(3,530),</v>
      </c>
    </row>
    <row r="328" spans="1:3" ht="20.149999999999999" customHeight="1" x14ac:dyDescent="0.35">
      <c r="A328" s="4">
        <v>3</v>
      </c>
      <c r="B328" s="4">
        <v>531</v>
      </c>
      <c r="C328" s="16" t="str">
        <f t="shared" si="6"/>
        <v>(3,531),</v>
      </c>
    </row>
    <row r="329" spans="1:3" ht="20.149999999999999" customHeight="1" x14ac:dyDescent="0.35">
      <c r="A329" s="4">
        <v>3</v>
      </c>
      <c r="B329" s="4">
        <v>532</v>
      </c>
      <c r="C329" s="16" t="str">
        <f t="shared" si="6"/>
        <v>(3,532),</v>
      </c>
    </row>
    <row r="330" spans="1:3" ht="20.149999999999999" customHeight="1" x14ac:dyDescent="0.35">
      <c r="A330" s="4">
        <v>3</v>
      </c>
      <c r="B330" s="4">
        <v>533</v>
      </c>
      <c r="C330" s="16" t="str">
        <f t="shared" si="6"/>
        <v>(3,533),</v>
      </c>
    </row>
    <row r="331" spans="1:3" ht="20.149999999999999" customHeight="1" x14ac:dyDescent="0.35">
      <c r="A331" s="4">
        <v>3</v>
      </c>
      <c r="B331" s="4">
        <v>534</v>
      </c>
      <c r="C331" s="16" t="str">
        <f t="shared" si="6"/>
        <v>(3,534),</v>
      </c>
    </row>
    <row r="332" spans="1:3" ht="20.149999999999999" customHeight="1" x14ac:dyDescent="0.35">
      <c r="A332" s="4">
        <v>3</v>
      </c>
      <c r="B332" s="4">
        <v>535</v>
      </c>
      <c r="C332" s="16" t="str">
        <f t="shared" si="6"/>
        <v>(3,535),</v>
      </c>
    </row>
    <row r="333" spans="1:3" ht="20.149999999999999" customHeight="1" x14ac:dyDescent="0.35">
      <c r="A333" s="4">
        <v>3</v>
      </c>
      <c r="B333" s="4">
        <v>536</v>
      </c>
      <c r="C333" s="16" t="str">
        <f t="shared" si="6"/>
        <v>(3,536),</v>
      </c>
    </row>
    <row r="334" spans="1:3" ht="20.149999999999999" customHeight="1" x14ac:dyDescent="0.35">
      <c r="A334" s="4">
        <v>3</v>
      </c>
      <c r="B334" s="4">
        <v>537</v>
      </c>
      <c r="C334" s="16" t="str">
        <f t="shared" si="6"/>
        <v>(3,537),</v>
      </c>
    </row>
    <row r="335" spans="1:3" ht="20.149999999999999" customHeight="1" x14ac:dyDescent="0.35">
      <c r="A335" s="4">
        <v>3</v>
      </c>
      <c r="B335" s="4">
        <v>538</v>
      </c>
      <c r="C335" s="16" t="str">
        <f t="shared" si="6"/>
        <v>(3,538),</v>
      </c>
    </row>
    <row r="336" spans="1:3" ht="20.149999999999999" customHeight="1" x14ac:dyDescent="0.35">
      <c r="A336" s="4">
        <v>3</v>
      </c>
      <c r="B336" s="4">
        <v>539</v>
      </c>
      <c r="C336" s="16" t="str">
        <f t="shared" si="6"/>
        <v>(3,539),</v>
      </c>
    </row>
    <row r="337" spans="1:3" ht="20.149999999999999" customHeight="1" x14ac:dyDescent="0.35">
      <c r="A337" s="4">
        <v>3</v>
      </c>
      <c r="B337" s="4">
        <v>540</v>
      </c>
      <c r="C337" s="16" t="str">
        <f t="shared" si="6"/>
        <v>(3,540),</v>
      </c>
    </row>
    <row r="338" spans="1:3" ht="20.149999999999999" customHeight="1" x14ac:dyDescent="0.35">
      <c r="A338" s="4">
        <v>3</v>
      </c>
      <c r="B338" s="4">
        <v>541</v>
      </c>
      <c r="C338" s="16" t="str">
        <f t="shared" si="6"/>
        <v>(3,541),</v>
      </c>
    </row>
    <row r="339" spans="1:3" ht="20.149999999999999" customHeight="1" x14ac:dyDescent="0.35">
      <c r="A339" s="4">
        <v>3</v>
      </c>
      <c r="B339" s="4">
        <v>542</v>
      </c>
      <c r="C339" s="16" t="str">
        <f t="shared" si="6"/>
        <v>(3,542),</v>
      </c>
    </row>
    <row r="340" spans="1:3" ht="20.149999999999999" customHeight="1" x14ac:dyDescent="0.35">
      <c r="A340" s="4">
        <v>3</v>
      </c>
      <c r="B340" s="4">
        <v>543</v>
      </c>
      <c r="C340" s="16" t="str">
        <f t="shared" si="6"/>
        <v>(3,543),</v>
      </c>
    </row>
    <row r="341" spans="1:3" ht="20.149999999999999" customHeight="1" x14ac:dyDescent="0.35">
      <c r="A341" s="4">
        <v>3</v>
      </c>
      <c r="B341" s="4">
        <v>544</v>
      </c>
      <c r="C341" s="16" t="str">
        <f t="shared" si="6"/>
        <v>(3,544),</v>
      </c>
    </row>
    <row r="342" spans="1:3" ht="20.149999999999999" customHeight="1" x14ac:dyDescent="0.35">
      <c r="A342" s="4">
        <v>8</v>
      </c>
      <c r="B342" s="4">
        <v>545</v>
      </c>
      <c r="C342" s="16" t="str">
        <f t="shared" si="6"/>
        <v>(8,545),</v>
      </c>
    </row>
    <row r="343" spans="1:3" ht="20.149999999999999" customHeight="1" x14ac:dyDescent="0.35">
      <c r="A343" s="4">
        <v>8</v>
      </c>
      <c r="B343" s="4">
        <v>546</v>
      </c>
      <c r="C343" s="16" t="str">
        <f t="shared" ref="C343:C406" si="7">CONCATENATE("(",A343,",",B343,"),")</f>
        <v>(8,546),</v>
      </c>
    </row>
    <row r="344" spans="1:3" ht="20.149999999999999" customHeight="1" x14ac:dyDescent="0.35">
      <c r="A344" s="4">
        <v>8</v>
      </c>
      <c r="B344" s="4">
        <v>547</v>
      </c>
      <c r="C344" s="16" t="str">
        <f t="shared" si="7"/>
        <v>(8,547),</v>
      </c>
    </row>
    <row r="345" spans="1:3" ht="20.149999999999999" customHeight="1" x14ac:dyDescent="0.35">
      <c r="A345" s="4">
        <v>8</v>
      </c>
      <c r="B345" s="4">
        <v>548</v>
      </c>
      <c r="C345" s="16" t="str">
        <f t="shared" si="7"/>
        <v>(8,548),</v>
      </c>
    </row>
    <row r="346" spans="1:3" ht="20.149999999999999" customHeight="1" x14ac:dyDescent="0.35">
      <c r="A346" s="4">
        <v>8</v>
      </c>
      <c r="B346" s="4">
        <v>549</v>
      </c>
      <c r="C346" s="16" t="str">
        <f t="shared" si="7"/>
        <v>(8,549),</v>
      </c>
    </row>
    <row r="347" spans="1:3" ht="20.149999999999999" customHeight="1" x14ac:dyDescent="0.35">
      <c r="A347" s="4">
        <v>8</v>
      </c>
      <c r="B347" s="4">
        <v>550</v>
      </c>
      <c r="C347" s="16" t="str">
        <f t="shared" si="7"/>
        <v>(8,550),</v>
      </c>
    </row>
    <row r="348" spans="1:3" ht="20.149999999999999" customHeight="1" x14ac:dyDescent="0.35">
      <c r="A348" s="4">
        <v>8</v>
      </c>
      <c r="B348" s="4">
        <v>551</v>
      </c>
      <c r="C348" s="16" t="str">
        <f t="shared" si="7"/>
        <v>(8,551),</v>
      </c>
    </row>
    <row r="349" spans="1:3" ht="20.149999999999999" customHeight="1" x14ac:dyDescent="0.35">
      <c r="A349" s="4">
        <v>8</v>
      </c>
      <c r="B349" s="4">
        <v>552</v>
      </c>
      <c r="C349" s="16" t="str">
        <f t="shared" si="7"/>
        <v>(8,552),</v>
      </c>
    </row>
    <row r="350" spans="1:3" ht="20.149999999999999" customHeight="1" x14ac:dyDescent="0.35">
      <c r="A350" s="4">
        <v>8</v>
      </c>
      <c r="B350" s="4">
        <v>553</v>
      </c>
      <c r="C350" s="16" t="str">
        <f t="shared" si="7"/>
        <v>(8,553),</v>
      </c>
    </row>
    <row r="351" spans="1:3" ht="20.149999999999999" customHeight="1" x14ac:dyDescent="0.35">
      <c r="A351" s="4">
        <v>10</v>
      </c>
      <c r="B351" s="4">
        <v>554</v>
      </c>
      <c r="C351" s="16" t="str">
        <f t="shared" si="7"/>
        <v>(10,554),</v>
      </c>
    </row>
    <row r="352" spans="1:3" ht="20.149999999999999" customHeight="1" x14ac:dyDescent="0.35">
      <c r="A352" s="4">
        <v>10</v>
      </c>
      <c r="B352" s="4">
        <v>555</v>
      </c>
      <c r="C352" s="16" t="str">
        <f t="shared" si="7"/>
        <v>(10,555),</v>
      </c>
    </row>
    <row r="353" spans="1:3" ht="20.149999999999999" customHeight="1" x14ac:dyDescent="0.35">
      <c r="A353" s="4">
        <v>10</v>
      </c>
      <c r="B353" s="4">
        <v>556</v>
      </c>
      <c r="C353" s="16" t="str">
        <f t="shared" si="7"/>
        <v>(10,556),</v>
      </c>
    </row>
    <row r="354" spans="1:3" ht="20.149999999999999" customHeight="1" x14ac:dyDescent="0.35">
      <c r="A354" s="4">
        <v>10</v>
      </c>
      <c r="B354" s="4">
        <v>557</v>
      </c>
      <c r="C354" s="16" t="str">
        <f t="shared" si="7"/>
        <v>(10,557),</v>
      </c>
    </row>
    <row r="355" spans="1:3" ht="20.149999999999999" customHeight="1" x14ac:dyDescent="0.35">
      <c r="A355" s="4">
        <v>10</v>
      </c>
      <c r="B355" s="4">
        <v>558</v>
      </c>
      <c r="C355" s="16" t="str">
        <f t="shared" si="7"/>
        <v>(10,558),</v>
      </c>
    </row>
    <row r="356" spans="1:3" ht="20.149999999999999" customHeight="1" x14ac:dyDescent="0.35">
      <c r="A356" s="4">
        <v>10</v>
      </c>
      <c r="B356" s="4">
        <v>559</v>
      </c>
      <c r="C356" s="16" t="str">
        <f t="shared" si="7"/>
        <v>(10,559),</v>
      </c>
    </row>
    <row r="357" spans="1:3" ht="20.149999999999999" customHeight="1" x14ac:dyDescent="0.35">
      <c r="A357" s="4">
        <v>1</v>
      </c>
      <c r="B357" s="4">
        <v>601</v>
      </c>
      <c r="C357" s="16" t="str">
        <f t="shared" si="7"/>
        <v>(1,601),</v>
      </c>
    </row>
    <row r="358" spans="1:3" ht="20.149999999999999" customHeight="1" x14ac:dyDescent="0.35">
      <c r="A358" s="4">
        <v>1</v>
      </c>
      <c r="B358" s="4">
        <v>602</v>
      </c>
      <c r="C358" s="16" t="str">
        <f t="shared" si="7"/>
        <v>(1,602),</v>
      </c>
    </row>
    <row r="359" spans="1:3" ht="20.149999999999999" customHeight="1" x14ac:dyDescent="0.35">
      <c r="A359" s="4">
        <v>1</v>
      </c>
      <c r="B359" s="4">
        <v>603</v>
      </c>
      <c r="C359" s="16" t="str">
        <f t="shared" si="7"/>
        <v>(1,603),</v>
      </c>
    </row>
    <row r="360" spans="1:3" ht="20.149999999999999" customHeight="1" x14ac:dyDescent="0.35">
      <c r="A360" s="4">
        <v>1</v>
      </c>
      <c r="B360" s="4">
        <v>604</v>
      </c>
      <c r="C360" s="16" t="str">
        <f t="shared" si="7"/>
        <v>(1,604),</v>
      </c>
    </row>
    <row r="361" spans="1:3" ht="20.149999999999999" customHeight="1" x14ac:dyDescent="0.35">
      <c r="A361" s="4">
        <v>1</v>
      </c>
      <c r="B361" s="4">
        <v>605</v>
      </c>
      <c r="C361" s="16" t="str">
        <f t="shared" si="7"/>
        <v>(1,605),</v>
      </c>
    </row>
    <row r="362" spans="1:3" ht="20.149999999999999" customHeight="1" x14ac:dyDescent="0.35">
      <c r="A362" s="4">
        <v>1</v>
      </c>
      <c r="B362" s="4">
        <v>606</v>
      </c>
      <c r="C362" s="16" t="str">
        <f t="shared" si="7"/>
        <v>(1,606),</v>
      </c>
    </row>
    <row r="363" spans="1:3" ht="20.149999999999999" customHeight="1" x14ac:dyDescent="0.35">
      <c r="A363" s="4">
        <v>1</v>
      </c>
      <c r="B363" s="4">
        <v>607</v>
      </c>
      <c r="C363" s="16" t="str">
        <f t="shared" si="7"/>
        <v>(1,607),</v>
      </c>
    </row>
    <row r="364" spans="1:3" ht="20.149999999999999" customHeight="1" x14ac:dyDescent="0.35">
      <c r="A364" s="4">
        <v>1</v>
      </c>
      <c r="B364" s="4">
        <v>608</v>
      </c>
      <c r="C364" s="16" t="str">
        <f t="shared" si="7"/>
        <v>(1,608),</v>
      </c>
    </row>
    <row r="365" spans="1:3" ht="20.149999999999999" customHeight="1" x14ac:dyDescent="0.35">
      <c r="A365" s="4">
        <v>6</v>
      </c>
      <c r="B365" s="4">
        <v>609</v>
      </c>
      <c r="C365" s="16" t="str">
        <f t="shared" si="7"/>
        <v>(6,609),</v>
      </c>
    </row>
    <row r="366" spans="1:3" ht="20.149999999999999" customHeight="1" x14ac:dyDescent="0.35">
      <c r="A366" s="4">
        <v>6</v>
      </c>
      <c r="B366" s="4">
        <v>610</v>
      </c>
      <c r="C366" s="16" t="str">
        <f t="shared" si="7"/>
        <v>(6,610),</v>
      </c>
    </row>
    <row r="367" spans="1:3" ht="20.149999999999999" customHeight="1" x14ac:dyDescent="0.35">
      <c r="A367" s="4">
        <v>6</v>
      </c>
      <c r="B367" s="4">
        <v>611</v>
      </c>
      <c r="C367" s="16" t="str">
        <f t="shared" si="7"/>
        <v>(6,611),</v>
      </c>
    </row>
    <row r="368" spans="1:3" ht="20.149999999999999" customHeight="1" x14ac:dyDescent="0.35">
      <c r="A368" s="4">
        <v>6</v>
      </c>
      <c r="B368" s="4">
        <v>612</v>
      </c>
      <c r="C368" s="16" t="str">
        <f t="shared" si="7"/>
        <v>(6,612),</v>
      </c>
    </row>
    <row r="369" spans="1:3" ht="20.149999999999999" customHeight="1" x14ac:dyDescent="0.35">
      <c r="A369" s="4">
        <v>6</v>
      </c>
      <c r="B369" s="4">
        <v>613</v>
      </c>
      <c r="C369" s="16" t="str">
        <f t="shared" si="7"/>
        <v>(6,613),</v>
      </c>
    </row>
    <row r="370" spans="1:3" ht="20.149999999999999" customHeight="1" x14ac:dyDescent="0.35">
      <c r="A370" s="4">
        <v>6</v>
      </c>
      <c r="B370" s="4">
        <v>614</v>
      </c>
      <c r="C370" s="16" t="str">
        <f t="shared" si="7"/>
        <v>(6,614),</v>
      </c>
    </row>
    <row r="371" spans="1:3" ht="20.149999999999999" customHeight="1" x14ac:dyDescent="0.35">
      <c r="A371" s="4">
        <v>6</v>
      </c>
      <c r="B371" s="4">
        <v>615</v>
      </c>
      <c r="C371" s="16" t="str">
        <f t="shared" si="7"/>
        <v>(6,615),</v>
      </c>
    </row>
    <row r="372" spans="1:3" ht="20.149999999999999" customHeight="1" x14ac:dyDescent="0.35">
      <c r="A372" s="4">
        <v>6</v>
      </c>
      <c r="B372" s="4">
        <v>616</v>
      </c>
      <c r="C372" s="16" t="str">
        <f t="shared" si="7"/>
        <v>(6,616),</v>
      </c>
    </row>
    <row r="373" spans="1:3" ht="20.149999999999999" customHeight="1" x14ac:dyDescent="0.35">
      <c r="A373" s="4">
        <v>6</v>
      </c>
      <c r="B373" s="4">
        <v>617</v>
      </c>
      <c r="C373" s="16" t="str">
        <f t="shared" si="7"/>
        <v>(6,617),</v>
      </c>
    </row>
    <row r="374" spans="1:3" ht="20.149999999999999" customHeight="1" x14ac:dyDescent="0.35">
      <c r="A374" s="4">
        <v>6</v>
      </c>
      <c r="B374" s="4">
        <v>618</v>
      </c>
      <c r="C374" s="16" t="str">
        <f t="shared" si="7"/>
        <v>(6,618),</v>
      </c>
    </row>
    <row r="375" spans="1:3" ht="20.149999999999999" customHeight="1" x14ac:dyDescent="0.35">
      <c r="A375" s="4">
        <v>6</v>
      </c>
      <c r="B375" s="4">
        <v>619</v>
      </c>
      <c r="C375" s="16" t="str">
        <f t="shared" si="7"/>
        <v>(6,619),</v>
      </c>
    </row>
    <row r="376" spans="1:3" ht="20.149999999999999" customHeight="1" x14ac:dyDescent="0.35">
      <c r="A376" s="4">
        <v>6</v>
      </c>
      <c r="B376" s="4">
        <v>620</v>
      </c>
      <c r="C376" s="16" t="str">
        <f t="shared" si="7"/>
        <v>(6,620),</v>
      </c>
    </row>
    <row r="377" spans="1:3" ht="20.149999999999999" customHeight="1" x14ac:dyDescent="0.35">
      <c r="A377" s="4">
        <v>3</v>
      </c>
      <c r="B377" s="4">
        <v>621</v>
      </c>
      <c r="C377" s="16" t="str">
        <f t="shared" si="7"/>
        <v>(3,621),</v>
      </c>
    </row>
    <row r="378" spans="1:3" ht="20.149999999999999" customHeight="1" x14ac:dyDescent="0.35">
      <c r="A378" s="4">
        <v>3</v>
      </c>
      <c r="B378" s="4">
        <v>622</v>
      </c>
      <c r="C378" s="16" t="str">
        <f t="shared" si="7"/>
        <v>(3,622),</v>
      </c>
    </row>
    <row r="379" spans="1:3" ht="20.149999999999999" customHeight="1" x14ac:dyDescent="0.35">
      <c r="A379" s="4">
        <v>3</v>
      </c>
      <c r="B379" s="4">
        <v>623</v>
      </c>
      <c r="C379" s="16" t="str">
        <f t="shared" si="7"/>
        <v>(3,623),</v>
      </c>
    </row>
    <row r="380" spans="1:3" ht="20.149999999999999" customHeight="1" x14ac:dyDescent="0.35">
      <c r="A380" s="4">
        <v>3</v>
      </c>
      <c r="B380" s="4">
        <v>624</v>
      </c>
      <c r="C380" s="16" t="str">
        <f t="shared" si="7"/>
        <v>(3,624),</v>
      </c>
    </row>
    <row r="381" spans="1:3" ht="20.149999999999999" customHeight="1" x14ac:dyDescent="0.35">
      <c r="A381" s="4">
        <v>3</v>
      </c>
      <c r="B381" s="4">
        <v>625</v>
      </c>
      <c r="C381" s="16" t="str">
        <f t="shared" si="7"/>
        <v>(3,625),</v>
      </c>
    </row>
    <row r="382" spans="1:3" ht="20.149999999999999" customHeight="1" x14ac:dyDescent="0.35">
      <c r="A382" s="4">
        <v>3</v>
      </c>
      <c r="B382" s="4">
        <v>626</v>
      </c>
      <c r="C382" s="16" t="str">
        <f t="shared" si="7"/>
        <v>(3,626),</v>
      </c>
    </row>
    <row r="383" spans="1:3" ht="20.149999999999999" customHeight="1" x14ac:dyDescent="0.35">
      <c r="A383" s="4">
        <v>3</v>
      </c>
      <c r="B383" s="4">
        <v>627</v>
      </c>
      <c r="C383" s="16" t="str">
        <f t="shared" si="7"/>
        <v>(3,627),</v>
      </c>
    </row>
    <row r="384" spans="1:3" ht="20.149999999999999" customHeight="1" x14ac:dyDescent="0.35">
      <c r="A384" s="4">
        <v>3</v>
      </c>
      <c r="B384" s="4">
        <v>628</v>
      </c>
      <c r="C384" s="16" t="str">
        <f t="shared" si="7"/>
        <v>(3,628),</v>
      </c>
    </row>
    <row r="385" spans="1:3" ht="20.149999999999999" customHeight="1" x14ac:dyDescent="0.35">
      <c r="A385" s="4">
        <v>3</v>
      </c>
      <c r="B385" s="4">
        <v>629</v>
      </c>
      <c r="C385" s="16" t="str">
        <f t="shared" si="7"/>
        <v>(3,629),</v>
      </c>
    </row>
    <row r="386" spans="1:3" ht="20.149999999999999" customHeight="1" x14ac:dyDescent="0.35">
      <c r="A386" s="4">
        <v>3</v>
      </c>
      <c r="B386" s="4">
        <v>630</v>
      </c>
      <c r="C386" s="16" t="str">
        <f t="shared" si="7"/>
        <v>(3,630),</v>
      </c>
    </row>
    <row r="387" spans="1:3" ht="20.149999999999999" customHeight="1" x14ac:dyDescent="0.35">
      <c r="A387" s="4">
        <v>3</v>
      </c>
      <c r="B387" s="4">
        <v>631</v>
      </c>
      <c r="C387" s="16" t="str">
        <f t="shared" si="7"/>
        <v>(3,631),</v>
      </c>
    </row>
    <row r="388" spans="1:3" ht="20.149999999999999" customHeight="1" x14ac:dyDescent="0.35">
      <c r="A388" s="4">
        <v>3</v>
      </c>
      <c r="B388" s="4">
        <v>632</v>
      </c>
      <c r="C388" s="16" t="str">
        <f t="shared" si="7"/>
        <v>(3,632),</v>
      </c>
    </row>
    <row r="389" spans="1:3" ht="20.149999999999999" customHeight="1" x14ac:dyDescent="0.35">
      <c r="A389" s="4">
        <v>3</v>
      </c>
      <c r="B389" s="4">
        <v>633</v>
      </c>
      <c r="C389" s="16" t="str">
        <f t="shared" si="7"/>
        <v>(3,633),</v>
      </c>
    </row>
    <row r="390" spans="1:3" ht="20.149999999999999" customHeight="1" x14ac:dyDescent="0.35">
      <c r="A390" s="4">
        <v>3</v>
      </c>
      <c r="B390" s="4">
        <v>634</v>
      </c>
      <c r="C390" s="16" t="str">
        <f t="shared" si="7"/>
        <v>(3,634),</v>
      </c>
    </row>
    <row r="391" spans="1:3" ht="20.149999999999999" customHeight="1" x14ac:dyDescent="0.35">
      <c r="A391" s="4">
        <v>3</v>
      </c>
      <c r="B391" s="4">
        <v>635</v>
      </c>
      <c r="C391" s="16" t="str">
        <f t="shared" si="7"/>
        <v>(3,635),</v>
      </c>
    </row>
    <row r="392" spans="1:3" ht="20.149999999999999" customHeight="1" x14ac:dyDescent="0.35">
      <c r="A392" s="4">
        <v>3</v>
      </c>
      <c r="B392" s="4">
        <v>636</v>
      </c>
      <c r="C392" s="16" t="str">
        <f t="shared" si="7"/>
        <v>(3,636),</v>
      </c>
    </row>
    <row r="393" spans="1:3" ht="20.149999999999999" customHeight="1" x14ac:dyDescent="0.35">
      <c r="A393" s="4">
        <v>3</v>
      </c>
      <c r="B393" s="4">
        <v>637</v>
      </c>
      <c r="C393" s="16" t="str">
        <f t="shared" si="7"/>
        <v>(3,637),</v>
      </c>
    </row>
    <row r="394" spans="1:3" ht="20.149999999999999" customHeight="1" x14ac:dyDescent="0.35">
      <c r="A394" s="4">
        <v>3</v>
      </c>
      <c r="B394" s="4">
        <v>638</v>
      </c>
      <c r="C394" s="16" t="str">
        <f t="shared" si="7"/>
        <v>(3,638),</v>
      </c>
    </row>
    <row r="395" spans="1:3" ht="20.149999999999999" customHeight="1" x14ac:dyDescent="0.35">
      <c r="A395" s="4">
        <v>3</v>
      </c>
      <c r="B395" s="4">
        <v>639</v>
      </c>
      <c r="C395" s="16" t="str">
        <f t="shared" si="7"/>
        <v>(3,639),</v>
      </c>
    </row>
    <row r="396" spans="1:3" ht="20.149999999999999" customHeight="1" x14ac:dyDescent="0.35">
      <c r="A396" s="4">
        <v>3</v>
      </c>
      <c r="B396" s="4">
        <v>640</v>
      </c>
      <c r="C396" s="16" t="str">
        <f t="shared" si="7"/>
        <v>(3,640),</v>
      </c>
    </row>
    <row r="397" spans="1:3" ht="20.149999999999999" customHeight="1" x14ac:dyDescent="0.35">
      <c r="A397" s="4">
        <v>3</v>
      </c>
      <c r="B397" s="4">
        <v>641</v>
      </c>
      <c r="C397" s="16" t="str">
        <f t="shared" si="7"/>
        <v>(3,641),</v>
      </c>
    </row>
    <row r="398" spans="1:3" ht="20.149999999999999" customHeight="1" x14ac:dyDescent="0.35">
      <c r="A398" s="4">
        <v>3</v>
      </c>
      <c r="B398" s="4">
        <v>642</v>
      </c>
      <c r="C398" s="16" t="str">
        <f t="shared" si="7"/>
        <v>(3,642),</v>
      </c>
    </row>
    <row r="399" spans="1:3" ht="20.149999999999999" customHeight="1" x14ac:dyDescent="0.35">
      <c r="A399" s="4">
        <v>3</v>
      </c>
      <c r="B399" s="4">
        <v>643</v>
      </c>
      <c r="C399" s="16" t="str">
        <f t="shared" si="7"/>
        <v>(3,643),</v>
      </c>
    </row>
    <row r="400" spans="1:3" ht="20.149999999999999" customHeight="1" x14ac:dyDescent="0.35">
      <c r="A400" s="4">
        <v>3</v>
      </c>
      <c r="B400" s="4">
        <v>644</v>
      </c>
      <c r="C400" s="16" t="str">
        <f t="shared" si="7"/>
        <v>(3,644),</v>
      </c>
    </row>
    <row r="401" spans="1:3" ht="20.149999999999999" customHeight="1" x14ac:dyDescent="0.35">
      <c r="A401" s="4">
        <v>8</v>
      </c>
      <c r="B401" s="4">
        <v>645</v>
      </c>
      <c r="C401" s="16" t="str">
        <f t="shared" si="7"/>
        <v>(8,645),</v>
      </c>
    </row>
    <row r="402" spans="1:3" ht="20.149999999999999" customHeight="1" x14ac:dyDescent="0.35">
      <c r="A402" s="4">
        <v>8</v>
      </c>
      <c r="B402" s="4">
        <v>646</v>
      </c>
      <c r="C402" s="16" t="str">
        <f t="shared" si="7"/>
        <v>(8,646),</v>
      </c>
    </row>
    <row r="403" spans="1:3" ht="20.149999999999999" customHeight="1" x14ac:dyDescent="0.35">
      <c r="A403" s="4">
        <v>8</v>
      </c>
      <c r="B403" s="4">
        <v>647</v>
      </c>
      <c r="C403" s="16" t="str">
        <f t="shared" si="7"/>
        <v>(8,647),</v>
      </c>
    </row>
    <row r="404" spans="1:3" ht="20.149999999999999" customHeight="1" x14ac:dyDescent="0.35">
      <c r="A404" s="4">
        <v>8</v>
      </c>
      <c r="B404" s="4">
        <v>648</v>
      </c>
      <c r="C404" s="16" t="str">
        <f t="shared" si="7"/>
        <v>(8,648),</v>
      </c>
    </row>
    <row r="405" spans="1:3" ht="20.149999999999999" customHeight="1" x14ac:dyDescent="0.35">
      <c r="A405" s="4">
        <v>8</v>
      </c>
      <c r="B405" s="4">
        <v>649</v>
      </c>
      <c r="C405" s="16" t="str">
        <f t="shared" si="7"/>
        <v>(8,649),</v>
      </c>
    </row>
    <row r="406" spans="1:3" ht="20.149999999999999" customHeight="1" x14ac:dyDescent="0.35">
      <c r="A406" s="4">
        <v>8</v>
      </c>
      <c r="B406" s="4">
        <v>650</v>
      </c>
      <c r="C406" s="16" t="str">
        <f t="shared" si="7"/>
        <v>(8,650),</v>
      </c>
    </row>
    <row r="407" spans="1:3" ht="20.149999999999999" customHeight="1" x14ac:dyDescent="0.35">
      <c r="A407" s="4">
        <v>8</v>
      </c>
      <c r="B407" s="4">
        <v>651</v>
      </c>
      <c r="C407" s="16" t="str">
        <f t="shared" ref="C407:C470" si="8">CONCATENATE("(",A407,",",B407,"),")</f>
        <v>(8,651),</v>
      </c>
    </row>
    <row r="408" spans="1:3" ht="20.149999999999999" customHeight="1" x14ac:dyDescent="0.35">
      <c r="A408" s="4">
        <v>8</v>
      </c>
      <c r="B408" s="4">
        <v>652</v>
      </c>
      <c r="C408" s="16" t="str">
        <f t="shared" si="8"/>
        <v>(8,652),</v>
      </c>
    </row>
    <row r="409" spans="1:3" ht="20.149999999999999" customHeight="1" x14ac:dyDescent="0.35">
      <c r="A409" s="4">
        <v>8</v>
      </c>
      <c r="B409" s="4">
        <v>653</v>
      </c>
      <c r="C409" s="16" t="str">
        <f t="shared" si="8"/>
        <v>(8,653),</v>
      </c>
    </row>
    <row r="410" spans="1:3" ht="20.149999999999999" customHeight="1" x14ac:dyDescent="0.35">
      <c r="A410" s="4">
        <v>10</v>
      </c>
      <c r="B410" s="4">
        <v>654</v>
      </c>
      <c r="C410" s="16" t="str">
        <f t="shared" si="8"/>
        <v>(10,654),</v>
      </c>
    </row>
    <row r="411" spans="1:3" ht="20.149999999999999" customHeight="1" x14ac:dyDescent="0.35">
      <c r="A411" s="4">
        <v>10</v>
      </c>
      <c r="B411" s="4">
        <v>655</v>
      </c>
      <c r="C411" s="16" t="str">
        <f t="shared" si="8"/>
        <v>(10,655),</v>
      </c>
    </row>
    <row r="412" spans="1:3" ht="20.149999999999999" customHeight="1" x14ac:dyDescent="0.35">
      <c r="A412" s="4">
        <v>10</v>
      </c>
      <c r="B412" s="4">
        <v>656</v>
      </c>
      <c r="C412" s="16" t="str">
        <f t="shared" si="8"/>
        <v>(10,656),</v>
      </c>
    </row>
    <row r="413" spans="1:3" ht="20.149999999999999" customHeight="1" x14ac:dyDescent="0.35">
      <c r="A413" s="4">
        <v>10</v>
      </c>
      <c r="B413" s="4">
        <v>657</v>
      </c>
      <c r="C413" s="16" t="str">
        <f t="shared" si="8"/>
        <v>(10,657),</v>
      </c>
    </row>
    <row r="414" spans="1:3" ht="20.149999999999999" customHeight="1" x14ac:dyDescent="0.35">
      <c r="A414" s="4">
        <v>10</v>
      </c>
      <c r="B414" s="4">
        <v>658</v>
      </c>
      <c r="C414" s="16" t="str">
        <f t="shared" si="8"/>
        <v>(10,658),</v>
      </c>
    </row>
    <row r="415" spans="1:3" ht="20.149999999999999" customHeight="1" x14ac:dyDescent="0.35">
      <c r="A415" s="4">
        <v>10</v>
      </c>
      <c r="B415" s="4">
        <v>659</v>
      </c>
      <c r="C415" s="16" t="str">
        <f t="shared" si="8"/>
        <v>(10,659),</v>
      </c>
    </row>
    <row r="416" spans="1:3" ht="20.149999999999999" customHeight="1" x14ac:dyDescent="0.35">
      <c r="A416" s="4">
        <v>1</v>
      </c>
      <c r="B416" s="4">
        <v>701</v>
      </c>
      <c r="C416" s="16" t="str">
        <f t="shared" si="8"/>
        <v>(1,701),</v>
      </c>
    </row>
    <row r="417" spans="1:3" ht="20.149999999999999" customHeight="1" x14ac:dyDescent="0.35">
      <c r="A417" s="4">
        <v>1</v>
      </c>
      <c r="B417" s="4">
        <v>702</v>
      </c>
      <c r="C417" s="16" t="str">
        <f t="shared" si="8"/>
        <v>(1,702),</v>
      </c>
    </row>
    <row r="418" spans="1:3" ht="20.149999999999999" customHeight="1" x14ac:dyDescent="0.35">
      <c r="A418" s="4">
        <v>1</v>
      </c>
      <c r="B418" s="4">
        <v>703</v>
      </c>
      <c r="C418" s="16" t="str">
        <f t="shared" si="8"/>
        <v>(1,703),</v>
      </c>
    </row>
    <row r="419" spans="1:3" ht="20.149999999999999" customHeight="1" x14ac:dyDescent="0.35">
      <c r="A419" s="4">
        <v>1</v>
      </c>
      <c r="B419" s="4">
        <v>704</v>
      </c>
      <c r="C419" s="16" t="str">
        <f t="shared" si="8"/>
        <v>(1,704),</v>
      </c>
    </row>
    <row r="420" spans="1:3" ht="20.149999999999999" customHeight="1" x14ac:dyDescent="0.35">
      <c r="A420" s="4">
        <v>1</v>
      </c>
      <c r="B420" s="4">
        <v>705</v>
      </c>
      <c r="C420" s="16" t="str">
        <f t="shared" si="8"/>
        <v>(1,705),</v>
      </c>
    </row>
    <row r="421" spans="1:3" ht="20.149999999999999" customHeight="1" x14ac:dyDescent="0.35">
      <c r="A421" s="4">
        <v>1</v>
      </c>
      <c r="B421" s="4">
        <v>706</v>
      </c>
      <c r="C421" s="16" t="str">
        <f t="shared" si="8"/>
        <v>(1,706),</v>
      </c>
    </row>
    <row r="422" spans="1:3" ht="20.149999999999999" customHeight="1" x14ac:dyDescent="0.35">
      <c r="A422" s="4">
        <v>1</v>
      </c>
      <c r="B422" s="4">
        <v>707</v>
      </c>
      <c r="C422" s="16" t="str">
        <f t="shared" si="8"/>
        <v>(1,707),</v>
      </c>
    </row>
    <row r="423" spans="1:3" ht="20.149999999999999" customHeight="1" x14ac:dyDescent="0.35">
      <c r="A423" s="4">
        <v>1</v>
      </c>
      <c r="B423" s="4">
        <v>708</v>
      </c>
      <c r="C423" s="16" t="str">
        <f t="shared" si="8"/>
        <v>(1,708),</v>
      </c>
    </row>
    <row r="424" spans="1:3" ht="20.149999999999999" customHeight="1" x14ac:dyDescent="0.35">
      <c r="A424" s="4">
        <v>7</v>
      </c>
      <c r="B424" s="4">
        <v>709</v>
      </c>
      <c r="C424" s="16" t="str">
        <f t="shared" si="8"/>
        <v>(7,709),</v>
      </c>
    </row>
    <row r="425" spans="1:3" ht="20.149999999999999" customHeight="1" x14ac:dyDescent="0.35">
      <c r="A425" s="4">
        <v>7</v>
      </c>
      <c r="B425" s="4">
        <v>710</v>
      </c>
      <c r="C425" s="16" t="str">
        <f t="shared" si="8"/>
        <v>(7,710),</v>
      </c>
    </row>
    <row r="426" spans="1:3" ht="20.149999999999999" customHeight="1" x14ac:dyDescent="0.35">
      <c r="A426" s="4">
        <v>7</v>
      </c>
      <c r="B426" s="4">
        <v>711</v>
      </c>
      <c r="C426" s="16" t="str">
        <f t="shared" si="8"/>
        <v>(7,711),</v>
      </c>
    </row>
    <row r="427" spans="1:3" ht="20.149999999999999" customHeight="1" x14ac:dyDescent="0.35">
      <c r="A427" s="4">
        <v>7</v>
      </c>
      <c r="B427" s="4">
        <v>712</v>
      </c>
      <c r="C427" s="16" t="str">
        <f t="shared" si="8"/>
        <v>(7,712),</v>
      </c>
    </row>
    <row r="428" spans="1:3" ht="20.149999999999999" customHeight="1" x14ac:dyDescent="0.35">
      <c r="A428" s="4">
        <v>7</v>
      </c>
      <c r="B428" s="4">
        <v>713</v>
      </c>
      <c r="C428" s="16" t="str">
        <f t="shared" si="8"/>
        <v>(7,713),</v>
      </c>
    </row>
    <row r="429" spans="1:3" ht="20.149999999999999" customHeight="1" x14ac:dyDescent="0.35">
      <c r="A429" s="4">
        <v>7</v>
      </c>
      <c r="B429" s="4">
        <v>714</v>
      </c>
      <c r="C429" s="16" t="str">
        <f t="shared" si="8"/>
        <v>(7,714),</v>
      </c>
    </row>
    <row r="430" spans="1:3" ht="20.149999999999999" customHeight="1" x14ac:dyDescent="0.35">
      <c r="A430" s="4">
        <v>7</v>
      </c>
      <c r="B430" s="4">
        <v>715</v>
      </c>
      <c r="C430" s="16" t="str">
        <f t="shared" si="8"/>
        <v>(7,715),</v>
      </c>
    </row>
    <row r="431" spans="1:3" ht="20.149999999999999" customHeight="1" x14ac:dyDescent="0.35">
      <c r="A431" s="4">
        <v>7</v>
      </c>
      <c r="B431" s="4">
        <v>716</v>
      </c>
      <c r="C431" s="16" t="str">
        <f t="shared" si="8"/>
        <v>(7,716),</v>
      </c>
    </row>
    <row r="432" spans="1:3" ht="20.149999999999999" customHeight="1" x14ac:dyDescent="0.35">
      <c r="A432" s="4">
        <v>7</v>
      </c>
      <c r="B432" s="4">
        <v>717</v>
      </c>
      <c r="C432" s="16" t="str">
        <f t="shared" si="8"/>
        <v>(7,717),</v>
      </c>
    </row>
    <row r="433" spans="1:3" ht="20.149999999999999" customHeight="1" x14ac:dyDescent="0.35">
      <c r="A433" s="4">
        <v>7</v>
      </c>
      <c r="B433" s="4">
        <v>718</v>
      </c>
      <c r="C433" s="16" t="str">
        <f t="shared" si="8"/>
        <v>(7,718),</v>
      </c>
    </row>
    <row r="434" spans="1:3" ht="20.149999999999999" customHeight="1" x14ac:dyDescent="0.35">
      <c r="A434" s="4">
        <v>7</v>
      </c>
      <c r="B434" s="4">
        <v>719</v>
      </c>
      <c r="C434" s="16" t="str">
        <f t="shared" si="8"/>
        <v>(7,719),</v>
      </c>
    </row>
    <row r="435" spans="1:3" ht="20.149999999999999" customHeight="1" x14ac:dyDescent="0.35">
      <c r="A435" s="4">
        <v>7</v>
      </c>
      <c r="B435" s="4">
        <v>720</v>
      </c>
      <c r="C435" s="16" t="str">
        <f t="shared" si="8"/>
        <v>(7,720),</v>
      </c>
    </row>
    <row r="436" spans="1:3" ht="20.149999999999999" customHeight="1" x14ac:dyDescent="0.35">
      <c r="A436" s="4">
        <v>4</v>
      </c>
      <c r="B436" s="4">
        <v>721</v>
      </c>
      <c r="C436" s="16" t="str">
        <f t="shared" si="8"/>
        <v>(4,721),</v>
      </c>
    </row>
    <row r="437" spans="1:3" ht="20.149999999999999" customHeight="1" x14ac:dyDescent="0.35">
      <c r="A437" s="4">
        <v>4</v>
      </c>
      <c r="B437" s="4">
        <v>722</v>
      </c>
      <c r="C437" s="16" t="str">
        <f t="shared" si="8"/>
        <v>(4,722),</v>
      </c>
    </row>
    <row r="438" spans="1:3" ht="20.149999999999999" customHeight="1" x14ac:dyDescent="0.35">
      <c r="A438" s="4">
        <v>4</v>
      </c>
      <c r="B438" s="4">
        <v>723</v>
      </c>
      <c r="C438" s="16" t="str">
        <f t="shared" si="8"/>
        <v>(4,723),</v>
      </c>
    </row>
    <row r="439" spans="1:3" ht="20.149999999999999" customHeight="1" x14ac:dyDescent="0.35">
      <c r="A439" s="4">
        <v>4</v>
      </c>
      <c r="B439" s="4">
        <v>724</v>
      </c>
      <c r="C439" s="16" t="str">
        <f t="shared" si="8"/>
        <v>(4,724),</v>
      </c>
    </row>
    <row r="440" spans="1:3" ht="20.149999999999999" customHeight="1" x14ac:dyDescent="0.35">
      <c r="A440" s="4">
        <v>4</v>
      </c>
      <c r="B440" s="4">
        <v>725</v>
      </c>
      <c r="C440" s="16" t="str">
        <f t="shared" si="8"/>
        <v>(4,725),</v>
      </c>
    </row>
    <row r="441" spans="1:3" ht="20.149999999999999" customHeight="1" x14ac:dyDescent="0.35">
      <c r="A441" s="4">
        <v>4</v>
      </c>
      <c r="B441" s="4">
        <v>726</v>
      </c>
      <c r="C441" s="16" t="str">
        <f t="shared" si="8"/>
        <v>(4,726),</v>
      </c>
    </row>
    <row r="442" spans="1:3" ht="20.149999999999999" customHeight="1" x14ac:dyDescent="0.35">
      <c r="A442" s="4">
        <v>4</v>
      </c>
      <c r="B442" s="4">
        <v>727</v>
      </c>
      <c r="C442" s="16" t="str">
        <f t="shared" si="8"/>
        <v>(4,727),</v>
      </c>
    </row>
    <row r="443" spans="1:3" ht="20.149999999999999" customHeight="1" x14ac:dyDescent="0.35">
      <c r="A443" s="4">
        <v>4</v>
      </c>
      <c r="B443" s="4">
        <v>728</v>
      </c>
      <c r="C443" s="16" t="str">
        <f t="shared" si="8"/>
        <v>(4,728),</v>
      </c>
    </row>
    <row r="444" spans="1:3" ht="20.149999999999999" customHeight="1" x14ac:dyDescent="0.35">
      <c r="A444" s="4">
        <v>4</v>
      </c>
      <c r="B444" s="4">
        <v>729</v>
      </c>
      <c r="C444" s="16" t="str">
        <f t="shared" si="8"/>
        <v>(4,729),</v>
      </c>
    </row>
    <row r="445" spans="1:3" ht="20.149999999999999" customHeight="1" x14ac:dyDescent="0.35">
      <c r="A445" s="4">
        <v>4</v>
      </c>
      <c r="B445" s="4">
        <v>730</v>
      </c>
      <c r="C445" s="16" t="str">
        <f t="shared" si="8"/>
        <v>(4,730),</v>
      </c>
    </row>
    <row r="446" spans="1:3" ht="20.149999999999999" customHeight="1" x14ac:dyDescent="0.35">
      <c r="A446" s="4">
        <v>4</v>
      </c>
      <c r="B446" s="4">
        <v>731</v>
      </c>
      <c r="C446" s="16" t="str">
        <f t="shared" si="8"/>
        <v>(4,731),</v>
      </c>
    </row>
    <row r="447" spans="1:3" ht="20.149999999999999" customHeight="1" x14ac:dyDescent="0.35">
      <c r="A447" s="4">
        <v>4</v>
      </c>
      <c r="B447" s="4">
        <v>732</v>
      </c>
      <c r="C447" s="16" t="str">
        <f t="shared" si="8"/>
        <v>(4,732),</v>
      </c>
    </row>
    <row r="448" spans="1:3" ht="20.149999999999999" customHeight="1" x14ac:dyDescent="0.35">
      <c r="A448" s="4">
        <v>4</v>
      </c>
      <c r="B448" s="4">
        <v>733</v>
      </c>
      <c r="C448" s="16" t="str">
        <f t="shared" si="8"/>
        <v>(4,733),</v>
      </c>
    </row>
    <row r="449" spans="1:3" ht="20.149999999999999" customHeight="1" x14ac:dyDescent="0.35">
      <c r="A449" s="4">
        <v>4</v>
      </c>
      <c r="B449" s="4">
        <v>734</v>
      </c>
      <c r="C449" s="16" t="str">
        <f t="shared" si="8"/>
        <v>(4,734),</v>
      </c>
    </row>
    <row r="450" spans="1:3" ht="20.149999999999999" customHeight="1" x14ac:dyDescent="0.35">
      <c r="A450" s="4">
        <v>4</v>
      </c>
      <c r="B450" s="4">
        <v>735</v>
      </c>
      <c r="C450" s="16" t="str">
        <f t="shared" si="8"/>
        <v>(4,735),</v>
      </c>
    </row>
    <row r="451" spans="1:3" ht="20.149999999999999" customHeight="1" x14ac:dyDescent="0.35">
      <c r="A451" s="4">
        <v>4</v>
      </c>
      <c r="B451" s="4">
        <v>736</v>
      </c>
      <c r="C451" s="16" t="str">
        <f t="shared" si="8"/>
        <v>(4,736),</v>
      </c>
    </row>
    <row r="452" spans="1:3" ht="20.149999999999999" customHeight="1" x14ac:dyDescent="0.35">
      <c r="A452" s="4">
        <v>4</v>
      </c>
      <c r="B452" s="4">
        <v>737</v>
      </c>
      <c r="C452" s="16" t="str">
        <f t="shared" si="8"/>
        <v>(4,737),</v>
      </c>
    </row>
    <row r="453" spans="1:3" ht="20.149999999999999" customHeight="1" x14ac:dyDescent="0.35">
      <c r="A453" s="4">
        <v>4</v>
      </c>
      <c r="B453" s="4">
        <v>738</v>
      </c>
      <c r="C453" s="16" t="str">
        <f t="shared" si="8"/>
        <v>(4,738),</v>
      </c>
    </row>
    <row r="454" spans="1:3" ht="20.149999999999999" customHeight="1" x14ac:dyDescent="0.35">
      <c r="A454" s="4">
        <v>4</v>
      </c>
      <c r="B454" s="4">
        <v>739</v>
      </c>
      <c r="C454" s="16" t="str">
        <f t="shared" si="8"/>
        <v>(4,739),</v>
      </c>
    </row>
    <row r="455" spans="1:3" ht="20.149999999999999" customHeight="1" x14ac:dyDescent="0.35">
      <c r="A455" s="4">
        <v>4</v>
      </c>
      <c r="B455" s="4">
        <v>740</v>
      </c>
      <c r="C455" s="16" t="str">
        <f t="shared" si="8"/>
        <v>(4,740),</v>
      </c>
    </row>
    <row r="456" spans="1:3" ht="20.149999999999999" customHeight="1" x14ac:dyDescent="0.35">
      <c r="A456" s="4">
        <v>4</v>
      </c>
      <c r="B456" s="4">
        <v>741</v>
      </c>
      <c r="C456" s="16" t="str">
        <f t="shared" si="8"/>
        <v>(4,741),</v>
      </c>
    </row>
    <row r="457" spans="1:3" ht="20.149999999999999" customHeight="1" x14ac:dyDescent="0.35">
      <c r="A457" s="4">
        <v>4</v>
      </c>
      <c r="B457" s="4">
        <v>742</v>
      </c>
      <c r="C457" s="16" t="str">
        <f t="shared" si="8"/>
        <v>(4,742),</v>
      </c>
    </row>
    <row r="458" spans="1:3" ht="20.149999999999999" customHeight="1" x14ac:dyDescent="0.35">
      <c r="A458" s="4">
        <v>4</v>
      </c>
      <c r="B458" s="4">
        <v>743</v>
      </c>
      <c r="C458" s="16" t="str">
        <f t="shared" si="8"/>
        <v>(4,743),</v>
      </c>
    </row>
    <row r="459" spans="1:3" ht="20.149999999999999" customHeight="1" x14ac:dyDescent="0.35">
      <c r="A459" s="4">
        <v>4</v>
      </c>
      <c r="B459" s="4">
        <v>744</v>
      </c>
      <c r="C459" s="16" t="str">
        <f t="shared" si="8"/>
        <v>(4,744),</v>
      </c>
    </row>
    <row r="460" spans="1:3" ht="20.149999999999999" customHeight="1" x14ac:dyDescent="0.35">
      <c r="A460" s="4">
        <v>11</v>
      </c>
      <c r="B460" s="4">
        <v>745</v>
      </c>
      <c r="C460" s="16" t="str">
        <f t="shared" si="8"/>
        <v>(11,745),</v>
      </c>
    </row>
    <row r="461" spans="1:3" ht="20.149999999999999" customHeight="1" x14ac:dyDescent="0.35">
      <c r="A461" s="4">
        <v>11</v>
      </c>
      <c r="B461" s="4">
        <v>746</v>
      </c>
      <c r="C461" s="16" t="str">
        <f t="shared" si="8"/>
        <v>(11,746),</v>
      </c>
    </row>
    <row r="462" spans="1:3" ht="20.149999999999999" customHeight="1" x14ac:dyDescent="0.35">
      <c r="A462" s="4">
        <v>11</v>
      </c>
      <c r="B462" s="4">
        <v>747</v>
      </c>
      <c r="C462" s="16" t="str">
        <f t="shared" si="8"/>
        <v>(11,747),</v>
      </c>
    </row>
    <row r="463" spans="1:3" ht="20.149999999999999" customHeight="1" x14ac:dyDescent="0.35">
      <c r="A463" s="4">
        <v>11</v>
      </c>
      <c r="B463" s="4">
        <v>748</v>
      </c>
      <c r="C463" s="16" t="str">
        <f t="shared" si="8"/>
        <v>(11,748),</v>
      </c>
    </row>
    <row r="464" spans="1:3" ht="20.149999999999999" customHeight="1" x14ac:dyDescent="0.35">
      <c r="A464" s="4">
        <v>11</v>
      </c>
      <c r="B464" s="4">
        <v>749</v>
      </c>
      <c r="C464" s="16" t="str">
        <f t="shared" si="8"/>
        <v>(11,749),</v>
      </c>
    </row>
    <row r="465" spans="1:3" ht="20.149999999999999" customHeight="1" x14ac:dyDescent="0.35">
      <c r="A465" s="4">
        <v>11</v>
      </c>
      <c r="B465" s="4">
        <v>750</v>
      </c>
      <c r="C465" s="16" t="str">
        <f t="shared" si="8"/>
        <v>(11,750),</v>
      </c>
    </row>
    <row r="466" spans="1:3" ht="20.149999999999999" customHeight="1" x14ac:dyDescent="0.35">
      <c r="A466" s="4">
        <v>11</v>
      </c>
      <c r="B466" s="4">
        <v>751</v>
      </c>
      <c r="C466" s="16" t="str">
        <f t="shared" si="8"/>
        <v>(11,751),</v>
      </c>
    </row>
    <row r="467" spans="1:3" ht="20.149999999999999" customHeight="1" x14ac:dyDescent="0.35">
      <c r="A467" s="4">
        <v>11</v>
      </c>
      <c r="B467" s="4">
        <v>752</v>
      </c>
      <c r="C467" s="16" t="str">
        <f t="shared" si="8"/>
        <v>(11,752),</v>
      </c>
    </row>
    <row r="468" spans="1:3" ht="20.149999999999999" customHeight="1" x14ac:dyDescent="0.35">
      <c r="A468" s="4">
        <v>11</v>
      </c>
      <c r="B468" s="4">
        <v>753</v>
      </c>
      <c r="C468" s="16" t="str">
        <f t="shared" si="8"/>
        <v>(11,753),</v>
      </c>
    </row>
    <row r="469" spans="1:3" ht="20.149999999999999" customHeight="1" x14ac:dyDescent="0.35">
      <c r="A469" s="4">
        <v>11</v>
      </c>
      <c r="B469" s="4">
        <v>754</v>
      </c>
      <c r="C469" s="16" t="str">
        <f t="shared" si="8"/>
        <v>(11,754),</v>
      </c>
    </row>
    <row r="470" spans="1:3" ht="20.149999999999999" customHeight="1" x14ac:dyDescent="0.35">
      <c r="A470" s="4">
        <v>11</v>
      </c>
      <c r="B470" s="4">
        <v>755</v>
      </c>
      <c r="C470" s="16" t="str">
        <f t="shared" si="8"/>
        <v>(11,755),</v>
      </c>
    </row>
    <row r="471" spans="1:3" ht="20.149999999999999" customHeight="1" x14ac:dyDescent="0.35">
      <c r="A471" s="4">
        <v>11</v>
      </c>
      <c r="B471" s="4">
        <v>756</v>
      </c>
      <c r="C471" s="16" t="str">
        <f t="shared" ref="C471:C474" si="9">CONCATENATE("(",A471,",",B471,"),")</f>
        <v>(11,756),</v>
      </c>
    </row>
    <row r="472" spans="1:3" ht="20.149999999999999" customHeight="1" x14ac:dyDescent="0.35">
      <c r="A472" s="4">
        <v>11</v>
      </c>
      <c r="B472" s="4">
        <v>757</v>
      </c>
      <c r="C472" s="16" t="str">
        <f t="shared" si="9"/>
        <v>(11,757),</v>
      </c>
    </row>
    <row r="473" spans="1:3" ht="20.149999999999999" customHeight="1" x14ac:dyDescent="0.35">
      <c r="A473" s="4">
        <v>11</v>
      </c>
      <c r="B473" s="4">
        <v>758</v>
      </c>
      <c r="C473" s="16" t="str">
        <f t="shared" si="9"/>
        <v>(11,758),</v>
      </c>
    </row>
    <row r="474" spans="1:3" ht="20.149999999999999" customHeight="1" x14ac:dyDescent="0.35">
      <c r="A474" s="4">
        <v>11</v>
      </c>
      <c r="B474" s="4">
        <v>759</v>
      </c>
      <c r="C474" s="16" t="str">
        <f t="shared" si="9"/>
        <v>(11,759),</v>
      </c>
    </row>
  </sheetData>
  <autoFilter ref="A2:B62"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F474"/>
  <sheetViews>
    <sheetView topLeftCell="A446" workbookViewId="0">
      <selection activeCell="B3" sqref="B3:B474"/>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5789</v>
      </c>
      <c r="E1" s="1" t="s">
        <v>5790</v>
      </c>
      <c r="F1" s="1" t="s">
        <v>5603</v>
      </c>
    </row>
    <row r="2" spans="1:6" ht="20.149999999999999" customHeight="1" x14ac:dyDescent="0.35">
      <c r="A2" s="1" t="s">
        <v>44</v>
      </c>
      <c r="B2" s="1" t="s">
        <v>41</v>
      </c>
      <c r="C2" s="1" t="s">
        <v>6102</v>
      </c>
      <c r="D2" s="1" t="s">
        <v>43</v>
      </c>
      <c r="E2" s="1" t="s">
        <v>53</v>
      </c>
      <c r="F2" s="1" t="s">
        <v>6103</v>
      </c>
    </row>
    <row r="3" spans="1:6" ht="20.149999999999999" customHeight="1" x14ac:dyDescent="0.35">
      <c r="A3" s="3">
        <v>1</v>
      </c>
      <c r="B3" s="4" t="str">
        <f>CONCATENATE(D3,":",E3)</f>
        <v>PARAMETER:MANAGE</v>
      </c>
      <c r="C3" s="4" t="str">
        <f t="shared" ref="C3:C34" si="0">CONCATENATE(LOWER(D3)," management")</f>
        <v>parameter management</v>
      </c>
      <c r="D3" s="4" t="s">
        <v>6378</v>
      </c>
      <c r="E3" s="5" t="s">
        <v>6428</v>
      </c>
      <c r="F3" s="16" t="str">
        <f t="shared" ref="F3:F66" si="1">CONCATENATE("(",A3,",'",B3,"','",C3,"','",D3,"','",E3,"'),")</f>
        <v>(1,'PARAMETER:MANAGE','parameter management','PARAMETER','MANAGE'),</v>
      </c>
    </row>
    <row r="4" spans="1:6" ht="20.149999999999999" customHeight="1" x14ac:dyDescent="0.35">
      <c r="A4" s="3">
        <v>2</v>
      </c>
      <c r="B4" s="4" t="str">
        <f t="shared" ref="B4:B67" si="2">CONCATENATE(D4,":",E4)</f>
        <v>FILE:MANAGE</v>
      </c>
      <c r="C4" s="4" t="str">
        <f t="shared" si="0"/>
        <v>file management</v>
      </c>
      <c r="D4" s="4" t="s">
        <v>6379</v>
      </c>
      <c r="E4" s="5" t="s">
        <v>6428</v>
      </c>
      <c r="F4" s="16" t="str">
        <f t="shared" si="1"/>
        <v>(2,'FILE:MANAGE','file management','FILE','MANAGE'),</v>
      </c>
    </row>
    <row r="5" spans="1:6" ht="20.149999999999999" customHeight="1" x14ac:dyDescent="0.35">
      <c r="A5" s="3">
        <v>3</v>
      </c>
      <c r="B5" s="4" t="str">
        <f t="shared" si="2"/>
        <v>GROUP:MANAGE</v>
      </c>
      <c r="C5" s="4" t="str">
        <f t="shared" si="0"/>
        <v>group management</v>
      </c>
      <c r="D5" s="4" t="s">
        <v>5751</v>
      </c>
      <c r="E5" s="5" t="s">
        <v>6428</v>
      </c>
      <c r="F5" s="16" t="str">
        <f t="shared" si="1"/>
        <v>(3,'GROUP:MANAGE','group management','GROUP','MANAGE'),</v>
      </c>
    </row>
    <row r="6" spans="1:6" ht="20.149999999999999" customHeight="1" x14ac:dyDescent="0.35">
      <c r="A6" s="3">
        <v>4</v>
      </c>
      <c r="B6" s="4" t="str">
        <f t="shared" si="2"/>
        <v>USER:MANAGE</v>
      </c>
      <c r="C6" s="4" t="str">
        <f t="shared" si="0"/>
        <v>user management</v>
      </c>
      <c r="D6" s="4" t="s">
        <v>5752</v>
      </c>
      <c r="E6" s="5" t="s">
        <v>6428</v>
      </c>
      <c r="F6" s="16" t="str">
        <f t="shared" si="1"/>
        <v>(4,'USER:MANAGE','user management','USER','MANAGE'),</v>
      </c>
    </row>
    <row r="7" spans="1:6" ht="20.149999999999999" customHeight="1" x14ac:dyDescent="0.35">
      <c r="A7" s="3">
        <v>5</v>
      </c>
      <c r="B7" s="4" t="str">
        <f t="shared" si="2"/>
        <v>ROLE:MANAGE</v>
      </c>
      <c r="C7" s="4" t="str">
        <f t="shared" si="0"/>
        <v>role management</v>
      </c>
      <c r="D7" s="4" t="s">
        <v>5753</v>
      </c>
      <c r="E7" s="5" t="s">
        <v>6428</v>
      </c>
      <c r="F7" s="16" t="str">
        <f t="shared" si="1"/>
        <v>(5,'ROLE:MANAGE','role management','ROLE','MANAGE'),</v>
      </c>
    </row>
    <row r="8" spans="1:6" ht="20.149999999999999" customHeight="1" x14ac:dyDescent="0.35">
      <c r="A8" s="3">
        <v>6</v>
      </c>
      <c r="B8" s="4" t="str">
        <f t="shared" si="2"/>
        <v>PERMISSION:MANAGE</v>
      </c>
      <c r="C8" s="4" t="str">
        <f t="shared" si="0"/>
        <v>permission management</v>
      </c>
      <c r="D8" s="4" t="s">
        <v>5754</v>
      </c>
      <c r="E8" s="5" t="s">
        <v>6428</v>
      </c>
      <c r="F8" s="16" t="str">
        <f t="shared" si="1"/>
        <v>(6,'PERMISSION:MANAGE','permission management','PERMISSION','MANAGE'),</v>
      </c>
    </row>
    <row r="9" spans="1:6" ht="20.149999999999999" customHeight="1" x14ac:dyDescent="0.35">
      <c r="A9" s="3">
        <v>7</v>
      </c>
      <c r="B9" s="4" t="str">
        <f t="shared" si="2"/>
        <v>AUTHORITY:MANAGE</v>
      </c>
      <c r="C9" s="4" t="str">
        <f t="shared" si="0"/>
        <v>authority management</v>
      </c>
      <c r="D9" s="4" t="s">
        <v>5755</v>
      </c>
      <c r="E9" s="5" t="s">
        <v>6428</v>
      </c>
      <c r="F9" s="16" t="str">
        <f t="shared" si="1"/>
        <v>(7,'AUTHORITY:MANAGE','authority management','AUTHORITY','MANAGE'),</v>
      </c>
    </row>
    <row r="10" spans="1:6" ht="20.149999999999999" customHeight="1" x14ac:dyDescent="0.35">
      <c r="A10" s="3">
        <v>8</v>
      </c>
      <c r="B10" s="4" t="str">
        <f t="shared" si="2"/>
        <v>AUDIT:MANAGE</v>
      </c>
      <c r="C10" s="4" t="str">
        <f t="shared" si="0"/>
        <v>audit management</v>
      </c>
      <c r="D10" s="4" t="s">
        <v>5756</v>
      </c>
      <c r="E10" s="5" t="s">
        <v>6428</v>
      </c>
      <c r="F10" s="16" t="str">
        <f t="shared" si="1"/>
        <v>(8,'AUDIT:MANAGE','audit management','AUDIT','MANAGE'),</v>
      </c>
    </row>
    <row r="11" spans="1:6" ht="20.149999999999999" customHeight="1" x14ac:dyDescent="0.35">
      <c r="A11" s="3">
        <v>9</v>
      </c>
      <c r="B11" s="4" t="str">
        <f t="shared" si="2"/>
        <v>STRUCTURE_TYPE:MANAGE</v>
      </c>
      <c r="C11" s="4" t="str">
        <f t="shared" si="0"/>
        <v>structure_type management</v>
      </c>
      <c r="D11" s="4" t="s">
        <v>5761</v>
      </c>
      <c r="E11" s="5" t="s">
        <v>6428</v>
      </c>
      <c r="F11" s="16" t="str">
        <f t="shared" si="1"/>
        <v>(9,'STRUCTURE_TYPE:MANAGE','structure_type management','STRUCTURE_TYPE','MANAGE'),</v>
      </c>
    </row>
    <row r="12" spans="1:6" ht="20.149999999999999" customHeight="1" x14ac:dyDescent="0.35">
      <c r="A12" s="3">
        <v>10</v>
      </c>
      <c r="B12" s="4" t="str">
        <f t="shared" si="2"/>
        <v>ZONE:MANAGE</v>
      </c>
      <c r="C12" s="4" t="str">
        <f t="shared" si="0"/>
        <v>zone management</v>
      </c>
      <c r="D12" s="4" t="s">
        <v>5773</v>
      </c>
      <c r="E12" s="5" t="s">
        <v>6428</v>
      </c>
      <c r="F12" s="16" t="str">
        <f t="shared" si="1"/>
        <v>(10,'ZONE:MANAGE','zone management','ZONE','MANAGE'),</v>
      </c>
    </row>
    <row r="13" spans="1:6" ht="20.149999999999999" customHeight="1" x14ac:dyDescent="0.35">
      <c r="A13" s="3">
        <v>11</v>
      </c>
      <c r="B13" s="4" t="str">
        <f t="shared" si="2"/>
        <v>COUNTRY:MANAGE</v>
      </c>
      <c r="C13" s="4" t="str">
        <f t="shared" si="0"/>
        <v>country management</v>
      </c>
      <c r="D13" s="4" t="s">
        <v>5758</v>
      </c>
      <c r="E13" s="5" t="s">
        <v>6428</v>
      </c>
      <c r="F13" s="16" t="str">
        <f t="shared" si="1"/>
        <v>(11,'COUNTRY:MANAGE','country management','COUNTRY','MANAGE'),</v>
      </c>
    </row>
    <row r="14" spans="1:6" ht="20.149999999999999" customHeight="1" x14ac:dyDescent="0.35">
      <c r="A14" s="3">
        <v>12</v>
      </c>
      <c r="B14" s="4" t="str">
        <f t="shared" si="2"/>
        <v>STATE:MANAGE</v>
      </c>
      <c r="C14" s="4" t="str">
        <f t="shared" si="0"/>
        <v>state management</v>
      </c>
      <c r="D14" s="4" t="s">
        <v>5759</v>
      </c>
      <c r="E14" s="5" t="s">
        <v>6428</v>
      </c>
      <c r="F14" s="16" t="str">
        <f t="shared" si="1"/>
        <v>(12,'STATE:MANAGE','state management','STATE','MANAGE'),</v>
      </c>
    </row>
    <row r="15" spans="1:6" ht="20.149999999999999" customHeight="1" x14ac:dyDescent="0.35">
      <c r="A15" s="3">
        <v>13</v>
      </c>
      <c r="B15" s="4" t="str">
        <f t="shared" si="2"/>
        <v>DISTRICT:MANAGE</v>
      </c>
      <c r="C15" s="4" t="str">
        <f t="shared" si="0"/>
        <v>district management</v>
      </c>
      <c r="D15" s="4" t="s">
        <v>5793</v>
      </c>
      <c r="E15" s="5" t="s">
        <v>6428</v>
      </c>
      <c r="F15" s="16" t="str">
        <f t="shared" si="1"/>
        <v>(13,'DISTRICT:MANAGE','district management','DISTRICT','MANAGE'),</v>
      </c>
    </row>
    <row r="16" spans="1:6" ht="20.149999999999999" customHeight="1" x14ac:dyDescent="0.35">
      <c r="A16" s="3">
        <v>14</v>
      </c>
      <c r="B16" s="4" t="str">
        <f t="shared" si="2"/>
        <v>LOCALITY:MANAGE</v>
      </c>
      <c r="C16" s="4" t="str">
        <f t="shared" si="0"/>
        <v>locality management</v>
      </c>
      <c r="D16" s="4" t="s">
        <v>5760</v>
      </c>
      <c r="E16" s="5" t="s">
        <v>6428</v>
      </c>
      <c r="F16" s="16" t="str">
        <f t="shared" si="1"/>
        <v>(14,'LOCALITY:MANAGE','locality management','LOCALITY','MANAGE'),</v>
      </c>
    </row>
    <row r="17" spans="1:6" ht="20.149999999999999" customHeight="1" x14ac:dyDescent="0.35">
      <c r="A17" s="3">
        <v>15</v>
      </c>
      <c r="B17" s="4" t="str">
        <f t="shared" si="2"/>
        <v>LOCATION:MANAGE</v>
      </c>
      <c r="C17" s="4" t="str">
        <f t="shared" si="0"/>
        <v>location management</v>
      </c>
      <c r="D17" s="4" t="s">
        <v>5774</v>
      </c>
      <c r="E17" s="5" t="s">
        <v>6428</v>
      </c>
      <c r="F17" s="16" t="str">
        <f t="shared" si="1"/>
        <v>(15,'LOCATION:MANAGE','location management','LOCATION','MANAGE'),</v>
      </c>
    </row>
    <row r="18" spans="1:6" ht="20.149999999999999" customHeight="1" x14ac:dyDescent="0.35">
      <c r="A18" s="3">
        <v>16</v>
      </c>
      <c r="B18" s="4" t="str">
        <f t="shared" si="2"/>
        <v>COORDINATE:MANAGE</v>
      </c>
      <c r="C18" s="4" t="str">
        <f t="shared" si="0"/>
        <v>coordinate management</v>
      </c>
      <c r="D18" s="4" t="s">
        <v>6380</v>
      </c>
      <c r="E18" s="5" t="s">
        <v>6428</v>
      </c>
      <c r="F18" s="16" t="str">
        <f t="shared" si="1"/>
        <v>(16,'COORDINATE:MANAGE','coordinate management','COORDINATE','MANAGE'),</v>
      </c>
    </row>
    <row r="19" spans="1:6" ht="20.149999999999999" customHeight="1" x14ac:dyDescent="0.35">
      <c r="A19" s="3">
        <v>17</v>
      </c>
      <c r="B19" s="4" t="str">
        <f t="shared" si="2"/>
        <v>STRUCTURE:MANAGE</v>
      </c>
      <c r="C19" s="4" t="str">
        <f t="shared" si="0"/>
        <v>structure management</v>
      </c>
      <c r="D19" s="4" t="s">
        <v>5762</v>
      </c>
      <c r="E19" s="5" t="s">
        <v>6428</v>
      </c>
      <c r="F19" s="16" t="str">
        <f t="shared" si="1"/>
        <v>(17,'STRUCTURE:MANAGE','structure management','STRUCTURE','MANAGE'),</v>
      </c>
    </row>
    <row r="20" spans="1:6" ht="20.149999999999999" customHeight="1" x14ac:dyDescent="0.35">
      <c r="A20" s="3">
        <v>18</v>
      </c>
      <c r="B20" s="4" t="str">
        <f t="shared" si="2"/>
        <v>JOB:MANAGE</v>
      </c>
      <c r="C20" s="4" t="str">
        <f t="shared" si="0"/>
        <v>job management</v>
      </c>
      <c r="D20" s="4" t="s">
        <v>5763</v>
      </c>
      <c r="E20" s="5" t="s">
        <v>6428</v>
      </c>
      <c r="F20" s="16" t="str">
        <f t="shared" si="1"/>
        <v>(18,'JOB:MANAGE','job management','JOB','MANAGE'),</v>
      </c>
    </row>
    <row r="21" spans="1:6" ht="20.149999999999999" customHeight="1" x14ac:dyDescent="0.35">
      <c r="A21" s="3">
        <v>19</v>
      </c>
      <c r="B21" s="4" t="str">
        <f t="shared" si="2"/>
        <v>PERSON:MANAGE</v>
      </c>
      <c r="C21" s="4" t="str">
        <f t="shared" si="0"/>
        <v>person management</v>
      </c>
      <c r="D21" s="4" t="s">
        <v>5764</v>
      </c>
      <c r="E21" s="5" t="s">
        <v>6428</v>
      </c>
      <c r="F21" s="16" t="str">
        <f t="shared" si="1"/>
        <v>(19,'PERSON:MANAGE','person management','PERSON','MANAGE'),</v>
      </c>
    </row>
    <row r="22" spans="1:6" ht="20.149999999999999" customHeight="1" x14ac:dyDescent="0.35">
      <c r="A22" s="3">
        <v>20</v>
      </c>
      <c r="B22" s="4" t="str">
        <f t="shared" si="2"/>
        <v>EMPLOYEE:MANAGE</v>
      </c>
      <c r="C22" s="4" t="str">
        <f t="shared" si="0"/>
        <v>employee management</v>
      </c>
      <c r="D22" s="4" t="s">
        <v>5765</v>
      </c>
      <c r="E22" s="5" t="s">
        <v>6428</v>
      </c>
      <c r="F22" s="16" t="str">
        <f t="shared" si="1"/>
        <v>(20,'EMPLOYEE:MANAGE','employee management','EMPLOYEE','MANAGE'),</v>
      </c>
    </row>
    <row r="23" spans="1:6" ht="20.149999999999999" customHeight="1" x14ac:dyDescent="0.35">
      <c r="A23" s="3">
        <v>21</v>
      </c>
      <c r="B23" s="4" t="str">
        <f t="shared" si="2"/>
        <v>COMPANY_TYPE:MANAGE</v>
      </c>
      <c r="C23" s="4" t="str">
        <f t="shared" si="0"/>
        <v>company_type management</v>
      </c>
      <c r="D23" s="4" t="s">
        <v>5766</v>
      </c>
      <c r="E23" s="5" t="s">
        <v>6428</v>
      </c>
      <c r="F23" s="16" t="str">
        <f t="shared" si="1"/>
        <v>(21,'COMPANY_TYPE:MANAGE','company_type management','COMPANY_TYPE','MANAGE'),</v>
      </c>
    </row>
    <row r="24" spans="1:6" ht="20.149999999999999" customHeight="1" x14ac:dyDescent="0.35">
      <c r="A24" s="3">
        <v>22</v>
      </c>
      <c r="B24" s="4" t="str">
        <f t="shared" si="2"/>
        <v>PARTNER_TYPE:MANAGE</v>
      </c>
      <c r="C24" s="4" t="str">
        <f t="shared" si="0"/>
        <v>partner_type management</v>
      </c>
      <c r="D24" s="4" t="s">
        <v>5767</v>
      </c>
      <c r="E24" s="5" t="s">
        <v>6428</v>
      </c>
      <c r="F24" s="16" t="str">
        <f t="shared" si="1"/>
        <v>(22,'PARTNER_TYPE:MANAGE','partner_type management','PARTNER_TYPE','MANAGE'),</v>
      </c>
    </row>
    <row r="25" spans="1:6" ht="20.149999999999999" customHeight="1" x14ac:dyDescent="0.35">
      <c r="A25" s="3">
        <v>23</v>
      </c>
      <c r="B25" s="4" t="str">
        <f t="shared" si="2"/>
        <v>VENDOR_TYPE:MANAGE</v>
      </c>
      <c r="C25" s="4" t="str">
        <f t="shared" si="0"/>
        <v>vendor_type management</v>
      </c>
      <c r="D25" s="4" t="s">
        <v>5768</v>
      </c>
      <c r="E25" s="5" t="s">
        <v>6428</v>
      </c>
      <c r="F25" s="16" t="str">
        <f t="shared" si="1"/>
        <v>(23,'VENDOR_TYPE:MANAGE','vendor_type management','VENDOR_TYPE','MANAGE'),</v>
      </c>
    </row>
    <row r="26" spans="1:6" ht="20.149999999999999" customHeight="1" x14ac:dyDescent="0.35">
      <c r="A26" s="3">
        <v>24</v>
      </c>
      <c r="B26" s="4" t="str">
        <f t="shared" si="2"/>
        <v>FACILITY_TYPE:MANAGE</v>
      </c>
      <c r="C26" s="4" t="str">
        <f t="shared" si="0"/>
        <v>facility_type management</v>
      </c>
      <c r="D26" s="4" t="s">
        <v>5769</v>
      </c>
      <c r="E26" s="5" t="s">
        <v>6428</v>
      </c>
      <c r="F26" s="16" t="str">
        <f t="shared" si="1"/>
        <v>(24,'FACILITY_TYPE:MANAGE','facility_type management','FACILITY_TYPE','MANAGE'),</v>
      </c>
    </row>
    <row r="27" spans="1:6" ht="20.149999999999999" customHeight="1" x14ac:dyDescent="0.35">
      <c r="A27" s="3">
        <v>25</v>
      </c>
      <c r="B27" s="4" t="str">
        <f t="shared" si="2"/>
        <v>STATION_TYPE:MANAGE</v>
      </c>
      <c r="C27" s="4" t="str">
        <f t="shared" si="0"/>
        <v>station_type management</v>
      </c>
      <c r="D27" s="4" t="s">
        <v>5770</v>
      </c>
      <c r="E27" s="5" t="s">
        <v>6428</v>
      </c>
      <c r="F27" s="16" t="str">
        <f t="shared" si="1"/>
        <v>(25,'STATION_TYPE:MANAGE','station_type management','STATION_TYPE','MANAGE'),</v>
      </c>
    </row>
    <row r="28" spans="1:6" ht="20.149999999999999" customHeight="1" x14ac:dyDescent="0.35">
      <c r="A28" s="3">
        <v>26</v>
      </c>
      <c r="B28" s="4" t="str">
        <f t="shared" si="2"/>
        <v>TERMINAL_TYPE:MANAGE</v>
      </c>
      <c r="C28" s="4" t="str">
        <f t="shared" si="0"/>
        <v>terminal_type management</v>
      </c>
      <c r="D28" s="4" t="s">
        <v>5771</v>
      </c>
      <c r="E28" s="5" t="s">
        <v>6428</v>
      </c>
      <c r="F28" s="16" t="str">
        <f t="shared" si="1"/>
        <v>(26,'TERMINAL_TYPE:MANAGE','terminal_type management','TERMINAL_TYPE','MANAGE'),</v>
      </c>
    </row>
    <row r="29" spans="1:6" ht="20.149999999999999" customHeight="1" x14ac:dyDescent="0.35">
      <c r="A29" s="3">
        <v>27</v>
      </c>
      <c r="B29" s="4" t="str">
        <f t="shared" si="2"/>
        <v>PROCESSING_PLANT_TYPE:MANAGE</v>
      </c>
      <c r="C29" s="4" t="str">
        <f t="shared" si="0"/>
        <v>processing_plant_type management</v>
      </c>
      <c r="D29" s="4" t="s">
        <v>5794</v>
      </c>
      <c r="E29" s="5" t="s">
        <v>6428</v>
      </c>
      <c r="F29" s="16" t="str">
        <f t="shared" si="1"/>
        <v>(27,'PROCESSING_PLANT_TYPE:MANAGE','processing_plant_type management','PROCESSING_PLANT_TYPE','MANAGE'),</v>
      </c>
    </row>
    <row r="30" spans="1:6" ht="20.149999999999999" customHeight="1" x14ac:dyDescent="0.35">
      <c r="A30" s="3">
        <v>28</v>
      </c>
      <c r="B30" s="4" t="str">
        <f t="shared" si="2"/>
        <v>PRODUCTION_FIELD_TYPE:MANAGE</v>
      </c>
      <c r="C30" s="4" t="str">
        <f t="shared" si="0"/>
        <v>production_field_type management</v>
      </c>
      <c r="D30" s="4" t="s">
        <v>5795</v>
      </c>
      <c r="E30" s="5" t="s">
        <v>6428</v>
      </c>
      <c r="F30" s="16" t="str">
        <f t="shared" si="1"/>
        <v>(28,'PRODUCTION_FIELD_TYPE:MANAGE','production_field_type management','PRODUCTION_FIELD_TYPE','MANAGE'),</v>
      </c>
    </row>
    <row r="31" spans="1:6" ht="20.149999999999999" customHeight="1" x14ac:dyDescent="0.35">
      <c r="A31" s="3">
        <v>29</v>
      </c>
      <c r="B31" s="4" t="str">
        <f t="shared" si="2"/>
        <v>EQUIPMENT_TYPE:MANAGE</v>
      </c>
      <c r="C31" s="4" t="str">
        <f t="shared" si="0"/>
        <v>equipment_type management</v>
      </c>
      <c r="D31" s="4" t="s">
        <v>5772</v>
      </c>
      <c r="E31" s="5" t="s">
        <v>6428</v>
      </c>
      <c r="F31" s="16" t="str">
        <f t="shared" si="1"/>
        <v>(29,'EQUIPMENT_TYPE:MANAGE','equipment_type management','EQUIPMENT_TYPE','MANAGE'),</v>
      </c>
    </row>
    <row r="32" spans="1:6" ht="20.149999999999999" customHeight="1" x14ac:dyDescent="0.35">
      <c r="A32" s="3">
        <v>30</v>
      </c>
      <c r="B32" s="4" t="str">
        <f t="shared" si="2"/>
        <v>PRODUCT:MANAGE</v>
      </c>
      <c r="C32" s="4" t="str">
        <f t="shared" si="0"/>
        <v>product management</v>
      </c>
      <c r="D32" s="4" t="s">
        <v>5775</v>
      </c>
      <c r="E32" s="5" t="s">
        <v>6428</v>
      </c>
      <c r="F32" s="16" t="str">
        <f t="shared" si="1"/>
        <v>(30,'PRODUCT:MANAGE','product management','PRODUCT','MANAGE'),</v>
      </c>
    </row>
    <row r="33" spans="1:6" ht="20.149999999999999" customHeight="1" x14ac:dyDescent="0.35">
      <c r="A33" s="3">
        <v>31</v>
      </c>
      <c r="B33" s="4" t="str">
        <f t="shared" si="2"/>
        <v>OPERATIONAL_STATUS:MANAGE</v>
      </c>
      <c r="C33" s="4" t="str">
        <f t="shared" si="0"/>
        <v>operational_status management</v>
      </c>
      <c r="D33" s="4" t="s">
        <v>5776</v>
      </c>
      <c r="E33" s="5" t="s">
        <v>6428</v>
      </c>
      <c r="F33" s="16" t="str">
        <f t="shared" si="1"/>
        <v>(31,'OPERATIONAL_STATUS:MANAGE','operational_status management','OPERATIONAL_STATUS','MANAGE'),</v>
      </c>
    </row>
    <row r="34" spans="1:6" ht="20.149999999999999" customHeight="1" x14ac:dyDescent="0.35">
      <c r="A34" s="3">
        <v>32</v>
      </c>
      <c r="B34" s="4" t="str">
        <f t="shared" si="2"/>
        <v>ALLOY:MANAGE</v>
      </c>
      <c r="C34" s="4" t="str">
        <f t="shared" si="0"/>
        <v>alloy management</v>
      </c>
      <c r="D34" s="4" t="s">
        <v>5777</v>
      </c>
      <c r="E34" s="5" t="s">
        <v>6428</v>
      </c>
      <c r="F34" s="16" t="str">
        <f t="shared" si="1"/>
        <v>(32,'ALLOY:MANAGE','alloy management','ALLOY','MANAGE'),</v>
      </c>
    </row>
    <row r="35" spans="1:6" ht="20.149999999999999" customHeight="1" x14ac:dyDescent="0.35">
      <c r="A35" s="3">
        <v>33</v>
      </c>
      <c r="B35" s="4" t="str">
        <f t="shared" si="2"/>
        <v>PARTNER:MANAGE</v>
      </c>
      <c r="C35" s="4" t="str">
        <f t="shared" ref="C35:C61" si="3">CONCATENATE(LOWER(D35)," management")</f>
        <v>partner management</v>
      </c>
      <c r="D35" s="4" t="s">
        <v>5778</v>
      </c>
      <c r="E35" s="5" t="s">
        <v>6428</v>
      </c>
      <c r="F35" s="16" t="str">
        <f t="shared" si="1"/>
        <v>(33,'PARTNER:MANAGE','partner management','PARTNER','MANAGE'),</v>
      </c>
    </row>
    <row r="36" spans="1:6" ht="20.149999999999999" customHeight="1" x14ac:dyDescent="0.35">
      <c r="A36" s="3">
        <v>34</v>
      </c>
      <c r="B36" s="4" t="str">
        <f t="shared" si="2"/>
        <v>VENDOR:MANAGE</v>
      </c>
      <c r="C36" s="4" t="str">
        <f t="shared" si="3"/>
        <v>vendor management</v>
      </c>
      <c r="D36" s="4" t="s">
        <v>5779</v>
      </c>
      <c r="E36" s="5" t="s">
        <v>6428</v>
      </c>
      <c r="F36" s="16" t="str">
        <f t="shared" si="1"/>
        <v>(34,'VENDOR:MANAGE','vendor management','VENDOR','MANAGE'),</v>
      </c>
    </row>
    <row r="37" spans="1:6" ht="20.149999999999999" customHeight="1" x14ac:dyDescent="0.35">
      <c r="A37" s="3">
        <v>35</v>
      </c>
      <c r="B37" s="4" t="str">
        <f t="shared" si="2"/>
        <v>INFRASTRUCTURE:MANAGE</v>
      </c>
      <c r="C37" s="4" t="str">
        <f t="shared" si="3"/>
        <v>infrastructure management</v>
      </c>
      <c r="D37" s="4" t="s">
        <v>5780</v>
      </c>
      <c r="E37" s="5" t="s">
        <v>6428</v>
      </c>
      <c r="F37" s="16" t="str">
        <f t="shared" si="1"/>
        <v>(35,'INFRASTRUCTURE:MANAGE','infrastructure management','INFRASTRUCTURE','MANAGE'),</v>
      </c>
    </row>
    <row r="38" spans="1:6" ht="20.149999999999999" customHeight="1" x14ac:dyDescent="0.35">
      <c r="A38" s="3">
        <v>36</v>
      </c>
      <c r="B38" s="4" t="str">
        <f t="shared" si="2"/>
        <v>FACILITY:MANAGE</v>
      </c>
      <c r="C38" s="4" t="str">
        <f t="shared" si="3"/>
        <v>facility management</v>
      </c>
      <c r="D38" s="4" t="s">
        <v>5781</v>
      </c>
      <c r="E38" s="5" t="s">
        <v>6428</v>
      </c>
      <c r="F38" s="16" t="str">
        <f t="shared" si="1"/>
        <v>(36,'FACILITY:MANAGE','facility management','FACILITY','MANAGE'),</v>
      </c>
    </row>
    <row r="39" spans="1:6" ht="20.149999999999999" customHeight="1" x14ac:dyDescent="0.35">
      <c r="A39" s="3">
        <v>37</v>
      </c>
      <c r="B39" s="4" t="str">
        <f t="shared" si="2"/>
        <v>PIPELINE_SYSTEM:MANAGE</v>
      </c>
      <c r="C39" s="4" t="str">
        <f t="shared" si="3"/>
        <v>pipeline_system management</v>
      </c>
      <c r="D39" s="4" t="s">
        <v>5782</v>
      </c>
      <c r="E39" s="5" t="s">
        <v>6428</v>
      </c>
      <c r="F39" s="16" t="str">
        <f t="shared" si="1"/>
        <v>(37,'PIPELINE_SYSTEM:MANAGE','pipeline_system management','PIPELINE_SYSTEM','MANAGE'),</v>
      </c>
    </row>
    <row r="40" spans="1:6" ht="20.149999999999999" customHeight="1" x14ac:dyDescent="0.35">
      <c r="A40" s="3">
        <v>38</v>
      </c>
      <c r="B40" s="4" t="str">
        <f t="shared" si="2"/>
        <v>PIPELINE:MANAGE</v>
      </c>
      <c r="C40" s="4" t="str">
        <f t="shared" si="3"/>
        <v>pipeline management</v>
      </c>
      <c r="D40" s="4" t="s">
        <v>5783</v>
      </c>
      <c r="E40" s="5" t="s">
        <v>6428</v>
      </c>
      <c r="F40" s="16" t="str">
        <f t="shared" si="1"/>
        <v>(38,'PIPELINE:MANAGE','pipeline management','PIPELINE','MANAGE'),</v>
      </c>
    </row>
    <row r="41" spans="1:6" ht="20.149999999999999" customHeight="1" x14ac:dyDescent="0.35">
      <c r="A41" s="3">
        <v>39</v>
      </c>
      <c r="B41" s="4" t="str">
        <f t="shared" si="2"/>
        <v>PIPELINE_SEGMENT:MANAGE</v>
      </c>
      <c r="C41" s="4" t="str">
        <f t="shared" si="3"/>
        <v>pipeline_segment management</v>
      </c>
      <c r="D41" s="4" t="s">
        <v>5784</v>
      </c>
      <c r="E41" s="5" t="s">
        <v>6428</v>
      </c>
      <c r="F41" s="16" t="str">
        <f t="shared" si="1"/>
        <v>(39,'PIPELINE_SEGMENT:MANAGE','pipeline_segment management','PIPELINE_SEGMENT','MANAGE'),</v>
      </c>
    </row>
    <row r="42" spans="1:6" ht="20.149999999999999" customHeight="1" x14ac:dyDescent="0.35">
      <c r="A42" s="3">
        <v>40</v>
      </c>
      <c r="B42" s="4" t="str">
        <f t="shared" si="2"/>
        <v>STATION:MANAGE</v>
      </c>
      <c r="C42" s="4" t="str">
        <f t="shared" si="3"/>
        <v>station management</v>
      </c>
      <c r="D42" s="4" t="s">
        <v>5785</v>
      </c>
      <c r="E42" s="5" t="s">
        <v>6428</v>
      </c>
      <c r="F42" s="16" t="str">
        <f t="shared" si="1"/>
        <v>(40,'STATION:MANAGE','station management','STATION','MANAGE'),</v>
      </c>
    </row>
    <row r="43" spans="1:6" ht="20.149999999999999" customHeight="1" x14ac:dyDescent="0.35">
      <c r="A43" s="3">
        <v>41</v>
      </c>
      <c r="B43" s="4" t="str">
        <f t="shared" si="2"/>
        <v>TERMINAL:MANAGE</v>
      </c>
      <c r="C43" s="4" t="str">
        <f t="shared" si="3"/>
        <v>terminal management</v>
      </c>
      <c r="D43" s="4" t="s">
        <v>5786</v>
      </c>
      <c r="E43" s="5" t="s">
        <v>6428</v>
      </c>
      <c r="F43" s="16" t="str">
        <f t="shared" si="1"/>
        <v>(41,'TERMINAL:MANAGE','terminal management','TERMINAL','MANAGE'),</v>
      </c>
    </row>
    <row r="44" spans="1:6" ht="20.149999999999999" customHeight="1" x14ac:dyDescent="0.35">
      <c r="A44" s="3">
        <v>42</v>
      </c>
      <c r="B44" s="4" t="str">
        <f t="shared" si="2"/>
        <v>PROCESSING_PLANT:MANAGE</v>
      </c>
      <c r="C44" s="4" t="str">
        <f t="shared" si="3"/>
        <v>processing_plant management</v>
      </c>
      <c r="D44" s="4" t="s">
        <v>5796</v>
      </c>
      <c r="E44" s="5" t="s">
        <v>6428</v>
      </c>
      <c r="F44" s="16" t="str">
        <f t="shared" si="1"/>
        <v>(42,'PROCESSING_PLANT:MANAGE','processing_plant management','PROCESSING_PLANT','MANAGE'),</v>
      </c>
    </row>
    <row r="45" spans="1:6" ht="20.149999999999999" customHeight="1" x14ac:dyDescent="0.35">
      <c r="A45" s="3">
        <v>43</v>
      </c>
      <c r="B45" s="4" t="str">
        <f t="shared" si="2"/>
        <v>PRODUCTION_FIELD:MANAGE</v>
      </c>
      <c r="C45" s="4" t="str">
        <f t="shared" si="3"/>
        <v>production_field management</v>
      </c>
      <c r="D45" s="4" t="s">
        <v>5797</v>
      </c>
      <c r="E45" s="5" t="s">
        <v>6428</v>
      </c>
      <c r="F45" s="16" t="str">
        <f t="shared" si="1"/>
        <v>(43,'PRODUCTION_FIELD:MANAGE','production_field management','PRODUCTION_FIELD','MANAGE'),</v>
      </c>
    </row>
    <row r="46" spans="1:6" ht="20.149999999999999" customHeight="1" x14ac:dyDescent="0.35">
      <c r="A46" s="3">
        <v>44</v>
      </c>
      <c r="B46" s="4" t="str">
        <f t="shared" si="2"/>
        <v>EQUIPMENT:MANAGE</v>
      </c>
      <c r="C46" s="4" t="str">
        <f t="shared" si="3"/>
        <v>equipment management</v>
      </c>
      <c r="D46" s="4" t="s">
        <v>5787</v>
      </c>
      <c r="E46" s="5" t="s">
        <v>6428</v>
      </c>
      <c r="F46" s="16" t="str">
        <f t="shared" si="1"/>
        <v>(44,'EQUIPMENT:MANAGE','equipment management','EQUIPMENT','MANAGE'),</v>
      </c>
    </row>
    <row r="47" spans="1:6" ht="20.149999999999999" customHeight="1" x14ac:dyDescent="0.35">
      <c r="A47" s="3">
        <v>45</v>
      </c>
      <c r="B47" s="4" t="str">
        <f t="shared" si="2"/>
        <v>EVENT_TYPE:MANAGE</v>
      </c>
      <c r="C47" s="4" t="str">
        <f t="shared" si="3"/>
        <v>event_type management</v>
      </c>
      <c r="D47" s="4" t="s">
        <v>6382</v>
      </c>
      <c r="E47" s="5" t="s">
        <v>6428</v>
      </c>
      <c r="F47" s="16" t="str">
        <f t="shared" si="1"/>
        <v>(45,'EVENT_TYPE:MANAGE','event_type management','EVENT_TYPE','MANAGE'),</v>
      </c>
    </row>
    <row r="48" spans="1:6" ht="20.149999999999999" customHeight="1" x14ac:dyDescent="0.35">
      <c r="A48" s="3">
        <v>46</v>
      </c>
      <c r="B48" s="4" t="str">
        <f t="shared" si="2"/>
        <v>OPERATION_TYPE:MANAGE</v>
      </c>
      <c r="C48" s="4" t="str">
        <f t="shared" si="3"/>
        <v>operation_type management</v>
      </c>
      <c r="D48" s="4" t="s">
        <v>6381</v>
      </c>
      <c r="E48" s="5" t="s">
        <v>6428</v>
      </c>
      <c r="F48" s="16" t="str">
        <f t="shared" si="1"/>
        <v>(46,'OPERATION_TYPE:MANAGE','operation_type management','OPERATION_TYPE','MANAGE'),</v>
      </c>
    </row>
    <row r="49" spans="1:6" ht="20.149999999999999" customHeight="1" x14ac:dyDescent="0.35">
      <c r="A49" s="3">
        <v>47</v>
      </c>
      <c r="B49" s="4" t="str">
        <f t="shared" si="2"/>
        <v>EVENT_STATUS:MANAGE</v>
      </c>
      <c r="C49" s="4" t="str">
        <f t="shared" si="3"/>
        <v>event_status management</v>
      </c>
      <c r="D49" s="4" t="s">
        <v>6385</v>
      </c>
      <c r="E49" s="5" t="s">
        <v>6428</v>
      </c>
      <c r="F49" s="16" t="str">
        <f t="shared" si="1"/>
        <v>(47,'EVENT_STATUS:MANAGE','event_status management','EVENT_STATUS','MANAGE'),</v>
      </c>
    </row>
    <row r="50" spans="1:6" ht="20.149999999999999" customHeight="1" x14ac:dyDescent="0.35">
      <c r="A50" s="3">
        <v>48</v>
      </c>
      <c r="B50" s="4" t="str">
        <f t="shared" si="2"/>
        <v>ALERT_STATUS:MANAGE</v>
      </c>
      <c r="C50" s="4" t="str">
        <f t="shared" si="3"/>
        <v>alert_status management</v>
      </c>
      <c r="D50" s="4" t="s">
        <v>6383</v>
      </c>
      <c r="E50" s="45" t="s">
        <v>6428</v>
      </c>
      <c r="F50" s="16" t="str">
        <f t="shared" si="1"/>
        <v>(48,'ALERT_STATUS:MANAGE','alert_status management','ALERT_STATUS','MANAGE'),</v>
      </c>
    </row>
    <row r="51" spans="1:6" ht="20.149999999999999" customHeight="1" x14ac:dyDescent="0.35">
      <c r="A51" s="3">
        <v>49</v>
      </c>
      <c r="B51" s="4" t="str">
        <f t="shared" si="2"/>
        <v>SEVERITY:MANAGE</v>
      </c>
      <c r="C51" s="4" t="str">
        <f t="shared" si="3"/>
        <v>severity management</v>
      </c>
      <c r="D51" s="4" t="s">
        <v>6387</v>
      </c>
      <c r="E51" s="5" t="s">
        <v>6428</v>
      </c>
      <c r="F51" s="16" t="str">
        <f t="shared" si="1"/>
        <v>(49,'SEVERITY:MANAGE','severity management','SEVERITY','MANAGE'),</v>
      </c>
    </row>
    <row r="52" spans="1:6" ht="20.149999999999999" customHeight="1" x14ac:dyDescent="0.35">
      <c r="A52" s="3">
        <v>50</v>
      </c>
      <c r="B52" s="4" t="str">
        <f t="shared" si="2"/>
        <v>DATA_SOURCE:MANAGE</v>
      </c>
      <c r="C52" s="4" t="str">
        <f t="shared" si="3"/>
        <v>data_source management</v>
      </c>
      <c r="D52" s="4" t="s">
        <v>6384</v>
      </c>
      <c r="E52" s="5" t="s">
        <v>6428</v>
      </c>
      <c r="F52" s="16" t="str">
        <f t="shared" si="1"/>
        <v>(50,'DATA_SOURCE:MANAGE','data_source management','DATA_SOURCE','MANAGE'),</v>
      </c>
    </row>
    <row r="53" spans="1:6" ht="20.149999999999999" customHeight="1" x14ac:dyDescent="0.35">
      <c r="A53" s="3">
        <v>51</v>
      </c>
      <c r="B53" s="4" t="str">
        <f t="shared" si="2"/>
        <v>QUALITY_FLAG:MANAGE</v>
      </c>
      <c r="C53" s="4" t="str">
        <f t="shared" si="3"/>
        <v>quality_flag management</v>
      </c>
      <c r="D53" s="4" t="s">
        <v>6386</v>
      </c>
      <c r="E53" s="5" t="s">
        <v>6428</v>
      </c>
      <c r="F53" s="16" t="str">
        <f t="shared" si="1"/>
        <v>(51,'QUALITY_FLAG:MANAGE','quality_flag management','QUALITY_FLAG','MANAGE'),</v>
      </c>
    </row>
    <row r="54" spans="1:6" ht="20.149999999999999" customHeight="1" x14ac:dyDescent="0.35">
      <c r="A54" s="3">
        <v>52</v>
      </c>
      <c r="B54" s="4" t="str">
        <f t="shared" si="2"/>
        <v>VALIDATION_STATUS:MANAGE</v>
      </c>
      <c r="C54" s="4" t="str">
        <f t="shared" si="3"/>
        <v>validation_status management</v>
      </c>
      <c r="D54" s="4" t="s">
        <v>6388</v>
      </c>
      <c r="E54" s="5" t="s">
        <v>6428</v>
      </c>
      <c r="F54" s="16" t="str">
        <f t="shared" si="1"/>
        <v>(52,'VALIDATION_STATUS:MANAGE','validation_status management','VALIDATION_STATUS','MANAGE'),</v>
      </c>
    </row>
    <row r="55" spans="1:6" ht="20.149999999999999" customHeight="1" x14ac:dyDescent="0.35">
      <c r="A55" s="3">
        <v>53</v>
      </c>
      <c r="B55" s="4" t="str">
        <f t="shared" si="2"/>
        <v>READING_SLOT:MANAGE</v>
      </c>
      <c r="C55" s="4" t="str">
        <f t="shared" si="3"/>
        <v>reading_slot management</v>
      </c>
      <c r="D55" s="4" t="s">
        <v>6389</v>
      </c>
      <c r="E55" s="5" t="s">
        <v>6428</v>
      </c>
      <c r="F55" s="16" t="str">
        <f t="shared" si="1"/>
        <v>(53,'READING_SLOT:MANAGE','reading_slot management','READING_SLOT','MANAGE'),</v>
      </c>
    </row>
    <row r="56" spans="1:6" ht="20.149999999999999" customHeight="1" x14ac:dyDescent="0.35">
      <c r="A56" s="3">
        <v>54</v>
      </c>
      <c r="B56" s="4" t="str">
        <f t="shared" si="2"/>
        <v>FLOW_OPERATION:MANAGE</v>
      </c>
      <c r="C56" s="4" t="str">
        <f t="shared" si="3"/>
        <v>flow_operation management</v>
      </c>
      <c r="D56" s="4" t="s">
        <v>6390</v>
      </c>
      <c r="E56" s="5" t="s">
        <v>6428</v>
      </c>
      <c r="F56" s="16" t="str">
        <f t="shared" si="1"/>
        <v>(54,'FLOW_OPERATION:MANAGE','flow_operation management','FLOW_OPERATION','MANAGE'),</v>
      </c>
    </row>
    <row r="57" spans="1:6" ht="20.149999999999999" customHeight="1" x14ac:dyDescent="0.35">
      <c r="A57" s="3">
        <v>55</v>
      </c>
      <c r="B57" s="4" t="str">
        <f t="shared" si="2"/>
        <v>FLOW_FORECAST:MANAGE</v>
      </c>
      <c r="C57" s="4" t="str">
        <f t="shared" si="3"/>
        <v>flow_forecast management</v>
      </c>
      <c r="D57" s="4" t="s">
        <v>6391</v>
      </c>
      <c r="E57" s="5" t="s">
        <v>6428</v>
      </c>
      <c r="F57" s="16" t="str">
        <f t="shared" si="1"/>
        <v>(55,'FLOW_FORECAST:MANAGE','flow_forecast management','FLOW_FORECAST','MANAGE'),</v>
      </c>
    </row>
    <row r="58" spans="1:6" ht="20.149999999999999" customHeight="1" x14ac:dyDescent="0.35">
      <c r="A58" s="3">
        <v>56</v>
      </c>
      <c r="B58" s="4" t="str">
        <f t="shared" si="2"/>
        <v>FLOW_READING:MANAGE</v>
      </c>
      <c r="C58" s="4" t="str">
        <f t="shared" si="3"/>
        <v>flow_reading management</v>
      </c>
      <c r="D58" s="4" t="s">
        <v>6392</v>
      </c>
      <c r="E58" s="5" t="s">
        <v>6428</v>
      </c>
      <c r="F58" s="16" t="str">
        <f t="shared" si="1"/>
        <v>(56,'FLOW_READING:MANAGE','flow_reading management','FLOW_READING','MANAGE'),</v>
      </c>
    </row>
    <row r="59" spans="1:6" ht="20.149999999999999" customHeight="1" x14ac:dyDescent="0.35">
      <c r="A59" s="3">
        <v>57</v>
      </c>
      <c r="B59" s="4" t="str">
        <f t="shared" si="2"/>
        <v>FLOW_EVENT:MANAGE</v>
      </c>
      <c r="C59" s="4" t="str">
        <f t="shared" si="3"/>
        <v>flow_event management</v>
      </c>
      <c r="D59" s="4" t="s">
        <v>6395</v>
      </c>
      <c r="E59" s="5" t="s">
        <v>6428</v>
      </c>
      <c r="F59" s="16" t="str">
        <f t="shared" si="1"/>
        <v>(57,'FLOW_EVENT:MANAGE','flow_event management','FLOW_EVENT','MANAGE'),</v>
      </c>
    </row>
    <row r="60" spans="1:6" ht="20.149999999999999" customHeight="1" x14ac:dyDescent="0.35">
      <c r="A60" s="3">
        <v>58</v>
      </c>
      <c r="B60" s="4" t="str">
        <f t="shared" si="2"/>
        <v>FLOW_ALERT:MANAGE</v>
      </c>
      <c r="C60" s="4" t="str">
        <f t="shared" si="3"/>
        <v>flow_alert management</v>
      </c>
      <c r="D60" s="4" t="s">
        <v>6394</v>
      </c>
      <c r="E60" s="5" t="s">
        <v>6428</v>
      </c>
      <c r="F60" s="16" t="str">
        <f t="shared" si="1"/>
        <v>(58,'FLOW_ALERT:MANAGE','flow_alert management','FLOW_ALERT','MANAGE'),</v>
      </c>
    </row>
    <row r="61" spans="1:6" ht="20.149999999999999" customHeight="1" x14ac:dyDescent="0.35">
      <c r="A61" s="3">
        <v>59</v>
      </c>
      <c r="B61" s="4" t="str">
        <f t="shared" si="2"/>
        <v>FLOW_THRESHOLD:MANAGE</v>
      </c>
      <c r="C61" s="4" t="str">
        <f t="shared" si="3"/>
        <v>flow_threshold management</v>
      </c>
      <c r="D61" s="4" t="s">
        <v>6393</v>
      </c>
      <c r="E61" s="5" t="s">
        <v>6428</v>
      </c>
      <c r="F61" s="16" t="str">
        <f t="shared" si="1"/>
        <v>(59,'FLOW_THRESHOLD:MANAGE','flow_threshold management','FLOW_THRESHOLD','MANAGE'),</v>
      </c>
    </row>
    <row r="62" spans="1:6" ht="20.149999999999999" customHeight="1" x14ac:dyDescent="0.35">
      <c r="A62" s="3">
        <v>101</v>
      </c>
      <c r="B62" s="4" t="str">
        <f t="shared" si="2"/>
        <v>PARAMETER:EXECUTE</v>
      </c>
      <c r="C62" s="4" t="str">
        <f t="shared" ref="C62:C93" si="4">CONCATENATE(LOWER(D62)," execution")</f>
        <v>parameter execution</v>
      </c>
      <c r="D62" s="4" t="s">
        <v>6378</v>
      </c>
      <c r="E62" s="5" t="s">
        <v>6429</v>
      </c>
      <c r="F62" s="16" t="str">
        <f t="shared" si="1"/>
        <v>(101,'PARAMETER:EXECUTE','parameter execution','PARAMETER','EXECUTE'),</v>
      </c>
    </row>
    <row r="63" spans="1:6" ht="20.149999999999999" customHeight="1" x14ac:dyDescent="0.35">
      <c r="A63" s="3">
        <v>102</v>
      </c>
      <c r="B63" s="4" t="str">
        <f t="shared" si="2"/>
        <v>FILE:EXECUTE</v>
      </c>
      <c r="C63" s="4" t="str">
        <f t="shared" si="4"/>
        <v>file execution</v>
      </c>
      <c r="D63" s="4" t="s">
        <v>6379</v>
      </c>
      <c r="E63" s="5" t="s">
        <v>6429</v>
      </c>
      <c r="F63" s="16" t="str">
        <f t="shared" si="1"/>
        <v>(102,'FILE:EXECUTE','file execution','FILE','EXECUTE'),</v>
      </c>
    </row>
    <row r="64" spans="1:6" ht="20.149999999999999" customHeight="1" x14ac:dyDescent="0.35">
      <c r="A64" s="3">
        <v>103</v>
      </c>
      <c r="B64" s="4" t="str">
        <f t="shared" si="2"/>
        <v>GROUP:EXECUTE</v>
      </c>
      <c r="C64" s="4" t="str">
        <f t="shared" si="4"/>
        <v>group execution</v>
      </c>
      <c r="D64" s="4" t="s">
        <v>5751</v>
      </c>
      <c r="E64" s="5" t="s">
        <v>6429</v>
      </c>
      <c r="F64" s="16" t="str">
        <f t="shared" si="1"/>
        <v>(103,'GROUP:EXECUTE','group execution','GROUP','EXECUTE'),</v>
      </c>
    </row>
    <row r="65" spans="1:6" ht="20.149999999999999" customHeight="1" x14ac:dyDescent="0.35">
      <c r="A65" s="3">
        <v>104</v>
      </c>
      <c r="B65" s="4" t="str">
        <f t="shared" si="2"/>
        <v>USER:EXECUTE</v>
      </c>
      <c r="C65" s="4" t="str">
        <f t="shared" si="4"/>
        <v>user execution</v>
      </c>
      <c r="D65" s="4" t="s">
        <v>5752</v>
      </c>
      <c r="E65" s="5" t="s">
        <v>6429</v>
      </c>
      <c r="F65" s="16" t="str">
        <f t="shared" si="1"/>
        <v>(104,'USER:EXECUTE','user execution','USER','EXECUTE'),</v>
      </c>
    </row>
    <row r="66" spans="1:6" ht="20.149999999999999" customHeight="1" x14ac:dyDescent="0.35">
      <c r="A66" s="3">
        <v>105</v>
      </c>
      <c r="B66" s="4" t="str">
        <f t="shared" si="2"/>
        <v>ROLE:EXECUTE</v>
      </c>
      <c r="C66" s="4" t="str">
        <f t="shared" si="4"/>
        <v>role execution</v>
      </c>
      <c r="D66" s="4" t="s">
        <v>5753</v>
      </c>
      <c r="E66" s="5" t="s">
        <v>6429</v>
      </c>
      <c r="F66" s="16" t="str">
        <f t="shared" si="1"/>
        <v>(105,'ROLE:EXECUTE','role execution','ROLE','EXECUTE'),</v>
      </c>
    </row>
    <row r="67" spans="1:6" ht="20.149999999999999" customHeight="1" x14ac:dyDescent="0.35">
      <c r="A67" s="3">
        <v>106</v>
      </c>
      <c r="B67" s="4" t="str">
        <f t="shared" si="2"/>
        <v>PERMISSION:EXECUTE</v>
      </c>
      <c r="C67" s="4" t="str">
        <f t="shared" si="4"/>
        <v>permission execution</v>
      </c>
      <c r="D67" s="4" t="s">
        <v>5754</v>
      </c>
      <c r="E67" s="5" t="s">
        <v>6429</v>
      </c>
      <c r="F67" s="16" t="str">
        <f t="shared" ref="F67:F130" si="5">CONCATENATE("(",A67,",'",B67,"','",C67,"','",D67,"','",E67,"'),")</f>
        <v>(106,'PERMISSION:EXECUTE','permission execution','PERMISSION','EXECUTE'),</v>
      </c>
    </row>
    <row r="68" spans="1:6" ht="20.149999999999999" customHeight="1" x14ac:dyDescent="0.35">
      <c r="A68" s="3">
        <v>107</v>
      </c>
      <c r="B68" s="4" t="str">
        <f t="shared" ref="B68:B131" si="6">CONCATENATE(D68,":",E68)</f>
        <v>AUTHORITY:EXECUTE</v>
      </c>
      <c r="C68" s="4" t="str">
        <f t="shared" si="4"/>
        <v>authority execution</v>
      </c>
      <c r="D68" s="4" t="s">
        <v>5755</v>
      </c>
      <c r="E68" s="5" t="s">
        <v>6429</v>
      </c>
      <c r="F68" s="16" t="str">
        <f t="shared" si="5"/>
        <v>(107,'AUTHORITY:EXECUTE','authority execution','AUTHORITY','EXECUTE'),</v>
      </c>
    </row>
    <row r="69" spans="1:6" ht="20.149999999999999" customHeight="1" x14ac:dyDescent="0.35">
      <c r="A69" s="3">
        <v>108</v>
      </c>
      <c r="B69" s="4" t="str">
        <f t="shared" si="6"/>
        <v>AUDIT:EXECUTE</v>
      </c>
      <c r="C69" s="4" t="str">
        <f t="shared" si="4"/>
        <v>audit execution</v>
      </c>
      <c r="D69" s="4" t="s">
        <v>5756</v>
      </c>
      <c r="E69" s="5" t="s">
        <v>6429</v>
      </c>
      <c r="F69" s="16" t="str">
        <f t="shared" si="5"/>
        <v>(108,'AUDIT:EXECUTE','audit execution','AUDIT','EXECUTE'),</v>
      </c>
    </row>
    <row r="70" spans="1:6" ht="20.149999999999999" customHeight="1" x14ac:dyDescent="0.35">
      <c r="A70" s="3">
        <v>109</v>
      </c>
      <c r="B70" s="4" t="str">
        <f t="shared" si="6"/>
        <v>STRUCTURE_TYPE:EXECUTE</v>
      </c>
      <c r="C70" s="4" t="str">
        <f t="shared" si="4"/>
        <v>structure_type execution</v>
      </c>
      <c r="D70" s="4" t="s">
        <v>5761</v>
      </c>
      <c r="E70" s="5" t="s">
        <v>6429</v>
      </c>
      <c r="F70" s="16" t="str">
        <f t="shared" si="5"/>
        <v>(109,'STRUCTURE_TYPE:EXECUTE','structure_type execution','STRUCTURE_TYPE','EXECUTE'),</v>
      </c>
    </row>
    <row r="71" spans="1:6" ht="20.149999999999999" customHeight="1" x14ac:dyDescent="0.35">
      <c r="A71" s="3">
        <v>110</v>
      </c>
      <c r="B71" s="4" t="str">
        <f t="shared" si="6"/>
        <v>ZONE:EXECUTE</v>
      </c>
      <c r="C71" s="4" t="str">
        <f t="shared" si="4"/>
        <v>zone execution</v>
      </c>
      <c r="D71" s="4" t="s">
        <v>5773</v>
      </c>
      <c r="E71" s="5" t="s">
        <v>6429</v>
      </c>
      <c r="F71" s="16" t="str">
        <f t="shared" si="5"/>
        <v>(110,'ZONE:EXECUTE','zone execution','ZONE','EXECUTE'),</v>
      </c>
    </row>
    <row r="72" spans="1:6" ht="20.149999999999999" customHeight="1" x14ac:dyDescent="0.35">
      <c r="A72" s="3">
        <v>111</v>
      </c>
      <c r="B72" s="4" t="str">
        <f t="shared" si="6"/>
        <v>COUNTRY:EXECUTE</v>
      </c>
      <c r="C72" s="4" t="str">
        <f t="shared" si="4"/>
        <v>country execution</v>
      </c>
      <c r="D72" s="4" t="s">
        <v>5758</v>
      </c>
      <c r="E72" s="5" t="s">
        <v>6429</v>
      </c>
      <c r="F72" s="16" t="str">
        <f t="shared" si="5"/>
        <v>(111,'COUNTRY:EXECUTE','country execution','COUNTRY','EXECUTE'),</v>
      </c>
    </row>
    <row r="73" spans="1:6" ht="20.149999999999999" customHeight="1" x14ac:dyDescent="0.35">
      <c r="A73" s="3">
        <v>112</v>
      </c>
      <c r="B73" s="4" t="str">
        <f t="shared" si="6"/>
        <v>STATE:EXECUTE</v>
      </c>
      <c r="C73" s="4" t="str">
        <f t="shared" si="4"/>
        <v>state execution</v>
      </c>
      <c r="D73" s="4" t="s">
        <v>5759</v>
      </c>
      <c r="E73" s="5" t="s">
        <v>6429</v>
      </c>
      <c r="F73" s="16" t="str">
        <f t="shared" si="5"/>
        <v>(112,'STATE:EXECUTE','state execution','STATE','EXECUTE'),</v>
      </c>
    </row>
    <row r="74" spans="1:6" ht="20.149999999999999" customHeight="1" x14ac:dyDescent="0.35">
      <c r="A74" s="3">
        <v>113</v>
      </c>
      <c r="B74" s="4" t="str">
        <f t="shared" si="6"/>
        <v>DISTRICT:EXECUTE</v>
      </c>
      <c r="C74" s="4" t="str">
        <f t="shared" si="4"/>
        <v>district execution</v>
      </c>
      <c r="D74" s="4" t="s">
        <v>5793</v>
      </c>
      <c r="E74" s="5" t="s">
        <v>6429</v>
      </c>
      <c r="F74" s="16" t="str">
        <f t="shared" si="5"/>
        <v>(113,'DISTRICT:EXECUTE','district execution','DISTRICT','EXECUTE'),</v>
      </c>
    </row>
    <row r="75" spans="1:6" ht="20.149999999999999" customHeight="1" x14ac:dyDescent="0.35">
      <c r="A75" s="3">
        <v>114</v>
      </c>
      <c r="B75" s="4" t="str">
        <f t="shared" si="6"/>
        <v>LOCALITY:EXECUTE</v>
      </c>
      <c r="C75" s="4" t="str">
        <f t="shared" si="4"/>
        <v>locality execution</v>
      </c>
      <c r="D75" s="4" t="s">
        <v>5760</v>
      </c>
      <c r="E75" s="5" t="s">
        <v>6429</v>
      </c>
      <c r="F75" s="16" t="str">
        <f t="shared" si="5"/>
        <v>(114,'LOCALITY:EXECUTE','locality execution','LOCALITY','EXECUTE'),</v>
      </c>
    </row>
    <row r="76" spans="1:6" ht="20.149999999999999" customHeight="1" x14ac:dyDescent="0.35">
      <c r="A76" s="3">
        <v>115</v>
      </c>
      <c r="B76" s="4" t="str">
        <f t="shared" si="6"/>
        <v>LOCATION:EXECUTE</v>
      </c>
      <c r="C76" s="4" t="str">
        <f t="shared" si="4"/>
        <v>location execution</v>
      </c>
      <c r="D76" s="4" t="s">
        <v>5774</v>
      </c>
      <c r="E76" s="5" t="s">
        <v>6429</v>
      </c>
      <c r="F76" s="16" t="str">
        <f t="shared" si="5"/>
        <v>(115,'LOCATION:EXECUTE','location execution','LOCATION','EXECUTE'),</v>
      </c>
    </row>
    <row r="77" spans="1:6" ht="20.149999999999999" customHeight="1" x14ac:dyDescent="0.35">
      <c r="A77" s="3">
        <v>116</v>
      </c>
      <c r="B77" s="4" t="str">
        <f t="shared" si="6"/>
        <v>COORDINATE:EXECUTE</v>
      </c>
      <c r="C77" s="4" t="str">
        <f t="shared" si="4"/>
        <v>coordinate execution</v>
      </c>
      <c r="D77" s="4" t="s">
        <v>6380</v>
      </c>
      <c r="E77" s="5" t="s">
        <v>6429</v>
      </c>
      <c r="F77" s="16" t="str">
        <f t="shared" si="5"/>
        <v>(116,'COORDINATE:EXECUTE','coordinate execution','COORDINATE','EXECUTE'),</v>
      </c>
    </row>
    <row r="78" spans="1:6" ht="20.149999999999999" customHeight="1" x14ac:dyDescent="0.35">
      <c r="A78" s="3">
        <v>117</v>
      </c>
      <c r="B78" s="4" t="str">
        <f t="shared" si="6"/>
        <v>STRUCTURE:EXECUTE</v>
      </c>
      <c r="C78" s="4" t="str">
        <f t="shared" si="4"/>
        <v>structure execution</v>
      </c>
      <c r="D78" s="4" t="s">
        <v>5762</v>
      </c>
      <c r="E78" s="5" t="s">
        <v>6429</v>
      </c>
      <c r="F78" s="16" t="str">
        <f t="shared" si="5"/>
        <v>(117,'STRUCTURE:EXECUTE','structure execution','STRUCTURE','EXECUTE'),</v>
      </c>
    </row>
    <row r="79" spans="1:6" ht="20.149999999999999" customHeight="1" x14ac:dyDescent="0.35">
      <c r="A79" s="3">
        <v>118</v>
      </c>
      <c r="B79" s="4" t="str">
        <f t="shared" si="6"/>
        <v>JOB:EXECUTE</v>
      </c>
      <c r="C79" s="4" t="str">
        <f t="shared" si="4"/>
        <v>job execution</v>
      </c>
      <c r="D79" s="4" t="s">
        <v>5763</v>
      </c>
      <c r="E79" s="5" t="s">
        <v>6429</v>
      </c>
      <c r="F79" s="16" t="str">
        <f t="shared" si="5"/>
        <v>(118,'JOB:EXECUTE','job execution','JOB','EXECUTE'),</v>
      </c>
    </row>
    <row r="80" spans="1:6" ht="20.149999999999999" customHeight="1" x14ac:dyDescent="0.35">
      <c r="A80" s="3">
        <v>119</v>
      </c>
      <c r="B80" s="4" t="str">
        <f t="shared" si="6"/>
        <v>PERSON:EXECUTE</v>
      </c>
      <c r="C80" s="4" t="str">
        <f t="shared" si="4"/>
        <v>person execution</v>
      </c>
      <c r="D80" s="4" t="s">
        <v>5764</v>
      </c>
      <c r="E80" s="5" t="s">
        <v>6429</v>
      </c>
      <c r="F80" s="16" t="str">
        <f t="shared" si="5"/>
        <v>(119,'PERSON:EXECUTE','person execution','PERSON','EXECUTE'),</v>
      </c>
    </row>
    <row r="81" spans="1:6" ht="20.149999999999999" customHeight="1" x14ac:dyDescent="0.35">
      <c r="A81" s="3">
        <v>120</v>
      </c>
      <c r="B81" s="4" t="str">
        <f t="shared" si="6"/>
        <v>EMPLOYEE:EXECUTE</v>
      </c>
      <c r="C81" s="4" t="str">
        <f t="shared" si="4"/>
        <v>employee execution</v>
      </c>
      <c r="D81" s="4" t="s">
        <v>5765</v>
      </c>
      <c r="E81" s="5" t="s">
        <v>6429</v>
      </c>
      <c r="F81" s="16" t="str">
        <f t="shared" si="5"/>
        <v>(120,'EMPLOYEE:EXECUTE','employee execution','EMPLOYEE','EXECUTE'),</v>
      </c>
    </row>
    <row r="82" spans="1:6" ht="20.149999999999999" customHeight="1" x14ac:dyDescent="0.35">
      <c r="A82" s="3">
        <v>121</v>
      </c>
      <c r="B82" s="4" t="str">
        <f t="shared" si="6"/>
        <v>COMPANY_TYPE:EXECUTE</v>
      </c>
      <c r="C82" s="4" t="str">
        <f t="shared" si="4"/>
        <v>company_type execution</v>
      </c>
      <c r="D82" s="4" t="s">
        <v>5766</v>
      </c>
      <c r="E82" s="5" t="s">
        <v>6429</v>
      </c>
      <c r="F82" s="16" t="str">
        <f t="shared" si="5"/>
        <v>(121,'COMPANY_TYPE:EXECUTE','company_type execution','COMPANY_TYPE','EXECUTE'),</v>
      </c>
    </row>
    <row r="83" spans="1:6" ht="20.149999999999999" customHeight="1" x14ac:dyDescent="0.35">
      <c r="A83" s="3">
        <v>122</v>
      </c>
      <c r="B83" s="4" t="str">
        <f t="shared" si="6"/>
        <v>PARTNER_TYPE:EXECUTE</v>
      </c>
      <c r="C83" s="4" t="str">
        <f t="shared" si="4"/>
        <v>partner_type execution</v>
      </c>
      <c r="D83" s="4" t="s">
        <v>5767</v>
      </c>
      <c r="E83" s="5" t="s">
        <v>6429</v>
      </c>
      <c r="F83" s="16" t="str">
        <f t="shared" si="5"/>
        <v>(122,'PARTNER_TYPE:EXECUTE','partner_type execution','PARTNER_TYPE','EXECUTE'),</v>
      </c>
    </row>
    <row r="84" spans="1:6" ht="20.149999999999999" customHeight="1" x14ac:dyDescent="0.35">
      <c r="A84" s="3">
        <v>123</v>
      </c>
      <c r="B84" s="4" t="str">
        <f t="shared" si="6"/>
        <v>VENDOR_TYPE:EXECUTE</v>
      </c>
      <c r="C84" s="4" t="str">
        <f t="shared" si="4"/>
        <v>vendor_type execution</v>
      </c>
      <c r="D84" s="4" t="s">
        <v>5768</v>
      </c>
      <c r="E84" s="5" t="s">
        <v>6429</v>
      </c>
      <c r="F84" s="16" t="str">
        <f t="shared" si="5"/>
        <v>(123,'VENDOR_TYPE:EXECUTE','vendor_type execution','VENDOR_TYPE','EXECUTE'),</v>
      </c>
    </row>
    <row r="85" spans="1:6" ht="20.149999999999999" customHeight="1" x14ac:dyDescent="0.35">
      <c r="A85" s="3">
        <v>124</v>
      </c>
      <c r="B85" s="4" t="str">
        <f t="shared" si="6"/>
        <v>FACILITY_TYPE:EXECUTE</v>
      </c>
      <c r="C85" s="4" t="str">
        <f t="shared" si="4"/>
        <v>facility_type execution</v>
      </c>
      <c r="D85" s="4" t="s">
        <v>5769</v>
      </c>
      <c r="E85" s="5" t="s">
        <v>6429</v>
      </c>
      <c r="F85" s="16" t="str">
        <f t="shared" si="5"/>
        <v>(124,'FACILITY_TYPE:EXECUTE','facility_type execution','FACILITY_TYPE','EXECUTE'),</v>
      </c>
    </row>
    <row r="86" spans="1:6" ht="20.149999999999999" customHeight="1" x14ac:dyDescent="0.35">
      <c r="A86" s="3">
        <v>125</v>
      </c>
      <c r="B86" s="4" t="str">
        <f t="shared" si="6"/>
        <v>STATION_TYPE:EXECUTE</v>
      </c>
      <c r="C86" s="4" t="str">
        <f t="shared" si="4"/>
        <v>station_type execution</v>
      </c>
      <c r="D86" s="4" t="s">
        <v>5770</v>
      </c>
      <c r="E86" s="5" t="s">
        <v>6429</v>
      </c>
      <c r="F86" s="16" t="str">
        <f t="shared" si="5"/>
        <v>(125,'STATION_TYPE:EXECUTE','station_type execution','STATION_TYPE','EXECUTE'),</v>
      </c>
    </row>
    <row r="87" spans="1:6" ht="20.149999999999999" customHeight="1" x14ac:dyDescent="0.35">
      <c r="A87" s="3">
        <v>126</v>
      </c>
      <c r="B87" s="4" t="str">
        <f t="shared" si="6"/>
        <v>TERMINAL_TYPE:EXECUTE</v>
      </c>
      <c r="C87" s="4" t="str">
        <f t="shared" si="4"/>
        <v>terminal_type execution</v>
      </c>
      <c r="D87" s="4" t="s">
        <v>5771</v>
      </c>
      <c r="E87" s="5" t="s">
        <v>6429</v>
      </c>
      <c r="F87" s="16" t="str">
        <f t="shared" si="5"/>
        <v>(126,'TERMINAL_TYPE:EXECUTE','terminal_type execution','TERMINAL_TYPE','EXECUTE'),</v>
      </c>
    </row>
    <row r="88" spans="1:6" ht="20.149999999999999" customHeight="1" x14ac:dyDescent="0.35">
      <c r="A88" s="3">
        <v>127</v>
      </c>
      <c r="B88" s="4" t="str">
        <f t="shared" si="6"/>
        <v>PROCESSING_PLANT_TYPE:EXECUTE</v>
      </c>
      <c r="C88" s="4" t="str">
        <f t="shared" si="4"/>
        <v>processing_plant_type execution</v>
      </c>
      <c r="D88" s="4" t="s">
        <v>5794</v>
      </c>
      <c r="E88" s="5" t="s">
        <v>6429</v>
      </c>
      <c r="F88" s="16" t="str">
        <f t="shared" si="5"/>
        <v>(127,'PROCESSING_PLANT_TYPE:EXECUTE','processing_plant_type execution','PROCESSING_PLANT_TYPE','EXECUTE'),</v>
      </c>
    </row>
    <row r="89" spans="1:6" ht="20.149999999999999" customHeight="1" x14ac:dyDescent="0.35">
      <c r="A89" s="3">
        <v>128</v>
      </c>
      <c r="B89" s="4" t="str">
        <f t="shared" si="6"/>
        <v>PRODUCTION_FIELD_TYPE:EXECUTE</v>
      </c>
      <c r="C89" s="4" t="str">
        <f t="shared" si="4"/>
        <v>production_field_type execution</v>
      </c>
      <c r="D89" s="4" t="s">
        <v>5795</v>
      </c>
      <c r="E89" s="5" t="s">
        <v>6429</v>
      </c>
      <c r="F89" s="16" t="str">
        <f t="shared" si="5"/>
        <v>(128,'PRODUCTION_FIELD_TYPE:EXECUTE','production_field_type execution','PRODUCTION_FIELD_TYPE','EXECUTE'),</v>
      </c>
    </row>
    <row r="90" spans="1:6" ht="20.149999999999999" customHeight="1" x14ac:dyDescent="0.35">
      <c r="A90" s="3">
        <v>129</v>
      </c>
      <c r="B90" s="4" t="str">
        <f t="shared" si="6"/>
        <v>EQUIPMENT_TYPE:EXECUTE</v>
      </c>
      <c r="C90" s="4" t="str">
        <f t="shared" si="4"/>
        <v>equipment_type execution</v>
      </c>
      <c r="D90" s="4" t="s">
        <v>5772</v>
      </c>
      <c r="E90" s="5" t="s">
        <v>6429</v>
      </c>
      <c r="F90" s="16" t="str">
        <f t="shared" si="5"/>
        <v>(129,'EQUIPMENT_TYPE:EXECUTE','equipment_type execution','EQUIPMENT_TYPE','EXECUTE'),</v>
      </c>
    </row>
    <row r="91" spans="1:6" ht="20.149999999999999" customHeight="1" x14ac:dyDescent="0.35">
      <c r="A91" s="3">
        <v>130</v>
      </c>
      <c r="B91" s="4" t="str">
        <f t="shared" si="6"/>
        <v>PRODUCT:EXECUTE</v>
      </c>
      <c r="C91" s="4" t="str">
        <f t="shared" si="4"/>
        <v>product execution</v>
      </c>
      <c r="D91" s="4" t="s">
        <v>5775</v>
      </c>
      <c r="E91" s="5" t="s">
        <v>6429</v>
      </c>
      <c r="F91" s="16" t="str">
        <f t="shared" si="5"/>
        <v>(130,'PRODUCT:EXECUTE','product execution','PRODUCT','EXECUTE'),</v>
      </c>
    </row>
    <row r="92" spans="1:6" ht="20.149999999999999" customHeight="1" x14ac:dyDescent="0.35">
      <c r="A92" s="3">
        <v>131</v>
      </c>
      <c r="B92" s="4" t="str">
        <f t="shared" si="6"/>
        <v>OPERATIONAL_STATUS:EXECUTE</v>
      </c>
      <c r="C92" s="4" t="str">
        <f t="shared" si="4"/>
        <v>operational_status execution</v>
      </c>
      <c r="D92" s="4" t="s">
        <v>5776</v>
      </c>
      <c r="E92" s="5" t="s">
        <v>6429</v>
      </c>
      <c r="F92" s="16" t="str">
        <f t="shared" si="5"/>
        <v>(131,'OPERATIONAL_STATUS:EXECUTE','operational_status execution','OPERATIONAL_STATUS','EXECUTE'),</v>
      </c>
    </row>
    <row r="93" spans="1:6" ht="20.149999999999999" customHeight="1" x14ac:dyDescent="0.35">
      <c r="A93" s="3">
        <v>132</v>
      </c>
      <c r="B93" s="4" t="str">
        <f t="shared" si="6"/>
        <v>ALLOY:EXECUTE</v>
      </c>
      <c r="C93" s="4" t="str">
        <f t="shared" si="4"/>
        <v>alloy execution</v>
      </c>
      <c r="D93" s="4" t="s">
        <v>5777</v>
      </c>
      <c r="E93" s="5" t="s">
        <v>6429</v>
      </c>
      <c r="F93" s="16" t="str">
        <f t="shared" si="5"/>
        <v>(132,'ALLOY:EXECUTE','alloy execution','ALLOY','EXECUTE'),</v>
      </c>
    </row>
    <row r="94" spans="1:6" ht="20.149999999999999" customHeight="1" x14ac:dyDescent="0.35">
      <c r="A94" s="3">
        <v>133</v>
      </c>
      <c r="B94" s="4" t="str">
        <f t="shared" si="6"/>
        <v>PARTNER:EXECUTE</v>
      </c>
      <c r="C94" s="4" t="str">
        <f t="shared" ref="C94:C120" si="7">CONCATENATE(LOWER(D94)," execution")</f>
        <v>partner execution</v>
      </c>
      <c r="D94" s="4" t="s">
        <v>5778</v>
      </c>
      <c r="E94" s="5" t="s">
        <v>6429</v>
      </c>
      <c r="F94" s="16" t="str">
        <f t="shared" si="5"/>
        <v>(133,'PARTNER:EXECUTE','partner execution','PARTNER','EXECUTE'),</v>
      </c>
    </row>
    <row r="95" spans="1:6" ht="20.149999999999999" customHeight="1" x14ac:dyDescent="0.35">
      <c r="A95" s="3">
        <v>134</v>
      </c>
      <c r="B95" s="4" t="str">
        <f t="shared" si="6"/>
        <v>VENDOR:EXECUTE</v>
      </c>
      <c r="C95" s="4" t="str">
        <f t="shared" si="7"/>
        <v>vendor execution</v>
      </c>
      <c r="D95" s="4" t="s">
        <v>5779</v>
      </c>
      <c r="E95" s="5" t="s">
        <v>6429</v>
      </c>
      <c r="F95" s="16" t="str">
        <f t="shared" si="5"/>
        <v>(134,'VENDOR:EXECUTE','vendor execution','VENDOR','EXECUTE'),</v>
      </c>
    </row>
    <row r="96" spans="1:6" ht="20.149999999999999" customHeight="1" x14ac:dyDescent="0.35">
      <c r="A96" s="3">
        <v>135</v>
      </c>
      <c r="B96" s="4" t="str">
        <f t="shared" si="6"/>
        <v>INFRASTRUCTURE:EXECUTE</v>
      </c>
      <c r="C96" s="4" t="str">
        <f t="shared" si="7"/>
        <v>infrastructure execution</v>
      </c>
      <c r="D96" s="4" t="s">
        <v>5780</v>
      </c>
      <c r="E96" s="5" t="s">
        <v>6429</v>
      </c>
      <c r="F96" s="16" t="str">
        <f t="shared" si="5"/>
        <v>(135,'INFRASTRUCTURE:EXECUTE','infrastructure execution','INFRASTRUCTURE','EXECUTE'),</v>
      </c>
    </row>
    <row r="97" spans="1:6" ht="20.149999999999999" customHeight="1" x14ac:dyDescent="0.35">
      <c r="A97" s="3">
        <v>136</v>
      </c>
      <c r="B97" s="4" t="str">
        <f t="shared" si="6"/>
        <v>FACILITY:EXECUTE</v>
      </c>
      <c r="C97" s="4" t="str">
        <f t="shared" si="7"/>
        <v>facility execution</v>
      </c>
      <c r="D97" s="4" t="s">
        <v>5781</v>
      </c>
      <c r="E97" s="5" t="s">
        <v>6429</v>
      </c>
      <c r="F97" s="16" t="str">
        <f t="shared" si="5"/>
        <v>(136,'FACILITY:EXECUTE','facility execution','FACILITY','EXECUTE'),</v>
      </c>
    </row>
    <row r="98" spans="1:6" ht="20.149999999999999" customHeight="1" x14ac:dyDescent="0.35">
      <c r="A98" s="3">
        <v>137</v>
      </c>
      <c r="B98" s="4" t="str">
        <f t="shared" si="6"/>
        <v>PIPELINE_SYSTEM:EXECUTE</v>
      </c>
      <c r="C98" s="4" t="str">
        <f t="shared" si="7"/>
        <v>pipeline_system execution</v>
      </c>
      <c r="D98" s="4" t="s">
        <v>5782</v>
      </c>
      <c r="E98" s="5" t="s">
        <v>6429</v>
      </c>
      <c r="F98" s="16" t="str">
        <f t="shared" si="5"/>
        <v>(137,'PIPELINE_SYSTEM:EXECUTE','pipeline_system execution','PIPELINE_SYSTEM','EXECUTE'),</v>
      </c>
    </row>
    <row r="99" spans="1:6" ht="20.149999999999999" customHeight="1" x14ac:dyDescent="0.35">
      <c r="A99" s="3">
        <v>138</v>
      </c>
      <c r="B99" s="4" t="str">
        <f t="shared" si="6"/>
        <v>PIPELINE:EXECUTE</v>
      </c>
      <c r="C99" s="4" t="str">
        <f t="shared" si="7"/>
        <v>pipeline execution</v>
      </c>
      <c r="D99" s="4" t="s">
        <v>5783</v>
      </c>
      <c r="E99" s="5" t="s">
        <v>6429</v>
      </c>
      <c r="F99" s="16" t="str">
        <f t="shared" si="5"/>
        <v>(138,'PIPELINE:EXECUTE','pipeline execution','PIPELINE','EXECUTE'),</v>
      </c>
    </row>
    <row r="100" spans="1:6" ht="20.149999999999999" customHeight="1" x14ac:dyDescent="0.35">
      <c r="A100" s="3">
        <v>139</v>
      </c>
      <c r="B100" s="4" t="str">
        <f t="shared" si="6"/>
        <v>PIPELINE_SEGMENT:EXECUTE</v>
      </c>
      <c r="C100" s="4" t="str">
        <f t="shared" si="7"/>
        <v>pipeline_segment execution</v>
      </c>
      <c r="D100" s="4" t="s">
        <v>5784</v>
      </c>
      <c r="E100" s="5" t="s">
        <v>6429</v>
      </c>
      <c r="F100" s="16" t="str">
        <f t="shared" si="5"/>
        <v>(139,'PIPELINE_SEGMENT:EXECUTE','pipeline_segment execution','PIPELINE_SEGMENT','EXECUTE'),</v>
      </c>
    </row>
    <row r="101" spans="1:6" ht="20.149999999999999" customHeight="1" x14ac:dyDescent="0.35">
      <c r="A101" s="3">
        <v>140</v>
      </c>
      <c r="B101" s="4" t="str">
        <f t="shared" si="6"/>
        <v>STATION:EXECUTE</v>
      </c>
      <c r="C101" s="4" t="str">
        <f t="shared" si="7"/>
        <v>station execution</v>
      </c>
      <c r="D101" s="4" t="s">
        <v>5785</v>
      </c>
      <c r="E101" s="5" t="s">
        <v>6429</v>
      </c>
      <c r="F101" s="16" t="str">
        <f t="shared" si="5"/>
        <v>(140,'STATION:EXECUTE','station execution','STATION','EXECUTE'),</v>
      </c>
    </row>
    <row r="102" spans="1:6" ht="20.149999999999999" customHeight="1" x14ac:dyDescent="0.35">
      <c r="A102" s="3">
        <v>141</v>
      </c>
      <c r="B102" s="4" t="str">
        <f t="shared" si="6"/>
        <v>TERMINAL:EXECUTE</v>
      </c>
      <c r="C102" s="4" t="str">
        <f t="shared" si="7"/>
        <v>terminal execution</v>
      </c>
      <c r="D102" s="4" t="s">
        <v>5786</v>
      </c>
      <c r="E102" s="5" t="s">
        <v>6429</v>
      </c>
      <c r="F102" s="16" t="str">
        <f t="shared" si="5"/>
        <v>(141,'TERMINAL:EXECUTE','terminal execution','TERMINAL','EXECUTE'),</v>
      </c>
    </row>
    <row r="103" spans="1:6" ht="20.149999999999999" customHeight="1" x14ac:dyDescent="0.35">
      <c r="A103" s="3">
        <v>142</v>
      </c>
      <c r="B103" s="4" t="str">
        <f t="shared" si="6"/>
        <v>PROCESSING_PLANT:EXECUTE</v>
      </c>
      <c r="C103" s="4" t="str">
        <f t="shared" si="7"/>
        <v>processing_plant execution</v>
      </c>
      <c r="D103" s="4" t="s">
        <v>5796</v>
      </c>
      <c r="E103" s="5" t="s">
        <v>6429</v>
      </c>
      <c r="F103" s="16" t="str">
        <f t="shared" si="5"/>
        <v>(142,'PROCESSING_PLANT:EXECUTE','processing_plant execution','PROCESSING_PLANT','EXECUTE'),</v>
      </c>
    </row>
    <row r="104" spans="1:6" ht="20.149999999999999" customHeight="1" x14ac:dyDescent="0.35">
      <c r="A104" s="3">
        <v>143</v>
      </c>
      <c r="B104" s="4" t="str">
        <f t="shared" si="6"/>
        <v>PRODUCTION_FIELD:EXECUTE</v>
      </c>
      <c r="C104" s="4" t="str">
        <f t="shared" si="7"/>
        <v>production_field execution</v>
      </c>
      <c r="D104" s="4" t="s">
        <v>5797</v>
      </c>
      <c r="E104" s="5" t="s">
        <v>6429</v>
      </c>
      <c r="F104" s="16" t="str">
        <f t="shared" si="5"/>
        <v>(143,'PRODUCTION_FIELD:EXECUTE','production_field execution','PRODUCTION_FIELD','EXECUTE'),</v>
      </c>
    </row>
    <row r="105" spans="1:6" ht="20.149999999999999" customHeight="1" x14ac:dyDescent="0.35">
      <c r="A105" s="3">
        <v>144</v>
      </c>
      <c r="B105" s="4" t="str">
        <f t="shared" si="6"/>
        <v>EQUIPMENT:EXECUTE</v>
      </c>
      <c r="C105" s="4" t="str">
        <f t="shared" si="7"/>
        <v>equipment execution</v>
      </c>
      <c r="D105" s="4" t="s">
        <v>5787</v>
      </c>
      <c r="E105" s="5" t="s">
        <v>6429</v>
      </c>
      <c r="F105" s="16" t="str">
        <f t="shared" si="5"/>
        <v>(144,'EQUIPMENT:EXECUTE','equipment execution','EQUIPMENT','EXECUTE'),</v>
      </c>
    </row>
    <row r="106" spans="1:6" ht="20.149999999999999" customHeight="1" x14ac:dyDescent="0.35">
      <c r="A106" s="3">
        <v>145</v>
      </c>
      <c r="B106" s="4" t="str">
        <f t="shared" si="6"/>
        <v>EVENT_TYPE:EXECUTE</v>
      </c>
      <c r="C106" s="4" t="str">
        <f t="shared" si="7"/>
        <v>event_type execution</v>
      </c>
      <c r="D106" s="4" t="s">
        <v>6382</v>
      </c>
      <c r="E106" s="5" t="s">
        <v>6429</v>
      </c>
      <c r="F106" s="16" t="str">
        <f t="shared" si="5"/>
        <v>(145,'EVENT_TYPE:EXECUTE','event_type execution','EVENT_TYPE','EXECUTE'),</v>
      </c>
    </row>
    <row r="107" spans="1:6" ht="20.149999999999999" customHeight="1" x14ac:dyDescent="0.35">
      <c r="A107" s="3">
        <v>146</v>
      </c>
      <c r="B107" s="4" t="str">
        <f t="shared" si="6"/>
        <v>OPERATION_TYPE:EXECUTE</v>
      </c>
      <c r="C107" s="4" t="str">
        <f t="shared" si="7"/>
        <v>operation_type execution</v>
      </c>
      <c r="D107" s="4" t="s">
        <v>6381</v>
      </c>
      <c r="E107" s="5" t="s">
        <v>6429</v>
      </c>
      <c r="F107" s="16" t="str">
        <f t="shared" si="5"/>
        <v>(146,'OPERATION_TYPE:EXECUTE','operation_type execution','OPERATION_TYPE','EXECUTE'),</v>
      </c>
    </row>
    <row r="108" spans="1:6" ht="20.149999999999999" customHeight="1" x14ac:dyDescent="0.35">
      <c r="A108" s="3">
        <v>147</v>
      </c>
      <c r="B108" s="4" t="str">
        <f t="shared" si="6"/>
        <v>EVENT_STATUS:EXECUTE</v>
      </c>
      <c r="C108" s="4" t="str">
        <f t="shared" si="7"/>
        <v>event_status execution</v>
      </c>
      <c r="D108" s="4" t="s">
        <v>6385</v>
      </c>
      <c r="E108" s="5" t="s">
        <v>6429</v>
      </c>
      <c r="F108" s="16" t="str">
        <f t="shared" si="5"/>
        <v>(147,'EVENT_STATUS:EXECUTE','event_status execution','EVENT_STATUS','EXECUTE'),</v>
      </c>
    </row>
    <row r="109" spans="1:6" ht="20.149999999999999" customHeight="1" x14ac:dyDescent="0.35">
      <c r="A109" s="3">
        <v>148</v>
      </c>
      <c r="B109" s="4" t="str">
        <f t="shared" si="6"/>
        <v>ALERT_STATUS:EXECUTE</v>
      </c>
      <c r="C109" s="4" t="str">
        <f t="shared" si="7"/>
        <v>alert_status execution</v>
      </c>
      <c r="D109" s="4" t="s">
        <v>6383</v>
      </c>
      <c r="E109" s="45" t="s">
        <v>6429</v>
      </c>
      <c r="F109" s="16" t="str">
        <f t="shared" si="5"/>
        <v>(148,'ALERT_STATUS:EXECUTE','alert_status execution','ALERT_STATUS','EXECUTE'),</v>
      </c>
    </row>
    <row r="110" spans="1:6" ht="20.149999999999999" customHeight="1" x14ac:dyDescent="0.35">
      <c r="A110" s="3">
        <v>149</v>
      </c>
      <c r="B110" s="4" t="str">
        <f t="shared" si="6"/>
        <v>SEVERITY:EXECUTE</v>
      </c>
      <c r="C110" s="4" t="str">
        <f t="shared" si="7"/>
        <v>severity execution</v>
      </c>
      <c r="D110" s="4" t="s">
        <v>6387</v>
      </c>
      <c r="E110" s="5" t="s">
        <v>6429</v>
      </c>
      <c r="F110" s="16" t="str">
        <f t="shared" si="5"/>
        <v>(149,'SEVERITY:EXECUTE','severity execution','SEVERITY','EXECUTE'),</v>
      </c>
    </row>
    <row r="111" spans="1:6" ht="20.149999999999999" customHeight="1" x14ac:dyDescent="0.35">
      <c r="A111" s="3">
        <v>150</v>
      </c>
      <c r="B111" s="4" t="str">
        <f t="shared" si="6"/>
        <v>DATA_SOURCE:EXECUTE</v>
      </c>
      <c r="C111" s="4" t="str">
        <f t="shared" si="7"/>
        <v>data_source execution</v>
      </c>
      <c r="D111" s="4" t="s">
        <v>6384</v>
      </c>
      <c r="E111" s="5" t="s">
        <v>6429</v>
      </c>
      <c r="F111" s="16" t="str">
        <f t="shared" si="5"/>
        <v>(150,'DATA_SOURCE:EXECUTE','data_source execution','DATA_SOURCE','EXECUTE'),</v>
      </c>
    </row>
    <row r="112" spans="1:6" ht="20.149999999999999" customHeight="1" x14ac:dyDescent="0.35">
      <c r="A112" s="3">
        <v>151</v>
      </c>
      <c r="B112" s="4" t="str">
        <f t="shared" si="6"/>
        <v>QUALITY_FLAG:EXECUTE</v>
      </c>
      <c r="C112" s="4" t="str">
        <f t="shared" si="7"/>
        <v>quality_flag execution</v>
      </c>
      <c r="D112" s="4" t="s">
        <v>6386</v>
      </c>
      <c r="E112" s="5" t="s">
        <v>6429</v>
      </c>
      <c r="F112" s="16" t="str">
        <f t="shared" si="5"/>
        <v>(151,'QUALITY_FLAG:EXECUTE','quality_flag execution','QUALITY_FLAG','EXECUTE'),</v>
      </c>
    </row>
    <row r="113" spans="1:6" ht="20.149999999999999" customHeight="1" x14ac:dyDescent="0.35">
      <c r="A113" s="3">
        <v>152</v>
      </c>
      <c r="B113" s="4" t="str">
        <f t="shared" si="6"/>
        <v>VALIDATION_STATUS:EXECUTE</v>
      </c>
      <c r="C113" s="4" t="str">
        <f t="shared" si="7"/>
        <v>validation_status execution</v>
      </c>
      <c r="D113" s="4" t="s">
        <v>6388</v>
      </c>
      <c r="E113" s="5" t="s">
        <v>6429</v>
      </c>
      <c r="F113" s="16" t="str">
        <f t="shared" si="5"/>
        <v>(152,'VALIDATION_STATUS:EXECUTE','validation_status execution','VALIDATION_STATUS','EXECUTE'),</v>
      </c>
    </row>
    <row r="114" spans="1:6" ht="20.149999999999999" customHeight="1" x14ac:dyDescent="0.35">
      <c r="A114" s="3">
        <v>153</v>
      </c>
      <c r="B114" s="4" t="str">
        <f t="shared" si="6"/>
        <v>READING_SLOT:EXECUTE</v>
      </c>
      <c r="C114" s="4" t="str">
        <f t="shared" si="7"/>
        <v>reading_slot execution</v>
      </c>
      <c r="D114" s="4" t="s">
        <v>6389</v>
      </c>
      <c r="E114" s="5" t="s">
        <v>6429</v>
      </c>
      <c r="F114" s="16" t="str">
        <f t="shared" si="5"/>
        <v>(153,'READING_SLOT:EXECUTE','reading_slot execution','READING_SLOT','EXECUTE'),</v>
      </c>
    </row>
    <row r="115" spans="1:6" ht="20.149999999999999" customHeight="1" x14ac:dyDescent="0.35">
      <c r="A115" s="3">
        <v>154</v>
      </c>
      <c r="B115" s="4" t="str">
        <f t="shared" si="6"/>
        <v>FLOW_OPERATION:EXECUTE</v>
      </c>
      <c r="C115" s="4" t="str">
        <f t="shared" si="7"/>
        <v>flow_operation execution</v>
      </c>
      <c r="D115" s="4" t="s">
        <v>6390</v>
      </c>
      <c r="E115" s="5" t="s">
        <v>6429</v>
      </c>
      <c r="F115" s="16" t="str">
        <f t="shared" si="5"/>
        <v>(154,'FLOW_OPERATION:EXECUTE','flow_operation execution','FLOW_OPERATION','EXECUTE'),</v>
      </c>
    </row>
    <row r="116" spans="1:6" ht="20.149999999999999" customHeight="1" x14ac:dyDescent="0.35">
      <c r="A116" s="3">
        <v>155</v>
      </c>
      <c r="B116" s="4" t="str">
        <f t="shared" si="6"/>
        <v>FLOW_FORECAST:EXECUTE</v>
      </c>
      <c r="C116" s="4" t="str">
        <f t="shared" si="7"/>
        <v>flow_forecast execution</v>
      </c>
      <c r="D116" s="4" t="s">
        <v>6391</v>
      </c>
      <c r="E116" s="5" t="s">
        <v>6429</v>
      </c>
      <c r="F116" s="16" t="str">
        <f t="shared" si="5"/>
        <v>(155,'FLOW_FORECAST:EXECUTE','flow_forecast execution','FLOW_FORECAST','EXECUTE'),</v>
      </c>
    </row>
    <row r="117" spans="1:6" ht="20.149999999999999" customHeight="1" x14ac:dyDescent="0.35">
      <c r="A117" s="3">
        <v>156</v>
      </c>
      <c r="B117" s="4" t="str">
        <f t="shared" si="6"/>
        <v>FLOW_READING:EXECUTE</v>
      </c>
      <c r="C117" s="4" t="str">
        <f t="shared" si="7"/>
        <v>flow_reading execution</v>
      </c>
      <c r="D117" s="4" t="s">
        <v>6392</v>
      </c>
      <c r="E117" s="5" t="s">
        <v>6429</v>
      </c>
      <c r="F117" s="16" t="str">
        <f t="shared" si="5"/>
        <v>(156,'FLOW_READING:EXECUTE','flow_reading execution','FLOW_READING','EXECUTE'),</v>
      </c>
    </row>
    <row r="118" spans="1:6" ht="20.149999999999999" customHeight="1" x14ac:dyDescent="0.35">
      <c r="A118" s="3">
        <v>157</v>
      </c>
      <c r="B118" s="4" t="str">
        <f t="shared" si="6"/>
        <v>FLOW_EVENT:EXECUTE</v>
      </c>
      <c r="C118" s="4" t="str">
        <f t="shared" si="7"/>
        <v>flow_event execution</v>
      </c>
      <c r="D118" s="4" t="s">
        <v>6395</v>
      </c>
      <c r="E118" s="5" t="s">
        <v>6429</v>
      </c>
      <c r="F118" s="16" t="str">
        <f t="shared" si="5"/>
        <v>(157,'FLOW_EVENT:EXECUTE','flow_event execution','FLOW_EVENT','EXECUTE'),</v>
      </c>
    </row>
    <row r="119" spans="1:6" ht="20.149999999999999" customHeight="1" x14ac:dyDescent="0.35">
      <c r="A119" s="3">
        <v>158</v>
      </c>
      <c r="B119" s="4" t="str">
        <f t="shared" si="6"/>
        <v>FLOW_ALERT:EXECUTE</v>
      </c>
      <c r="C119" s="4" t="str">
        <f t="shared" si="7"/>
        <v>flow_alert execution</v>
      </c>
      <c r="D119" s="4" t="s">
        <v>6394</v>
      </c>
      <c r="E119" s="5" t="s">
        <v>6429</v>
      </c>
      <c r="F119" s="16" t="str">
        <f t="shared" si="5"/>
        <v>(158,'FLOW_ALERT:EXECUTE','flow_alert execution','FLOW_ALERT','EXECUTE'),</v>
      </c>
    </row>
    <row r="120" spans="1:6" ht="20.149999999999999" customHeight="1" x14ac:dyDescent="0.35">
      <c r="A120" s="3">
        <v>159</v>
      </c>
      <c r="B120" s="4" t="str">
        <f t="shared" si="6"/>
        <v>FLOW_THRESHOLD:EXECUTE</v>
      </c>
      <c r="C120" s="4" t="str">
        <f t="shared" si="7"/>
        <v>flow_threshold execution</v>
      </c>
      <c r="D120" s="4" t="s">
        <v>6393</v>
      </c>
      <c r="E120" s="5" t="s">
        <v>6429</v>
      </c>
      <c r="F120" s="16" t="str">
        <f t="shared" si="5"/>
        <v>(159,'FLOW_THRESHOLD:EXECUTE','flow_threshold execution','FLOW_THRESHOLD','EXECUTE'),</v>
      </c>
    </row>
    <row r="121" spans="1:6" ht="20.149999999999999" customHeight="1" x14ac:dyDescent="0.35">
      <c r="A121" s="3">
        <v>201</v>
      </c>
      <c r="B121" s="4" t="str">
        <f t="shared" si="6"/>
        <v>PARAMETER:APPROVE</v>
      </c>
      <c r="C121" s="4" t="str">
        <f t="shared" ref="C121:C152" si="8">CONCATENATE(LOWER(D121)," approval")</f>
        <v>parameter approval</v>
      </c>
      <c r="D121" s="4" t="s">
        <v>6378</v>
      </c>
      <c r="E121" s="5" t="s">
        <v>6430</v>
      </c>
      <c r="F121" s="16" t="str">
        <f t="shared" si="5"/>
        <v>(201,'PARAMETER:APPROVE','parameter approval','PARAMETER','APPROVE'),</v>
      </c>
    </row>
    <row r="122" spans="1:6" ht="20.149999999999999" customHeight="1" x14ac:dyDescent="0.35">
      <c r="A122" s="3">
        <v>202</v>
      </c>
      <c r="B122" s="4" t="str">
        <f t="shared" si="6"/>
        <v>FILE:APPROVE</v>
      </c>
      <c r="C122" s="4" t="str">
        <f t="shared" si="8"/>
        <v>file approval</v>
      </c>
      <c r="D122" s="4" t="s">
        <v>6379</v>
      </c>
      <c r="E122" s="5" t="s">
        <v>6430</v>
      </c>
      <c r="F122" s="16" t="str">
        <f t="shared" si="5"/>
        <v>(202,'FILE:APPROVE','file approval','FILE','APPROVE'),</v>
      </c>
    </row>
    <row r="123" spans="1:6" ht="20.149999999999999" customHeight="1" x14ac:dyDescent="0.35">
      <c r="A123" s="3">
        <v>203</v>
      </c>
      <c r="B123" s="4" t="str">
        <f t="shared" si="6"/>
        <v>GROUP:APPROVE</v>
      </c>
      <c r="C123" s="4" t="str">
        <f t="shared" si="8"/>
        <v>group approval</v>
      </c>
      <c r="D123" s="4" t="s">
        <v>5751</v>
      </c>
      <c r="E123" s="5" t="s">
        <v>6430</v>
      </c>
      <c r="F123" s="16" t="str">
        <f t="shared" si="5"/>
        <v>(203,'GROUP:APPROVE','group approval','GROUP','APPROVE'),</v>
      </c>
    </row>
    <row r="124" spans="1:6" ht="20.149999999999999" customHeight="1" x14ac:dyDescent="0.35">
      <c r="A124" s="3">
        <v>204</v>
      </c>
      <c r="B124" s="4" t="str">
        <f t="shared" si="6"/>
        <v>USER:APPROVE</v>
      </c>
      <c r="C124" s="4" t="str">
        <f t="shared" si="8"/>
        <v>user approval</v>
      </c>
      <c r="D124" s="4" t="s">
        <v>5752</v>
      </c>
      <c r="E124" s="5" t="s">
        <v>6430</v>
      </c>
      <c r="F124" s="16" t="str">
        <f t="shared" si="5"/>
        <v>(204,'USER:APPROVE','user approval','USER','APPROVE'),</v>
      </c>
    </row>
    <row r="125" spans="1:6" ht="20.149999999999999" customHeight="1" x14ac:dyDescent="0.35">
      <c r="A125" s="3">
        <v>205</v>
      </c>
      <c r="B125" s="4" t="str">
        <f t="shared" si="6"/>
        <v>ROLE:APPROVE</v>
      </c>
      <c r="C125" s="4" t="str">
        <f t="shared" si="8"/>
        <v>role approval</v>
      </c>
      <c r="D125" s="4" t="s">
        <v>5753</v>
      </c>
      <c r="E125" s="5" t="s">
        <v>6430</v>
      </c>
      <c r="F125" s="16" t="str">
        <f t="shared" si="5"/>
        <v>(205,'ROLE:APPROVE','role approval','ROLE','APPROVE'),</v>
      </c>
    </row>
    <row r="126" spans="1:6" ht="20.149999999999999" customHeight="1" x14ac:dyDescent="0.35">
      <c r="A126" s="3">
        <v>206</v>
      </c>
      <c r="B126" s="4" t="str">
        <f t="shared" si="6"/>
        <v>PERMISSION:APPROVE</v>
      </c>
      <c r="C126" s="4" t="str">
        <f t="shared" si="8"/>
        <v>permission approval</v>
      </c>
      <c r="D126" s="4" t="s">
        <v>5754</v>
      </c>
      <c r="E126" s="5" t="s">
        <v>6430</v>
      </c>
      <c r="F126" s="16" t="str">
        <f t="shared" si="5"/>
        <v>(206,'PERMISSION:APPROVE','permission approval','PERMISSION','APPROVE'),</v>
      </c>
    </row>
    <row r="127" spans="1:6" ht="20.149999999999999" customHeight="1" x14ac:dyDescent="0.35">
      <c r="A127" s="3">
        <v>207</v>
      </c>
      <c r="B127" s="4" t="str">
        <f t="shared" si="6"/>
        <v>AUTHORITY:APPROVE</v>
      </c>
      <c r="C127" s="4" t="str">
        <f t="shared" si="8"/>
        <v>authority approval</v>
      </c>
      <c r="D127" s="4" t="s">
        <v>5755</v>
      </c>
      <c r="E127" s="5" t="s">
        <v>6430</v>
      </c>
      <c r="F127" s="16" t="str">
        <f t="shared" si="5"/>
        <v>(207,'AUTHORITY:APPROVE','authority approval','AUTHORITY','APPROVE'),</v>
      </c>
    </row>
    <row r="128" spans="1:6" ht="20.149999999999999" customHeight="1" x14ac:dyDescent="0.35">
      <c r="A128" s="3">
        <v>208</v>
      </c>
      <c r="B128" s="4" t="str">
        <f t="shared" si="6"/>
        <v>AUDIT:APPROVE</v>
      </c>
      <c r="C128" s="4" t="str">
        <f t="shared" si="8"/>
        <v>audit approval</v>
      </c>
      <c r="D128" s="4" t="s">
        <v>5756</v>
      </c>
      <c r="E128" s="5" t="s">
        <v>6430</v>
      </c>
      <c r="F128" s="16" t="str">
        <f t="shared" si="5"/>
        <v>(208,'AUDIT:APPROVE','audit approval','AUDIT','APPROVE'),</v>
      </c>
    </row>
    <row r="129" spans="1:6" ht="20.149999999999999" customHeight="1" x14ac:dyDescent="0.35">
      <c r="A129" s="3">
        <v>209</v>
      </c>
      <c r="B129" s="4" t="str">
        <f t="shared" si="6"/>
        <v>STRUCTURE_TYPE:APPROVE</v>
      </c>
      <c r="C129" s="4" t="str">
        <f t="shared" si="8"/>
        <v>structure_type approval</v>
      </c>
      <c r="D129" s="4" t="s">
        <v>5761</v>
      </c>
      <c r="E129" s="5" t="s">
        <v>6430</v>
      </c>
      <c r="F129" s="16" t="str">
        <f t="shared" si="5"/>
        <v>(209,'STRUCTURE_TYPE:APPROVE','structure_type approval','STRUCTURE_TYPE','APPROVE'),</v>
      </c>
    </row>
    <row r="130" spans="1:6" ht="20.149999999999999" customHeight="1" x14ac:dyDescent="0.35">
      <c r="A130" s="3">
        <v>210</v>
      </c>
      <c r="B130" s="4" t="str">
        <f t="shared" si="6"/>
        <v>ZONE:APPROVE</v>
      </c>
      <c r="C130" s="4" t="str">
        <f t="shared" si="8"/>
        <v>zone approval</v>
      </c>
      <c r="D130" s="4" t="s">
        <v>5773</v>
      </c>
      <c r="E130" s="5" t="s">
        <v>6430</v>
      </c>
      <c r="F130" s="16" t="str">
        <f t="shared" si="5"/>
        <v>(210,'ZONE:APPROVE','zone approval','ZONE','APPROVE'),</v>
      </c>
    </row>
    <row r="131" spans="1:6" ht="20.149999999999999" customHeight="1" x14ac:dyDescent="0.35">
      <c r="A131" s="3">
        <v>211</v>
      </c>
      <c r="B131" s="4" t="str">
        <f t="shared" si="6"/>
        <v>COUNTRY:APPROVE</v>
      </c>
      <c r="C131" s="4" t="str">
        <f t="shared" si="8"/>
        <v>country approval</v>
      </c>
      <c r="D131" s="4" t="s">
        <v>5758</v>
      </c>
      <c r="E131" s="5" t="s">
        <v>6430</v>
      </c>
      <c r="F131" s="16" t="str">
        <f t="shared" ref="F131:F194" si="9">CONCATENATE("(",A131,",'",B131,"','",C131,"','",D131,"','",E131,"'),")</f>
        <v>(211,'COUNTRY:APPROVE','country approval','COUNTRY','APPROVE'),</v>
      </c>
    </row>
    <row r="132" spans="1:6" ht="20.149999999999999" customHeight="1" x14ac:dyDescent="0.35">
      <c r="A132" s="3">
        <v>212</v>
      </c>
      <c r="B132" s="4" t="str">
        <f t="shared" ref="B132:B190" si="10">CONCATENATE(D132,":",E132)</f>
        <v>STATE:APPROVE</v>
      </c>
      <c r="C132" s="4" t="str">
        <f t="shared" si="8"/>
        <v>state approval</v>
      </c>
      <c r="D132" s="4" t="s">
        <v>5759</v>
      </c>
      <c r="E132" s="5" t="s">
        <v>6430</v>
      </c>
      <c r="F132" s="16" t="str">
        <f t="shared" si="9"/>
        <v>(212,'STATE:APPROVE','state approval','STATE','APPROVE'),</v>
      </c>
    </row>
    <row r="133" spans="1:6" ht="20.149999999999999" customHeight="1" x14ac:dyDescent="0.35">
      <c r="A133" s="3">
        <v>213</v>
      </c>
      <c r="B133" s="4" t="str">
        <f t="shared" si="10"/>
        <v>DISTRICT:APPROVE</v>
      </c>
      <c r="C133" s="4" t="str">
        <f t="shared" si="8"/>
        <v>district approval</v>
      </c>
      <c r="D133" s="4" t="s">
        <v>5793</v>
      </c>
      <c r="E133" s="5" t="s">
        <v>6430</v>
      </c>
      <c r="F133" s="16" t="str">
        <f t="shared" si="9"/>
        <v>(213,'DISTRICT:APPROVE','district approval','DISTRICT','APPROVE'),</v>
      </c>
    </row>
    <row r="134" spans="1:6" ht="20.149999999999999" customHeight="1" x14ac:dyDescent="0.35">
      <c r="A134" s="3">
        <v>214</v>
      </c>
      <c r="B134" s="4" t="str">
        <f t="shared" si="10"/>
        <v>LOCALITY:APPROVE</v>
      </c>
      <c r="C134" s="4" t="str">
        <f t="shared" si="8"/>
        <v>locality approval</v>
      </c>
      <c r="D134" s="4" t="s">
        <v>5760</v>
      </c>
      <c r="E134" s="5" t="s">
        <v>6430</v>
      </c>
      <c r="F134" s="16" t="str">
        <f t="shared" si="9"/>
        <v>(214,'LOCALITY:APPROVE','locality approval','LOCALITY','APPROVE'),</v>
      </c>
    </row>
    <row r="135" spans="1:6" ht="20.149999999999999" customHeight="1" x14ac:dyDescent="0.35">
      <c r="A135" s="3">
        <v>215</v>
      </c>
      <c r="B135" s="4" t="str">
        <f t="shared" si="10"/>
        <v>LOCATION:APPROVE</v>
      </c>
      <c r="C135" s="4" t="str">
        <f t="shared" si="8"/>
        <v>location approval</v>
      </c>
      <c r="D135" s="4" t="s">
        <v>5774</v>
      </c>
      <c r="E135" s="5" t="s">
        <v>6430</v>
      </c>
      <c r="F135" s="16" t="str">
        <f t="shared" si="9"/>
        <v>(215,'LOCATION:APPROVE','location approval','LOCATION','APPROVE'),</v>
      </c>
    </row>
    <row r="136" spans="1:6" ht="20.149999999999999" customHeight="1" x14ac:dyDescent="0.35">
      <c r="A136" s="3">
        <v>216</v>
      </c>
      <c r="B136" s="4" t="str">
        <f t="shared" si="10"/>
        <v>COORDINATE:APPROVE</v>
      </c>
      <c r="C136" s="4" t="str">
        <f t="shared" si="8"/>
        <v>coordinate approval</v>
      </c>
      <c r="D136" s="4" t="s">
        <v>6380</v>
      </c>
      <c r="E136" s="5" t="s">
        <v>6430</v>
      </c>
      <c r="F136" s="16" t="str">
        <f t="shared" si="9"/>
        <v>(216,'COORDINATE:APPROVE','coordinate approval','COORDINATE','APPROVE'),</v>
      </c>
    </row>
    <row r="137" spans="1:6" ht="20.149999999999999" customHeight="1" x14ac:dyDescent="0.35">
      <c r="A137" s="3">
        <v>217</v>
      </c>
      <c r="B137" s="4" t="str">
        <f t="shared" si="10"/>
        <v>STRUCTURE:APPROVE</v>
      </c>
      <c r="C137" s="4" t="str">
        <f t="shared" si="8"/>
        <v>structure approval</v>
      </c>
      <c r="D137" s="4" t="s">
        <v>5762</v>
      </c>
      <c r="E137" s="5" t="s">
        <v>6430</v>
      </c>
      <c r="F137" s="16" t="str">
        <f t="shared" si="9"/>
        <v>(217,'STRUCTURE:APPROVE','structure approval','STRUCTURE','APPROVE'),</v>
      </c>
    </row>
    <row r="138" spans="1:6" ht="20.149999999999999" customHeight="1" x14ac:dyDescent="0.35">
      <c r="A138" s="3">
        <v>218</v>
      </c>
      <c r="B138" s="4" t="str">
        <f t="shared" si="10"/>
        <v>JOB:APPROVE</v>
      </c>
      <c r="C138" s="4" t="str">
        <f t="shared" si="8"/>
        <v>job approval</v>
      </c>
      <c r="D138" s="4" t="s">
        <v>5763</v>
      </c>
      <c r="E138" s="5" t="s">
        <v>6430</v>
      </c>
      <c r="F138" s="16" t="str">
        <f t="shared" si="9"/>
        <v>(218,'JOB:APPROVE','job approval','JOB','APPROVE'),</v>
      </c>
    </row>
    <row r="139" spans="1:6" ht="20.149999999999999" customHeight="1" x14ac:dyDescent="0.35">
      <c r="A139" s="3">
        <v>219</v>
      </c>
      <c r="B139" s="4" t="str">
        <f t="shared" si="10"/>
        <v>PERSON:APPROVE</v>
      </c>
      <c r="C139" s="4" t="str">
        <f t="shared" si="8"/>
        <v>person approval</v>
      </c>
      <c r="D139" s="4" t="s">
        <v>5764</v>
      </c>
      <c r="E139" s="5" t="s">
        <v>6430</v>
      </c>
      <c r="F139" s="16" t="str">
        <f t="shared" si="9"/>
        <v>(219,'PERSON:APPROVE','person approval','PERSON','APPROVE'),</v>
      </c>
    </row>
    <row r="140" spans="1:6" ht="20.149999999999999" customHeight="1" x14ac:dyDescent="0.35">
      <c r="A140" s="3">
        <v>220</v>
      </c>
      <c r="B140" s="4" t="str">
        <f t="shared" si="10"/>
        <v>EMPLOYEE:APPROVE</v>
      </c>
      <c r="C140" s="4" t="str">
        <f t="shared" si="8"/>
        <v>employee approval</v>
      </c>
      <c r="D140" s="4" t="s">
        <v>5765</v>
      </c>
      <c r="E140" s="5" t="s">
        <v>6430</v>
      </c>
      <c r="F140" s="16" t="str">
        <f t="shared" si="9"/>
        <v>(220,'EMPLOYEE:APPROVE','employee approval','EMPLOYEE','APPROVE'),</v>
      </c>
    </row>
    <row r="141" spans="1:6" ht="20.149999999999999" customHeight="1" x14ac:dyDescent="0.35">
      <c r="A141" s="3">
        <v>221</v>
      </c>
      <c r="B141" s="4" t="str">
        <f t="shared" si="10"/>
        <v>COMPANY_TYPE:APPROVE</v>
      </c>
      <c r="C141" s="4" t="str">
        <f t="shared" si="8"/>
        <v>company_type approval</v>
      </c>
      <c r="D141" s="4" t="s">
        <v>5766</v>
      </c>
      <c r="E141" s="5" t="s">
        <v>6430</v>
      </c>
      <c r="F141" s="16" t="str">
        <f t="shared" si="9"/>
        <v>(221,'COMPANY_TYPE:APPROVE','company_type approval','COMPANY_TYPE','APPROVE'),</v>
      </c>
    </row>
    <row r="142" spans="1:6" ht="20.149999999999999" customHeight="1" x14ac:dyDescent="0.35">
      <c r="A142" s="3">
        <v>222</v>
      </c>
      <c r="B142" s="4" t="str">
        <f t="shared" si="10"/>
        <v>PARTNER_TYPE:APPROVE</v>
      </c>
      <c r="C142" s="4" t="str">
        <f t="shared" si="8"/>
        <v>partner_type approval</v>
      </c>
      <c r="D142" s="4" t="s">
        <v>5767</v>
      </c>
      <c r="E142" s="5" t="s">
        <v>6430</v>
      </c>
      <c r="F142" s="16" t="str">
        <f t="shared" si="9"/>
        <v>(222,'PARTNER_TYPE:APPROVE','partner_type approval','PARTNER_TYPE','APPROVE'),</v>
      </c>
    </row>
    <row r="143" spans="1:6" ht="20.149999999999999" customHeight="1" x14ac:dyDescent="0.35">
      <c r="A143" s="3">
        <v>223</v>
      </c>
      <c r="B143" s="4" t="str">
        <f t="shared" si="10"/>
        <v>VENDOR_TYPE:APPROVE</v>
      </c>
      <c r="C143" s="4" t="str">
        <f t="shared" si="8"/>
        <v>vendor_type approval</v>
      </c>
      <c r="D143" s="4" t="s">
        <v>5768</v>
      </c>
      <c r="E143" s="5" t="s">
        <v>6430</v>
      </c>
      <c r="F143" s="16" t="str">
        <f t="shared" si="9"/>
        <v>(223,'VENDOR_TYPE:APPROVE','vendor_type approval','VENDOR_TYPE','APPROVE'),</v>
      </c>
    </row>
    <row r="144" spans="1:6" ht="20.149999999999999" customHeight="1" x14ac:dyDescent="0.35">
      <c r="A144" s="3">
        <v>224</v>
      </c>
      <c r="B144" s="4" t="str">
        <f t="shared" si="10"/>
        <v>FACILITY_TYPE:APPROVE</v>
      </c>
      <c r="C144" s="4" t="str">
        <f t="shared" si="8"/>
        <v>facility_type approval</v>
      </c>
      <c r="D144" s="4" t="s">
        <v>5769</v>
      </c>
      <c r="E144" s="5" t="s">
        <v>6430</v>
      </c>
      <c r="F144" s="16" t="str">
        <f t="shared" si="9"/>
        <v>(224,'FACILITY_TYPE:APPROVE','facility_type approval','FACILITY_TYPE','APPROVE'),</v>
      </c>
    </row>
    <row r="145" spans="1:6" ht="20.149999999999999" customHeight="1" x14ac:dyDescent="0.35">
      <c r="A145" s="3">
        <v>225</v>
      </c>
      <c r="B145" s="4" t="str">
        <f t="shared" si="10"/>
        <v>STATION_TYPE:APPROVE</v>
      </c>
      <c r="C145" s="4" t="str">
        <f t="shared" si="8"/>
        <v>station_type approval</v>
      </c>
      <c r="D145" s="4" t="s">
        <v>5770</v>
      </c>
      <c r="E145" s="5" t="s">
        <v>6430</v>
      </c>
      <c r="F145" s="16" t="str">
        <f t="shared" si="9"/>
        <v>(225,'STATION_TYPE:APPROVE','station_type approval','STATION_TYPE','APPROVE'),</v>
      </c>
    </row>
    <row r="146" spans="1:6" ht="20.149999999999999" customHeight="1" x14ac:dyDescent="0.35">
      <c r="A146" s="3">
        <v>226</v>
      </c>
      <c r="B146" s="4" t="str">
        <f t="shared" si="10"/>
        <v>TERMINAL_TYPE:APPROVE</v>
      </c>
      <c r="C146" s="4" t="str">
        <f t="shared" si="8"/>
        <v>terminal_type approval</v>
      </c>
      <c r="D146" s="4" t="s">
        <v>5771</v>
      </c>
      <c r="E146" s="5" t="s">
        <v>6430</v>
      </c>
      <c r="F146" s="16" t="str">
        <f t="shared" si="9"/>
        <v>(226,'TERMINAL_TYPE:APPROVE','terminal_type approval','TERMINAL_TYPE','APPROVE'),</v>
      </c>
    </row>
    <row r="147" spans="1:6" ht="20.149999999999999" customHeight="1" x14ac:dyDescent="0.35">
      <c r="A147" s="3">
        <v>227</v>
      </c>
      <c r="B147" s="4" t="str">
        <f t="shared" si="10"/>
        <v>PROCESSING_PLANT_TYPE:APPROVE</v>
      </c>
      <c r="C147" s="4" t="str">
        <f t="shared" si="8"/>
        <v>processing_plant_type approval</v>
      </c>
      <c r="D147" s="4" t="s">
        <v>5794</v>
      </c>
      <c r="E147" s="5" t="s">
        <v>6430</v>
      </c>
      <c r="F147" s="16" t="str">
        <f t="shared" si="9"/>
        <v>(227,'PROCESSING_PLANT_TYPE:APPROVE','processing_plant_type approval','PROCESSING_PLANT_TYPE','APPROVE'),</v>
      </c>
    </row>
    <row r="148" spans="1:6" ht="20.149999999999999" customHeight="1" x14ac:dyDescent="0.35">
      <c r="A148" s="3">
        <v>228</v>
      </c>
      <c r="B148" s="4" t="str">
        <f t="shared" si="10"/>
        <v>PRODUCTION_FIELD_TYPE:APPROVE</v>
      </c>
      <c r="C148" s="4" t="str">
        <f t="shared" si="8"/>
        <v>production_field_type approval</v>
      </c>
      <c r="D148" s="4" t="s">
        <v>5795</v>
      </c>
      <c r="E148" s="5" t="s">
        <v>6430</v>
      </c>
      <c r="F148" s="16" t="str">
        <f t="shared" si="9"/>
        <v>(228,'PRODUCTION_FIELD_TYPE:APPROVE','production_field_type approval','PRODUCTION_FIELD_TYPE','APPROVE'),</v>
      </c>
    </row>
    <row r="149" spans="1:6" ht="20.149999999999999" customHeight="1" x14ac:dyDescent="0.35">
      <c r="A149" s="3">
        <v>229</v>
      </c>
      <c r="B149" s="4" t="str">
        <f t="shared" si="10"/>
        <v>EQUIPMENT_TYPE:APPROVE</v>
      </c>
      <c r="C149" s="4" t="str">
        <f t="shared" si="8"/>
        <v>equipment_type approval</v>
      </c>
      <c r="D149" s="4" t="s">
        <v>5772</v>
      </c>
      <c r="E149" s="5" t="s">
        <v>6430</v>
      </c>
      <c r="F149" s="16" t="str">
        <f t="shared" si="9"/>
        <v>(229,'EQUIPMENT_TYPE:APPROVE','equipment_type approval','EQUIPMENT_TYPE','APPROVE'),</v>
      </c>
    </row>
    <row r="150" spans="1:6" ht="20.149999999999999" customHeight="1" x14ac:dyDescent="0.35">
      <c r="A150" s="3">
        <v>230</v>
      </c>
      <c r="B150" s="4" t="str">
        <f t="shared" si="10"/>
        <v>PRODUCT:APPROVE</v>
      </c>
      <c r="C150" s="4" t="str">
        <f t="shared" si="8"/>
        <v>product approval</v>
      </c>
      <c r="D150" s="4" t="s">
        <v>5775</v>
      </c>
      <c r="E150" s="5" t="s">
        <v>6430</v>
      </c>
      <c r="F150" s="16" t="str">
        <f t="shared" si="9"/>
        <v>(230,'PRODUCT:APPROVE','product approval','PRODUCT','APPROVE'),</v>
      </c>
    </row>
    <row r="151" spans="1:6" ht="20.149999999999999" customHeight="1" x14ac:dyDescent="0.35">
      <c r="A151" s="3">
        <v>231</v>
      </c>
      <c r="B151" s="4" t="str">
        <f t="shared" si="10"/>
        <v>OPERATIONAL_STATUS:APPROVE</v>
      </c>
      <c r="C151" s="4" t="str">
        <f t="shared" si="8"/>
        <v>operational_status approval</v>
      </c>
      <c r="D151" s="4" t="s">
        <v>5776</v>
      </c>
      <c r="E151" s="5" t="s">
        <v>6430</v>
      </c>
      <c r="F151" s="16" t="str">
        <f t="shared" si="9"/>
        <v>(231,'OPERATIONAL_STATUS:APPROVE','operational_status approval','OPERATIONAL_STATUS','APPROVE'),</v>
      </c>
    </row>
    <row r="152" spans="1:6" ht="20.149999999999999" customHeight="1" x14ac:dyDescent="0.35">
      <c r="A152" s="3">
        <v>232</v>
      </c>
      <c r="B152" s="4" t="str">
        <f t="shared" si="10"/>
        <v>ALLOY:APPROVE</v>
      </c>
      <c r="C152" s="4" t="str">
        <f t="shared" si="8"/>
        <v>alloy approval</v>
      </c>
      <c r="D152" s="4" t="s">
        <v>5777</v>
      </c>
      <c r="E152" s="5" t="s">
        <v>6430</v>
      </c>
      <c r="F152" s="16" t="str">
        <f t="shared" si="9"/>
        <v>(232,'ALLOY:APPROVE','alloy approval','ALLOY','APPROVE'),</v>
      </c>
    </row>
    <row r="153" spans="1:6" ht="20.149999999999999" customHeight="1" x14ac:dyDescent="0.35">
      <c r="A153" s="3">
        <v>233</v>
      </c>
      <c r="B153" s="4" t="str">
        <f t="shared" si="10"/>
        <v>PARTNER:APPROVE</v>
      </c>
      <c r="C153" s="4" t="str">
        <f t="shared" ref="C153:C179" si="11">CONCATENATE(LOWER(D153)," approval")</f>
        <v>partner approval</v>
      </c>
      <c r="D153" s="4" t="s">
        <v>5778</v>
      </c>
      <c r="E153" s="5" t="s">
        <v>6430</v>
      </c>
      <c r="F153" s="16" t="str">
        <f t="shared" si="9"/>
        <v>(233,'PARTNER:APPROVE','partner approval','PARTNER','APPROVE'),</v>
      </c>
    </row>
    <row r="154" spans="1:6" ht="20.149999999999999" customHeight="1" x14ac:dyDescent="0.35">
      <c r="A154" s="3">
        <v>234</v>
      </c>
      <c r="B154" s="4" t="str">
        <f t="shared" si="10"/>
        <v>VENDOR:APPROVE</v>
      </c>
      <c r="C154" s="4" t="str">
        <f t="shared" si="11"/>
        <v>vendor approval</v>
      </c>
      <c r="D154" s="4" t="s">
        <v>5779</v>
      </c>
      <c r="E154" s="5" t="s">
        <v>6430</v>
      </c>
      <c r="F154" s="16" t="str">
        <f t="shared" si="9"/>
        <v>(234,'VENDOR:APPROVE','vendor approval','VENDOR','APPROVE'),</v>
      </c>
    </row>
    <row r="155" spans="1:6" ht="20.149999999999999" customHeight="1" x14ac:dyDescent="0.35">
      <c r="A155" s="3">
        <v>235</v>
      </c>
      <c r="B155" s="4" t="str">
        <f t="shared" si="10"/>
        <v>INFRASTRUCTURE:APPROVE</v>
      </c>
      <c r="C155" s="4" t="str">
        <f t="shared" si="11"/>
        <v>infrastructure approval</v>
      </c>
      <c r="D155" s="4" t="s">
        <v>5780</v>
      </c>
      <c r="E155" s="5" t="s">
        <v>6430</v>
      </c>
      <c r="F155" s="16" t="str">
        <f t="shared" si="9"/>
        <v>(235,'INFRASTRUCTURE:APPROVE','infrastructure approval','INFRASTRUCTURE','APPROVE'),</v>
      </c>
    </row>
    <row r="156" spans="1:6" ht="20.149999999999999" customHeight="1" x14ac:dyDescent="0.35">
      <c r="A156" s="3">
        <v>236</v>
      </c>
      <c r="B156" s="4" t="str">
        <f t="shared" si="10"/>
        <v>FACILITY:APPROVE</v>
      </c>
      <c r="C156" s="4" t="str">
        <f t="shared" si="11"/>
        <v>facility approval</v>
      </c>
      <c r="D156" s="4" t="s">
        <v>5781</v>
      </c>
      <c r="E156" s="5" t="s">
        <v>6430</v>
      </c>
      <c r="F156" s="16" t="str">
        <f t="shared" si="9"/>
        <v>(236,'FACILITY:APPROVE','facility approval','FACILITY','APPROVE'),</v>
      </c>
    </row>
    <row r="157" spans="1:6" ht="20.149999999999999" customHeight="1" x14ac:dyDescent="0.35">
      <c r="A157" s="3">
        <v>237</v>
      </c>
      <c r="B157" s="4" t="str">
        <f t="shared" si="10"/>
        <v>PIPELINE_SYSTEM:APPROVE</v>
      </c>
      <c r="C157" s="4" t="str">
        <f t="shared" si="11"/>
        <v>pipeline_system approval</v>
      </c>
      <c r="D157" s="4" t="s">
        <v>5782</v>
      </c>
      <c r="E157" s="5" t="s">
        <v>6430</v>
      </c>
      <c r="F157" s="16" t="str">
        <f t="shared" si="9"/>
        <v>(237,'PIPELINE_SYSTEM:APPROVE','pipeline_system approval','PIPELINE_SYSTEM','APPROVE'),</v>
      </c>
    </row>
    <row r="158" spans="1:6" ht="20.149999999999999" customHeight="1" x14ac:dyDescent="0.35">
      <c r="A158" s="3">
        <v>238</v>
      </c>
      <c r="B158" s="4" t="str">
        <f t="shared" si="10"/>
        <v>PIPELINE:APPROVE</v>
      </c>
      <c r="C158" s="4" t="str">
        <f t="shared" si="11"/>
        <v>pipeline approval</v>
      </c>
      <c r="D158" s="4" t="s">
        <v>5783</v>
      </c>
      <c r="E158" s="5" t="s">
        <v>6430</v>
      </c>
      <c r="F158" s="16" t="str">
        <f t="shared" si="9"/>
        <v>(238,'PIPELINE:APPROVE','pipeline approval','PIPELINE','APPROVE'),</v>
      </c>
    </row>
    <row r="159" spans="1:6" ht="20.149999999999999" customHeight="1" x14ac:dyDescent="0.35">
      <c r="A159" s="3">
        <v>239</v>
      </c>
      <c r="B159" s="4" t="str">
        <f t="shared" si="10"/>
        <v>PIPELINE_SEGMENT:APPROVE</v>
      </c>
      <c r="C159" s="4" t="str">
        <f t="shared" si="11"/>
        <v>pipeline_segment approval</v>
      </c>
      <c r="D159" s="4" t="s">
        <v>5784</v>
      </c>
      <c r="E159" s="5" t="s">
        <v>6430</v>
      </c>
      <c r="F159" s="16" t="str">
        <f t="shared" si="9"/>
        <v>(239,'PIPELINE_SEGMENT:APPROVE','pipeline_segment approval','PIPELINE_SEGMENT','APPROVE'),</v>
      </c>
    </row>
    <row r="160" spans="1:6" ht="20.149999999999999" customHeight="1" x14ac:dyDescent="0.35">
      <c r="A160" s="3">
        <v>240</v>
      </c>
      <c r="B160" s="4" t="str">
        <f t="shared" si="10"/>
        <v>STATION:APPROVE</v>
      </c>
      <c r="C160" s="4" t="str">
        <f t="shared" si="11"/>
        <v>station approval</v>
      </c>
      <c r="D160" s="4" t="s">
        <v>5785</v>
      </c>
      <c r="E160" s="5" t="s">
        <v>6430</v>
      </c>
      <c r="F160" s="16" t="str">
        <f t="shared" si="9"/>
        <v>(240,'STATION:APPROVE','station approval','STATION','APPROVE'),</v>
      </c>
    </row>
    <row r="161" spans="1:6" ht="20.149999999999999" customHeight="1" x14ac:dyDescent="0.35">
      <c r="A161" s="3">
        <v>241</v>
      </c>
      <c r="B161" s="4" t="str">
        <f t="shared" si="10"/>
        <v>TERMINAL:APPROVE</v>
      </c>
      <c r="C161" s="4" t="str">
        <f t="shared" si="11"/>
        <v>terminal approval</v>
      </c>
      <c r="D161" s="4" t="s">
        <v>5786</v>
      </c>
      <c r="E161" s="5" t="s">
        <v>6430</v>
      </c>
      <c r="F161" s="16" t="str">
        <f t="shared" si="9"/>
        <v>(241,'TERMINAL:APPROVE','terminal approval','TERMINAL','APPROVE'),</v>
      </c>
    </row>
    <row r="162" spans="1:6" ht="20.149999999999999" customHeight="1" x14ac:dyDescent="0.35">
      <c r="A162" s="3">
        <v>242</v>
      </c>
      <c r="B162" s="4" t="str">
        <f t="shared" si="10"/>
        <v>PROCESSING_PLANT:APPROVE</v>
      </c>
      <c r="C162" s="4" t="str">
        <f t="shared" si="11"/>
        <v>processing_plant approval</v>
      </c>
      <c r="D162" s="4" t="s">
        <v>5796</v>
      </c>
      <c r="E162" s="5" t="s">
        <v>6430</v>
      </c>
      <c r="F162" s="16" t="str">
        <f t="shared" si="9"/>
        <v>(242,'PROCESSING_PLANT:APPROVE','processing_plant approval','PROCESSING_PLANT','APPROVE'),</v>
      </c>
    </row>
    <row r="163" spans="1:6" ht="20.149999999999999" customHeight="1" x14ac:dyDescent="0.35">
      <c r="A163" s="3">
        <v>243</v>
      </c>
      <c r="B163" s="4" t="str">
        <f t="shared" si="10"/>
        <v>PRODUCTION_FIELD:APPROVE</v>
      </c>
      <c r="C163" s="4" t="str">
        <f t="shared" si="11"/>
        <v>production_field approval</v>
      </c>
      <c r="D163" s="4" t="s">
        <v>5797</v>
      </c>
      <c r="E163" s="5" t="s">
        <v>6430</v>
      </c>
      <c r="F163" s="16" t="str">
        <f t="shared" si="9"/>
        <v>(243,'PRODUCTION_FIELD:APPROVE','production_field approval','PRODUCTION_FIELD','APPROVE'),</v>
      </c>
    </row>
    <row r="164" spans="1:6" ht="20.149999999999999" customHeight="1" x14ac:dyDescent="0.35">
      <c r="A164" s="3">
        <v>244</v>
      </c>
      <c r="B164" s="4" t="str">
        <f t="shared" si="10"/>
        <v>EQUIPMENT:APPROVE</v>
      </c>
      <c r="C164" s="4" t="str">
        <f t="shared" si="11"/>
        <v>equipment approval</v>
      </c>
      <c r="D164" s="4" t="s">
        <v>5787</v>
      </c>
      <c r="E164" s="5" t="s">
        <v>6430</v>
      </c>
      <c r="F164" s="16" t="str">
        <f t="shared" si="9"/>
        <v>(244,'EQUIPMENT:APPROVE','equipment approval','EQUIPMENT','APPROVE'),</v>
      </c>
    </row>
    <row r="165" spans="1:6" ht="20.149999999999999" customHeight="1" x14ac:dyDescent="0.35">
      <c r="A165" s="3">
        <v>245</v>
      </c>
      <c r="B165" s="4" t="str">
        <f t="shared" si="10"/>
        <v>EVENT_TYPE:APPROVE</v>
      </c>
      <c r="C165" s="4" t="str">
        <f t="shared" si="11"/>
        <v>event_type approval</v>
      </c>
      <c r="D165" s="4" t="s">
        <v>6382</v>
      </c>
      <c r="E165" s="5" t="s">
        <v>6430</v>
      </c>
      <c r="F165" s="16" t="str">
        <f t="shared" si="9"/>
        <v>(245,'EVENT_TYPE:APPROVE','event_type approval','EVENT_TYPE','APPROVE'),</v>
      </c>
    </row>
    <row r="166" spans="1:6" ht="20.149999999999999" customHeight="1" x14ac:dyDescent="0.35">
      <c r="A166" s="3">
        <v>246</v>
      </c>
      <c r="B166" s="4" t="str">
        <f t="shared" si="10"/>
        <v>OPERATION_TYPE:APPROVE</v>
      </c>
      <c r="C166" s="4" t="str">
        <f t="shared" si="11"/>
        <v>operation_type approval</v>
      </c>
      <c r="D166" s="4" t="s">
        <v>6381</v>
      </c>
      <c r="E166" s="5" t="s">
        <v>6430</v>
      </c>
      <c r="F166" s="16" t="str">
        <f t="shared" si="9"/>
        <v>(246,'OPERATION_TYPE:APPROVE','operation_type approval','OPERATION_TYPE','APPROVE'),</v>
      </c>
    </row>
    <row r="167" spans="1:6" ht="20.149999999999999" customHeight="1" x14ac:dyDescent="0.35">
      <c r="A167" s="3">
        <v>247</v>
      </c>
      <c r="B167" s="4" t="str">
        <f t="shared" si="10"/>
        <v>EVENT_STATUS:APPROVE</v>
      </c>
      <c r="C167" s="4" t="str">
        <f t="shared" si="11"/>
        <v>event_status approval</v>
      </c>
      <c r="D167" s="4" t="s">
        <v>6385</v>
      </c>
      <c r="E167" s="5" t="s">
        <v>6430</v>
      </c>
      <c r="F167" s="16" t="str">
        <f t="shared" si="9"/>
        <v>(247,'EVENT_STATUS:APPROVE','event_status approval','EVENT_STATUS','APPROVE'),</v>
      </c>
    </row>
    <row r="168" spans="1:6" ht="20.149999999999999" customHeight="1" x14ac:dyDescent="0.35">
      <c r="A168" s="3">
        <v>248</v>
      </c>
      <c r="B168" s="4" t="str">
        <f t="shared" si="10"/>
        <v>ALERT_STATUS:APPROVE</v>
      </c>
      <c r="C168" s="4" t="str">
        <f t="shared" si="11"/>
        <v>alert_status approval</v>
      </c>
      <c r="D168" s="4" t="s">
        <v>6383</v>
      </c>
      <c r="E168" s="45" t="s">
        <v>6430</v>
      </c>
      <c r="F168" s="16" t="str">
        <f t="shared" si="9"/>
        <v>(248,'ALERT_STATUS:APPROVE','alert_status approval','ALERT_STATUS','APPROVE'),</v>
      </c>
    </row>
    <row r="169" spans="1:6" ht="20.149999999999999" customHeight="1" x14ac:dyDescent="0.35">
      <c r="A169" s="3">
        <v>249</v>
      </c>
      <c r="B169" s="4" t="str">
        <f t="shared" si="10"/>
        <v>SEVERITY:APPROVE</v>
      </c>
      <c r="C169" s="4" t="str">
        <f t="shared" si="11"/>
        <v>severity approval</v>
      </c>
      <c r="D169" s="4" t="s">
        <v>6387</v>
      </c>
      <c r="E169" s="5" t="s">
        <v>6430</v>
      </c>
      <c r="F169" s="16" t="str">
        <f t="shared" si="9"/>
        <v>(249,'SEVERITY:APPROVE','severity approval','SEVERITY','APPROVE'),</v>
      </c>
    </row>
    <row r="170" spans="1:6" ht="20.149999999999999" customHeight="1" x14ac:dyDescent="0.35">
      <c r="A170" s="3">
        <v>250</v>
      </c>
      <c r="B170" s="4" t="str">
        <f t="shared" si="10"/>
        <v>DATA_SOURCE:APPROVE</v>
      </c>
      <c r="C170" s="4" t="str">
        <f t="shared" si="11"/>
        <v>data_source approval</v>
      </c>
      <c r="D170" s="4" t="s">
        <v>6384</v>
      </c>
      <c r="E170" s="5" t="s">
        <v>6430</v>
      </c>
      <c r="F170" s="16" t="str">
        <f t="shared" si="9"/>
        <v>(250,'DATA_SOURCE:APPROVE','data_source approval','DATA_SOURCE','APPROVE'),</v>
      </c>
    </row>
    <row r="171" spans="1:6" ht="20.149999999999999" customHeight="1" x14ac:dyDescent="0.35">
      <c r="A171" s="3">
        <v>251</v>
      </c>
      <c r="B171" s="4" t="str">
        <f t="shared" si="10"/>
        <v>QUALITY_FLAG:APPROVE</v>
      </c>
      <c r="C171" s="4" t="str">
        <f t="shared" si="11"/>
        <v>quality_flag approval</v>
      </c>
      <c r="D171" s="4" t="s">
        <v>6386</v>
      </c>
      <c r="E171" s="5" t="s">
        <v>6430</v>
      </c>
      <c r="F171" s="16" t="str">
        <f t="shared" si="9"/>
        <v>(251,'QUALITY_FLAG:APPROVE','quality_flag approval','QUALITY_FLAG','APPROVE'),</v>
      </c>
    </row>
    <row r="172" spans="1:6" ht="20.149999999999999" customHeight="1" x14ac:dyDescent="0.35">
      <c r="A172" s="3">
        <v>252</v>
      </c>
      <c r="B172" s="4" t="str">
        <f t="shared" si="10"/>
        <v>VALIDATION_STATUS:APPROVE</v>
      </c>
      <c r="C172" s="4" t="str">
        <f t="shared" si="11"/>
        <v>validation_status approval</v>
      </c>
      <c r="D172" s="4" t="s">
        <v>6388</v>
      </c>
      <c r="E172" s="5" t="s">
        <v>6430</v>
      </c>
      <c r="F172" s="16" t="str">
        <f t="shared" si="9"/>
        <v>(252,'VALIDATION_STATUS:APPROVE','validation_status approval','VALIDATION_STATUS','APPROVE'),</v>
      </c>
    </row>
    <row r="173" spans="1:6" ht="20.149999999999999" customHeight="1" x14ac:dyDescent="0.35">
      <c r="A173" s="3">
        <v>253</v>
      </c>
      <c r="B173" s="4" t="str">
        <f t="shared" si="10"/>
        <v>READING_SLOT:APPROVE</v>
      </c>
      <c r="C173" s="4" t="str">
        <f t="shared" si="11"/>
        <v>reading_slot approval</v>
      </c>
      <c r="D173" s="4" t="s">
        <v>6389</v>
      </c>
      <c r="E173" s="5" t="s">
        <v>6430</v>
      </c>
      <c r="F173" s="16" t="str">
        <f t="shared" si="9"/>
        <v>(253,'READING_SLOT:APPROVE','reading_slot approval','READING_SLOT','APPROVE'),</v>
      </c>
    </row>
    <row r="174" spans="1:6" ht="20.149999999999999" customHeight="1" x14ac:dyDescent="0.35">
      <c r="A174" s="3">
        <v>254</v>
      </c>
      <c r="B174" s="4" t="str">
        <f t="shared" si="10"/>
        <v>FLOW_OPERATION:APPROVE</v>
      </c>
      <c r="C174" s="4" t="str">
        <f t="shared" si="11"/>
        <v>flow_operation approval</v>
      </c>
      <c r="D174" s="4" t="s">
        <v>6390</v>
      </c>
      <c r="E174" s="5" t="s">
        <v>6430</v>
      </c>
      <c r="F174" s="16" t="str">
        <f t="shared" si="9"/>
        <v>(254,'FLOW_OPERATION:APPROVE','flow_operation approval','FLOW_OPERATION','APPROVE'),</v>
      </c>
    </row>
    <row r="175" spans="1:6" ht="20.149999999999999" customHeight="1" x14ac:dyDescent="0.35">
      <c r="A175" s="3">
        <v>255</v>
      </c>
      <c r="B175" s="4" t="str">
        <f t="shared" si="10"/>
        <v>FLOW_FORECAST:APPROVE</v>
      </c>
      <c r="C175" s="4" t="str">
        <f t="shared" si="11"/>
        <v>flow_forecast approval</v>
      </c>
      <c r="D175" s="4" t="s">
        <v>6391</v>
      </c>
      <c r="E175" s="5" t="s">
        <v>6430</v>
      </c>
      <c r="F175" s="16" t="str">
        <f t="shared" si="9"/>
        <v>(255,'FLOW_FORECAST:APPROVE','flow_forecast approval','FLOW_FORECAST','APPROVE'),</v>
      </c>
    </row>
    <row r="176" spans="1:6" ht="20.149999999999999" customHeight="1" x14ac:dyDescent="0.35">
      <c r="A176" s="3">
        <v>256</v>
      </c>
      <c r="B176" s="4" t="str">
        <f t="shared" si="10"/>
        <v>FLOW_READING:APPROVE</v>
      </c>
      <c r="C176" s="4" t="str">
        <f t="shared" si="11"/>
        <v>flow_reading approval</v>
      </c>
      <c r="D176" s="4" t="s">
        <v>6392</v>
      </c>
      <c r="E176" s="5" t="s">
        <v>6430</v>
      </c>
      <c r="F176" s="16" t="str">
        <f t="shared" si="9"/>
        <v>(256,'FLOW_READING:APPROVE','flow_reading approval','FLOW_READING','APPROVE'),</v>
      </c>
    </row>
    <row r="177" spans="1:6" ht="20.149999999999999" customHeight="1" x14ac:dyDescent="0.35">
      <c r="A177" s="3">
        <v>257</v>
      </c>
      <c r="B177" s="4" t="str">
        <f t="shared" si="10"/>
        <v>FLOW_EVENT:APPROVE</v>
      </c>
      <c r="C177" s="4" t="str">
        <f t="shared" si="11"/>
        <v>flow_event approval</v>
      </c>
      <c r="D177" s="4" t="s">
        <v>6395</v>
      </c>
      <c r="E177" s="5" t="s">
        <v>6430</v>
      </c>
      <c r="F177" s="16" t="str">
        <f t="shared" si="9"/>
        <v>(257,'FLOW_EVENT:APPROVE','flow_event approval','FLOW_EVENT','APPROVE'),</v>
      </c>
    </row>
    <row r="178" spans="1:6" ht="20.149999999999999" customHeight="1" x14ac:dyDescent="0.35">
      <c r="A178" s="3">
        <v>258</v>
      </c>
      <c r="B178" s="4" t="str">
        <f t="shared" si="10"/>
        <v>FLOW_ALERT:APPROVE</v>
      </c>
      <c r="C178" s="4" t="str">
        <f t="shared" si="11"/>
        <v>flow_alert approval</v>
      </c>
      <c r="D178" s="4" t="s">
        <v>6394</v>
      </c>
      <c r="E178" s="5" t="s">
        <v>6430</v>
      </c>
      <c r="F178" s="16" t="str">
        <f t="shared" si="9"/>
        <v>(258,'FLOW_ALERT:APPROVE','flow_alert approval','FLOW_ALERT','APPROVE'),</v>
      </c>
    </row>
    <row r="179" spans="1:6" ht="20.149999999999999" customHeight="1" x14ac:dyDescent="0.35">
      <c r="A179" s="3">
        <v>259</v>
      </c>
      <c r="B179" s="4" t="str">
        <f t="shared" si="10"/>
        <v>FLOW_THRESHOLD:APPROVE</v>
      </c>
      <c r="C179" s="4" t="str">
        <f t="shared" si="11"/>
        <v>flow_threshold approval</v>
      </c>
      <c r="D179" s="4" t="s">
        <v>6393</v>
      </c>
      <c r="E179" s="5" t="s">
        <v>6430</v>
      </c>
      <c r="F179" s="16" t="str">
        <f t="shared" si="9"/>
        <v>(259,'FLOW_THRESHOLD:APPROVE','flow_threshold approval','FLOW_THRESHOLD','APPROVE'),</v>
      </c>
    </row>
    <row r="180" spans="1:6" ht="20.149999999999999" customHeight="1" x14ac:dyDescent="0.35">
      <c r="A180" s="3">
        <v>301</v>
      </c>
      <c r="B180" s="4" t="str">
        <f t="shared" si="10"/>
        <v>PARAMETER:DELETE</v>
      </c>
      <c r="C180" s="4" t="str">
        <f t="shared" ref="C180:C211" si="12">CONCATENATE(LOWER(D180)," delete")</f>
        <v>parameter delete</v>
      </c>
      <c r="D180" s="4" t="s">
        <v>6378</v>
      </c>
      <c r="E180" s="5" t="s">
        <v>6431</v>
      </c>
      <c r="F180" s="16" t="str">
        <f t="shared" si="9"/>
        <v>(301,'PARAMETER:DELETE','parameter delete','PARAMETER','DELETE'),</v>
      </c>
    </row>
    <row r="181" spans="1:6" ht="20.149999999999999" customHeight="1" x14ac:dyDescent="0.35">
      <c r="A181" s="3">
        <v>302</v>
      </c>
      <c r="B181" s="4" t="str">
        <f t="shared" si="10"/>
        <v>FILE:DELETE</v>
      </c>
      <c r="C181" s="4" t="str">
        <f t="shared" si="12"/>
        <v>file delete</v>
      </c>
      <c r="D181" s="4" t="s">
        <v>6379</v>
      </c>
      <c r="E181" s="5" t="s">
        <v>6431</v>
      </c>
      <c r="F181" s="16" t="str">
        <f t="shared" si="9"/>
        <v>(302,'FILE:DELETE','file delete','FILE','DELETE'),</v>
      </c>
    </row>
    <row r="182" spans="1:6" ht="20.149999999999999" customHeight="1" x14ac:dyDescent="0.35">
      <c r="A182" s="3">
        <v>303</v>
      </c>
      <c r="B182" s="4" t="str">
        <f t="shared" si="10"/>
        <v>GROUP:DELETE</v>
      </c>
      <c r="C182" s="4" t="str">
        <f t="shared" si="12"/>
        <v>group delete</v>
      </c>
      <c r="D182" s="4" t="s">
        <v>5751</v>
      </c>
      <c r="E182" s="5" t="s">
        <v>6431</v>
      </c>
      <c r="F182" s="16" t="str">
        <f t="shared" si="9"/>
        <v>(303,'GROUP:DELETE','group delete','GROUP','DELETE'),</v>
      </c>
    </row>
    <row r="183" spans="1:6" ht="20.149999999999999" customHeight="1" x14ac:dyDescent="0.35">
      <c r="A183" s="3">
        <v>304</v>
      </c>
      <c r="B183" s="4" t="str">
        <f t="shared" si="10"/>
        <v>USER:DELETE</v>
      </c>
      <c r="C183" s="4" t="str">
        <f t="shared" si="12"/>
        <v>user delete</v>
      </c>
      <c r="D183" s="4" t="s">
        <v>5752</v>
      </c>
      <c r="E183" s="5" t="s">
        <v>6431</v>
      </c>
      <c r="F183" s="16" t="str">
        <f t="shared" si="9"/>
        <v>(304,'USER:DELETE','user delete','USER','DELETE'),</v>
      </c>
    </row>
    <row r="184" spans="1:6" ht="20.149999999999999" customHeight="1" x14ac:dyDescent="0.35">
      <c r="A184" s="3">
        <v>305</v>
      </c>
      <c r="B184" s="4" t="str">
        <f t="shared" si="10"/>
        <v>ROLE:DELETE</v>
      </c>
      <c r="C184" s="4" t="str">
        <f t="shared" si="12"/>
        <v>role delete</v>
      </c>
      <c r="D184" s="4" t="s">
        <v>5753</v>
      </c>
      <c r="E184" s="5" t="s">
        <v>6431</v>
      </c>
      <c r="F184" s="16" t="str">
        <f t="shared" si="9"/>
        <v>(305,'ROLE:DELETE','role delete','ROLE','DELETE'),</v>
      </c>
    </row>
    <row r="185" spans="1:6" ht="20.149999999999999" customHeight="1" x14ac:dyDescent="0.35">
      <c r="A185" s="3">
        <v>306</v>
      </c>
      <c r="B185" s="4" t="str">
        <f t="shared" si="10"/>
        <v>PERMISSION:DELETE</v>
      </c>
      <c r="C185" s="4" t="str">
        <f t="shared" si="12"/>
        <v>permission delete</v>
      </c>
      <c r="D185" s="4" t="s">
        <v>5754</v>
      </c>
      <c r="E185" s="5" t="s">
        <v>6431</v>
      </c>
      <c r="F185" s="16" t="str">
        <f t="shared" si="9"/>
        <v>(306,'PERMISSION:DELETE','permission delete','PERMISSION','DELETE'),</v>
      </c>
    </row>
    <row r="186" spans="1:6" ht="20.149999999999999" customHeight="1" x14ac:dyDescent="0.35">
      <c r="A186" s="3">
        <v>307</v>
      </c>
      <c r="B186" s="4" t="str">
        <f t="shared" si="10"/>
        <v>AUTHORITY:DELETE</v>
      </c>
      <c r="C186" s="4" t="str">
        <f t="shared" si="12"/>
        <v>authority delete</v>
      </c>
      <c r="D186" s="4" t="s">
        <v>5755</v>
      </c>
      <c r="E186" s="5" t="s">
        <v>6431</v>
      </c>
      <c r="F186" s="16" t="str">
        <f t="shared" si="9"/>
        <v>(307,'AUTHORITY:DELETE','authority delete','AUTHORITY','DELETE'),</v>
      </c>
    </row>
    <row r="187" spans="1:6" ht="20.149999999999999" customHeight="1" x14ac:dyDescent="0.35">
      <c r="A187" s="3">
        <v>308</v>
      </c>
      <c r="B187" s="4" t="str">
        <f t="shared" si="10"/>
        <v>AUDIT:DELETE</v>
      </c>
      <c r="C187" s="4" t="str">
        <f t="shared" si="12"/>
        <v>audit delete</v>
      </c>
      <c r="D187" s="4" t="s">
        <v>5756</v>
      </c>
      <c r="E187" s="5" t="s">
        <v>6431</v>
      </c>
      <c r="F187" s="16" t="str">
        <f t="shared" si="9"/>
        <v>(308,'AUDIT:DELETE','audit delete','AUDIT','DELETE'),</v>
      </c>
    </row>
    <row r="188" spans="1:6" ht="20.149999999999999" customHeight="1" x14ac:dyDescent="0.35">
      <c r="A188" s="3">
        <v>309</v>
      </c>
      <c r="B188" s="4" t="str">
        <f t="shared" si="10"/>
        <v>STRUCTURE_TYPE:DELETE</v>
      </c>
      <c r="C188" s="4" t="str">
        <f t="shared" si="12"/>
        <v>structure_type delete</v>
      </c>
      <c r="D188" s="4" t="s">
        <v>5761</v>
      </c>
      <c r="E188" s="5" t="s">
        <v>6431</v>
      </c>
      <c r="F188" s="16" t="str">
        <f t="shared" si="9"/>
        <v>(309,'STRUCTURE_TYPE:DELETE','structure_type delete','STRUCTURE_TYPE','DELETE'),</v>
      </c>
    </row>
    <row r="189" spans="1:6" ht="20.149999999999999" customHeight="1" x14ac:dyDescent="0.35">
      <c r="A189" s="3">
        <v>310</v>
      </c>
      <c r="B189" s="4" t="str">
        <f t="shared" si="10"/>
        <v>ZONE:DELETE</v>
      </c>
      <c r="C189" s="4" t="str">
        <f t="shared" si="12"/>
        <v>zone delete</v>
      </c>
      <c r="D189" s="4" t="s">
        <v>5773</v>
      </c>
      <c r="E189" s="5" t="s">
        <v>6431</v>
      </c>
      <c r="F189" s="16" t="str">
        <f t="shared" si="9"/>
        <v>(310,'ZONE:DELETE','zone delete','ZONE','DELETE'),</v>
      </c>
    </row>
    <row r="190" spans="1:6" ht="20.149999999999999" customHeight="1" x14ac:dyDescent="0.35">
      <c r="A190" s="3">
        <v>311</v>
      </c>
      <c r="B190" s="4" t="str">
        <f t="shared" si="10"/>
        <v>COUNTRY:DELETE</v>
      </c>
      <c r="C190" s="4" t="str">
        <f t="shared" si="12"/>
        <v>country delete</v>
      </c>
      <c r="D190" s="4" t="s">
        <v>5758</v>
      </c>
      <c r="E190" s="5" t="s">
        <v>6431</v>
      </c>
      <c r="F190" s="16" t="str">
        <f t="shared" si="9"/>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5759</v>
      </c>
      <c r="E191" s="5" t="s">
        <v>6431</v>
      </c>
      <c r="F191" s="16" t="str">
        <f t="shared" si="9"/>
        <v>(312,'STATE:DELETE','state delete','STATE','DELETE'),</v>
      </c>
    </row>
    <row r="192" spans="1:6" ht="20.149999999999999" customHeight="1" x14ac:dyDescent="0.35">
      <c r="A192" s="3">
        <v>313</v>
      </c>
      <c r="B192" s="4" t="str">
        <f t="shared" si="13"/>
        <v>DISTRICT:DELETE</v>
      </c>
      <c r="C192" s="4" t="str">
        <f t="shared" si="12"/>
        <v>district delete</v>
      </c>
      <c r="D192" s="4" t="s">
        <v>5793</v>
      </c>
      <c r="E192" s="5" t="s">
        <v>6431</v>
      </c>
      <c r="F192" s="16" t="str">
        <f t="shared" si="9"/>
        <v>(313,'DISTRICT:DELETE','district delete','DISTRICT','DELETE'),</v>
      </c>
    </row>
    <row r="193" spans="1:6" ht="20.149999999999999" customHeight="1" x14ac:dyDescent="0.35">
      <c r="A193" s="3">
        <v>314</v>
      </c>
      <c r="B193" s="4" t="str">
        <f t="shared" si="13"/>
        <v>LOCALITY:DELETE</v>
      </c>
      <c r="C193" s="4" t="str">
        <f t="shared" si="12"/>
        <v>locality delete</v>
      </c>
      <c r="D193" s="4" t="s">
        <v>5760</v>
      </c>
      <c r="E193" s="5" t="s">
        <v>6431</v>
      </c>
      <c r="F193" s="16" t="str">
        <f t="shared" si="9"/>
        <v>(314,'LOCALITY:DELETE','locality delete','LOCALITY','DELETE'),</v>
      </c>
    </row>
    <row r="194" spans="1:6" ht="20.149999999999999" customHeight="1" x14ac:dyDescent="0.35">
      <c r="A194" s="3">
        <v>315</v>
      </c>
      <c r="B194" s="4" t="str">
        <f t="shared" si="13"/>
        <v>LOCATION:DELETE</v>
      </c>
      <c r="C194" s="4" t="str">
        <f t="shared" si="12"/>
        <v>location delete</v>
      </c>
      <c r="D194" s="4" t="s">
        <v>5774</v>
      </c>
      <c r="E194" s="5" t="s">
        <v>6431</v>
      </c>
      <c r="F194" s="16" t="str">
        <f t="shared" si="9"/>
        <v>(315,'LOCATION:DELETE','location delete','LOCATION','DELETE'),</v>
      </c>
    </row>
    <row r="195" spans="1:6" ht="20.149999999999999" customHeight="1" x14ac:dyDescent="0.35">
      <c r="A195" s="3">
        <v>316</v>
      </c>
      <c r="B195" s="4" t="str">
        <f t="shared" si="13"/>
        <v>COORDINATE:DELETE</v>
      </c>
      <c r="C195" s="4" t="str">
        <f t="shared" si="12"/>
        <v>coordinate delete</v>
      </c>
      <c r="D195" s="4" t="s">
        <v>6380</v>
      </c>
      <c r="E195" s="5" t="s">
        <v>6431</v>
      </c>
      <c r="F195" s="16" t="str">
        <f t="shared" ref="F195:F258" si="14">CONCATENATE("(",A195,",'",B195,"','",C195,"','",D195,"','",E195,"'),")</f>
        <v>(316,'COORDINATE:DELETE','coordinate delete','COORDINATE','DELETE'),</v>
      </c>
    </row>
    <row r="196" spans="1:6" ht="20.149999999999999" customHeight="1" x14ac:dyDescent="0.35">
      <c r="A196" s="3">
        <v>317</v>
      </c>
      <c r="B196" s="4" t="str">
        <f t="shared" si="13"/>
        <v>STRUCTURE:DELETE</v>
      </c>
      <c r="C196" s="4" t="str">
        <f t="shared" si="12"/>
        <v>structure delete</v>
      </c>
      <c r="D196" s="4" t="s">
        <v>5762</v>
      </c>
      <c r="E196" s="5" t="s">
        <v>6431</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5763</v>
      </c>
      <c r="E197" s="5" t="s">
        <v>6431</v>
      </c>
      <c r="F197" s="16" t="str">
        <f t="shared" si="14"/>
        <v>(318,'JOB:DELETE','job delete','JOB','DELETE'),</v>
      </c>
    </row>
    <row r="198" spans="1:6" ht="20.149999999999999" customHeight="1" x14ac:dyDescent="0.35">
      <c r="A198" s="3">
        <v>319</v>
      </c>
      <c r="B198" s="4" t="str">
        <f t="shared" si="13"/>
        <v>PERSON:DELETE</v>
      </c>
      <c r="C198" s="4" t="str">
        <f t="shared" si="12"/>
        <v>person delete</v>
      </c>
      <c r="D198" s="4" t="s">
        <v>5764</v>
      </c>
      <c r="E198" s="5" t="s">
        <v>6431</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5765</v>
      </c>
      <c r="E199" s="5" t="s">
        <v>6431</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5766</v>
      </c>
      <c r="E200" s="5" t="s">
        <v>6431</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5767</v>
      </c>
      <c r="E201" s="5" t="s">
        <v>6431</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5768</v>
      </c>
      <c r="E202" s="5" t="s">
        <v>6431</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5769</v>
      </c>
      <c r="E203" s="5" t="s">
        <v>6431</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5770</v>
      </c>
      <c r="E204" s="5" t="s">
        <v>6431</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5771</v>
      </c>
      <c r="E205" s="5" t="s">
        <v>6431</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5794</v>
      </c>
      <c r="E206" s="5" t="s">
        <v>6431</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5795</v>
      </c>
      <c r="E207" s="5" t="s">
        <v>6431</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5772</v>
      </c>
      <c r="E208" s="5" t="s">
        <v>6431</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5775</v>
      </c>
      <c r="E209" s="5" t="s">
        <v>6431</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5776</v>
      </c>
      <c r="E210" s="5" t="s">
        <v>6431</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5777</v>
      </c>
      <c r="E211" s="5" t="s">
        <v>6431</v>
      </c>
      <c r="F211" s="16" t="str">
        <f t="shared" si="14"/>
        <v>(332,'ALLOY:DELETE','alloy delete','ALLOY','DELETE'),</v>
      </c>
    </row>
    <row r="212" spans="1:6" ht="20.149999999999999" customHeight="1" x14ac:dyDescent="0.35">
      <c r="A212" s="3">
        <v>333</v>
      </c>
      <c r="B212" s="4" t="str">
        <f t="shared" si="13"/>
        <v>PARTNER:DELETE</v>
      </c>
      <c r="C212" s="4" t="str">
        <f t="shared" ref="C212:C238" si="15">CONCATENATE(LOWER(D212)," delete")</f>
        <v>partner delete</v>
      </c>
      <c r="D212" s="4" t="s">
        <v>5778</v>
      </c>
      <c r="E212" s="5" t="s">
        <v>6431</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5779</v>
      </c>
      <c r="E213" s="5" t="s">
        <v>6431</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5780</v>
      </c>
      <c r="E214" s="5" t="s">
        <v>6431</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5781</v>
      </c>
      <c r="E215" s="5" t="s">
        <v>6431</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5782</v>
      </c>
      <c r="E216" s="5" t="s">
        <v>6431</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5783</v>
      </c>
      <c r="E217" s="5" t="s">
        <v>6431</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5784</v>
      </c>
      <c r="E218" s="5" t="s">
        <v>6431</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5785</v>
      </c>
      <c r="E219" s="5" t="s">
        <v>6431</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5786</v>
      </c>
      <c r="E220" s="5" t="s">
        <v>6431</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5796</v>
      </c>
      <c r="E221" s="5" t="s">
        <v>6431</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5797</v>
      </c>
      <c r="E222" s="5" t="s">
        <v>6431</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5787</v>
      </c>
      <c r="E223" s="5" t="s">
        <v>6431</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6382</v>
      </c>
      <c r="E224" s="5" t="s">
        <v>6431</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6381</v>
      </c>
      <c r="E225" s="5" t="s">
        <v>6431</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6385</v>
      </c>
      <c r="E226" s="5" t="s">
        <v>6431</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6383</v>
      </c>
      <c r="E227" s="45" t="s">
        <v>6431</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6387</v>
      </c>
      <c r="E228" s="5" t="s">
        <v>6431</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6384</v>
      </c>
      <c r="E229" s="5" t="s">
        <v>6431</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6386</v>
      </c>
      <c r="E230" s="5" t="s">
        <v>6431</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6388</v>
      </c>
      <c r="E231" s="5" t="s">
        <v>6431</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6389</v>
      </c>
      <c r="E232" s="5" t="s">
        <v>6431</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6390</v>
      </c>
      <c r="E233" s="5" t="s">
        <v>6431</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6391</v>
      </c>
      <c r="E234" s="5" t="s">
        <v>6431</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6392</v>
      </c>
      <c r="E235" s="5" t="s">
        <v>6431</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6395</v>
      </c>
      <c r="E236" s="5" t="s">
        <v>6431</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6394</v>
      </c>
      <c r="E237" s="5" t="s">
        <v>6431</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6393</v>
      </c>
      <c r="E238" s="5" t="s">
        <v>6431</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6378</v>
      </c>
      <c r="E239" s="5" t="s">
        <v>6432</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6379</v>
      </c>
      <c r="E240" s="5" t="s">
        <v>6432</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5751</v>
      </c>
      <c r="E241" s="5" t="s">
        <v>6432</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5752</v>
      </c>
      <c r="E242" s="5" t="s">
        <v>6432</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5753</v>
      </c>
      <c r="E243" s="5" t="s">
        <v>6432</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5754</v>
      </c>
      <c r="E244" s="5" t="s">
        <v>6432</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5755</v>
      </c>
      <c r="E245" s="5" t="s">
        <v>6432</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5756</v>
      </c>
      <c r="E246" s="5" t="s">
        <v>6432</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5761</v>
      </c>
      <c r="E247" s="5" t="s">
        <v>6432</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5773</v>
      </c>
      <c r="E248" s="5" t="s">
        <v>6432</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5758</v>
      </c>
      <c r="E249" s="5" t="s">
        <v>6432</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5759</v>
      </c>
      <c r="E250" s="5" t="s">
        <v>6432</v>
      </c>
      <c r="F250" s="16" t="str">
        <f t="shared" si="14"/>
        <v>(412,'STATE:UPDATE','state updating','STATE','UPDATE'),</v>
      </c>
    </row>
    <row r="251" spans="1:6" ht="20.149999999999999" customHeight="1" x14ac:dyDescent="0.35">
      <c r="A251" s="3">
        <v>413</v>
      </c>
      <c r="B251" s="4" t="str">
        <f t="shared" si="17"/>
        <v>DISTRICT:UPDATE</v>
      </c>
      <c r="C251" s="4" t="str">
        <f t="shared" si="16"/>
        <v>district updating</v>
      </c>
      <c r="D251" s="4" t="s">
        <v>5793</v>
      </c>
      <c r="E251" s="5" t="s">
        <v>6432</v>
      </c>
      <c r="F251" s="16" t="str">
        <f t="shared" si="14"/>
        <v>(413,'DISTRICT:UPDATE','district updating','DISTRICT','UPDATE'),</v>
      </c>
    </row>
    <row r="252" spans="1:6" ht="20.149999999999999" customHeight="1" x14ac:dyDescent="0.35">
      <c r="A252" s="3">
        <v>414</v>
      </c>
      <c r="B252" s="4" t="str">
        <f t="shared" si="17"/>
        <v>LOCALITY:UPDATE</v>
      </c>
      <c r="C252" s="4" t="str">
        <f t="shared" si="16"/>
        <v>locality updating</v>
      </c>
      <c r="D252" s="4" t="s">
        <v>5760</v>
      </c>
      <c r="E252" s="5" t="s">
        <v>6432</v>
      </c>
      <c r="F252" s="16" t="str">
        <f t="shared" si="14"/>
        <v>(414,'LOCALITY:UPDATE','locality updating','LOCALITY','UPDATE'),</v>
      </c>
    </row>
    <row r="253" spans="1:6" ht="20.149999999999999" customHeight="1" x14ac:dyDescent="0.35">
      <c r="A253" s="3">
        <v>415</v>
      </c>
      <c r="B253" s="4" t="str">
        <f t="shared" si="17"/>
        <v>LOCATION:UPDATE</v>
      </c>
      <c r="C253" s="4" t="str">
        <f t="shared" si="16"/>
        <v>location updating</v>
      </c>
      <c r="D253" s="4" t="s">
        <v>5774</v>
      </c>
      <c r="E253" s="5" t="s">
        <v>6432</v>
      </c>
      <c r="F253" s="16" t="str">
        <f t="shared" si="14"/>
        <v>(415,'LOCATION:UPDATE','location updating','LOCATION','UPDATE'),</v>
      </c>
    </row>
    <row r="254" spans="1:6" ht="20.149999999999999" customHeight="1" x14ac:dyDescent="0.35">
      <c r="A254" s="3">
        <v>416</v>
      </c>
      <c r="B254" s="4" t="str">
        <f t="shared" si="17"/>
        <v>COORDINATE:UPDATE</v>
      </c>
      <c r="C254" s="4" t="str">
        <f t="shared" si="16"/>
        <v>coordinate updating</v>
      </c>
      <c r="D254" s="4" t="s">
        <v>6380</v>
      </c>
      <c r="E254" s="5" t="s">
        <v>6432</v>
      </c>
      <c r="F254" s="16" t="str">
        <f t="shared" si="14"/>
        <v>(416,'COORDINATE:UPDATE','coordinate updating','COORDINATE','UPDATE'),</v>
      </c>
    </row>
    <row r="255" spans="1:6" ht="20.149999999999999" customHeight="1" x14ac:dyDescent="0.35">
      <c r="A255" s="3">
        <v>417</v>
      </c>
      <c r="B255" s="4" t="str">
        <f t="shared" si="17"/>
        <v>STRUCTURE:UPDATE</v>
      </c>
      <c r="C255" s="4" t="str">
        <f t="shared" si="16"/>
        <v>structure updating</v>
      </c>
      <c r="D255" s="4" t="s">
        <v>5762</v>
      </c>
      <c r="E255" s="5" t="s">
        <v>6432</v>
      </c>
      <c r="F255" s="16" t="str">
        <f t="shared" si="14"/>
        <v>(417,'STRUCTURE:UPDATE','structure updating','STRUCTURE','UPDATE'),</v>
      </c>
    </row>
    <row r="256" spans="1:6" ht="20.149999999999999" customHeight="1" x14ac:dyDescent="0.35">
      <c r="A256" s="3">
        <v>418</v>
      </c>
      <c r="B256" s="4" t="str">
        <f t="shared" si="17"/>
        <v>JOB:UPDATE</v>
      </c>
      <c r="C256" s="4" t="str">
        <f t="shared" si="16"/>
        <v>job updating</v>
      </c>
      <c r="D256" s="4" t="s">
        <v>5763</v>
      </c>
      <c r="E256" s="5" t="s">
        <v>6432</v>
      </c>
      <c r="F256" s="16" t="str">
        <f t="shared" si="14"/>
        <v>(418,'JOB:UPDATE','job updating','JOB','UPDATE'),</v>
      </c>
    </row>
    <row r="257" spans="1:6" ht="20.149999999999999" customHeight="1" x14ac:dyDescent="0.35">
      <c r="A257" s="3">
        <v>419</v>
      </c>
      <c r="B257" s="4" t="str">
        <f t="shared" si="17"/>
        <v>PERSON:UPDATE</v>
      </c>
      <c r="C257" s="4" t="str">
        <f t="shared" si="16"/>
        <v>person updating</v>
      </c>
      <c r="D257" s="4" t="s">
        <v>5764</v>
      </c>
      <c r="E257" s="5" t="s">
        <v>6432</v>
      </c>
      <c r="F257" s="16" t="str">
        <f t="shared" si="14"/>
        <v>(419,'PERSON:UPDATE','person updating','PERSON','UPDATE'),</v>
      </c>
    </row>
    <row r="258" spans="1:6" ht="20.149999999999999" customHeight="1" x14ac:dyDescent="0.35">
      <c r="A258" s="3">
        <v>420</v>
      </c>
      <c r="B258" s="4" t="str">
        <f t="shared" si="17"/>
        <v>EMPLOYEE:UPDATE</v>
      </c>
      <c r="C258" s="4" t="str">
        <f t="shared" si="16"/>
        <v>employee updating</v>
      </c>
      <c r="D258" s="4" t="s">
        <v>5765</v>
      </c>
      <c r="E258" s="5" t="s">
        <v>6432</v>
      </c>
      <c r="F258" s="16" t="str">
        <f t="shared" si="14"/>
        <v>(420,'EMPLOYEE:UPDATE','employee updating','EMPLOYEE','UPDATE'),</v>
      </c>
    </row>
    <row r="259" spans="1:6" ht="20.149999999999999" customHeight="1" x14ac:dyDescent="0.35">
      <c r="A259" s="3">
        <v>421</v>
      </c>
      <c r="B259" s="4" t="str">
        <f t="shared" si="17"/>
        <v>COMPANY_TYPE:UPDATE</v>
      </c>
      <c r="C259" s="4" t="str">
        <f t="shared" si="16"/>
        <v>company_type updating</v>
      </c>
      <c r="D259" s="4" t="s">
        <v>5766</v>
      </c>
      <c r="E259" s="5" t="s">
        <v>6432</v>
      </c>
      <c r="F259" s="16" t="str">
        <f t="shared" ref="F259:F322" si="18">CONCATENATE("(",A259,",'",B259,"','",C259,"','",D259,"','",E259,"'),")</f>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5767</v>
      </c>
      <c r="E260" s="5" t="s">
        <v>6432</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5768</v>
      </c>
      <c r="E261" s="5" t="s">
        <v>6432</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5769</v>
      </c>
      <c r="E262" s="5" t="s">
        <v>6432</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5770</v>
      </c>
      <c r="E263" s="5" t="s">
        <v>6432</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5771</v>
      </c>
      <c r="E264" s="5" t="s">
        <v>6432</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5794</v>
      </c>
      <c r="E265" s="5" t="s">
        <v>6432</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5795</v>
      </c>
      <c r="E266" s="5" t="s">
        <v>6432</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5772</v>
      </c>
      <c r="E267" s="5" t="s">
        <v>6432</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5775</v>
      </c>
      <c r="E268" s="5" t="s">
        <v>6432</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5776</v>
      </c>
      <c r="E269" s="5" t="s">
        <v>6432</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5777</v>
      </c>
      <c r="E270" s="5" t="s">
        <v>6432</v>
      </c>
      <c r="F270" s="16" t="str">
        <f t="shared" si="18"/>
        <v>(432,'ALLOY:UPDATE','alloy updating','ALLOY','UPDATE'),</v>
      </c>
    </row>
    <row r="271" spans="1:6" ht="20.149999999999999" customHeight="1" x14ac:dyDescent="0.35">
      <c r="A271" s="3">
        <v>433</v>
      </c>
      <c r="B271" s="4" t="str">
        <f t="shared" si="17"/>
        <v>PARTNER:UPDATE</v>
      </c>
      <c r="C271" s="4" t="str">
        <f t="shared" ref="C271:C297" si="19">CONCATENATE(LOWER(D271)," updating")</f>
        <v>partner updating</v>
      </c>
      <c r="D271" s="4" t="s">
        <v>5778</v>
      </c>
      <c r="E271" s="5" t="s">
        <v>6432</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5779</v>
      </c>
      <c r="E272" s="5" t="s">
        <v>6432</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5780</v>
      </c>
      <c r="E273" s="5" t="s">
        <v>6432</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5781</v>
      </c>
      <c r="E274" s="5" t="s">
        <v>6432</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5782</v>
      </c>
      <c r="E275" s="5" t="s">
        <v>6432</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5783</v>
      </c>
      <c r="E276" s="5" t="s">
        <v>6432</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5784</v>
      </c>
      <c r="E277" s="5" t="s">
        <v>6432</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5785</v>
      </c>
      <c r="E278" s="5" t="s">
        <v>6432</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5786</v>
      </c>
      <c r="E279" s="5" t="s">
        <v>6432</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5796</v>
      </c>
      <c r="E280" s="5" t="s">
        <v>6432</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5797</v>
      </c>
      <c r="E281" s="5" t="s">
        <v>6432</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5787</v>
      </c>
      <c r="E282" s="5" t="s">
        <v>6432</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6382</v>
      </c>
      <c r="E283" s="5" t="s">
        <v>6432</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6381</v>
      </c>
      <c r="E284" s="5" t="s">
        <v>6432</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6385</v>
      </c>
      <c r="E285" s="5" t="s">
        <v>6432</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6383</v>
      </c>
      <c r="E286" s="45" t="s">
        <v>6432</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6387</v>
      </c>
      <c r="E287" s="5" t="s">
        <v>6432</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6384</v>
      </c>
      <c r="E288" s="5" t="s">
        <v>6432</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6386</v>
      </c>
      <c r="E289" s="5" t="s">
        <v>6432</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6388</v>
      </c>
      <c r="E290" s="5" t="s">
        <v>6432</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6389</v>
      </c>
      <c r="E291" s="5" t="s">
        <v>6432</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6390</v>
      </c>
      <c r="E292" s="5" t="s">
        <v>6432</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6391</v>
      </c>
      <c r="E293" s="5" t="s">
        <v>6432</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6392</v>
      </c>
      <c r="E294" s="5" t="s">
        <v>6432</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6395</v>
      </c>
      <c r="E295" s="5" t="s">
        <v>6432</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6394</v>
      </c>
      <c r="E296" s="5" t="s">
        <v>6432</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6393</v>
      </c>
      <c r="E297" s="5" t="s">
        <v>6432</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6378</v>
      </c>
      <c r="E298" s="5" t="s">
        <v>6433</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6379</v>
      </c>
      <c r="E299" s="5" t="s">
        <v>6433</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5751</v>
      </c>
      <c r="E300" s="5" t="s">
        <v>6433</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5752</v>
      </c>
      <c r="E301" s="5" t="s">
        <v>6433</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5753</v>
      </c>
      <c r="E302" s="5" t="s">
        <v>6433</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5754</v>
      </c>
      <c r="E303" s="5" t="s">
        <v>6433</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5755</v>
      </c>
      <c r="E304" s="5" t="s">
        <v>6433</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5756</v>
      </c>
      <c r="E305" s="5" t="s">
        <v>6433</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5761</v>
      </c>
      <c r="E306" s="5" t="s">
        <v>6433</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5773</v>
      </c>
      <c r="E307" s="5" t="s">
        <v>6433</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5758</v>
      </c>
      <c r="E308" s="5" t="s">
        <v>6433</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5759</v>
      </c>
      <c r="E309" s="5" t="s">
        <v>6433</v>
      </c>
      <c r="F309" s="16" t="str">
        <f t="shared" si="18"/>
        <v>(512,'STATE:CREATE','state creation','STATE','CREATE'),</v>
      </c>
    </row>
    <row r="310" spans="1:6" ht="20.149999999999999" customHeight="1" x14ac:dyDescent="0.35">
      <c r="A310" s="3">
        <v>513</v>
      </c>
      <c r="B310" s="4" t="str">
        <f t="shared" si="21"/>
        <v>DISTRICT:CREATE</v>
      </c>
      <c r="C310" s="4" t="str">
        <f t="shared" si="20"/>
        <v>district creation</v>
      </c>
      <c r="D310" s="4" t="s">
        <v>5793</v>
      </c>
      <c r="E310" s="5" t="s">
        <v>6433</v>
      </c>
      <c r="F310" s="16" t="str">
        <f t="shared" si="18"/>
        <v>(513,'DISTRICT:CREATE','district creation','DISTRICT','CREATE'),</v>
      </c>
    </row>
    <row r="311" spans="1:6" ht="20.149999999999999" customHeight="1" x14ac:dyDescent="0.35">
      <c r="A311" s="3">
        <v>514</v>
      </c>
      <c r="B311" s="4" t="str">
        <f t="shared" si="21"/>
        <v>LOCALITY:CREATE</v>
      </c>
      <c r="C311" s="4" t="str">
        <f t="shared" si="20"/>
        <v>locality creation</v>
      </c>
      <c r="D311" s="4" t="s">
        <v>5760</v>
      </c>
      <c r="E311" s="5" t="s">
        <v>6433</v>
      </c>
      <c r="F311" s="16" t="str">
        <f t="shared" si="18"/>
        <v>(514,'LOCALITY:CREATE','locality creation','LOCALITY','CREATE'),</v>
      </c>
    </row>
    <row r="312" spans="1:6" ht="20.149999999999999" customHeight="1" x14ac:dyDescent="0.35">
      <c r="A312" s="3">
        <v>515</v>
      </c>
      <c r="B312" s="4" t="str">
        <f t="shared" si="21"/>
        <v>LOCATION:CREATE</v>
      </c>
      <c r="C312" s="4" t="str">
        <f t="shared" si="20"/>
        <v>location creation</v>
      </c>
      <c r="D312" s="4" t="s">
        <v>5774</v>
      </c>
      <c r="E312" s="5" t="s">
        <v>6433</v>
      </c>
      <c r="F312" s="16" t="str">
        <f t="shared" si="18"/>
        <v>(515,'LOCATION:CREATE','location creation','LOCATION','CREATE'),</v>
      </c>
    </row>
    <row r="313" spans="1:6" ht="20.149999999999999" customHeight="1" x14ac:dyDescent="0.35">
      <c r="A313" s="3">
        <v>516</v>
      </c>
      <c r="B313" s="4" t="str">
        <f t="shared" si="21"/>
        <v>COORDINATE:CREATE</v>
      </c>
      <c r="C313" s="4" t="str">
        <f t="shared" si="20"/>
        <v>coordinate creation</v>
      </c>
      <c r="D313" s="4" t="s">
        <v>6380</v>
      </c>
      <c r="E313" s="5" t="s">
        <v>6433</v>
      </c>
      <c r="F313" s="16" t="str">
        <f t="shared" si="18"/>
        <v>(516,'COORDINATE:CREATE','coordinate creation','COORDINATE','CREATE'),</v>
      </c>
    </row>
    <row r="314" spans="1:6" ht="20.149999999999999" customHeight="1" x14ac:dyDescent="0.35">
      <c r="A314" s="3">
        <v>517</v>
      </c>
      <c r="B314" s="4" t="str">
        <f t="shared" si="21"/>
        <v>STRUCTURE:CREATE</v>
      </c>
      <c r="C314" s="4" t="str">
        <f t="shared" si="20"/>
        <v>structure creation</v>
      </c>
      <c r="D314" s="4" t="s">
        <v>5762</v>
      </c>
      <c r="E314" s="5" t="s">
        <v>6433</v>
      </c>
      <c r="F314" s="16" t="str">
        <f t="shared" si="18"/>
        <v>(517,'STRUCTURE:CREATE','structure creation','STRUCTURE','CREATE'),</v>
      </c>
    </row>
    <row r="315" spans="1:6" ht="20.149999999999999" customHeight="1" x14ac:dyDescent="0.35">
      <c r="A315" s="3">
        <v>518</v>
      </c>
      <c r="B315" s="4" t="str">
        <f t="shared" si="21"/>
        <v>JOB:CREATE</v>
      </c>
      <c r="C315" s="4" t="str">
        <f t="shared" si="20"/>
        <v>job creation</v>
      </c>
      <c r="D315" s="4" t="s">
        <v>5763</v>
      </c>
      <c r="E315" s="5" t="s">
        <v>6433</v>
      </c>
      <c r="F315" s="16" t="str">
        <f t="shared" si="18"/>
        <v>(518,'JOB:CREATE','job creation','JOB','CREATE'),</v>
      </c>
    </row>
    <row r="316" spans="1:6" ht="20.149999999999999" customHeight="1" x14ac:dyDescent="0.35">
      <c r="A316" s="3">
        <v>519</v>
      </c>
      <c r="B316" s="4" t="str">
        <f t="shared" si="21"/>
        <v>PERSON:CREATE</v>
      </c>
      <c r="C316" s="4" t="str">
        <f t="shared" si="20"/>
        <v>person creation</v>
      </c>
      <c r="D316" s="4" t="s">
        <v>5764</v>
      </c>
      <c r="E316" s="5" t="s">
        <v>6433</v>
      </c>
      <c r="F316" s="16" t="str">
        <f t="shared" si="18"/>
        <v>(519,'PERSON:CREATE','person creation','PERSON','CREATE'),</v>
      </c>
    </row>
    <row r="317" spans="1:6" ht="20.149999999999999" customHeight="1" x14ac:dyDescent="0.35">
      <c r="A317" s="3">
        <v>520</v>
      </c>
      <c r="B317" s="4" t="str">
        <f t="shared" si="21"/>
        <v>EMPLOYEE:CREATE</v>
      </c>
      <c r="C317" s="4" t="str">
        <f t="shared" si="20"/>
        <v>employee creation</v>
      </c>
      <c r="D317" s="4" t="s">
        <v>5765</v>
      </c>
      <c r="E317" s="5" t="s">
        <v>6433</v>
      </c>
      <c r="F317" s="16" t="str">
        <f t="shared" si="18"/>
        <v>(520,'EMPLOYEE:CREATE','employee creation','EMPLOYEE','CREATE'),</v>
      </c>
    </row>
    <row r="318" spans="1:6" ht="20.149999999999999" customHeight="1" x14ac:dyDescent="0.35">
      <c r="A318" s="3">
        <v>521</v>
      </c>
      <c r="B318" s="4" t="str">
        <f t="shared" si="21"/>
        <v>COMPANY_TYPE:CREATE</v>
      </c>
      <c r="C318" s="4" t="str">
        <f t="shared" si="20"/>
        <v>company_type creation</v>
      </c>
      <c r="D318" s="4" t="s">
        <v>5766</v>
      </c>
      <c r="E318" s="5" t="s">
        <v>6433</v>
      </c>
      <c r="F318" s="16" t="str">
        <f t="shared" si="18"/>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5767</v>
      </c>
      <c r="E319" s="5" t="s">
        <v>6433</v>
      </c>
      <c r="F319" s="16" t="str">
        <f t="shared" si="18"/>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5768</v>
      </c>
      <c r="E320" s="5" t="s">
        <v>6433</v>
      </c>
      <c r="F320" s="16" t="str">
        <f t="shared" si="18"/>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5769</v>
      </c>
      <c r="E321" s="5" t="s">
        <v>6433</v>
      </c>
      <c r="F321" s="16" t="str">
        <f t="shared" si="18"/>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5770</v>
      </c>
      <c r="E322" s="5" t="s">
        <v>6433</v>
      </c>
      <c r="F322" s="16" t="str">
        <f t="shared" si="18"/>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5771</v>
      </c>
      <c r="E323" s="5" t="s">
        <v>6433</v>
      </c>
      <c r="F323" s="16" t="str">
        <f t="shared" ref="F323:F386" si="22">CONCATENATE("(",A323,",'",B323,"','",C323,"','",D323,"','",E323,"'),")</f>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5794</v>
      </c>
      <c r="E324" s="5" t="s">
        <v>6433</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5795</v>
      </c>
      <c r="E325" s="5" t="s">
        <v>6433</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5772</v>
      </c>
      <c r="E326" s="5" t="s">
        <v>6433</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5775</v>
      </c>
      <c r="E327" s="5" t="s">
        <v>6433</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5776</v>
      </c>
      <c r="E328" s="5" t="s">
        <v>6433</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5777</v>
      </c>
      <c r="E329" s="5" t="s">
        <v>6433</v>
      </c>
      <c r="F329" s="16" t="str">
        <f t="shared" si="22"/>
        <v>(532,'ALLOY:CREATE','alloy creation','ALLOY','CREATE'),</v>
      </c>
    </row>
    <row r="330" spans="1:6" ht="20.149999999999999" customHeight="1" x14ac:dyDescent="0.35">
      <c r="A330" s="3">
        <v>533</v>
      </c>
      <c r="B330" s="4" t="str">
        <f t="shared" si="21"/>
        <v>PARTNER:CREATE</v>
      </c>
      <c r="C330" s="4" t="str">
        <f t="shared" ref="C330:C356" si="23">CONCATENATE(LOWER(D330)," creation")</f>
        <v>partner creation</v>
      </c>
      <c r="D330" s="4" t="s">
        <v>5778</v>
      </c>
      <c r="E330" s="5" t="s">
        <v>6433</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5779</v>
      </c>
      <c r="E331" s="5" t="s">
        <v>6433</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5780</v>
      </c>
      <c r="E332" s="5" t="s">
        <v>6433</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5781</v>
      </c>
      <c r="E333" s="5" t="s">
        <v>6433</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5782</v>
      </c>
      <c r="E334" s="5" t="s">
        <v>6433</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5783</v>
      </c>
      <c r="E335" s="5" t="s">
        <v>6433</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5784</v>
      </c>
      <c r="E336" s="5" t="s">
        <v>6433</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5785</v>
      </c>
      <c r="E337" s="5" t="s">
        <v>6433</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5786</v>
      </c>
      <c r="E338" s="5" t="s">
        <v>6433</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5796</v>
      </c>
      <c r="E339" s="5" t="s">
        <v>6433</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5797</v>
      </c>
      <c r="E340" s="5" t="s">
        <v>6433</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5787</v>
      </c>
      <c r="E341" s="5" t="s">
        <v>6433</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6382</v>
      </c>
      <c r="E342" s="5" t="s">
        <v>6433</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6381</v>
      </c>
      <c r="E343" s="5" t="s">
        <v>6433</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6385</v>
      </c>
      <c r="E344" s="5" t="s">
        <v>6433</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6383</v>
      </c>
      <c r="E345" s="45" t="s">
        <v>6433</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6387</v>
      </c>
      <c r="E346" s="5" t="s">
        <v>6433</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6384</v>
      </c>
      <c r="E347" s="5" t="s">
        <v>6433</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6386</v>
      </c>
      <c r="E348" s="5" t="s">
        <v>6433</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6388</v>
      </c>
      <c r="E349" s="5" t="s">
        <v>6433</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6389</v>
      </c>
      <c r="E350" s="5" t="s">
        <v>6433</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6390</v>
      </c>
      <c r="E351" s="5" t="s">
        <v>6433</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6391</v>
      </c>
      <c r="E352" s="5" t="s">
        <v>6433</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6392</v>
      </c>
      <c r="E353" s="5" t="s">
        <v>6433</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6395</v>
      </c>
      <c r="E354" s="5" t="s">
        <v>6433</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6394</v>
      </c>
      <c r="E355" s="5" t="s">
        <v>6433</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6393</v>
      </c>
      <c r="E356" s="5" t="s">
        <v>6433</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6378</v>
      </c>
      <c r="E357" s="5" t="s">
        <v>6396</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6379</v>
      </c>
      <c r="E358" s="5" t="s">
        <v>6396</v>
      </c>
      <c r="F358" s="16" t="str">
        <f t="shared" si="22"/>
        <v>(602,'FILE:WRITE','file editing','FILE','WRITE'),</v>
      </c>
    </row>
    <row r="359" spans="1:6" ht="20.149999999999999" customHeight="1" x14ac:dyDescent="0.35">
      <c r="A359" s="3">
        <v>603</v>
      </c>
      <c r="B359" s="4" t="str">
        <f t="shared" si="21"/>
        <v>GROUP:WRITE</v>
      </c>
      <c r="C359" s="4" t="str">
        <f t="shared" si="24"/>
        <v>group editing</v>
      </c>
      <c r="D359" s="4" t="s">
        <v>5751</v>
      </c>
      <c r="E359" s="5" t="s">
        <v>6396</v>
      </c>
      <c r="F359" s="16" t="str">
        <f t="shared" si="22"/>
        <v>(603,'GROUP:WRITE','group editing','GROUP','WRITE'),</v>
      </c>
    </row>
    <row r="360" spans="1:6" ht="20.149999999999999" customHeight="1" x14ac:dyDescent="0.35">
      <c r="A360" s="3">
        <v>604</v>
      </c>
      <c r="B360" s="4" t="str">
        <f t="shared" si="21"/>
        <v>USER:WRITE</v>
      </c>
      <c r="C360" s="4" t="str">
        <f t="shared" si="24"/>
        <v>user editing</v>
      </c>
      <c r="D360" s="4" t="s">
        <v>5752</v>
      </c>
      <c r="E360" s="5" t="s">
        <v>6396</v>
      </c>
      <c r="F360" s="16" t="str">
        <f t="shared" si="22"/>
        <v>(604,'USER:WRITE','user editing','USER','WRITE'),</v>
      </c>
    </row>
    <row r="361" spans="1:6" ht="20.149999999999999" customHeight="1" x14ac:dyDescent="0.35">
      <c r="A361" s="3">
        <v>605</v>
      </c>
      <c r="B361" s="4" t="str">
        <f t="shared" si="21"/>
        <v>ROLE:WRITE</v>
      </c>
      <c r="C361" s="4" t="str">
        <f t="shared" si="24"/>
        <v>role editing</v>
      </c>
      <c r="D361" s="4" t="s">
        <v>5753</v>
      </c>
      <c r="E361" s="5" t="s">
        <v>6396</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5754</v>
      </c>
      <c r="E362" s="5" t="s">
        <v>6396</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5755</v>
      </c>
      <c r="E363" s="5" t="s">
        <v>6396</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5756</v>
      </c>
      <c r="E364" s="5" t="s">
        <v>6396</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5761</v>
      </c>
      <c r="E365" s="5" t="s">
        <v>6396</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5773</v>
      </c>
      <c r="E366" s="5" t="s">
        <v>6396</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5758</v>
      </c>
      <c r="E367" s="5" t="s">
        <v>6396</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5759</v>
      </c>
      <c r="E368" s="5" t="s">
        <v>6396</v>
      </c>
      <c r="F368" s="16" t="str">
        <f t="shared" si="22"/>
        <v>(612,'STATE:WRITE','state editing','STATE','WRITE'),</v>
      </c>
    </row>
    <row r="369" spans="1:6" ht="20.149999999999999" customHeight="1" x14ac:dyDescent="0.35">
      <c r="A369" s="3">
        <v>613</v>
      </c>
      <c r="B369" s="4" t="str">
        <f t="shared" si="25"/>
        <v>DISTRICT:WRITE</v>
      </c>
      <c r="C369" s="4" t="str">
        <f t="shared" si="24"/>
        <v>district editing</v>
      </c>
      <c r="D369" s="4" t="s">
        <v>5793</v>
      </c>
      <c r="E369" s="5" t="s">
        <v>6396</v>
      </c>
      <c r="F369" s="16" t="str">
        <f t="shared" si="22"/>
        <v>(613,'DISTRICT:WRITE','district editing','DISTRICT','WRITE'),</v>
      </c>
    </row>
    <row r="370" spans="1:6" ht="20.149999999999999" customHeight="1" x14ac:dyDescent="0.35">
      <c r="A370" s="3">
        <v>614</v>
      </c>
      <c r="B370" s="4" t="str">
        <f t="shared" si="25"/>
        <v>LOCALITY:WRITE</v>
      </c>
      <c r="C370" s="4" t="str">
        <f t="shared" si="24"/>
        <v>locality editing</v>
      </c>
      <c r="D370" s="4" t="s">
        <v>5760</v>
      </c>
      <c r="E370" s="5" t="s">
        <v>6396</v>
      </c>
      <c r="F370" s="16" t="str">
        <f t="shared" si="22"/>
        <v>(614,'LOCALITY:WRITE','locality editing','LOCALITY','WRITE'),</v>
      </c>
    </row>
    <row r="371" spans="1:6" ht="20.149999999999999" customHeight="1" x14ac:dyDescent="0.35">
      <c r="A371" s="3">
        <v>615</v>
      </c>
      <c r="B371" s="4" t="str">
        <f t="shared" si="25"/>
        <v>LOCATION:WRITE</v>
      </c>
      <c r="C371" s="4" t="str">
        <f t="shared" si="24"/>
        <v>location editing</v>
      </c>
      <c r="D371" s="4" t="s">
        <v>5774</v>
      </c>
      <c r="E371" s="5" t="s">
        <v>6396</v>
      </c>
      <c r="F371" s="16" t="str">
        <f t="shared" si="22"/>
        <v>(615,'LOCATION:WRITE','location editing','LOCATION','WRITE'),</v>
      </c>
    </row>
    <row r="372" spans="1:6" ht="20.149999999999999" customHeight="1" x14ac:dyDescent="0.35">
      <c r="A372" s="3">
        <v>616</v>
      </c>
      <c r="B372" s="4" t="str">
        <f t="shared" si="25"/>
        <v>COORDINATE:WRITE</v>
      </c>
      <c r="C372" s="4" t="str">
        <f t="shared" si="24"/>
        <v>coordinate editing</v>
      </c>
      <c r="D372" s="4" t="s">
        <v>6380</v>
      </c>
      <c r="E372" s="5" t="s">
        <v>6396</v>
      </c>
      <c r="F372" s="16" t="str">
        <f t="shared" si="22"/>
        <v>(616,'COORDINATE:WRITE','coordinate editing','COORDINATE','WRITE'),</v>
      </c>
    </row>
    <row r="373" spans="1:6" ht="20.149999999999999" customHeight="1" x14ac:dyDescent="0.35">
      <c r="A373" s="3">
        <v>617</v>
      </c>
      <c r="B373" s="4" t="str">
        <f t="shared" si="25"/>
        <v>STRUCTURE:WRITE</v>
      </c>
      <c r="C373" s="4" t="str">
        <f t="shared" si="24"/>
        <v>structure editing</v>
      </c>
      <c r="D373" s="4" t="s">
        <v>5762</v>
      </c>
      <c r="E373" s="5" t="s">
        <v>6396</v>
      </c>
      <c r="F373" s="16" t="str">
        <f t="shared" si="22"/>
        <v>(617,'STRUCTURE:WRITE','structure editing','STRUCTURE','WRITE'),</v>
      </c>
    </row>
    <row r="374" spans="1:6" ht="20.149999999999999" customHeight="1" x14ac:dyDescent="0.35">
      <c r="A374" s="3">
        <v>618</v>
      </c>
      <c r="B374" s="4" t="str">
        <f t="shared" si="25"/>
        <v>JOB:WRITE</v>
      </c>
      <c r="C374" s="4" t="str">
        <f t="shared" si="24"/>
        <v>job editing</v>
      </c>
      <c r="D374" s="4" t="s">
        <v>5763</v>
      </c>
      <c r="E374" s="5" t="s">
        <v>6396</v>
      </c>
      <c r="F374" s="16" t="str">
        <f t="shared" si="22"/>
        <v>(618,'JOB:WRITE','job editing','JOB','WRITE'),</v>
      </c>
    </row>
    <row r="375" spans="1:6" ht="20.149999999999999" customHeight="1" x14ac:dyDescent="0.35">
      <c r="A375" s="3">
        <v>619</v>
      </c>
      <c r="B375" s="4" t="str">
        <f t="shared" si="25"/>
        <v>PERSON:WRITE</v>
      </c>
      <c r="C375" s="4" t="str">
        <f t="shared" si="24"/>
        <v>person editing</v>
      </c>
      <c r="D375" s="4" t="s">
        <v>5764</v>
      </c>
      <c r="E375" s="5" t="s">
        <v>6396</v>
      </c>
      <c r="F375" s="16" t="str">
        <f t="shared" si="22"/>
        <v>(619,'PERSON:WRITE','person editing','PERSON','WRITE'),</v>
      </c>
    </row>
    <row r="376" spans="1:6" ht="20.149999999999999" customHeight="1" x14ac:dyDescent="0.35">
      <c r="A376" s="3">
        <v>620</v>
      </c>
      <c r="B376" s="4" t="str">
        <f t="shared" si="25"/>
        <v>EMPLOYEE:WRITE</v>
      </c>
      <c r="C376" s="4" t="str">
        <f t="shared" si="24"/>
        <v>employee editing</v>
      </c>
      <c r="D376" s="4" t="s">
        <v>5765</v>
      </c>
      <c r="E376" s="5" t="s">
        <v>6396</v>
      </c>
      <c r="F376" s="16" t="str">
        <f t="shared" si="22"/>
        <v>(620,'EMPLOYEE:WRITE','employee editing','EMPLOYEE','WRITE'),</v>
      </c>
    </row>
    <row r="377" spans="1:6" ht="20.149999999999999" customHeight="1" x14ac:dyDescent="0.35">
      <c r="A377" s="3">
        <v>621</v>
      </c>
      <c r="B377" s="4" t="str">
        <f t="shared" si="25"/>
        <v>COMPANY_TYPE:WRITE</v>
      </c>
      <c r="C377" s="4" t="str">
        <f t="shared" si="24"/>
        <v>company_type editing</v>
      </c>
      <c r="D377" s="4" t="s">
        <v>5766</v>
      </c>
      <c r="E377" s="5" t="s">
        <v>6396</v>
      </c>
      <c r="F377" s="16" t="str">
        <f t="shared" si="22"/>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5767</v>
      </c>
      <c r="E378" s="5" t="s">
        <v>6396</v>
      </c>
      <c r="F378" s="16" t="str">
        <f t="shared" si="22"/>
        <v>(622,'PARTNER_TYPE:WRITE','partner_type editing','PARTNER_TYPE','WRITE'),</v>
      </c>
    </row>
    <row r="379" spans="1:6" ht="20.149999999999999" customHeight="1" x14ac:dyDescent="0.35">
      <c r="A379" s="3">
        <v>623</v>
      </c>
      <c r="B379" s="4" t="str">
        <f t="shared" si="25"/>
        <v>VENDOR_TYPE:WRITE</v>
      </c>
      <c r="C379" s="4" t="str">
        <f t="shared" si="24"/>
        <v>vendor_type editing</v>
      </c>
      <c r="D379" s="4" t="s">
        <v>5768</v>
      </c>
      <c r="E379" s="5" t="s">
        <v>6396</v>
      </c>
      <c r="F379" s="16" t="str">
        <f t="shared" si="22"/>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5769</v>
      </c>
      <c r="E380" s="5" t="s">
        <v>6396</v>
      </c>
      <c r="F380" s="16" t="str">
        <f t="shared" si="22"/>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5770</v>
      </c>
      <c r="E381" s="5" t="s">
        <v>6396</v>
      </c>
      <c r="F381" s="16" t="str">
        <f t="shared" si="22"/>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5771</v>
      </c>
      <c r="E382" s="5" t="s">
        <v>6396</v>
      </c>
      <c r="F382" s="16" t="str">
        <f t="shared" si="22"/>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5794</v>
      </c>
      <c r="E383" s="5" t="s">
        <v>6396</v>
      </c>
      <c r="F383" s="16" t="str">
        <f t="shared" si="22"/>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5795</v>
      </c>
      <c r="E384" s="5" t="s">
        <v>6396</v>
      </c>
      <c r="F384" s="16" t="str">
        <f t="shared" si="22"/>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5772</v>
      </c>
      <c r="E385" s="5" t="s">
        <v>6396</v>
      </c>
      <c r="F385" s="16" t="str">
        <f t="shared" si="22"/>
        <v>(629,'EQUIPMENT_TYPE:WRITE','equipment_type editing','EQUIPMENT_TYPE','WRITE'),</v>
      </c>
    </row>
    <row r="386" spans="1:6" ht="20.149999999999999" customHeight="1" x14ac:dyDescent="0.35">
      <c r="A386" s="3">
        <v>630</v>
      </c>
      <c r="B386" s="4" t="str">
        <f t="shared" si="25"/>
        <v>PRODUCT:WRITE</v>
      </c>
      <c r="C386" s="4" t="str">
        <f t="shared" si="24"/>
        <v>product editing</v>
      </c>
      <c r="D386" s="4" t="s">
        <v>5775</v>
      </c>
      <c r="E386" s="5" t="s">
        <v>6396</v>
      </c>
      <c r="F386" s="16" t="str">
        <f t="shared" si="22"/>
        <v>(630,'PRODUCT:WRITE','product editing','PRODUCT','WRITE'),</v>
      </c>
    </row>
    <row r="387" spans="1:6" ht="20.149999999999999" customHeight="1" x14ac:dyDescent="0.35">
      <c r="A387" s="3">
        <v>631</v>
      </c>
      <c r="B387" s="4" t="str">
        <f t="shared" si="25"/>
        <v>OPERATIONAL_STATUS:WRITE</v>
      </c>
      <c r="C387" s="4" t="str">
        <f t="shared" si="24"/>
        <v>operational_status editing</v>
      </c>
      <c r="D387" s="4" t="s">
        <v>5776</v>
      </c>
      <c r="E387" s="5" t="s">
        <v>6396</v>
      </c>
      <c r="F387" s="16" t="str">
        <f t="shared" ref="F387:F450" si="26">CONCATENATE("(",A387,",'",B387,"','",C387,"','",D387,"','",E387,"'),")</f>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5777</v>
      </c>
      <c r="E388" s="5" t="s">
        <v>6396</v>
      </c>
      <c r="F388" s="16" t="str">
        <f t="shared" si="26"/>
        <v>(632,'ALLOY:WRITE','alloy editing','ALLOY','WRITE'),</v>
      </c>
    </row>
    <row r="389" spans="1:6" ht="20.149999999999999" customHeight="1" x14ac:dyDescent="0.35">
      <c r="A389" s="3">
        <v>633</v>
      </c>
      <c r="B389" s="4" t="str">
        <f t="shared" si="25"/>
        <v>PARTNER:WRITE</v>
      </c>
      <c r="C389" s="4" t="str">
        <f t="shared" ref="C389:C415" si="27">CONCATENATE(LOWER(D389)," editing")</f>
        <v>partner editing</v>
      </c>
      <c r="D389" s="4" t="s">
        <v>5778</v>
      </c>
      <c r="E389" s="5" t="s">
        <v>6396</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5779</v>
      </c>
      <c r="E390" s="5" t="s">
        <v>6396</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5780</v>
      </c>
      <c r="E391" s="5" t="s">
        <v>6396</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5781</v>
      </c>
      <c r="E392" s="5" t="s">
        <v>6396</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5782</v>
      </c>
      <c r="E393" s="5" t="s">
        <v>6396</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5783</v>
      </c>
      <c r="E394" s="5" t="s">
        <v>6396</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5784</v>
      </c>
      <c r="E395" s="5" t="s">
        <v>6396</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5785</v>
      </c>
      <c r="E396" s="5" t="s">
        <v>6396</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5786</v>
      </c>
      <c r="E397" s="5" t="s">
        <v>6396</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5796</v>
      </c>
      <c r="E398" s="5" t="s">
        <v>6396</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5797</v>
      </c>
      <c r="E399" s="5" t="s">
        <v>6396</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5787</v>
      </c>
      <c r="E400" s="5" t="s">
        <v>6396</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6382</v>
      </c>
      <c r="E401" s="5" t="s">
        <v>6396</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6381</v>
      </c>
      <c r="E402" s="5" t="s">
        <v>6396</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6385</v>
      </c>
      <c r="E403" s="5" t="s">
        <v>6396</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6383</v>
      </c>
      <c r="E404" s="45" t="s">
        <v>6396</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6387</v>
      </c>
      <c r="E405" s="5" t="s">
        <v>6396</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6384</v>
      </c>
      <c r="E406" s="5" t="s">
        <v>6396</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6386</v>
      </c>
      <c r="E407" s="5" t="s">
        <v>6396</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6388</v>
      </c>
      <c r="E408" s="5" t="s">
        <v>6396</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6389</v>
      </c>
      <c r="E409" s="5" t="s">
        <v>6396</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6390</v>
      </c>
      <c r="E410" s="5" t="s">
        <v>6396</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6391</v>
      </c>
      <c r="E411" s="5" t="s">
        <v>6396</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6392</v>
      </c>
      <c r="E412" s="5" t="s">
        <v>6396</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6395</v>
      </c>
      <c r="E413" s="5" t="s">
        <v>6396</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6394</v>
      </c>
      <c r="E414" s="5" t="s">
        <v>6396</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6393</v>
      </c>
      <c r="E415" s="5" t="s">
        <v>6396</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6378</v>
      </c>
      <c r="E416" s="5" t="s">
        <v>5788</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6379</v>
      </c>
      <c r="E417" s="5" t="s">
        <v>5788</v>
      </c>
      <c r="F417" s="16" t="str">
        <f t="shared" si="26"/>
        <v>(702,'FILE:READ','file viewing','FILE','READ'),</v>
      </c>
    </row>
    <row r="418" spans="1:6" ht="20.149999999999999" customHeight="1" x14ac:dyDescent="0.35">
      <c r="A418" s="3">
        <v>703</v>
      </c>
      <c r="B418" s="4" t="str">
        <f t="shared" si="25"/>
        <v>GROUP:READ</v>
      </c>
      <c r="C418" s="4" t="str">
        <f t="shared" si="28"/>
        <v>group viewing</v>
      </c>
      <c r="D418" s="4" t="s">
        <v>5751</v>
      </c>
      <c r="E418" s="5" t="s">
        <v>5788</v>
      </c>
      <c r="F418" s="16" t="str">
        <f t="shared" si="26"/>
        <v>(703,'GROUP:READ','group viewing','GROUP','READ'),</v>
      </c>
    </row>
    <row r="419" spans="1:6" ht="20.149999999999999" customHeight="1" x14ac:dyDescent="0.35">
      <c r="A419" s="3">
        <v>704</v>
      </c>
      <c r="B419" s="4" t="str">
        <f t="shared" si="25"/>
        <v>USER:READ</v>
      </c>
      <c r="C419" s="4" t="str">
        <f t="shared" si="28"/>
        <v>user viewing</v>
      </c>
      <c r="D419" s="4" t="s">
        <v>5752</v>
      </c>
      <c r="E419" s="5" t="s">
        <v>5788</v>
      </c>
      <c r="F419" s="16" t="str">
        <f t="shared" si="26"/>
        <v>(704,'USER:READ','user viewing','USER','READ'),</v>
      </c>
    </row>
    <row r="420" spans="1:6" ht="20.149999999999999" customHeight="1" x14ac:dyDescent="0.35">
      <c r="A420" s="3">
        <v>705</v>
      </c>
      <c r="B420" s="4" t="str">
        <f t="shared" si="25"/>
        <v>ROLE:READ</v>
      </c>
      <c r="C420" s="4" t="str">
        <f t="shared" si="28"/>
        <v>role viewing</v>
      </c>
      <c r="D420" s="4" t="s">
        <v>5753</v>
      </c>
      <c r="E420" s="5" t="s">
        <v>5788</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5754</v>
      </c>
      <c r="E421" s="5" t="s">
        <v>5788</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5755</v>
      </c>
      <c r="E422" s="5" t="s">
        <v>5788</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5756</v>
      </c>
      <c r="E423" s="5" t="s">
        <v>5788</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5761</v>
      </c>
      <c r="E424" s="5" t="s">
        <v>5788</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5773</v>
      </c>
      <c r="E425" s="5" t="s">
        <v>5788</v>
      </c>
      <c r="F425" s="16" t="str">
        <f t="shared" si="26"/>
        <v>(710,'ZONE:READ','zone viewing','ZONE','READ'),</v>
      </c>
    </row>
    <row r="426" spans="1:6" ht="20.149999999999999" customHeight="1" x14ac:dyDescent="0.35">
      <c r="A426" s="3">
        <v>711</v>
      </c>
      <c r="B426" s="4" t="str">
        <f t="shared" si="25"/>
        <v>COUNTRY:READ</v>
      </c>
      <c r="C426" s="4" t="str">
        <f t="shared" si="29"/>
        <v>country viewing</v>
      </c>
      <c r="D426" s="4" t="s">
        <v>5758</v>
      </c>
      <c r="E426" s="5" t="s">
        <v>5788</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5759</v>
      </c>
      <c r="E427" s="5" t="s">
        <v>5788</v>
      </c>
      <c r="F427" s="16" t="str">
        <f t="shared" si="26"/>
        <v>(712,'STATE:READ','state viewing','STATE','READ'),</v>
      </c>
    </row>
    <row r="428" spans="1:6" ht="20.149999999999999" customHeight="1" x14ac:dyDescent="0.35">
      <c r="A428" s="3">
        <v>713</v>
      </c>
      <c r="B428" s="4" t="str">
        <f t="shared" si="30"/>
        <v>DISTRICT:READ</v>
      </c>
      <c r="C428" s="4" t="str">
        <f t="shared" si="29"/>
        <v>district viewing</v>
      </c>
      <c r="D428" s="4" t="s">
        <v>5793</v>
      </c>
      <c r="E428" s="5" t="s">
        <v>5788</v>
      </c>
      <c r="F428" s="16" t="str">
        <f t="shared" si="26"/>
        <v>(713,'DISTRICT:READ','district viewing','DISTRICT','READ'),</v>
      </c>
    </row>
    <row r="429" spans="1:6" ht="20.149999999999999" customHeight="1" x14ac:dyDescent="0.35">
      <c r="A429" s="3">
        <v>714</v>
      </c>
      <c r="B429" s="4" t="str">
        <f t="shared" si="30"/>
        <v>LOCALITY:READ</v>
      </c>
      <c r="C429" s="4" t="str">
        <f t="shared" si="29"/>
        <v>locality viewing</v>
      </c>
      <c r="D429" s="4" t="s">
        <v>5760</v>
      </c>
      <c r="E429" s="5" t="s">
        <v>5788</v>
      </c>
      <c r="F429" s="16" t="str">
        <f t="shared" si="26"/>
        <v>(714,'LOCALITY:READ','locality viewing','LOCALITY','READ'),</v>
      </c>
    </row>
    <row r="430" spans="1:6" ht="20.149999999999999" customHeight="1" x14ac:dyDescent="0.35">
      <c r="A430" s="3">
        <v>715</v>
      </c>
      <c r="B430" s="4" t="str">
        <f t="shared" si="30"/>
        <v>LOCATION:READ</v>
      </c>
      <c r="C430" s="4" t="str">
        <f t="shared" si="29"/>
        <v>location viewing</v>
      </c>
      <c r="D430" s="4" t="s">
        <v>5774</v>
      </c>
      <c r="E430" s="5" t="s">
        <v>5788</v>
      </c>
      <c r="F430" s="16" t="str">
        <f t="shared" si="26"/>
        <v>(715,'LOCATION:READ','location viewing','LOCATION','READ'),</v>
      </c>
    </row>
    <row r="431" spans="1:6" ht="20.149999999999999" customHeight="1" x14ac:dyDescent="0.35">
      <c r="A431" s="3">
        <v>716</v>
      </c>
      <c r="B431" s="4" t="str">
        <f t="shared" si="30"/>
        <v>COORDINATE:READ</v>
      </c>
      <c r="C431" s="4" t="str">
        <f t="shared" si="29"/>
        <v>coordinate viewing</v>
      </c>
      <c r="D431" s="4" t="s">
        <v>6380</v>
      </c>
      <c r="E431" s="5" t="s">
        <v>5788</v>
      </c>
      <c r="F431" s="16" t="str">
        <f t="shared" si="26"/>
        <v>(716,'COORDINATE:READ','coordinate viewing','COORDINATE','READ'),</v>
      </c>
    </row>
    <row r="432" spans="1:6" ht="20.149999999999999" customHeight="1" x14ac:dyDescent="0.35">
      <c r="A432" s="3">
        <v>717</v>
      </c>
      <c r="B432" s="4" t="str">
        <f t="shared" si="30"/>
        <v>STRUCTURE:READ</v>
      </c>
      <c r="C432" s="4" t="str">
        <f t="shared" si="29"/>
        <v>structure viewing</v>
      </c>
      <c r="D432" s="4" t="s">
        <v>5762</v>
      </c>
      <c r="E432" s="5" t="s">
        <v>5788</v>
      </c>
      <c r="F432" s="16" t="str">
        <f t="shared" si="26"/>
        <v>(717,'STRUCTURE:READ','structure viewing','STRUCTURE','READ'),</v>
      </c>
    </row>
    <row r="433" spans="1:6" ht="20.149999999999999" customHeight="1" x14ac:dyDescent="0.35">
      <c r="A433" s="3">
        <v>718</v>
      </c>
      <c r="B433" s="4" t="str">
        <f t="shared" si="30"/>
        <v>JOB:READ</v>
      </c>
      <c r="C433" s="4" t="str">
        <f t="shared" si="29"/>
        <v>job viewing</v>
      </c>
      <c r="D433" s="4" t="s">
        <v>5763</v>
      </c>
      <c r="E433" s="5" t="s">
        <v>5788</v>
      </c>
      <c r="F433" s="16" t="str">
        <f t="shared" si="26"/>
        <v>(718,'JOB:READ','job viewing','JOB','READ'),</v>
      </c>
    </row>
    <row r="434" spans="1:6" ht="20.149999999999999" customHeight="1" x14ac:dyDescent="0.35">
      <c r="A434" s="3">
        <v>719</v>
      </c>
      <c r="B434" s="4" t="str">
        <f t="shared" si="30"/>
        <v>PERSON:READ</v>
      </c>
      <c r="C434" s="4" t="str">
        <f t="shared" si="29"/>
        <v>person viewing</v>
      </c>
      <c r="D434" s="4" t="s">
        <v>5764</v>
      </c>
      <c r="E434" s="5" t="s">
        <v>5788</v>
      </c>
      <c r="F434" s="16" t="str">
        <f t="shared" si="26"/>
        <v>(719,'PERSON:READ','person viewing','PERSON','READ'),</v>
      </c>
    </row>
    <row r="435" spans="1:6" ht="20.149999999999999" customHeight="1" x14ac:dyDescent="0.35">
      <c r="A435" s="3">
        <v>720</v>
      </c>
      <c r="B435" s="4" t="str">
        <f t="shared" si="30"/>
        <v>EMPLOYEE:READ</v>
      </c>
      <c r="C435" s="4" t="str">
        <f t="shared" si="29"/>
        <v>employee viewing</v>
      </c>
      <c r="D435" s="4" t="s">
        <v>5765</v>
      </c>
      <c r="E435" s="5" t="s">
        <v>5788</v>
      </c>
      <c r="F435" s="16" t="str">
        <f t="shared" si="26"/>
        <v>(720,'EMPLOYEE:READ','employee viewing','EMPLOYEE','READ'),</v>
      </c>
    </row>
    <row r="436" spans="1:6" ht="20.149999999999999" customHeight="1" x14ac:dyDescent="0.35">
      <c r="A436" s="3">
        <v>721</v>
      </c>
      <c r="B436" s="4" t="str">
        <f t="shared" si="30"/>
        <v>COMPANY_TYPE:READ</v>
      </c>
      <c r="C436" s="4" t="str">
        <f t="shared" si="29"/>
        <v>company_type viewing</v>
      </c>
      <c r="D436" s="4" t="s">
        <v>5766</v>
      </c>
      <c r="E436" s="5" t="s">
        <v>5788</v>
      </c>
      <c r="F436" s="16" t="str">
        <f t="shared" si="26"/>
        <v>(721,'COMPANY_TYPE:READ','company_type viewing','COMPANY_TYPE','READ'),</v>
      </c>
    </row>
    <row r="437" spans="1:6" ht="20.149999999999999" customHeight="1" x14ac:dyDescent="0.35">
      <c r="A437" s="3">
        <v>722</v>
      </c>
      <c r="B437" s="4" t="str">
        <f t="shared" si="30"/>
        <v>PARTNER_TYPE:READ</v>
      </c>
      <c r="C437" s="4" t="str">
        <f t="shared" si="29"/>
        <v>partner_type viewing</v>
      </c>
      <c r="D437" s="4" t="s">
        <v>5767</v>
      </c>
      <c r="E437" s="5" t="s">
        <v>5788</v>
      </c>
      <c r="F437" s="16" t="str">
        <f t="shared" si="26"/>
        <v>(722,'PARTNER_TYPE:READ','partner_type viewing','PARTNER_TYPE','READ'),</v>
      </c>
    </row>
    <row r="438" spans="1:6" ht="20.149999999999999" customHeight="1" x14ac:dyDescent="0.35">
      <c r="A438" s="3">
        <v>723</v>
      </c>
      <c r="B438" s="4" t="str">
        <f t="shared" si="30"/>
        <v>VENDOR_TYPE:READ</v>
      </c>
      <c r="C438" s="4" t="str">
        <f t="shared" si="29"/>
        <v>vendor_type viewing</v>
      </c>
      <c r="D438" s="4" t="s">
        <v>5768</v>
      </c>
      <c r="E438" s="5" t="s">
        <v>5788</v>
      </c>
      <c r="F438" s="16" t="str">
        <f t="shared" si="26"/>
        <v>(723,'VENDOR_TYPE:READ','vendor_type viewing','VENDOR_TYPE','READ'),</v>
      </c>
    </row>
    <row r="439" spans="1:6" ht="20.149999999999999" customHeight="1" x14ac:dyDescent="0.35">
      <c r="A439" s="3">
        <v>724</v>
      </c>
      <c r="B439" s="4" t="str">
        <f t="shared" si="30"/>
        <v>FACILITY_TYPE:READ</v>
      </c>
      <c r="C439" s="4" t="str">
        <f t="shared" si="29"/>
        <v>facility_type viewing</v>
      </c>
      <c r="D439" s="4" t="s">
        <v>5769</v>
      </c>
      <c r="E439" s="5" t="s">
        <v>5788</v>
      </c>
      <c r="F439" s="16" t="str">
        <f t="shared" si="26"/>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5770</v>
      </c>
      <c r="E440" s="5" t="s">
        <v>5788</v>
      </c>
      <c r="F440" s="16" t="str">
        <f t="shared" si="26"/>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5771</v>
      </c>
      <c r="E441" s="5" t="s">
        <v>5788</v>
      </c>
      <c r="F441" s="16" t="str">
        <f t="shared" si="26"/>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5794</v>
      </c>
      <c r="E442" s="5" t="s">
        <v>5788</v>
      </c>
      <c r="F442" s="16" t="str">
        <f t="shared" si="26"/>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5795</v>
      </c>
      <c r="E443" s="5" t="s">
        <v>5788</v>
      </c>
      <c r="F443" s="16" t="str">
        <f t="shared" si="26"/>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5772</v>
      </c>
      <c r="E444" s="5" t="s">
        <v>5788</v>
      </c>
      <c r="F444" s="16" t="str">
        <f t="shared" si="26"/>
        <v>(729,'EQUIPMENT_TYPE:READ','equipment_type viewing','EQUIPMENT_TYPE','READ'),</v>
      </c>
    </row>
    <row r="445" spans="1:6" ht="20.149999999999999" customHeight="1" x14ac:dyDescent="0.35">
      <c r="A445" s="3">
        <v>730</v>
      </c>
      <c r="B445" s="4" t="str">
        <f t="shared" si="30"/>
        <v>PRODUCT:READ</v>
      </c>
      <c r="C445" s="4" t="str">
        <f t="shared" si="29"/>
        <v>product viewing</v>
      </c>
      <c r="D445" s="4" t="s">
        <v>5775</v>
      </c>
      <c r="E445" s="5" t="s">
        <v>5788</v>
      </c>
      <c r="F445" s="16" t="str">
        <f t="shared" si="26"/>
        <v>(730,'PRODUCT:READ','product viewing','PRODUCT','READ'),</v>
      </c>
    </row>
    <row r="446" spans="1:6" ht="20.149999999999999" customHeight="1" x14ac:dyDescent="0.35">
      <c r="A446" s="3">
        <v>731</v>
      </c>
      <c r="B446" s="4" t="str">
        <f t="shared" si="30"/>
        <v>OPERATIONAL_STATUS:READ</v>
      </c>
      <c r="C446" s="4" t="str">
        <f t="shared" si="29"/>
        <v>operational_status viewing</v>
      </c>
      <c r="D446" s="4" t="s">
        <v>5776</v>
      </c>
      <c r="E446" s="5" t="s">
        <v>5788</v>
      </c>
      <c r="F446" s="16" t="str">
        <f t="shared" si="26"/>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5777</v>
      </c>
      <c r="E447" s="5" t="s">
        <v>5788</v>
      </c>
      <c r="F447" s="16" t="str">
        <f t="shared" si="26"/>
        <v>(732,'ALLOY:READ','alloy viewing','ALLOY','READ'),</v>
      </c>
    </row>
    <row r="448" spans="1:6" ht="20.149999999999999" customHeight="1" x14ac:dyDescent="0.35">
      <c r="A448" s="3">
        <v>733</v>
      </c>
      <c r="B448" s="4" t="str">
        <f t="shared" si="30"/>
        <v>PARTNER:READ</v>
      </c>
      <c r="C448" s="4" t="str">
        <f t="shared" si="29"/>
        <v>partner viewing</v>
      </c>
      <c r="D448" s="4" t="s">
        <v>5778</v>
      </c>
      <c r="E448" s="5" t="s">
        <v>5788</v>
      </c>
      <c r="F448" s="16" t="str">
        <f t="shared" si="26"/>
        <v>(733,'PARTNER:READ','partner viewing','PARTNER','READ'),</v>
      </c>
    </row>
    <row r="449" spans="1:6" ht="20.149999999999999" customHeight="1" x14ac:dyDescent="0.35">
      <c r="A449" s="3">
        <v>734</v>
      </c>
      <c r="B449" s="4" t="str">
        <f t="shared" si="30"/>
        <v>VENDOR:READ</v>
      </c>
      <c r="C449" s="4" t="str">
        <f t="shared" si="29"/>
        <v>vendor viewing</v>
      </c>
      <c r="D449" s="4" t="s">
        <v>5779</v>
      </c>
      <c r="E449" s="5" t="s">
        <v>5788</v>
      </c>
      <c r="F449" s="16" t="str">
        <f t="shared" si="26"/>
        <v>(734,'VENDOR:READ','vendor viewing','VENDOR','READ'),</v>
      </c>
    </row>
    <row r="450" spans="1:6" ht="20.149999999999999" customHeight="1" x14ac:dyDescent="0.35">
      <c r="A450" s="3">
        <v>735</v>
      </c>
      <c r="B450" s="4" t="str">
        <f t="shared" si="30"/>
        <v>INFRASTRUCTURE:READ</v>
      </c>
      <c r="C450" s="4" t="str">
        <f t="shared" si="29"/>
        <v>infrastructure viewing</v>
      </c>
      <c r="D450" s="4" t="s">
        <v>5780</v>
      </c>
      <c r="E450" s="5" t="s">
        <v>5788</v>
      </c>
      <c r="F450" s="16" t="str">
        <f t="shared" si="26"/>
        <v>(735,'INFRASTRUCTURE:READ','infrastructure viewing','INFRASTRUCTURE','READ'),</v>
      </c>
    </row>
    <row r="451" spans="1:6" ht="20.149999999999999" customHeight="1" x14ac:dyDescent="0.35">
      <c r="A451" s="3">
        <v>736</v>
      </c>
      <c r="B451" s="4" t="str">
        <f t="shared" si="30"/>
        <v>FACILITY:READ</v>
      </c>
      <c r="C451" s="4" t="str">
        <f t="shared" si="29"/>
        <v>facility viewing</v>
      </c>
      <c r="D451" s="4" t="s">
        <v>5781</v>
      </c>
      <c r="E451" s="5" t="s">
        <v>5788</v>
      </c>
      <c r="F451" s="16" t="str">
        <f t="shared" ref="F451:F474" si="31">CONCATENATE("(",A451,",'",B451,"','",C451,"','",D451,"','",E451,"'),")</f>
        <v>(736,'FACILITY:READ','facility viewing','FACILITY','READ'),</v>
      </c>
    </row>
    <row r="452" spans="1:6" ht="20.149999999999999" customHeight="1" x14ac:dyDescent="0.35">
      <c r="A452" s="3">
        <v>737</v>
      </c>
      <c r="B452" s="4" t="str">
        <f t="shared" si="30"/>
        <v>PIPELINE_SYSTEM:READ</v>
      </c>
      <c r="C452" s="4" t="str">
        <f t="shared" si="29"/>
        <v>pipeline_system viewing</v>
      </c>
      <c r="D452" s="4" t="s">
        <v>5782</v>
      </c>
      <c r="E452" s="5" t="s">
        <v>5788</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5783</v>
      </c>
      <c r="E453" s="5" t="s">
        <v>5788</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5784</v>
      </c>
      <c r="E454" s="5" t="s">
        <v>5788</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5785</v>
      </c>
      <c r="E455" s="5" t="s">
        <v>5788</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5786</v>
      </c>
      <c r="E456" s="5" t="s">
        <v>5788</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5796</v>
      </c>
      <c r="E457" s="5" t="s">
        <v>5788</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5797</v>
      </c>
      <c r="E458" s="5" t="s">
        <v>5788</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5787</v>
      </c>
      <c r="E459" s="5" t="s">
        <v>5788</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6382</v>
      </c>
      <c r="E460" s="5" t="s">
        <v>5788</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6381</v>
      </c>
      <c r="E461" s="5" t="s">
        <v>5788</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6385</v>
      </c>
      <c r="E462" s="5" t="s">
        <v>5788</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6383</v>
      </c>
      <c r="E463" s="45" t="s">
        <v>5788</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6387</v>
      </c>
      <c r="E464" s="5" t="s">
        <v>5788</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6384</v>
      </c>
      <c r="E465" s="5" t="s">
        <v>5788</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6386</v>
      </c>
      <c r="E466" s="5" t="s">
        <v>5788</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6388</v>
      </c>
      <c r="E467" s="5" t="s">
        <v>5788</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6389</v>
      </c>
      <c r="E468" s="5" t="s">
        <v>5788</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6390</v>
      </c>
      <c r="E469" s="5" t="s">
        <v>5788</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6391</v>
      </c>
      <c r="E470" s="5" t="s">
        <v>5788</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6392</v>
      </c>
      <c r="E471" s="5" t="s">
        <v>5788</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6395</v>
      </c>
      <c r="E472" s="5" t="s">
        <v>5788</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6394</v>
      </c>
      <c r="E473" s="5" t="s">
        <v>5788</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6393</v>
      </c>
      <c r="E474" s="5" t="s">
        <v>5788</v>
      </c>
      <c r="F474" s="16" t="str">
        <f t="shared" si="31"/>
        <v>(759,'FLOW_THRESHOLD:READ','flow_threshold viewing','FLOW_THRESHOLD','READ'),</v>
      </c>
    </row>
  </sheetData>
  <autoFilter ref="A2:F474"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5789</v>
      </c>
      <c r="E1" s="1" t="s">
        <v>5603</v>
      </c>
    </row>
    <row r="2" spans="1:5" ht="20.149999999999999" customHeight="1" x14ac:dyDescent="0.35">
      <c r="A2" s="1" t="s">
        <v>44</v>
      </c>
      <c r="B2" s="1" t="s">
        <v>5798</v>
      </c>
      <c r="C2" s="1" t="s">
        <v>42</v>
      </c>
      <c r="D2" s="1" t="s">
        <v>43</v>
      </c>
      <c r="E2" s="1" t="s">
        <v>5848</v>
      </c>
    </row>
    <row r="3" spans="1:5" ht="20.149999999999999" customHeight="1" x14ac:dyDescent="0.35">
      <c r="A3" s="3">
        <v>1</v>
      </c>
      <c r="B3" s="4" t="s">
        <v>5800</v>
      </c>
      <c r="C3" s="4" t="s">
        <v>5799</v>
      </c>
      <c r="D3" s="4" t="s">
        <v>5801</v>
      </c>
      <c r="E3" s="16" t="str">
        <f>CONCATENATE("(",A3,",'",B3,"','",C3,"','",D3,"'),")</f>
        <v>(1,'SYSTEM','System Management','Core system operations and configuration'),</v>
      </c>
    </row>
    <row r="4" spans="1:5" ht="20.149999999999999" customHeight="1" x14ac:dyDescent="0.35">
      <c r="A4" s="3">
        <v>2</v>
      </c>
      <c r="B4" s="4" t="s">
        <v>5752</v>
      </c>
      <c r="C4" s="4" t="s">
        <v>5802</v>
      </c>
      <c r="D4" s="4" t="s">
        <v>5803</v>
      </c>
      <c r="E4" s="16" t="str">
        <f t="shared" ref="E4:E21" si="0">CONCATENATE("(",A4,",'",B4,"','",C4,"','",D4,"'),")</f>
        <v>(2,'USER','User Management','User account and profile management'),</v>
      </c>
    </row>
    <row r="5" spans="1:5" ht="20.149999999999999" customHeight="1" x14ac:dyDescent="0.35">
      <c r="A5" s="3">
        <v>3</v>
      </c>
      <c r="B5" s="4" t="s">
        <v>5753</v>
      </c>
      <c r="C5" s="4" t="s">
        <v>5804</v>
      </c>
      <c r="D5" s="4" t="s">
        <v>5805</v>
      </c>
      <c r="E5" s="16" t="str">
        <f t="shared" si="0"/>
        <v>(3,'ROLE','Role Management','Role definitions and assignments'),</v>
      </c>
    </row>
    <row r="6" spans="1:5" ht="20.149999999999999" customHeight="1" x14ac:dyDescent="0.35">
      <c r="A6" s="3">
        <v>4</v>
      </c>
      <c r="B6" s="4" t="s">
        <v>5754</v>
      </c>
      <c r="C6" s="4" t="s">
        <v>5806</v>
      </c>
      <c r="D6" s="4" t="s">
        <v>5807</v>
      </c>
      <c r="E6" s="16" t="str">
        <f t="shared" si="0"/>
        <v>(4,'PERMISSION','Permission Management','Permission and access control'),</v>
      </c>
    </row>
    <row r="7" spans="1:5" ht="20.149999999999999" customHeight="1" x14ac:dyDescent="0.35">
      <c r="A7" s="3">
        <v>5</v>
      </c>
      <c r="B7" s="4" t="s">
        <v>5751</v>
      </c>
      <c r="C7" s="4" t="s">
        <v>5808</v>
      </c>
      <c r="D7" s="4" t="s">
        <v>5809</v>
      </c>
      <c r="E7" s="16" t="str">
        <f t="shared" si="0"/>
        <v>(5,'GROUP','Group Management','User group organization'),</v>
      </c>
    </row>
    <row r="8" spans="1:5" ht="20.149999999999999" customHeight="1" x14ac:dyDescent="0.35">
      <c r="A8" s="3">
        <v>6</v>
      </c>
      <c r="B8" s="4" t="s">
        <v>5755</v>
      </c>
      <c r="C8" s="4" t="s">
        <v>5810</v>
      </c>
      <c r="D8" s="4" t="s">
        <v>5811</v>
      </c>
      <c r="E8" s="16" t="str">
        <f t="shared" si="0"/>
        <v>(6,'AUTHORITY','Authority Management','Authority category management'),</v>
      </c>
    </row>
    <row r="9" spans="1:5" ht="20.149999999999999" customHeight="1" x14ac:dyDescent="0.35">
      <c r="A9" s="3">
        <v>7</v>
      </c>
      <c r="B9" s="4" t="s">
        <v>5756</v>
      </c>
      <c r="C9" s="4" t="s">
        <v>5812</v>
      </c>
      <c r="D9" s="4" t="s">
        <v>5813</v>
      </c>
      <c r="E9" s="16" t="str">
        <f t="shared" si="0"/>
        <v>(7,'AUDIT','Audit Management','System audit logging and tracking'),</v>
      </c>
    </row>
    <row r="10" spans="1:5" ht="20.149999999999999" customHeight="1" x14ac:dyDescent="0.35">
      <c r="A10" s="3">
        <v>8</v>
      </c>
      <c r="B10" s="4" t="s">
        <v>5815</v>
      </c>
      <c r="C10" s="4" t="s">
        <v>5814</v>
      </c>
      <c r="D10" s="4" t="s">
        <v>5816</v>
      </c>
      <c r="E10" s="16" t="str">
        <f t="shared" si="0"/>
        <v>(8,'AUTH','Authentication','Authentication and session management'),</v>
      </c>
    </row>
    <row r="11" spans="1:5" ht="20.149999999999999" customHeight="1" x14ac:dyDescent="0.35">
      <c r="A11" s="3">
        <v>9</v>
      </c>
      <c r="B11" s="4" t="s">
        <v>5818</v>
      </c>
      <c r="C11" s="4" t="s">
        <v>5817</v>
      </c>
      <c r="D11" s="4" t="s">
        <v>5819</v>
      </c>
      <c r="E11" s="16" t="str">
        <f t="shared" si="0"/>
        <v>(9,'CONFIG','Configuration','System configuration settings'),</v>
      </c>
    </row>
    <row r="12" spans="1:5" ht="20.149999999999999" customHeight="1" x14ac:dyDescent="0.35">
      <c r="A12" s="3">
        <v>10</v>
      </c>
      <c r="B12" s="4" t="s">
        <v>5821</v>
      </c>
      <c r="C12" s="4" t="s">
        <v>5820</v>
      </c>
      <c r="D12" s="4" t="s">
        <v>5822</v>
      </c>
      <c r="E12" s="16" t="str">
        <f t="shared" si="0"/>
        <v>(10,'UTILITY','System Utility','System utilities and tools'),</v>
      </c>
    </row>
    <row r="13" spans="1:5" ht="20.149999999999999" customHeight="1" x14ac:dyDescent="0.35">
      <c r="A13" s="3">
        <v>11</v>
      </c>
      <c r="B13" s="4" t="s">
        <v>5824</v>
      </c>
      <c r="C13" s="4" t="s">
        <v>5823</v>
      </c>
      <c r="D13" s="4" t="s">
        <v>5825</v>
      </c>
      <c r="E13" s="16" t="str">
        <f t="shared" si="0"/>
        <v>(11,'ADMINISTRATION','Administration','Administrative operations'),</v>
      </c>
    </row>
    <row r="14" spans="1:5" ht="20.149999999999999" customHeight="1" x14ac:dyDescent="0.35">
      <c r="A14" s="3">
        <v>12</v>
      </c>
      <c r="B14" s="4" t="s">
        <v>5827</v>
      </c>
      <c r="C14" s="4" t="s">
        <v>5826</v>
      </c>
      <c r="D14" s="4" t="s">
        <v>5828</v>
      </c>
      <c r="E14" s="16" t="str">
        <f t="shared" si="0"/>
        <v>(12,'COMMUNICATION','Communication','Messaging and notifications'),</v>
      </c>
    </row>
    <row r="15" spans="1:5" ht="20.149999999999999" customHeight="1" x14ac:dyDescent="0.35">
      <c r="A15" s="3">
        <v>13</v>
      </c>
      <c r="B15" s="4" t="s">
        <v>5757</v>
      </c>
      <c r="C15" s="4" t="s">
        <v>5829</v>
      </c>
      <c r="D15" s="4" t="s">
        <v>5830</v>
      </c>
      <c r="E15" s="16" t="str">
        <f t="shared" si="0"/>
        <v>(13,'DOCUMENT','Document Management','Document handling and archiving'),</v>
      </c>
    </row>
    <row r="16" spans="1:5" ht="20.149999999999999" customHeight="1" x14ac:dyDescent="0.35">
      <c r="A16" s="3">
        <v>14</v>
      </c>
      <c r="B16" s="4" t="s">
        <v>5832</v>
      </c>
      <c r="C16" s="4" t="s">
        <v>5831</v>
      </c>
      <c r="D16" s="4" t="s">
        <v>5833</v>
      </c>
      <c r="E16" s="16" t="str">
        <f t="shared" si="0"/>
        <v>(14,'ENVIRONMENT','Environment Data','Geographic and location data'),</v>
      </c>
    </row>
    <row r="17" spans="1:5" ht="20.149999999999999" customHeight="1" x14ac:dyDescent="0.35">
      <c r="A17" s="3">
        <v>15</v>
      </c>
      <c r="B17" s="4" t="s">
        <v>5835</v>
      </c>
      <c r="C17" s="4" t="s">
        <v>5834</v>
      </c>
      <c r="D17" s="4" t="s">
        <v>5836</v>
      </c>
      <c r="E17" s="16" t="str">
        <f t="shared" si="0"/>
        <v>(15,'NETWORK','Network Management','Network infrastructure management'),</v>
      </c>
    </row>
    <row r="18" spans="1:5" ht="20.149999999999999" customHeight="1" x14ac:dyDescent="0.35">
      <c r="A18" s="3">
        <v>16</v>
      </c>
      <c r="B18" s="4" t="s">
        <v>5780</v>
      </c>
      <c r="C18" s="4" t="s">
        <v>5837</v>
      </c>
      <c r="D18" s="4" t="s">
        <v>5838</v>
      </c>
      <c r="E18" s="16" t="str">
        <f t="shared" si="0"/>
        <v>(16,'INFRASTRUCTURE','IT Infrastructure','IT infrastructure and services'),</v>
      </c>
    </row>
    <row r="19" spans="1:5" ht="20.149999999999999" customHeight="1" x14ac:dyDescent="0.35">
      <c r="A19" s="3">
        <v>17</v>
      </c>
      <c r="B19" s="4" t="s">
        <v>5840</v>
      </c>
      <c r="C19" s="4" t="s">
        <v>5839</v>
      </c>
      <c r="D19" s="4" t="s">
        <v>5841</v>
      </c>
      <c r="E19" s="16" t="str">
        <f t="shared" si="0"/>
        <v>(17,'REPORT','Reporting &amp; Analytics','Reports, dashboards, and analytics'),</v>
      </c>
    </row>
    <row r="20" spans="1:5" ht="20.149999999999999" customHeight="1" x14ac:dyDescent="0.35">
      <c r="A20" s="3">
        <v>18</v>
      </c>
      <c r="B20" s="4" t="s">
        <v>5843</v>
      </c>
      <c r="C20" s="4" t="s">
        <v>5842</v>
      </c>
      <c r="D20" s="4" t="s">
        <v>5844</v>
      </c>
      <c r="E20" s="16" t="str">
        <f t="shared" si="0"/>
        <v>(18,'WORKFLOW','Workflow Engine','Business process workflows'),</v>
      </c>
    </row>
    <row r="21" spans="1:5" ht="20.149999999999999" customHeight="1" x14ac:dyDescent="0.35">
      <c r="A21" s="3">
        <v>19</v>
      </c>
      <c r="B21" s="4" t="s">
        <v>5846</v>
      </c>
      <c r="C21" s="4" t="s">
        <v>5845</v>
      </c>
      <c r="D21" s="4" t="s">
        <v>5847</v>
      </c>
      <c r="E21" s="16" t="str">
        <f t="shared" si="0"/>
        <v>(19,'INTEGRATION','System Integration','External system integrations'),</v>
      </c>
    </row>
  </sheetData>
  <autoFilter ref="A2:E21" xr:uid="{00000000-0009-0000-0000-000008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9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A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C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D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70C0"/>
  </sheetPr>
  <dimension ref="A1:H1543"/>
  <sheetViews>
    <sheetView topLeftCell="A22" workbookViewId="0">
      <selection activeCell="G1008" sqref="G100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5852</v>
      </c>
      <c r="E60" s="4" t="s">
        <v>5852</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5853</v>
      </c>
      <c r="E77" s="4" t="s">
        <v>5853</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5854</v>
      </c>
      <c r="E83" s="4" t="s">
        <v>5854</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5855</v>
      </c>
      <c r="E181" s="4" t="s">
        <v>5855</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5856</v>
      </c>
      <c r="E187" s="4" t="s">
        <v>5856</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5857</v>
      </c>
      <c r="E189" s="4" t="s">
        <v>5857</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5858</v>
      </c>
      <c r="E197" s="4" t="s">
        <v>5858</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5859</v>
      </c>
      <c r="E226" s="4" t="s">
        <v>5859</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5860</v>
      </c>
      <c r="E242" s="4" t="s">
        <v>5860</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5861</v>
      </c>
      <c r="E299" s="4" t="s">
        <v>5861</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5862</v>
      </c>
      <c r="E400" s="4" t="s">
        <v>5862</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5863</v>
      </c>
      <c r="E401" s="4" t="s">
        <v>5863</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5864</v>
      </c>
      <c r="E468" s="4" t="s">
        <v>5864</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5865</v>
      </c>
      <c r="E499" s="4" t="s">
        <v>5865</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5866</v>
      </c>
      <c r="E527" s="4" t="s">
        <v>5866</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5867</v>
      </c>
      <c r="E606" s="4" t="s">
        <v>5867</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5868</v>
      </c>
      <c r="E627" s="4" t="s">
        <v>5868</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5869</v>
      </c>
      <c r="E675" s="4" t="s">
        <v>5869</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5870</v>
      </c>
      <c r="E802" s="4" t="s">
        <v>5870</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5871</v>
      </c>
      <c r="E844" s="4" t="s">
        <v>5871</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5872</v>
      </c>
      <c r="E902" s="4" t="s">
        <v>5872</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5873</v>
      </c>
      <c r="E965" s="4" t="s">
        <v>5873</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5874</v>
      </c>
      <c r="E971" s="4" t="s">
        <v>5874</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5875</v>
      </c>
      <c r="E977" s="4" t="s">
        <v>5875</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5866</v>
      </c>
      <c r="E1007" s="4" t="s">
        <v>5866</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5876</v>
      </c>
      <c r="E1061" s="4" t="s">
        <v>5876</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5877</v>
      </c>
      <c r="E1127" s="4" t="s">
        <v>5877</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5878</v>
      </c>
      <c r="E1264" s="4" t="s">
        <v>5878</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5879</v>
      </c>
      <c r="E1267" s="4" t="s">
        <v>5879</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5880</v>
      </c>
      <c r="E1296" s="4" t="s">
        <v>5880</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5881</v>
      </c>
      <c r="E1454" s="4" t="s">
        <v>5881</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5882</v>
      </c>
      <c r="E1458" s="4" t="s">
        <v>5882</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5883</v>
      </c>
      <c r="E1472" s="4" t="s">
        <v>5883</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5884</v>
      </c>
      <c r="E1525" s="4" t="s">
        <v>5884</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5885</v>
      </c>
      <c r="E1533" s="4" t="s">
        <v>5885</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5886</v>
      </c>
      <c r="E1538" s="4" t="s">
        <v>5886</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E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70C0"/>
  </sheetPr>
  <dimension ref="A1:H1543"/>
  <sheetViews>
    <sheetView topLeftCell="A37" workbookViewId="0">
      <selection activeCell="A50" sqref="A50:XFD50"/>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5893</v>
      </c>
      <c r="E3" s="13" t="s">
        <v>5894</v>
      </c>
      <c r="F3" s="13">
        <v>2</v>
      </c>
      <c r="G3" s="7">
        <v>1075</v>
      </c>
      <c r="H3" s="16" t="str">
        <f>CONCATENATE("(",A3,",",B3,",'",C3,"',",D3,",",E3,",",F3,",",G3,"),")</f>
        <v>(1,0,'Ain El Bia 1',35*807,-0*343,2,1075),</v>
      </c>
    </row>
    <row r="4" spans="1:8" ht="20.149999999999999" customHeight="1" x14ac:dyDescent="0.35">
      <c r="A4" s="3">
        <v>2</v>
      </c>
      <c r="B4" s="15">
        <v>0</v>
      </c>
      <c r="C4" s="13" t="s">
        <v>5497</v>
      </c>
      <c r="D4" s="13" t="s">
        <v>5895</v>
      </c>
      <c r="E4" s="13" t="s">
        <v>5896</v>
      </c>
      <c r="F4" s="13">
        <v>5</v>
      </c>
      <c r="G4" s="7">
        <v>1075</v>
      </c>
      <c r="H4" s="16" t="str">
        <f t="shared" ref="H4:H67" si="0">CONCATENATE("(",A4,",",B4,",'",C4,"',",D4,",",E4,",",F4,",",G4,"),")</f>
        <v>(2,0,'Ain El Bia 2',35*835,-0*238,5,1075),</v>
      </c>
    </row>
    <row r="5" spans="1:8" ht="20.149999999999999" customHeight="1" x14ac:dyDescent="0.35">
      <c r="A5" s="3">
        <v>3</v>
      </c>
      <c r="B5" s="15">
        <v>0</v>
      </c>
      <c r="C5" s="13" t="s">
        <v>2377</v>
      </c>
      <c r="D5" s="13" t="s">
        <v>5897</v>
      </c>
      <c r="E5" s="13" t="s">
        <v>5898</v>
      </c>
      <c r="F5" s="13">
        <v>-2</v>
      </c>
      <c r="G5" s="7">
        <v>218</v>
      </c>
      <c r="H5" s="16" t="str">
        <f t="shared" si="0"/>
        <v>(3,0,'Ain Naga',34*686,6*094,-2,218),</v>
      </c>
    </row>
    <row r="6" spans="1:8" ht="20.149999999999999" customHeight="1" x14ac:dyDescent="0.35">
      <c r="A6" s="3">
        <v>4</v>
      </c>
      <c r="B6" s="15">
        <v>0</v>
      </c>
      <c r="C6" s="13" t="s">
        <v>5498</v>
      </c>
      <c r="D6" s="13" t="s">
        <v>5899</v>
      </c>
      <c r="E6" s="13" t="s">
        <v>5900</v>
      </c>
      <c r="F6" s="13">
        <v>350</v>
      </c>
      <c r="G6" s="7">
        <v>1113</v>
      </c>
      <c r="H6" s="16" t="str">
        <f t="shared" si="0"/>
        <v>(4,0,'Ain Tsila',27*2,10*5,350,1113),</v>
      </c>
    </row>
    <row r="7" spans="1:8" ht="20.149999999999999" customHeight="1" x14ac:dyDescent="0.35">
      <c r="A7" s="3">
        <v>5</v>
      </c>
      <c r="B7" s="15">
        <v>0</v>
      </c>
      <c r="C7" s="13" t="s">
        <v>5481</v>
      </c>
      <c r="D7" s="13" t="s">
        <v>5901</v>
      </c>
      <c r="E7" s="13" t="s">
        <v>5902</v>
      </c>
      <c r="F7" s="13">
        <v>650</v>
      </c>
      <c r="G7" s="7">
        <v>393</v>
      </c>
      <c r="H7" s="16" t="str">
        <f t="shared" si="0"/>
        <v>(5,0,'Al Aricha',33*82,1*9,650,393),</v>
      </c>
    </row>
    <row r="8" spans="1:8" ht="20.149999999999999" customHeight="1" x14ac:dyDescent="0.35">
      <c r="A8" s="3">
        <v>6</v>
      </c>
      <c r="B8" s="15">
        <v>0</v>
      </c>
      <c r="C8" s="13" t="s">
        <v>5499</v>
      </c>
      <c r="D8" s="13" t="s">
        <v>5903</v>
      </c>
      <c r="E8" s="13" t="s">
        <v>5904</v>
      </c>
      <c r="F8" s="13">
        <v>495</v>
      </c>
      <c r="G8" s="7">
        <v>1444</v>
      </c>
      <c r="H8" s="16" t="str">
        <f t="shared" si="0"/>
        <v>(6,0,'Al Atteuf',32*478,3*748,495,1444),</v>
      </c>
    </row>
    <row r="9" spans="1:8" ht="20.149999999999999" customHeight="1" x14ac:dyDescent="0.35">
      <c r="A9" s="3">
        <v>7</v>
      </c>
      <c r="B9" s="15">
        <v>0</v>
      </c>
      <c r="C9" s="13" t="s">
        <v>1002</v>
      </c>
      <c r="D9" s="13" t="s">
        <v>5905</v>
      </c>
      <c r="E9" s="13" t="s">
        <v>5906</v>
      </c>
      <c r="F9" s="13">
        <v>50</v>
      </c>
      <c r="G9" s="7">
        <v>544</v>
      </c>
      <c r="H9" s="16" t="str">
        <f t="shared" si="0"/>
        <v>(7,0,'Alger',36*45,3*2,50,544),</v>
      </c>
    </row>
    <row r="10" spans="1:8" ht="20.149999999999999" customHeight="1" x14ac:dyDescent="0.35">
      <c r="A10" s="3">
        <v>8</v>
      </c>
      <c r="B10" s="15">
        <v>0</v>
      </c>
      <c r="C10" s="13" t="s">
        <v>5392</v>
      </c>
      <c r="D10" s="13" t="s">
        <v>5907</v>
      </c>
      <c r="E10" s="13" t="s">
        <v>5908</v>
      </c>
      <c r="F10" s="13">
        <v>60</v>
      </c>
      <c r="G10" s="7">
        <v>1116</v>
      </c>
      <c r="H10" s="16" t="str">
        <f t="shared" si="0"/>
        <v>(8,0,'Alrar',35*4,0*45,60,1116),</v>
      </c>
    </row>
    <row r="11" spans="1:8" ht="20.149999999999999" customHeight="1" x14ac:dyDescent="0.35">
      <c r="A11" s="3">
        <v>9</v>
      </c>
      <c r="B11" s="15">
        <v>0</v>
      </c>
      <c r="C11" s="13" t="s">
        <v>1824</v>
      </c>
      <c r="D11" s="13" t="s">
        <v>5895</v>
      </c>
      <c r="E11" s="13" t="s">
        <v>5896</v>
      </c>
      <c r="F11" s="13">
        <v>5</v>
      </c>
      <c r="G11" s="7">
        <v>1075</v>
      </c>
      <c r="H11" s="16" t="str">
        <f t="shared" si="0"/>
        <v>(9,0,'Arzew',35*835,-0*238,5,1075),</v>
      </c>
    </row>
    <row r="12" spans="1:8" ht="20.149999999999999" customHeight="1" x14ac:dyDescent="0.35">
      <c r="A12" s="3">
        <v>10</v>
      </c>
      <c r="B12" s="15">
        <v>0</v>
      </c>
      <c r="C12" s="13" t="s">
        <v>1824</v>
      </c>
      <c r="D12" s="13" t="s">
        <v>5909</v>
      </c>
      <c r="E12" s="13" t="s">
        <v>5910</v>
      </c>
      <c r="F12" s="13">
        <v>2</v>
      </c>
      <c r="G12" s="7">
        <v>1065</v>
      </c>
      <c r="H12" s="16" t="str">
        <f t="shared" si="0"/>
        <v>(10,0,'Arzew',35*862,-0*345,2,1065),</v>
      </c>
    </row>
    <row r="13" spans="1:8" ht="20.149999999999999" customHeight="1" x14ac:dyDescent="0.35">
      <c r="A13" s="3">
        <v>11</v>
      </c>
      <c r="B13" s="15">
        <v>0</v>
      </c>
      <c r="C13" s="13" t="s">
        <v>983</v>
      </c>
      <c r="D13" s="13" t="s">
        <v>5911</v>
      </c>
      <c r="E13" s="13" t="s">
        <v>5912</v>
      </c>
      <c r="F13" s="13">
        <v>52</v>
      </c>
      <c r="G13" s="7">
        <v>166</v>
      </c>
      <c r="H13" s="16" t="str">
        <f t="shared" si="0"/>
        <v>(11,0,'Béjaïa',36*751,5*059,52,166),</v>
      </c>
    </row>
    <row r="14" spans="1:8" ht="20.149999999999999" customHeight="1" x14ac:dyDescent="0.35">
      <c r="A14" s="3">
        <v>12</v>
      </c>
      <c r="B14" s="15">
        <v>0</v>
      </c>
      <c r="C14" s="13" t="s">
        <v>5337</v>
      </c>
      <c r="D14" s="13" t="s">
        <v>5913</v>
      </c>
      <c r="E14" s="13" t="s">
        <v>5914</v>
      </c>
      <c r="F14" s="13">
        <v>450</v>
      </c>
      <c r="G14" s="7">
        <v>198</v>
      </c>
      <c r="H14" s="16" t="str">
        <f t="shared" si="0"/>
        <v>(12,0,'Beni Mensour',36*336,4*356,450,198),</v>
      </c>
    </row>
    <row r="15" spans="1:8" ht="20.149999999999999" customHeight="1" x14ac:dyDescent="0.35">
      <c r="A15" s="3">
        <v>13</v>
      </c>
      <c r="B15" s="15">
        <v>0</v>
      </c>
      <c r="C15" s="13" t="s">
        <v>5337</v>
      </c>
      <c r="D15" s="13" t="s">
        <v>5915</v>
      </c>
      <c r="E15" s="13" t="s">
        <v>5916</v>
      </c>
      <c r="F15" s="13">
        <v>750</v>
      </c>
      <c r="G15" s="7">
        <v>198</v>
      </c>
      <c r="H15" s="16" t="str">
        <f t="shared" si="0"/>
        <v>(13,0,'Beni Mensour',33*45,2*45,750,198),</v>
      </c>
    </row>
    <row r="16" spans="1:8" ht="20.149999999999999" customHeight="1" x14ac:dyDescent="0.35">
      <c r="A16" s="3">
        <v>14</v>
      </c>
      <c r="B16" s="15">
        <v>0</v>
      </c>
      <c r="C16" s="13" t="s">
        <v>2048</v>
      </c>
      <c r="D16" s="13" t="s">
        <v>5917</v>
      </c>
      <c r="E16" s="13" t="s">
        <v>5918</v>
      </c>
      <c r="F16" s="13">
        <v>10</v>
      </c>
      <c r="G16" s="7">
        <v>1431</v>
      </c>
      <c r="H16" s="16" t="str">
        <f t="shared" si="0"/>
        <v>(14,0,'Beni Saf',35*301,-1*382,10,1431),</v>
      </c>
    </row>
    <row r="17" spans="1:8" ht="20.149999999999999" customHeight="1" x14ac:dyDescent="0.35">
      <c r="A17" s="3">
        <v>15</v>
      </c>
      <c r="B17" s="15">
        <v>0</v>
      </c>
      <c r="C17" s="13" t="s">
        <v>5500</v>
      </c>
      <c r="D17" s="13" t="s">
        <v>5919</v>
      </c>
      <c r="E17" s="13" t="s">
        <v>5920</v>
      </c>
      <c r="F17" s="13">
        <v>380</v>
      </c>
      <c r="G17" s="7">
        <v>1057</v>
      </c>
      <c r="H17" s="16" t="str">
        <f t="shared" si="0"/>
        <v>(15,0,'Berkine',26*418,9*08,380,1057),</v>
      </c>
    </row>
    <row r="18" spans="1:8" ht="20.149999999999999" customHeight="1" x14ac:dyDescent="0.35">
      <c r="A18" s="3">
        <v>16</v>
      </c>
      <c r="B18" s="15">
        <v>0</v>
      </c>
      <c r="C18" s="13" t="s">
        <v>1818</v>
      </c>
      <c r="D18" s="13" t="s">
        <v>5921</v>
      </c>
      <c r="E18" s="13" t="s">
        <v>5922</v>
      </c>
      <c r="F18" s="13">
        <v>2</v>
      </c>
      <c r="G18" s="7">
        <v>1065</v>
      </c>
      <c r="H18" s="16" t="str">
        <f t="shared" si="0"/>
        <v>(16,0,'Bethioua',35*805,-0*241,2,1065),</v>
      </c>
    </row>
    <row r="19" spans="1:8" ht="20.149999999999999" customHeight="1" x14ac:dyDescent="0.35">
      <c r="A19" s="3">
        <v>17</v>
      </c>
      <c r="B19" s="15">
        <v>0</v>
      </c>
      <c r="C19" s="13" t="s">
        <v>5367</v>
      </c>
      <c r="D19" s="13" t="s">
        <v>5923</v>
      </c>
      <c r="E19" s="13" t="s">
        <v>5924</v>
      </c>
      <c r="F19" s="13">
        <v>185</v>
      </c>
      <c r="G19" s="7">
        <v>1062</v>
      </c>
      <c r="H19" s="16" t="str">
        <f t="shared" si="0"/>
        <v>(17,0,'Bir Rebaa North',31*85,5*973,185,1062),</v>
      </c>
    </row>
    <row r="20" spans="1:8" ht="20.149999999999999" customHeight="1" x14ac:dyDescent="0.35">
      <c r="A20" s="3">
        <v>18</v>
      </c>
      <c r="B20" s="15">
        <v>0</v>
      </c>
      <c r="C20" s="13" t="s">
        <v>5451</v>
      </c>
      <c r="D20" s="13" t="s">
        <v>5925</v>
      </c>
      <c r="E20" s="13" t="s">
        <v>5926</v>
      </c>
      <c r="F20" s="13">
        <v>100</v>
      </c>
      <c r="G20" s="7">
        <v>1159</v>
      </c>
      <c r="H20" s="16" t="str">
        <f t="shared" si="0"/>
        <v>(18,0,'Bord Menaiel',36*38,3*8,100,1159),</v>
      </c>
    </row>
    <row r="21" spans="1:8" ht="20.149999999999999" customHeight="1" x14ac:dyDescent="0.35">
      <c r="A21" s="3">
        <v>19</v>
      </c>
      <c r="B21" s="15">
        <v>0</v>
      </c>
      <c r="C21" s="13" t="s">
        <v>5501</v>
      </c>
      <c r="D21" s="13" t="s">
        <v>5927</v>
      </c>
      <c r="E21" s="13" t="s">
        <v>5928</v>
      </c>
      <c r="F21" s="13">
        <v>81</v>
      </c>
      <c r="G21" s="7">
        <v>1447</v>
      </c>
      <c r="H21" s="16" t="str">
        <f t="shared" si="0"/>
        <v>(19,0,'Bourmadia',35*732,0*613,81,1447),</v>
      </c>
    </row>
    <row r="22" spans="1:8" ht="20.149999999999999" customHeight="1" x14ac:dyDescent="0.35">
      <c r="A22" s="3">
        <v>20</v>
      </c>
      <c r="B22" s="15">
        <v>0</v>
      </c>
      <c r="C22" s="13" t="s">
        <v>3822</v>
      </c>
      <c r="D22" s="13" t="s">
        <v>5929</v>
      </c>
      <c r="E22" s="13" t="s">
        <v>5930</v>
      </c>
      <c r="F22" s="13">
        <v>389</v>
      </c>
      <c r="G22" s="7">
        <v>1498</v>
      </c>
      <c r="H22" s="16" t="str">
        <f t="shared" si="0"/>
        <v>(20,0,'Chaiba',34*5,5*25,389,1498),</v>
      </c>
    </row>
    <row r="23" spans="1:8" ht="20.149999999999999" customHeight="1" x14ac:dyDescent="0.35">
      <c r="A23" s="3">
        <v>21</v>
      </c>
      <c r="B23" s="15">
        <v>0</v>
      </c>
      <c r="C23" s="13" t="s">
        <v>5341</v>
      </c>
      <c r="D23" s="13" t="s">
        <v>5931</v>
      </c>
      <c r="E23" s="13" t="s">
        <v>5932</v>
      </c>
      <c r="F23" s="13">
        <v>350</v>
      </c>
      <c r="G23" s="7">
        <v>1115</v>
      </c>
      <c r="H23" s="16" t="str">
        <f t="shared" si="0"/>
        <v>(21,0,'Deb Deb',29*968,9*424,350,1115),</v>
      </c>
    </row>
    <row r="24" spans="1:8" ht="20.149999999999999" customHeight="1" x14ac:dyDescent="0.35">
      <c r="A24" s="3">
        <v>22</v>
      </c>
      <c r="B24" s="15">
        <v>0</v>
      </c>
      <c r="C24" s="13" t="s">
        <v>5534</v>
      </c>
      <c r="D24" s="13" t="s">
        <v>5933</v>
      </c>
      <c r="E24" s="13" t="s">
        <v>5934</v>
      </c>
      <c r="F24" s="13">
        <v>280</v>
      </c>
      <c r="G24" s="7">
        <v>1531</v>
      </c>
      <c r="H24" s="16" t="str">
        <f t="shared" si="0"/>
        <v>(22,0,'Djamaa1',33*933,5*93,280,1531),</v>
      </c>
    </row>
    <row r="25" spans="1:8" ht="20.149999999999999" customHeight="1" x14ac:dyDescent="0.35">
      <c r="A25" s="3">
        <v>23</v>
      </c>
      <c r="B25" s="15">
        <v>0</v>
      </c>
      <c r="C25" s="13" t="s">
        <v>5535</v>
      </c>
      <c r="D25" s="13" t="s">
        <v>5935</v>
      </c>
      <c r="E25" s="13" t="s">
        <v>5936</v>
      </c>
      <c r="F25" s="13">
        <v>850</v>
      </c>
      <c r="G25" s="7">
        <v>1535</v>
      </c>
      <c r="H25" s="16" t="str">
        <f t="shared" si="0"/>
        <v>(23,0,'Djamaa2',33*52,2*85,850,1535),</v>
      </c>
    </row>
    <row r="26" spans="1:8" ht="20.149999999999999" customHeight="1" x14ac:dyDescent="0.35">
      <c r="A26" s="3">
        <v>24</v>
      </c>
      <c r="B26" s="15">
        <v>0</v>
      </c>
      <c r="C26" s="13" t="s">
        <v>5502</v>
      </c>
      <c r="D26" s="13" t="s">
        <v>5937</v>
      </c>
      <c r="E26" s="13" t="s">
        <v>5938</v>
      </c>
      <c r="F26" s="13">
        <v>973</v>
      </c>
      <c r="G26" s="7">
        <v>413</v>
      </c>
      <c r="H26" s="16" t="str">
        <f t="shared" si="0"/>
        <v>(24,0,'Djebila',35*372,1*325,973,413),</v>
      </c>
    </row>
    <row r="27" spans="1:8" ht="20.149999999999999" customHeight="1" x14ac:dyDescent="0.35">
      <c r="A27" s="3">
        <v>25</v>
      </c>
      <c r="B27" s="15">
        <v>0</v>
      </c>
      <c r="C27" s="13" t="s">
        <v>1810</v>
      </c>
      <c r="D27" s="13" t="s">
        <v>5939</v>
      </c>
      <c r="E27" s="13" t="s">
        <v>5940</v>
      </c>
      <c r="F27" s="13">
        <v>246</v>
      </c>
      <c r="G27" s="7">
        <v>1064</v>
      </c>
      <c r="H27" s="16" t="str">
        <f t="shared" si="0"/>
        <v>(25,0,'El Borma',31*006,8*134,246,1064),</v>
      </c>
    </row>
    <row r="28" spans="1:8" ht="20.149999999999999" customHeight="1" x14ac:dyDescent="0.35">
      <c r="A28" s="3">
        <v>26</v>
      </c>
      <c r="B28" s="15">
        <v>0</v>
      </c>
      <c r="C28" s="13" t="s">
        <v>5503</v>
      </c>
      <c r="D28" s="13" t="s">
        <v>5919</v>
      </c>
      <c r="E28" s="13" t="s">
        <v>5920</v>
      </c>
      <c r="F28" s="13">
        <v>380</v>
      </c>
      <c r="G28" s="7">
        <v>1057</v>
      </c>
      <c r="H28" s="16" t="str">
        <f t="shared" si="0"/>
        <v>(26,0,'El Merk',26*418,9*08,380,1057),</v>
      </c>
    </row>
    <row r="29" spans="1:8" ht="20.149999999999999" customHeight="1" x14ac:dyDescent="0.35">
      <c r="A29" s="3">
        <v>27</v>
      </c>
      <c r="B29" s="15">
        <v>0</v>
      </c>
      <c r="C29" s="13" t="s">
        <v>5504</v>
      </c>
      <c r="D29" s="13" t="s">
        <v>5941</v>
      </c>
      <c r="E29" s="13" t="s">
        <v>5942</v>
      </c>
      <c r="F29" s="13">
        <v>185</v>
      </c>
      <c r="G29" s="7">
        <v>428</v>
      </c>
      <c r="H29" s="16" t="str">
        <f t="shared" si="0"/>
        <v>(27,0,'Faïdja',35*193,1*706,185,428),</v>
      </c>
    </row>
    <row r="30" spans="1:8" ht="20.149999999999999" customHeight="1" x14ac:dyDescent="0.35">
      <c r="A30" s="3">
        <v>28</v>
      </c>
      <c r="B30" s="15">
        <v>0</v>
      </c>
      <c r="C30" s="13" t="s">
        <v>5505</v>
      </c>
      <c r="D30" s="13" t="s">
        <v>5943</v>
      </c>
      <c r="E30" s="13" t="s">
        <v>5944</v>
      </c>
      <c r="F30" s="13">
        <v>495</v>
      </c>
      <c r="G30" s="7">
        <v>231</v>
      </c>
      <c r="H30" s="16" t="str">
        <f t="shared" si="0"/>
        <v>(28,0,'Ferme Omar Driss',35*034,5*595,495,231),</v>
      </c>
    </row>
    <row r="31" spans="1:8" ht="20.149999999999999" customHeight="1" x14ac:dyDescent="0.35">
      <c r="A31" s="3">
        <v>29</v>
      </c>
      <c r="B31" s="15">
        <v>0</v>
      </c>
      <c r="C31" s="13" t="s">
        <v>5506</v>
      </c>
      <c r="D31" s="13" t="s">
        <v>5945</v>
      </c>
      <c r="E31" s="13" t="s">
        <v>5946</v>
      </c>
      <c r="F31" s="13">
        <v>5</v>
      </c>
      <c r="G31" s="7">
        <v>721</v>
      </c>
      <c r="H31" s="16" t="str">
        <f t="shared" si="0"/>
        <v>(29,0,'Flifla',36*877,6*906,5,721),</v>
      </c>
    </row>
    <row r="32" spans="1:8" ht="20.149999999999999" customHeight="1" x14ac:dyDescent="0.35">
      <c r="A32" s="3">
        <v>30</v>
      </c>
      <c r="B32" s="15">
        <v>0</v>
      </c>
      <c r="C32" s="13" t="s">
        <v>5396</v>
      </c>
      <c r="D32" s="13" t="s">
        <v>5947</v>
      </c>
      <c r="E32" s="13" t="s">
        <v>5948</v>
      </c>
      <c r="F32" s="13">
        <v>267</v>
      </c>
      <c r="G32" s="7">
        <v>1060</v>
      </c>
      <c r="H32" s="16" t="str">
        <f t="shared" si="0"/>
        <v>(30,0,'Gassi Touil',30*271,6*416,267,1060),</v>
      </c>
    </row>
    <row r="33" spans="1:8" ht="20.149999999999999" customHeight="1" x14ac:dyDescent="0.35">
      <c r="A33" s="3">
        <v>31</v>
      </c>
      <c r="B33" s="15">
        <v>0</v>
      </c>
      <c r="C33" s="13" t="s">
        <v>5507</v>
      </c>
      <c r="D33" s="13" t="s">
        <v>5949</v>
      </c>
      <c r="E33" s="13" t="s">
        <v>5950</v>
      </c>
      <c r="F33" s="13">
        <v>156</v>
      </c>
      <c r="G33" s="7">
        <v>1060</v>
      </c>
      <c r="H33" s="16" t="str">
        <f t="shared" si="0"/>
        <v>(31,0,'Haoud El Hamra',31*941,6*071,156,1060),</v>
      </c>
    </row>
    <row r="34" spans="1:8" ht="20.149999999999999" customHeight="1" x14ac:dyDescent="0.35">
      <c r="A34" s="3">
        <v>32</v>
      </c>
      <c r="B34" s="15">
        <v>0</v>
      </c>
      <c r="C34" s="13" t="s">
        <v>5355</v>
      </c>
      <c r="D34" s="13" t="s">
        <v>5951</v>
      </c>
      <c r="E34" s="13" t="s">
        <v>5952</v>
      </c>
      <c r="F34" s="13">
        <v>185</v>
      </c>
      <c r="G34" s="7">
        <v>1060</v>
      </c>
      <c r="H34" s="16" t="str">
        <f t="shared" si="0"/>
        <v>(32,0,'Hassi Berkine',30*559,5*453,185,1060),</v>
      </c>
    </row>
    <row r="35" spans="1:8" ht="20.149999999999999" customHeight="1" x14ac:dyDescent="0.35">
      <c r="A35" s="3">
        <v>33</v>
      </c>
      <c r="B35" s="15">
        <v>0</v>
      </c>
      <c r="C35" s="13" t="s">
        <v>2166</v>
      </c>
      <c r="D35" s="13" t="s">
        <v>5953</v>
      </c>
      <c r="E35" s="13" t="s">
        <v>5954</v>
      </c>
      <c r="F35" s="13">
        <v>716</v>
      </c>
      <c r="G35" s="7">
        <v>58</v>
      </c>
      <c r="H35" s="16" t="str">
        <f t="shared" si="0"/>
        <v>(33,0,'Hassi Delaa',32*935,3*269,716,58),</v>
      </c>
    </row>
    <row r="36" spans="1:8" ht="20.149999999999999" customHeight="1" x14ac:dyDescent="0.35">
      <c r="A36" s="3">
        <v>34</v>
      </c>
      <c r="B36" s="15">
        <v>0</v>
      </c>
      <c r="C36" s="13" t="s">
        <v>1812</v>
      </c>
      <c r="D36" s="13" t="s">
        <v>5955</v>
      </c>
      <c r="E36" s="13" t="s">
        <v>5956</v>
      </c>
      <c r="F36" s="13">
        <v>85</v>
      </c>
      <c r="G36" s="7">
        <v>1060</v>
      </c>
      <c r="H36" s="16" t="str">
        <f t="shared" si="0"/>
        <v>(34,0,'Hassi Messaoud',31*97,6*265,85,1060),</v>
      </c>
    </row>
    <row r="37" spans="1:8" ht="20.149999999999999" customHeight="1" x14ac:dyDescent="0.35">
      <c r="A37" s="3">
        <v>35</v>
      </c>
      <c r="B37" s="15">
        <v>0</v>
      </c>
      <c r="C37" s="13" t="s">
        <v>5852</v>
      </c>
      <c r="D37" s="13" t="s">
        <v>5957</v>
      </c>
      <c r="E37" s="13" t="s">
        <v>5954</v>
      </c>
      <c r="F37" s="13">
        <v>777</v>
      </c>
      <c r="G37" s="7">
        <v>58</v>
      </c>
      <c r="H37" s="16" t="str">
        <f t="shared" si="0"/>
        <v>(35,0,'Hassi R\'mel',32*936,3*269,777,58),</v>
      </c>
    </row>
    <row r="38" spans="1:8" ht="20.149999999999999" customHeight="1" x14ac:dyDescent="0.35">
      <c r="A38" s="3">
        <v>36</v>
      </c>
      <c r="B38" s="15">
        <v>0</v>
      </c>
      <c r="C38" s="13" t="s">
        <v>5477</v>
      </c>
      <c r="D38" s="13">
        <v>31</v>
      </c>
      <c r="E38" s="13" t="s">
        <v>5958</v>
      </c>
      <c r="F38" s="13">
        <v>180</v>
      </c>
      <c r="G38" s="7">
        <v>1064</v>
      </c>
      <c r="H38" s="16" t="str">
        <f t="shared" si="0"/>
        <v>(36,0,'Hassi tedjirane',31,7*85,180,1064),</v>
      </c>
    </row>
    <row r="39" spans="1:8" ht="20.149999999999999" customHeight="1" x14ac:dyDescent="0.35">
      <c r="A39" s="3">
        <v>37</v>
      </c>
      <c r="B39" s="15">
        <v>0</v>
      </c>
      <c r="C39" s="13" t="s">
        <v>1848</v>
      </c>
      <c r="D39" s="13" t="s">
        <v>5959</v>
      </c>
      <c r="E39" s="13" t="s">
        <v>5960</v>
      </c>
      <c r="F39" s="13">
        <v>420</v>
      </c>
      <c r="G39" s="7">
        <v>1116</v>
      </c>
      <c r="H39" s="16" t="str">
        <f t="shared" si="0"/>
        <v>(37,0,'In Amenas',28*041,9*543,420,1116),</v>
      </c>
    </row>
    <row r="40" spans="1:8" ht="20.149999999999999" customHeight="1" x14ac:dyDescent="0.35">
      <c r="A40" s="3">
        <v>38</v>
      </c>
      <c r="B40" s="15">
        <v>0</v>
      </c>
      <c r="C40" s="13" t="s">
        <v>1076</v>
      </c>
      <c r="D40" s="13" t="s">
        <v>5961</v>
      </c>
      <c r="E40" s="13" t="s">
        <v>5962</v>
      </c>
      <c r="F40" s="13">
        <v>400</v>
      </c>
      <c r="G40" s="7">
        <v>1512</v>
      </c>
      <c r="H40" s="16" t="str">
        <f t="shared" si="0"/>
        <v>(38,0,'In Salah',28*62,8*62,400,1512),</v>
      </c>
    </row>
    <row r="41" spans="1:8" ht="20.149999999999999" customHeight="1" x14ac:dyDescent="0.35">
      <c r="A41" s="3">
        <v>39</v>
      </c>
      <c r="B41" s="15">
        <v>0</v>
      </c>
      <c r="C41" s="13" t="s">
        <v>1878</v>
      </c>
      <c r="D41" s="13" t="s">
        <v>5925</v>
      </c>
      <c r="E41" s="13" t="s">
        <v>5926</v>
      </c>
      <c r="F41" s="13">
        <v>100</v>
      </c>
      <c r="G41" s="7">
        <v>1169</v>
      </c>
      <c r="H41" s="16" t="str">
        <f t="shared" si="0"/>
        <v>(39,0,'Isser',36*38,3*8,100,1169),</v>
      </c>
    </row>
    <row r="42" spans="1:8" ht="20.149999999999999" customHeight="1" x14ac:dyDescent="0.35">
      <c r="A42" s="3">
        <v>40</v>
      </c>
      <c r="B42" s="15">
        <v>0</v>
      </c>
      <c r="C42" s="13" t="s">
        <v>5508</v>
      </c>
      <c r="D42" s="13" t="s">
        <v>5963</v>
      </c>
      <c r="E42" s="13" t="s">
        <v>5964</v>
      </c>
      <c r="F42" s="13">
        <v>2</v>
      </c>
      <c r="G42" s="7">
        <v>1075</v>
      </c>
      <c r="H42" s="16" t="str">
        <f t="shared" si="0"/>
        <v>(40,0,'Kenanda',35*737,0*556,2,1075),</v>
      </c>
    </row>
    <row r="43" spans="1:8" ht="20.149999999999999" customHeight="1" x14ac:dyDescent="0.35">
      <c r="A43" s="3">
        <v>41</v>
      </c>
      <c r="B43" s="15">
        <v>0</v>
      </c>
      <c r="C43" s="13" t="s">
        <v>5509</v>
      </c>
      <c r="D43" s="13" t="s">
        <v>5965</v>
      </c>
      <c r="E43" s="13" t="s">
        <v>5966</v>
      </c>
      <c r="F43" s="13">
        <v>600</v>
      </c>
      <c r="G43" s="7">
        <v>1512</v>
      </c>
      <c r="H43" s="16" t="str">
        <f t="shared" si="0"/>
        <v>(41,0,'Krechba',28*642,2*825,600,1512),</v>
      </c>
    </row>
    <row r="44" spans="1:8" ht="20.149999999999999" customHeight="1" x14ac:dyDescent="0.35">
      <c r="A44" s="3">
        <v>42</v>
      </c>
      <c r="B44" s="15">
        <v>0</v>
      </c>
      <c r="C44" s="13" t="s">
        <v>1834</v>
      </c>
      <c r="D44" s="13" t="s">
        <v>5967</v>
      </c>
      <c r="E44" s="13" t="s">
        <v>5968</v>
      </c>
      <c r="F44" s="13">
        <v>966</v>
      </c>
      <c r="G44" s="7">
        <v>1091</v>
      </c>
      <c r="H44" s="16" t="str">
        <f t="shared" si="0"/>
        <v>(42,0,'Labiodh Sidi Cheikh',32*91,0*545,966,1091),</v>
      </c>
    </row>
    <row r="45" spans="1:8" ht="20.149999999999999" customHeight="1" x14ac:dyDescent="0.35">
      <c r="A45" s="3">
        <v>43</v>
      </c>
      <c r="B45" s="15">
        <v>0</v>
      </c>
      <c r="C45" s="13" t="s">
        <v>5510</v>
      </c>
      <c r="D45" s="13" t="s">
        <v>5969</v>
      </c>
      <c r="E45" s="13" t="s">
        <v>5970</v>
      </c>
      <c r="F45" s="13">
        <v>926</v>
      </c>
      <c r="G45" s="7">
        <v>1329</v>
      </c>
      <c r="H45" s="16" t="str">
        <f t="shared" si="0"/>
        <v>(43,0,'Mechtatine',36*123,6*789,926,1329),</v>
      </c>
    </row>
    <row r="46" spans="1:8" ht="20.149999999999999" customHeight="1" x14ac:dyDescent="0.35">
      <c r="A46" s="3">
        <v>44</v>
      </c>
      <c r="B46" s="15">
        <v>0</v>
      </c>
      <c r="C46" s="13" t="s">
        <v>5511</v>
      </c>
      <c r="D46" s="13" t="s">
        <v>5971</v>
      </c>
      <c r="E46" s="13" t="s">
        <v>5972</v>
      </c>
      <c r="F46" s="13">
        <v>983</v>
      </c>
      <c r="G46" s="7">
        <v>421</v>
      </c>
      <c r="H46" s="16" t="str">
        <f t="shared" si="0"/>
        <v>(44,0,'Medarreg1',35*425,1*425,983,421),</v>
      </c>
    </row>
    <row r="47" spans="1:8" ht="20.149999999999999" customHeight="1" x14ac:dyDescent="0.35">
      <c r="A47" s="3">
        <v>45</v>
      </c>
      <c r="B47" s="15">
        <v>0</v>
      </c>
      <c r="C47" s="13" t="s">
        <v>5512</v>
      </c>
      <c r="D47" s="13" t="s">
        <v>5973</v>
      </c>
      <c r="E47" s="13" t="s">
        <v>5974</v>
      </c>
      <c r="F47" s="13">
        <v>1080</v>
      </c>
      <c r="G47" s="7">
        <v>430</v>
      </c>
      <c r="H47" s="16" t="str">
        <f t="shared" si="0"/>
        <v>(45,0,'Medarreg2',35*184,1*496,1080,430),</v>
      </c>
    </row>
    <row r="48" spans="1:8" ht="20.149999999999999" customHeight="1" x14ac:dyDescent="0.35">
      <c r="A48" s="3">
        <v>46</v>
      </c>
      <c r="B48" s="15">
        <v>0</v>
      </c>
      <c r="C48" s="13" t="s">
        <v>5513</v>
      </c>
      <c r="D48" s="13" t="s">
        <v>5975</v>
      </c>
      <c r="E48" s="13" t="s">
        <v>5942</v>
      </c>
      <c r="F48" s="13">
        <v>971</v>
      </c>
      <c r="G48" s="7">
        <v>428</v>
      </c>
      <c r="H48" s="16" t="str">
        <f t="shared" si="0"/>
        <v>(46,0,'Medarreg3',35*103,1*706,971,428),</v>
      </c>
    </row>
    <row r="49" spans="1:8" ht="20.149999999999999" customHeight="1" x14ac:dyDescent="0.35">
      <c r="A49" s="3">
        <v>47</v>
      </c>
      <c r="B49" s="15">
        <v>0</v>
      </c>
      <c r="C49" s="13" t="s">
        <v>5514</v>
      </c>
      <c r="D49" s="13">
        <v>27</v>
      </c>
      <c r="E49" s="13" t="s">
        <v>5976</v>
      </c>
      <c r="F49" s="13">
        <v>380</v>
      </c>
      <c r="G49" s="7">
        <v>1116</v>
      </c>
      <c r="H49" s="16" t="str">
        <f t="shared" si="0"/>
        <v>(47,0,'Mederba',27,8*5,380,1116),</v>
      </c>
    </row>
    <row r="50" spans="1:8" ht="20.149999999999999" customHeight="1" x14ac:dyDescent="0.35">
      <c r="A50" s="3">
        <v>48</v>
      </c>
      <c r="B50" s="15">
        <v>0</v>
      </c>
      <c r="C50" s="13" t="s">
        <v>1767</v>
      </c>
      <c r="D50" s="13" t="s">
        <v>5977</v>
      </c>
      <c r="E50" s="13" t="s">
        <v>5978</v>
      </c>
      <c r="F50" s="13">
        <v>710</v>
      </c>
      <c r="G50" s="7">
        <v>1006</v>
      </c>
      <c r="H50" s="16" t="str">
        <f t="shared" si="0"/>
        <v>(48,0,'Medjedel',35*15,3*683,710,1006),</v>
      </c>
    </row>
    <row r="51" spans="1:8" ht="20.149999999999999" customHeight="1" x14ac:dyDescent="0.35">
      <c r="A51" s="3">
        <v>49</v>
      </c>
      <c r="B51" s="15">
        <v>0</v>
      </c>
      <c r="C51" s="13" t="s">
        <v>5515</v>
      </c>
      <c r="D51" s="13" t="s">
        <v>5909</v>
      </c>
      <c r="E51" s="13" t="s">
        <v>5910</v>
      </c>
      <c r="F51" s="13">
        <v>2</v>
      </c>
      <c r="G51" s="7">
        <v>1065</v>
      </c>
      <c r="H51" s="16" t="str">
        <f t="shared" si="0"/>
        <v>(49,0,'Mers El Hadjadj',35*862,-0*345,2,1065),</v>
      </c>
    </row>
    <row r="52" spans="1:8" ht="20.149999999999999" customHeight="1" x14ac:dyDescent="0.35">
      <c r="A52" s="3">
        <v>50</v>
      </c>
      <c r="B52" s="15">
        <v>0</v>
      </c>
      <c r="C52" s="13" t="s">
        <v>5351</v>
      </c>
      <c r="D52" s="13" t="s">
        <v>5979</v>
      </c>
      <c r="E52" s="13" t="s">
        <v>5980</v>
      </c>
      <c r="F52" s="13">
        <v>172</v>
      </c>
      <c r="G52" s="7">
        <v>1064</v>
      </c>
      <c r="H52" s="16" t="str">
        <f t="shared" si="0"/>
        <v>(50,0,'Mesdar',31*192,6*794,172,1064),</v>
      </c>
    </row>
    <row r="53" spans="1:8" ht="20.149999999999999" customHeight="1" x14ac:dyDescent="0.35">
      <c r="A53" s="3">
        <v>51</v>
      </c>
      <c r="B53" s="15">
        <v>0</v>
      </c>
      <c r="C53" s="13" t="s">
        <v>5516</v>
      </c>
      <c r="D53" s="13" t="s">
        <v>5981</v>
      </c>
      <c r="E53" s="13" t="s">
        <v>5982</v>
      </c>
      <c r="F53" s="13">
        <v>885</v>
      </c>
      <c r="G53" s="7">
        <v>61</v>
      </c>
      <c r="H53" s="16" t="str">
        <f t="shared" si="0"/>
        <v>(51,0,'Milok1',33*481,2*523,885,61),</v>
      </c>
    </row>
    <row r="54" spans="1:8" ht="20.149999999999999" customHeight="1" x14ac:dyDescent="0.35">
      <c r="A54" s="3">
        <v>52</v>
      </c>
      <c r="B54" s="15">
        <v>0</v>
      </c>
      <c r="C54" s="13" t="s">
        <v>5517</v>
      </c>
      <c r="D54" s="13" t="s">
        <v>5983</v>
      </c>
      <c r="E54" s="13" t="s">
        <v>5984</v>
      </c>
      <c r="F54" s="13">
        <v>885</v>
      </c>
      <c r="G54" s="7">
        <v>52</v>
      </c>
      <c r="H54" s="16" t="str">
        <f t="shared" si="0"/>
        <v>(52,0,'Milok2',33*803,2*875,885,52),</v>
      </c>
    </row>
    <row r="55" spans="1:8" ht="20.149999999999999" customHeight="1" x14ac:dyDescent="0.35">
      <c r="A55" s="3">
        <v>53</v>
      </c>
      <c r="B55" s="15">
        <v>0</v>
      </c>
      <c r="C55" s="13" t="s">
        <v>5518</v>
      </c>
      <c r="D55" s="13" t="s">
        <v>5985</v>
      </c>
      <c r="E55" s="13" t="s">
        <v>5986</v>
      </c>
      <c r="F55" s="13">
        <v>10</v>
      </c>
      <c r="G55" s="7">
        <v>1065</v>
      </c>
      <c r="H55" s="16" t="str">
        <f t="shared" si="0"/>
        <v>(53,0,'Mohgoun plateau1',35*83,-0*324,10,1065),</v>
      </c>
    </row>
    <row r="56" spans="1:8" ht="20.149999999999999" customHeight="1" x14ac:dyDescent="0.35">
      <c r="A56" s="3">
        <v>54</v>
      </c>
      <c r="B56" s="15">
        <v>0</v>
      </c>
      <c r="C56" s="13" t="s">
        <v>5519</v>
      </c>
      <c r="D56" s="13" t="s">
        <v>5987</v>
      </c>
      <c r="E56" s="13" t="s">
        <v>5988</v>
      </c>
      <c r="F56" s="13">
        <v>5</v>
      </c>
      <c r="G56" s="7">
        <v>1065</v>
      </c>
      <c r="H56" s="16" t="str">
        <f t="shared" si="0"/>
        <v>(54,0,'Mohgoun plateau2',35*863,-0*331,5,1065),</v>
      </c>
    </row>
    <row r="57" spans="1:8" ht="20.149999999999999" customHeight="1" x14ac:dyDescent="0.35">
      <c r="A57" s="3">
        <v>55</v>
      </c>
      <c r="B57" s="15">
        <v>0</v>
      </c>
      <c r="C57" s="13" t="s">
        <v>2900</v>
      </c>
      <c r="D57" s="13" t="s">
        <v>5989</v>
      </c>
      <c r="E57" s="13" t="s">
        <v>5990</v>
      </c>
      <c r="F57" s="13">
        <v>1100</v>
      </c>
      <c r="G57" s="7">
        <v>579</v>
      </c>
      <c r="H57" s="16" t="str">
        <f t="shared" si="0"/>
        <v>(55,0,'Moudjebara',34*507,3*47,1100,579),</v>
      </c>
    </row>
    <row r="58" spans="1:8" ht="20.149999999999999" customHeight="1" x14ac:dyDescent="0.35">
      <c r="A58" s="3">
        <v>56</v>
      </c>
      <c r="B58" s="15">
        <v>0</v>
      </c>
      <c r="C58" s="13" t="s">
        <v>5887</v>
      </c>
      <c r="D58" s="13" t="s">
        <v>5991</v>
      </c>
      <c r="E58" s="13" t="s">
        <v>5992</v>
      </c>
      <c r="F58" s="13">
        <v>856</v>
      </c>
      <c r="G58" s="7">
        <v>52</v>
      </c>
      <c r="H58" s="16" t="str">
        <f t="shared" si="0"/>
        <v>(56,0,'M\'seka1',33*789,2*583,856,52),</v>
      </c>
    </row>
    <row r="59" spans="1:8" ht="20.149999999999999" customHeight="1" x14ac:dyDescent="0.35">
      <c r="A59" s="3">
        <v>57</v>
      </c>
      <c r="B59" s="15">
        <v>0</v>
      </c>
      <c r="C59" s="13" t="s">
        <v>5888</v>
      </c>
      <c r="D59" s="13" t="s">
        <v>5993</v>
      </c>
      <c r="E59" s="13" t="s">
        <v>5994</v>
      </c>
      <c r="F59" s="13">
        <v>875</v>
      </c>
      <c r="G59" s="7">
        <v>52</v>
      </c>
      <c r="H59" s="16" t="str">
        <f t="shared" si="0"/>
        <v>(57,0,'M\'seka2',33*809,2*59,875,52),</v>
      </c>
    </row>
    <row r="60" spans="1:8" ht="20.149999999999999" customHeight="1" x14ac:dyDescent="0.35">
      <c r="A60" s="3">
        <v>58</v>
      </c>
      <c r="B60" s="15">
        <v>0</v>
      </c>
      <c r="C60" s="13" t="s">
        <v>5889</v>
      </c>
      <c r="D60" s="13" t="s">
        <v>5995</v>
      </c>
      <c r="E60" s="13" t="s">
        <v>5996</v>
      </c>
      <c r="F60" s="13">
        <v>835</v>
      </c>
      <c r="G60" s="7">
        <v>52</v>
      </c>
      <c r="H60" s="16" t="str">
        <f t="shared" si="0"/>
        <v>(58,0,'M\'seka3',33*769,2*576,835,52),</v>
      </c>
    </row>
    <row r="61" spans="1:8" ht="20.149999999999999" customHeight="1" x14ac:dyDescent="0.35">
      <c r="A61" s="3">
        <v>59</v>
      </c>
      <c r="B61" s="15">
        <v>0</v>
      </c>
      <c r="C61" s="13" t="s">
        <v>5890</v>
      </c>
      <c r="D61" s="13" t="s">
        <v>5997</v>
      </c>
      <c r="E61" s="13" t="s">
        <v>5998</v>
      </c>
      <c r="F61" s="13">
        <v>600</v>
      </c>
      <c r="G61" s="7">
        <v>963</v>
      </c>
      <c r="H61" s="16" t="str">
        <f t="shared" si="0"/>
        <v>(59,0,'M\'Sila',35*719,4*523,600,963),</v>
      </c>
    </row>
    <row r="62" spans="1:8" ht="20.149999999999999" customHeight="1" x14ac:dyDescent="0.35">
      <c r="A62" s="3">
        <v>60</v>
      </c>
      <c r="B62" s="15">
        <v>0</v>
      </c>
      <c r="C62" s="13" t="s">
        <v>3792</v>
      </c>
      <c r="D62" s="13" t="s">
        <v>5999</v>
      </c>
      <c r="E62" s="13" t="s">
        <v>6000</v>
      </c>
      <c r="F62" s="13">
        <v>1018</v>
      </c>
      <c r="G62" s="7">
        <v>413</v>
      </c>
      <c r="H62" s="16" t="str">
        <f t="shared" si="0"/>
        <v>(60,0,'Nador',35*288,1*452,1018,413),</v>
      </c>
    </row>
    <row r="63" spans="1:8" ht="20.149999999999999" customHeight="1" x14ac:dyDescent="0.35">
      <c r="A63" s="3">
        <v>61</v>
      </c>
      <c r="B63" s="15">
        <v>0</v>
      </c>
      <c r="C63" s="13" t="s">
        <v>4044</v>
      </c>
      <c r="D63" s="13" t="s">
        <v>6001</v>
      </c>
      <c r="E63" s="13" t="s">
        <v>6002</v>
      </c>
      <c r="F63" s="13">
        <v>182</v>
      </c>
      <c r="G63" s="7">
        <v>1057</v>
      </c>
      <c r="H63" s="16" t="str">
        <f t="shared" si="0"/>
        <v>(61,0,'Nezla',33*083,6*051,182,1057),</v>
      </c>
    </row>
    <row r="64" spans="1:8" ht="20.149999999999999" customHeight="1" x14ac:dyDescent="0.35">
      <c r="A64" s="3">
        <v>62</v>
      </c>
      <c r="B64" s="15">
        <v>0</v>
      </c>
      <c r="C64" s="13" t="s">
        <v>5891</v>
      </c>
      <c r="D64" s="13" t="s">
        <v>6003</v>
      </c>
      <c r="E64" s="13" t="s">
        <v>6004</v>
      </c>
      <c r="F64" s="13">
        <v>580</v>
      </c>
      <c r="G64" s="7">
        <v>124</v>
      </c>
      <c r="H64" s="16" t="str">
        <f t="shared" si="0"/>
        <v>(62,0,'N\'Gaous',35*557,5*593,580,124),</v>
      </c>
    </row>
    <row r="65" spans="1:8" ht="20.149999999999999" customHeight="1" x14ac:dyDescent="0.35">
      <c r="A65" s="3">
        <v>63</v>
      </c>
      <c r="B65" s="15">
        <v>0</v>
      </c>
      <c r="C65" s="13" t="s">
        <v>5347</v>
      </c>
      <c r="D65" s="13" t="s">
        <v>6005</v>
      </c>
      <c r="E65" s="13" t="s">
        <v>6006</v>
      </c>
      <c r="F65" s="13">
        <v>600</v>
      </c>
      <c r="G65" s="7">
        <v>1113</v>
      </c>
      <c r="H65" s="16" t="str">
        <f t="shared" si="0"/>
        <v>(63,0,'Ohanet',28*68,8*873,600,1113),</v>
      </c>
    </row>
    <row r="66" spans="1:8" ht="20.149999999999999" customHeight="1" x14ac:dyDescent="0.35">
      <c r="A66" s="3">
        <v>64</v>
      </c>
      <c r="B66" s="15">
        <v>0</v>
      </c>
      <c r="C66" s="13" t="s">
        <v>5520</v>
      </c>
      <c r="D66" s="13" t="s">
        <v>6007</v>
      </c>
      <c r="E66" s="13" t="s">
        <v>6008</v>
      </c>
      <c r="F66" s="13">
        <v>256</v>
      </c>
      <c r="G66" s="7">
        <v>1057</v>
      </c>
      <c r="H66" s="16" t="str">
        <f t="shared" si="0"/>
        <v>(64,0,'Ouargla1',31*951,5*331,256,1057),</v>
      </c>
    </row>
    <row r="67" spans="1:8" ht="20.149999999999999" customHeight="1" x14ac:dyDescent="0.35">
      <c r="A67" s="3">
        <v>65</v>
      </c>
      <c r="B67" s="15">
        <v>0</v>
      </c>
      <c r="C67" s="13" t="s">
        <v>5521</v>
      </c>
      <c r="D67" s="13" t="s">
        <v>6009</v>
      </c>
      <c r="E67" s="13" t="s">
        <v>6010</v>
      </c>
      <c r="F67" s="13">
        <v>260</v>
      </c>
      <c r="G67" s="7">
        <v>1057</v>
      </c>
      <c r="H67" s="16" t="str">
        <f t="shared" si="0"/>
        <v>(65,0,'Ouargla2',31*933,5*327,260,1057),</v>
      </c>
    </row>
    <row r="68" spans="1:8" ht="20.149999999999999" customHeight="1" x14ac:dyDescent="0.35">
      <c r="A68" s="3">
        <v>66</v>
      </c>
      <c r="B68" s="15">
        <v>0</v>
      </c>
      <c r="C68" s="13" t="s">
        <v>5488</v>
      </c>
      <c r="D68" s="13" t="s">
        <v>6011</v>
      </c>
      <c r="E68" s="13" t="s">
        <v>6012</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6013</v>
      </c>
      <c r="E69" s="13" t="s">
        <v>6014</v>
      </c>
      <c r="F69" s="13">
        <v>397</v>
      </c>
      <c r="G69" s="7">
        <v>1498</v>
      </c>
      <c r="H69" s="16" t="str">
        <f t="shared" si="1"/>
        <v>(67,0,'Ouled Djellal',34*417,5*067,397,1498),</v>
      </c>
    </row>
    <row r="70" spans="1:8" ht="20.149999999999999" customHeight="1" x14ac:dyDescent="0.35">
      <c r="A70" s="3">
        <v>68</v>
      </c>
      <c r="B70" s="15">
        <v>0</v>
      </c>
      <c r="C70" s="13" t="s">
        <v>5522</v>
      </c>
      <c r="D70" s="13" t="s">
        <v>6015</v>
      </c>
      <c r="E70" s="13" t="s">
        <v>6016</v>
      </c>
      <c r="F70" s="13">
        <v>360</v>
      </c>
      <c r="G70" s="7">
        <v>1057</v>
      </c>
      <c r="H70" s="16" t="str">
        <f t="shared" si="1"/>
        <v>(68,0,'Ourhoud',31*7,5*85,360,1057),</v>
      </c>
    </row>
    <row r="71" spans="1:8" ht="20.149999999999999" customHeight="1" x14ac:dyDescent="0.35">
      <c r="A71" s="3">
        <v>69</v>
      </c>
      <c r="B71" s="15">
        <v>0</v>
      </c>
      <c r="C71" s="13" t="s">
        <v>1123</v>
      </c>
      <c r="D71" s="13" t="s">
        <v>6017</v>
      </c>
      <c r="E71" s="13" t="s">
        <v>6018</v>
      </c>
      <c r="F71" s="13">
        <v>200</v>
      </c>
      <c r="G71" s="7">
        <v>4</v>
      </c>
      <c r="H71" s="16" t="str">
        <f t="shared" si="1"/>
        <v>(69,0,'Reggane',26*8,-2*8,200,4),</v>
      </c>
    </row>
    <row r="72" spans="1:8" ht="20.149999999999999" customHeight="1" x14ac:dyDescent="0.35">
      <c r="A72" s="3">
        <v>70</v>
      </c>
      <c r="B72" s="15">
        <v>0</v>
      </c>
      <c r="C72" s="13" t="s">
        <v>5371</v>
      </c>
      <c r="D72" s="13" t="s">
        <v>6019</v>
      </c>
      <c r="E72" s="13" t="s">
        <v>6020</v>
      </c>
      <c r="F72" s="13">
        <v>300</v>
      </c>
      <c r="G72" s="7">
        <v>1064</v>
      </c>
      <c r="H72" s="16" t="str">
        <f t="shared" si="1"/>
        <v>(70,0,'Rhoude El Baguel',32*15,2*15,300,1064),</v>
      </c>
    </row>
    <row r="73" spans="1:8" ht="20.149999999999999" customHeight="1" x14ac:dyDescent="0.35">
      <c r="A73" s="3">
        <v>71</v>
      </c>
      <c r="B73" s="15">
        <v>0</v>
      </c>
      <c r="C73" s="13" t="s">
        <v>5523</v>
      </c>
      <c r="D73" s="13" t="s">
        <v>6021</v>
      </c>
      <c r="E73" s="13" t="s">
        <v>6022</v>
      </c>
      <c r="F73" s="13">
        <v>252</v>
      </c>
      <c r="G73" s="7">
        <v>1114</v>
      </c>
      <c r="H73" s="16" t="str">
        <f t="shared" si="1"/>
        <v>(71,0,'Rhourde Nouss',29*74,6*702,252,1114),</v>
      </c>
    </row>
    <row r="74" spans="1:8" ht="20.149999999999999" customHeight="1" x14ac:dyDescent="0.35">
      <c r="A74" s="3">
        <v>72</v>
      </c>
      <c r="B74" s="15">
        <v>0</v>
      </c>
      <c r="C74" s="13" t="s">
        <v>2103</v>
      </c>
      <c r="D74" s="13" t="s">
        <v>6023</v>
      </c>
      <c r="E74" s="13" t="s">
        <v>6024</v>
      </c>
      <c r="F74" s="13">
        <v>280</v>
      </c>
      <c r="G74" s="7">
        <v>1</v>
      </c>
      <c r="H74" s="16" t="str">
        <f t="shared" si="1"/>
        <v>(72,0,'Sebaa',28*21,-0*156,280,1),</v>
      </c>
    </row>
    <row r="75" spans="1:8" ht="20.149999999999999" customHeight="1" x14ac:dyDescent="0.35">
      <c r="A75" s="3">
        <v>73</v>
      </c>
      <c r="B75" s="15">
        <v>0</v>
      </c>
      <c r="C75" s="13" t="s">
        <v>2251</v>
      </c>
      <c r="D75" s="13" t="s">
        <v>6025</v>
      </c>
      <c r="E75" s="13" t="s">
        <v>6026</v>
      </c>
      <c r="F75" s="13">
        <v>575</v>
      </c>
      <c r="G75" s="7">
        <v>105</v>
      </c>
      <c r="H75" s="16" t="str">
        <f t="shared" si="1"/>
        <v>(73,0,'Sefiane',35*235,6*123,575,105),</v>
      </c>
    </row>
    <row r="76" spans="1:8" ht="20.149999999999999" customHeight="1" x14ac:dyDescent="0.35">
      <c r="A76" s="3">
        <v>74</v>
      </c>
      <c r="B76" s="15">
        <v>0</v>
      </c>
      <c r="C76" s="13" t="s">
        <v>5524</v>
      </c>
      <c r="D76" s="13" t="s">
        <v>5943</v>
      </c>
      <c r="E76" s="13" t="s">
        <v>5944</v>
      </c>
      <c r="F76" s="13">
        <v>185</v>
      </c>
      <c r="G76" s="7">
        <v>231</v>
      </c>
      <c r="H76" s="16" t="str">
        <f t="shared" si="1"/>
        <v>(74,0,'Selga/El Outaya',35*034,5*595,185,231),</v>
      </c>
    </row>
    <row r="77" spans="1:8" ht="20.149999999999999" customHeight="1" x14ac:dyDescent="0.35">
      <c r="A77" s="3">
        <v>75</v>
      </c>
      <c r="B77" s="15">
        <v>0</v>
      </c>
      <c r="C77" s="13" t="s">
        <v>5525</v>
      </c>
      <c r="D77" s="13" t="s">
        <v>6027</v>
      </c>
      <c r="E77" s="13" t="s">
        <v>6028</v>
      </c>
      <c r="F77" s="13">
        <v>80</v>
      </c>
      <c r="G77" s="7">
        <v>544</v>
      </c>
      <c r="H77" s="16" t="str">
        <f t="shared" si="1"/>
        <v>(75,0,'Sidi Arcine',36*754,3*059,80,544),</v>
      </c>
    </row>
    <row r="78" spans="1:8" ht="20.149999999999999" customHeight="1" x14ac:dyDescent="0.35">
      <c r="A78" s="3">
        <v>76</v>
      </c>
      <c r="B78" s="15">
        <v>0</v>
      </c>
      <c r="C78" s="13" t="s">
        <v>1012</v>
      </c>
      <c r="D78" s="13" t="s">
        <v>6029</v>
      </c>
      <c r="E78" s="13" t="s">
        <v>6030</v>
      </c>
      <c r="F78" s="13">
        <v>18</v>
      </c>
      <c r="G78" s="7">
        <v>721</v>
      </c>
      <c r="H78" s="16" t="str">
        <f t="shared" si="1"/>
        <v>(76,0,'Skikda',36*885,6*924,18,721),</v>
      </c>
    </row>
    <row r="79" spans="1:8" ht="20.149999999999999" customHeight="1" x14ac:dyDescent="0.35">
      <c r="A79" s="3">
        <v>77</v>
      </c>
      <c r="B79" s="15">
        <v>0</v>
      </c>
      <c r="C79" s="13" t="s">
        <v>5526</v>
      </c>
      <c r="D79" s="13" t="s">
        <v>6031</v>
      </c>
      <c r="E79" s="13" t="s">
        <v>6032</v>
      </c>
      <c r="F79" s="13">
        <v>890</v>
      </c>
      <c r="G79" s="7">
        <v>52</v>
      </c>
      <c r="H79" s="16" t="str">
        <f t="shared" si="1"/>
        <v>(77,0,'Timzhert 1',33*625,2*739,890,52),</v>
      </c>
    </row>
    <row r="80" spans="1:8" ht="20.149999999999999" customHeight="1" x14ac:dyDescent="0.35">
      <c r="A80" s="3">
        <v>78</v>
      </c>
      <c r="B80" s="15">
        <v>0</v>
      </c>
      <c r="C80" s="13" t="s">
        <v>5527</v>
      </c>
      <c r="D80" s="13" t="s">
        <v>6033</v>
      </c>
      <c r="E80" s="13" t="s">
        <v>6034</v>
      </c>
      <c r="F80" s="13">
        <v>912</v>
      </c>
      <c r="G80" s="7">
        <v>52</v>
      </c>
      <c r="H80" s="16" t="str">
        <f t="shared" si="1"/>
        <v>(78,0,'Timzhert 2',33*641,2*741,912,52),</v>
      </c>
    </row>
    <row r="81" spans="1:8" ht="20.149999999999999" customHeight="1" x14ac:dyDescent="0.35">
      <c r="A81" s="3">
        <v>79</v>
      </c>
      <c r="B81" s="15">
        <v>0</v>
      </c>
      <c r="C81" s="13" t="s">
        <v>5528</v>
      </c>
      <c r="D81" s="13" t="s">
        <v>6035</v>
      </c>
      <c r="E81" s="13" t="s">
        <v>6036</v>
      </c>
      <c r="F81" s="13">
        <v>875</v>
      </c>
      <c r="G81" s="7">
        <v>52</v>
      </c>
      <c r="H81" s="16" t="str">
        <f t="shared" si="1"/>
        <v>(79,0,'Timzhert 3',33*608,2*736,875,52),</v>
      </c>
    </row>
    <row r="82" spans="1:8" ht="20.149999999999999" customHeight="1" x14ac:dyDescent="0.35">
      <c r="A82" s="3">
        <v>80</v>
      </c>
      <c r="B82" s="15">
        <v>0</v>
      </c>
      <c r="C82" s="13" t="s">
        <v>5529</v>
      </c>
      <c r="D82" s="13" t="s">
        <v>6037</v>
      </c>
      <c r="E82" s="13" t="s">
        <v>6038</v>
      </c>
      <c r="F82" s="13">
        <v>470</v>
      </c>
      <c r="G82" s="7">
        <v>1113</v>
      </c>
      <c r="H82" s="16" t="str">
        <f t="shared" si="1"/>
        <v>(80,0,'Tin-Fouyé 1',28*146,6*826,470,1113),</v>
      </c>
    </row>
    <row r="83" spans="1:8" ht="20.149999999999999" customHeight="1" x14ac:dyDescent="0.35">
      <c r="A83" s="3">
        <v>81</v>
      </c>
      <c r="B83" s="15">
        <v>0</v>
      </c>
      <c r="C83" s="13" t="s">
        <v>5530</v>
      </c>
      <c r="D83" s="13" t="s">
        <v>6039</v>
      </c>
      <c r="E83" s="13" t="s">
        <v>6040</v>
      </c>
      <c r="F83" s="13">
        <v>400</v>
      </c>
      <c r="G83" s="7">
        <v>1113</v>
      </c>
      <c r="H83" s="16" t="str">
        <f t="shared" si="1"/>
        <v>(81,0,'Tin-Fouyé 2',27*5,10*2,400,1113),</v>
      </c>
    </row>
    <row r="84" spans="1:8" ht="20.149999999999999" customHeight="1" x14ac:dyDescent="0.35">
      <c r="A84" s="3">
        <v>82</v>
      </c>
      <c r="B84" s="15">
        <v>0</v>
      </c>
      <c r="C84" s="13" t="s">
        <v>1273</v>
      </c>
      <c r="D84" s="13" t="s">
        <v>5892</v>
      </c>
      <c r="E84" s="13" t="s">
        <v>5950</v>
      </c>
      <c r="F84" s="13">
        <v>495</v>
      </c>
      <c r="G84" s="7">
        <v>237</v>
      </c>
      <c r="H84" s="16" t="str">
        <f t="shared" si="1"/>
        <v>(82,0,'Tolga',34*833,6*071,495,237),</v>
      </c>
    </row>
    <row r="85" spans="1:8" ht="20.149999999999999" customHeight="1" x14ac:dyDescent="0.35">
      <c r="A85" s="3">
        <v>83</v>
      </c>
      <c r="B85" s="15">
        <v>0</v>
      </c>
      <c r="C85" s="13" t="s">
        <v>5531</v>
      </c>
      <c r="D85" s="13" t="s">
        <v>6041</v>
      </c>
      <c r="E85" s="13" t="s">
        <v>6042</v>
      </c>
      <c r="F85" s="13">
        <v>1032</v>
      </c>
      <c r="G85" s="7">
        <v>413</v>
      </c>
      <c r="H85" s="16" t="str">
        <f t="shared" si="1"/>
        <v>(83,0,'Zaaroura',35*345,1*319,1032,413),</v>
      </c>
    </row>
    <row r="86" spans="1:8" ht="20.149999999999999" customHeight="1" x14ac:dyDescent="0.35">
      <c r="A86" s="3">
        <v>84</v>
      </c>
      <c r="B86" s="15">
        <v>0</v>
      </c>
      <c r="C86" s="13" t="s">
        <v>5532</v>
      </c>
      <c r="D86" s="13" t="s">
        <v>6043</v>
      </c>
      <c r="E86" s="13" t="s">
        <v>6044</v>
      </c>
      <c r="F86" s="13">
        <v>166</v>
      </c>
      <c r="G86" s="7">
        <v>1057</v>
      </c>
      <c r="H86" s="16" t="str">
        <f t="shared" si="1"/>
        <v>(84,0,'Zina',31*788,6*052,166,1057),</v>
      </c>
    </row>
    <row r="87" spans="1:8" ht="20.149999999999999" customHeight="1" x14ac:dyDescent="0.35">
      <c r="A87" s="3">
        <v>85</v>
      </c>
      <c r="B87" s="15">
        <v>0</v>
      </c>
      <c r="C87" s="13" t="s">
        <v>5533</v>
      </c>
      <c r="D87" s="13" t="s">
        <v>6045</v>
      </c>
      <c r="E87" s="13" t="s">
        <v>6046</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F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30A0"/>
  </sheetPr>
  <dimension ref="A1:H22"/>
  <sheetViews>
    <sheetView topLeftCell="A4" workbookViewId="0">
      <selection activeCell="C18" sqref="C1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10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6047</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11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13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6048</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6049</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6050</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6051</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6052</v>
      </c>
      <c r="F38" s="4" t="str">
        <f t="shared" si="0"/>
        <v>(36,'ES','فصل الإيثان','Ethane Separation','Séparation de l\'Éthane'),</v>
      </c>
    </row>
  </sheetData>
  <autoFilter ref="A2:F38" xr:uid="{00000000-0009-0000-0000-000014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5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6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7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8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9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A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B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C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D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E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I215"/>
  <sheetViews>
    <sheetView topLeftCell="A41" workbookViewId="0">
      <selection activeCell="A52" sqref="A52:I52"/>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6053</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6054</v>
      </c>
      <c r="D4" s="22">
        <v>39609</v>
      </c>
      <c r="E4" s="22">
        <v>40436</v>
      </c>
      <c r="F4" s="5" t="s">
        <v>972</v>
      </c>
      <c r="G4" s="5">
        <v>1</v>
      </c>
      <c r="H4" s="5">
        <v>10</v>
      </c>
      <c r="I4" s="4" t="str">
        <f t="shared" ref="I4:I69" si="0">CONCATENATE("(",A4,",'",B4,"','",C4,"','",TEXT(D4,"yyyy-mm-dd"),"','",TEXT(E4,"yyyy-mm-dd"),"',",F4,",",G4,",",H4,"),")</f>
        <v>(2,'ONET-OSS','Terminal d\'Exportation Terrestre Oued Saf Saf','yyyy-06-dd','yyyy-09-dd',NULL,1,10),</v>
      </c>
    </row>
    <row r="5" spans="1:9" ht="20.149999999999999" customHeight="1" x14ac:dyDescent="0.35">
      <c r="A5" s="3">
        <v>3</v>
      </c>
      <c r="B5" s="17" t="s">
        <v>4850</v>
      </c>
      <c r="C5" s="4" t="s">
        <v>6055</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6809</v>
      </c>
      <c r="C6" s="43" t="s">
        <v>6810</v>
      </c>
      <c r="D6" s="22">
        <v>40909</v>
      </c>
      <c r="E6" s="22">
        <v>40909</v>
      </c>
      <c r="F6" s="5" t="s">
        <v>972</v>
      </c>
      <c r="G6" s="5">
        <v>1</v>
      </c>
      <c r="H6" s="5">
        <v>10</v>
      </c>
      <c r="I6" s="4" t="str">
        <f t="shared" si="0"/>
        <v>(4,'ONET-KL','Terminal d\'Exportation Terrestre El Kala','yyyy-01-dd','yyyy-01-dd',NULL,1,10),</v>
      </c>
    </row>
    <row r="7" spans="1:9" ht="20.149999999999999" customHeight="1" x14ac:dyDescent="0.35">
      <c r="A7" s="3">
        <v>5</v>
      </c>
      <c r="B7" s="17" t="s">
        <v>4851</v>
      </c>
      <c r="C7" s="4" t="s">
        <v>6056</v>
      </c>
      <c r="D7" s="22">
        <v>28505</v>
      </c>
      <c r="E7" s="22">
        <v>29757</v>
      </c>
      <c r="F7" s="5" t="s">
        <v>972</v>
      </c>
      <c r="G7" s="5">
        <v>1</v>
      </c>
      <c r="H7" s="5">
        <v>10</v>
      </c>
      <c r="I7" s="4" t="str">
        <f t="shared" si="0"/>
        <v>(5,'DZAZW','Terminal d\'Exportation Maritime Export port','yyyy-01-dd','yyyy-06-dd',NULL,1,10),</v>
      </c>
    </row>
    <row r="8" spans="1:9" ht="20.149999999999999" customHeight="1" x14ac:dyDescent="0.35">
      <c r="A8" s="3">
        <v>6</v>
      </c>
      <c r="B8" s="17" t="s">
        <v>4852</v>
      </c>
      <c r="C8" s="4" t="s">
        <v>6056</v>
      </c>
      <c r="D8" s="22">
        <v>26368</v>
      </c>
      <c r="E8" s="22">
        <v>27662</v>
      </c>
      <c r="F8" s="5" t="s">
        <v>972</v>
      </c>
      <c r="G8" s="5">
        <v>1</v>
      </c>
      <c r="H8" s="5">
        <v>10</v>
      </c>
      <c r="I8" s="4" t="str">
        <f t="shared" si="0"/>
        <v>(6,'DZSKI','Terminal d\'Exportation Maritime Export port','yyyy-03-dd','yyyy-09-dd',NULL,1,10),</v>
      </c>
    </row>
    <row r="9" spans="1:9" ht="20.149999999999999" customHeight="1" x14ac:dyDescent="0.35">
      <c r="A9" s="3">
        <v>7</v>
      </c>
      <c r="B9" s="17" t="s">
        <v>4853</v>
      </c>
      <c r="C9" s="4" t="s">
        <v>6056</v>
      </c>
      <c r="D9" s="22">
        <v>35927</v>
      </c>
      <c r="E9" s="22">
        <v>36968</v>
      </c>
      <c r="F9" s="5" t="s">
        <v>972</v>
      </c>
      <c r="G9" s="5">
        <v>1</v>
      </c>
      <c r="H9" s="5">
        <v>10</v>
      </c>
      <c r="I9" s="4" t="str">
        <f t="shared" si="0"/>
        <v>(7,'DZBJA','Terminal d\'Exportation Maritime Export port','yyyy-05-dd','yyyy-03-dd',NULL,1,10),</v>
      </c>
    </row>
    <row r="10" spans="1:9" ht="20.149999999999999" customHeight="1" x14ac:dyDescent="0.35">
      <c r="A10" s="3">
        <v>8</v>
      </c>
      <c r="B10" s="17" t="s">
        <v>4854</v>
      </c>
      <c r="C10" s="4" t="s">
        <v>4855</v>
      </c>
      <c r="D10" s="22">
        <v>37660</v>
      </c>
      <c r="E10" s="22">
        <v>38640</v>
      </c>
      <c r="F10" s="5" t="s">
        <v>972</v>
      </c>
      <c r="G10" s="5">
        <v>1</v>
      </c>
      <c r="H10" s="5">
        <v>10</v>
      </c>
      <c r="I10" s="4" t="str">
        <f t="shared" si="0"/>
        <v>(8,'CDHL','Terminal de Distribution CDHL','yyyy-02-dd','yyyy-10-dd',NULL,1,10),</v>
      </c>
    </row>
    <row r="11" spans="1:9" ht="20.149999999999999" customHeight="1" x14ac:dyDescent="0.35">
      <c r="A11" s="3">
        <v>9</v>
      </c>
      <c r="B11" s="17" t="s">
        <v>4856</v>
      </c>
      <c r="C11" s="4" t="s">
        <v>4857</v>
      </c>
      <c r="D11" s="22">
        <v>38188</v>
      </c>
      <c r="E11" s="22">
        <v>39051</v>
      </c>
      <c r="F11" s="5" t="s">
        <v>972</v>
      </c>
      <c r="G11" s="5">
        <v>1</v>
      </c>
      <c r="H11" s="5">
        <v>10</v>
      </c>
      <c r="I11" s="4" t="str">
        <f t="shared" si="0"/>
        <v>(9,'CNDG','Terminal de Distribution CNDG','yyyy-07-dd','yyyy-11-dd',NULL,1,10),</v>
      </c>
    </row>
    <row r="12" spans="1:9" ht="20.149999999999999" customHeight="1" x14ac:dyDescent="0.35">
      <c r="A12" s="3">
        <v>10</v>
      </c>
      <c r="B12" s="17" t="s">
        <v>4858</v>
      </c>
      <c r="C12" s="4" t="s">
        <v>4859</v>
      </c>
      <c r="D12" s="22">
        <v>39340</v>
      </c>
      <c r="E12" s="22">
        <v>40047</v>
      </c>
      <c r="F12" s="5" t="s">
        <v>972</v>
      </c>
      <c r="G12" s="5">
        <v>1</v>
      </c>
      <c r="H12" s="5">
        <v>10</v>
      </c>
      <c r="I12" s="4" t="str">
        <f t="shared" si="0"/>
        <v>(10,'DT-MED','Terminal de Distribution Medjedel','yyyy-09-dd','yyyy-08-dd',NULL,1,10),</v>
      </c>
    </row>
    <row r="13" spans="1:9" ht="20.149999999999999" customHeight="1" x14ac:dyDescent="0.35">
      <c r="A13" s="3">
        <v>11</v>
      </c>
      <c r="B13" s="17" t="s">
        <v>4860</v>
      </c>
      <c r="C13" s="4" t="s">
        <v>6057</v>
      </c>
      <c r="D13" s="22">
        <v>39556</v>
      </c>
      <c r="E13" s="22">
        <v>40371</v>
      </c>
      <c r="F13" s="5" t="s">
        <v>972</v>
      </c>
      <c r="G13" s="5">
        <v>1</v>
      </c>
      <c r="H13" s="5">
        <v>10</v>
      </c>
      <c r="I13" s="4" t="str">
        <f t="shared" si="0"/>
        <v>(11,'DT-MSL','Terminal de Distribution M\'Sila','yyyy-04-dd','yyyy-07-dd',NULL,1,10),</v>
      </c>
    </row>
    <row r="14" spans="1:9" ht="20.149999999999999" customHeight="1" x14ac:dyDescent="0.35">
      <c r="A14" s="3">
        <v>12</v>
      </c>
      <c r="B14" s="17" t="s">
        <v>4861</v>
      </c>
      <c r="C14" s="4" t="s">
        <v>4862</v>
      </c>
      <c r="D14" s="22">
        <v>40122</v>
      </c>
      <c r="E14" s="22">
        <v>40719</v>
      </c>
      <c r="F14" s="5" t="s">
        <v>972</v>
      </c>
      <c r="G14" s="5">
        <v>1</v>
      </c>
      <c r="H14" s="5">
        <v>10</v>
      </c>
      <c r="I14" s="4" t="str">
        <f t="shared" si="0"/>
        <v>(12,'DT-DJM','Terminal de Distribution SP1 Bis Djamaa','yyyy-11-dd','yyyy-06-dd',NULL,1,10),</v>
      </c>
    </row>
    <row r="15" spans="1:9" ht="20.149999999999999" customHeight="1" x14ac:dyDescent="0.35">
      <c r="A15" s="3">
        <v>13</v>
      </c>
      <c r="B15" s="17" t="s">
        <v>6813</v>
      </c>
      <c r="C15" s="43" t="s">
        <v>6814</v>
      </c>
      <c r="D15" s="22">
        <v>40179</v>
      </c>
      <c r="E15" s="22">
        <v>40179</v>
      </c>
      <c r="F15" s="5" t="s">
        <v>972</v>
      </c>
      <c r="G15" s="5">
        <v>1</v>
      </c>
      <c r="H15" s="5">
        <v>10</v>
      </c>
      <c r="I15" s="4"/>
    </row>
    <row r="16" spans="1:9" ht="20.149999999999999" customHeight="1" x14ac:dyDescent="0.35">
      <c r="A16" s="3">
        <v>14</v>
      </c>
      <c r="B16" s="17" t="s">
        <v>4863</v>
      </c>
      <c r="C16" s="4" t="s">
        <v>4864</v>
      </c>
      <c r="D16" s="22">
        <v>40249</v>
      </c>
      <c r="E16" s="22">
        <v>41160</v>
      </c>
      <c r="F16" s="5" t="s">
        <v>972</v>
      </c>
      <c r="G16" s="5">
        <v>1</v>
      </c>
      <c r="H16" s="5">
        <v>10</v>
      </c>
      <c r="I16" s="4" t="str">
        <f t="shared" si="0"/>
        <v>(14,'TT-ARH','Terminal de Transfert Al Aricha','yyyy-03-dd','yyyy-09-dd',NULL,1,10),</v>
      </c>
    </row>
    <row r="17" spans="1:9" ht="20.149999999999999" customHeight="1" x14ac:dyDescent="0.35">
      <c r="A17" s="3">
        <v>15</v>
      </c>
      <c r="B17" s="17" t="s">
        <v>4865</v>
      </c>
      <c r="C17" s="4" t="s">
        <v>4866</v>
      </c>
      <c r="D17" s="22">
        <v>40683</v>
      </c>
      <c r="E17" s="22">
        <v>41593</v>
      </c>
      <c r="F17" s="5" t="s">
        <v>972</v>
      </c>
      <c r="G17" s="5">
        <v>1</v>
      </c>
      <c r="H17" s="5">
        <v>10</v>
      </c>
      <c r="I17" s="4" t="str">
        <f t="shared" si="0"/>
        <v>(15,'TT-BNM','Terminal de Transfert Beni Mensour','yyyy-05-dd','yyyy-11-dd',NULL,1,10),</v>
      </c>
    </row>
    <row r="18" spans="1:9" ht="20.149999999999999" customHeight="1" x14ac:dyDescent="0.35">
      <c r="A18" s="3">
        <v>16</v>
      </c>
      <c r="B18" s="17" t="s">
        <v>4867</v>
      </c>
      <c r="C18" s="4" t="s">
        <v>4868</v>
      </c>
      <c r="D18" s="22">
        <v>37478</v>
      </c>
      <c r="E18" s="22">
        <v>38341</v>
      </c>
      <c r="F18" s="5" t="s">
        <v>972</v>
      </c>
      <c r="G18" s="5">
        <v>1</v>
      </c>
      <c r="H18" s="5">
        <v>10</v>
      </c>
      <c r="I18" s="4" t="str">
        <f t="shared" si="0"/>
        <v>(16,'TT-HMD','Terminal de Transfert Hassi Messaoud','yyyy-08-dd','yyyy-12-dd',NULL,1,10),</v>
      </c>
    </row>
    <row r="19" spans="1:9" ht="20.149999999999999" customHeight="1" x14ac:dyDescent="0.35">
      <c r="A19" s="3">
        <v>17</v>
      </c>
      <c r="B19" s="17" t="s">
        <v>4869</v>
      </c>
      <c r="C19" s="4" t="s">
        <v>4870</v>
      </c>
      <c r="D19" s="22">
        <v>38518</v>
      </c>
      <c r="E19" s="22">
        <v>39385</v>
      </c>
      <c r="F19" s="5" t="s">
        <v>972</v>
      </c>
      <c r="G19" s="5">
        <v>1</v>
      </c>
      <c r="H19" s="5">
        <v>10</v>
      </c>
      <c r="I19" s="4" t="str">
        <f t="shared" si="0"/>
        <v>(17,'TT-MSD','Terminal de Transfert Mesdar','yyyy-06-dd','yyyy-10-dd',NULL,1,10),</v>
      </c>
    </row>
    <row r="20" spans="1:9" ht="20.149999999999999" customHeight="1" x14ac:dyDescent="0.35">
      <c r="A20" s="3">
        <v>18</v>
      </c>
      <c r="B20" s="17" t="s">
        <v>4871</v>
      </c>
      <c r="C20" s="4" t="s">
        <v>4872</v>
      </c>
      <c r="D20" s="22">
        <v>38982</v>
      </c>
      <c r="E20" s="22">
        <v>39678</v>
      </c>
      <c r="F20" s="5" t="s">
        <v>972</v>
      </c>
      <c r="G20" s="5">
        <v>1</v>
      </c>
      <c r="H20" s="5">
        <v>10</v>
      </c>
      <c r="I20" s="4" t="str">
        <f t="shared" si="0"/>
        <v>(18,'TT-OHT','Terminal de Transfert Ohanet','yyyy-09-dd','yyyy-08-dd',NULL,1,10),</v>
      </c>
    </row>
    <row r="21" spans="1:9" ht="20.149999999999999" customHeight="1" x14ac:dyDescent="0.35">
      <c r="A21" s="3">
        <v>19</v>
      </c>
      <c r="B21" s="17" t="s">
        <v>4873</v>
      </c>
      <c r="C21" s="4" t="s">
        <v>4874</v>
      </c>
      <c r="D21" s="22">
        <v>39421</v>
      </c>
      <c r="E21" s="22">
        <v>40014</v>
      </c>
      <c r="F21" s="5" t="s">
        <v>972</v>
      </c>
      <c r="G21" s="5">
        <v>1</v>
      </c>
      <c r="H21" s="5">
        <v>10</v>
      </c>
      <c r="I21" s="4" t="str">
        <f t="shared" si="0"/>
        <v>(19,'TT-137','Terminal de Transfert PC1/PK137','yyyy-12-dd','yyyy-07-dd',NULL,1,10),</v>
      </c>
    </row>
    <row r="22" spans="1:9" ht="20.149999999999999" customHeight="1" x14ac:dyDescent="0.35">
      <c r="A22" s="3">
        <v>20</v>
      </c>
      <c r="B22" s="17" t="s">
        <v>4875</v>
      </c>
      <c r="C22" s="4" t="s">
        <v>4876</v>
      </c>
      <c r="D22" s="22">
        <v>39525</v>
      </c>
      <c r="E22" s="22">
        <v>40323</v>
      </c>
      <c r="F22" s="5" t="s">
        <v>972</v>
      </c>
      <c r="G22" s="5">
        <v>1</v>
      </c>
      <c r="H22" s="5">
        <v>10</v>
      </c>
      <c r="I22" s="4" t="str">
        <f t="shared" si="0"/>
        <v>(20,'TT-RDN','Terminal de Transfert Rhoude Nouss','yyyy-03-dd','yyyy-05-dd',NULL,1,10),</v>
      </c>
    </row>
    <row r="23" spans="1:9" ht="20.149999999999999" customHeight="1" x14ac:dyDescent="0.35">
      <c r="A23" s="3">
        <v>21</v>
      </c>
      <c r="B23" s="17" t="s">
        <v>4877</v>
      </c>
      <c r="C23" s="4" t="s">
        <v>4878</v>
      </c>
      <c r="D23" s="22">
        <v>34709</v>
      </c>
      <c r="E23" s="22">
        <v>35688</v>
      </c>
      <c r="F23" s="5" t="s">
        <v>972</v>
      </c>
      <c r="G23" s="5">
        <v>1</v>
      </c>
      <c r="H23" s="5">
        <v>10</v>
      </c>
      <c r="I23" s="4" t="str">
        <f t="shared" si="0"/>
        <v>(21,'PT-ALG','Terminal de Pipeline Alger','yyyy-01-dd','yyyy-09-dd',NULL,1,10),</v>
      </c>
    </row>
    <row r="24" spans="1:9" ht="20.149999999999999" customHeight="1" x14ac:dyDescent="0.35">
      <c r="A24" s="3">
        <v>22</v>
      </c>
      <c r="B24" s="17" t="s">
        <v>4879</v>
      </c>
      <c r="C24" s="4" t="s">
        <v>4880</v>
      </c>
      <c r="D24" s="22">
        <v>35907</v>
      </c>
      <c r="E24" s="22">
        <v>36860</v>
      </c>
      <c r="F24" s="5" t="s">
        <v>972</v>
      </c>
      <c r="G24" s="5">
        <v>1</v>
      </c>
      <c r="H24" s="5">
        <v>10</v>
      </c>
      <c r="I24" s="4" t="str">
        <f t="shared" si="0"/>
        <v>(22,'PT-ALR','Terminal de Pipeline Alrar','yyyy-04-dd','yyyy-11-dd',NULL,1,10),</v>
      </c>
    </row>
    <row r="25" spans="1:9" ht="20.149999999999999" customHeight="1" x14ac:dyDescent="0.35">
      <c r="A25" s="3">
        <v>23</v>
      </c>
      <c r="B25" s="17" t="s">
        <v>4881</v>
      </c>
      <c r="C25" s="4" t="s">
        <v>4882</v>
      </c>
      <c r="D25" s="22">
        <v>29387</v>
      </c>
      <c r="E25" s="22">
        <v>30375</v>
      </c>
      <c r="F25" s="5" t="s">
        <v>972</v>
      </c>
      <c r="G25" s="5">
        <v>1</v>
      </c>
      <c r="H25" s="5">
        <v>10</v>
      </c>
      <c r="I25" s="4" t="str">
        <f t="shared" si="0"/>
        <v>(23,'PR-ARZ','Terminal de Pipeline Arzew','yyyy-06-dd','yyyy-02-dd',NULL,1,10),</v>
      </c>
    </row>
    <row r="26" spans="1:9" ht="20.149999999999999" customHeight="1" x14ac:dyDescent="0.35">
      <c r="A26" s="3">
        <v>24</v>
      </c>
      <c r="B26" s="17" t="s">
        <v>4883</v>
      </c>
      <c r="C26" s="4" t="s">
        <v>4884</v>
      </c>
      <c r="D26" s="22">
        <v>35662</v>
      </c>
      <c r="E26" s="22">
        <v>36504</v>
      </c>
      <c r="F26" s="5" t="s">
        <v>972</v>
      </c>
      <c r="G26" s="5">
        <v>1</v>
      </c>
      <c r="H26" s="5">
        <v>10</v>
      </c>
      <c r="I26" s="4" t="str">
        <f t="shared" si="0"/>
        <v>(24,'PT-BJA','Terminal de Pipeline Bejaia','yyyy-08-dd','yyyy-12-dd',NULL,1,10),</v>
      </c>
    </row>
    <row r="27" spans="1:9" ht="20.149999999999999" customHeight="1" x14ac:dyDescent="0.35">
      <c r="A27" s="3">
        <v>25</v>
      </c>
      <c r="B27" s="17" t="s">
        <v>4885</v>
      </c>
      <c r="C27" s="4" t="s">
        <v>4886</v>
      </c>
      <c r="D27" s="22">
        <v>36965</v>
      </c>
      <c r="E27" s="22">
        <v>37827</v>
      </c>
      <c r="F27" s="5" t="s">
        <v>972</v>
      </c>
      <c r="G27" s="5">
        <v>1</v>
      </c>
      <c r="H27" s="5">
        <v>10</v>
      </c>
      <c r="I27" s="4" t="str">
        <f t="shared" si="0"/>
        <v>(25,'PT-BRN','Terminal de Pipeline Bir Rebaa North','yyyy-03-dd','yyyy-07-dd',NULL,1,10),</v>
      </c>
    </row>
    <row r="28" spans="1:9" ht="20.149999999999999" customHeight="1" x14ac:dyDescent="0.35">
      <c r="A28" s="3">
        <v>26</v>
      </c>
      <c r="B28" s="17" t="s">
        <v>4887</v>
      </c>
      <c r="C28" s="4" t="s">
        <v>4888</v>
      </c>
      <c r="D28" s="22">
        <v>35377</v>
      </c>
      <c r="E28" s="22">
        <v>36029</v>
      </c>
      <c r="F28" s="5" t="s">
        <v>972</v>
      </c>
      <c r="G28" s="5">
        <v>1</v>
      </c>
      <c r="H28" s="5">
        <v>10</v>
      </c>
      <c r="I28" s="4" t="str">
        <f t="shared" si="0"/>
        <v>(26,'PT-BMN','Terminal de Pipeline Bord Menaiel','yyyy-11-dd','yyyy-08-dd',NULL,1,10),</v>
      </c>
    </row>
    <row r="29" spans="1:9" ht="20.149999999999999" customHeight="1" x14ac:dyDescent="0.35">
      <c r="A29" s="3">
        <v>27</v>
      </c>
      <c r="B29" s="17" t="s">
        <v>4889</v>
      </c>
      <c r="C29" s="4" t="s">
        <v>4890</v>
      </c>
      <c r="D29" s="22">
        <v>36658</v>
      </c>
      <c r="E29" s="22">
        <v>37547</v>
      </c>
      <c r="F29" s="5" t="s">
        <v>972</v>
      </c>
      <c r="G29" s="5">
        <v>1</v>
      </c>
      <c r="H29" s="5">
        <v>10</v>
      </c>
      <c r="I29" s="4" t="str">
        <f t="shared" si="0"/>
        <v>(27,'PT-BRM','Terminal de Pipeline El Borma','yyyy-05-dd','yyyy-10-dd',NULL,1,10),</v>
      </c>
    </row>
    <row r="30" spans="1:9" ht="20.149999999999999" customHeight="1" x14ac:dyDescent="0.35">
      <c r="A30" s="3">
        <v>28</v>
      </c>
      <c r="B30" s="17" t="s">
        <v>4891</v>
      </c>
      <c r="C30" s="4" t="s">
        <v>4892</v>
      </c>
      <c r="D30" s="22">
        <v>37869</v>
      </c>
      <c r="E30" s="22">
        <v>38523</v>
      </c>
      <c r="F30" s="5" t="s">
        <v>972</v>
      </c>
      <c r="G30" s="5">
        <v>1</v>
      </c>
      <c r="H30" s="5">
        <v>10</v>
      </c>
      <c r="I30" s="4" t="str">
        <f t="shared" si="0"/>
        <v>(28,'PT-GST','Terminal de Pipeline Gassi Touil','yyyy-09-dd','yyyy-06-dd',NULL,1,10),</v>
      </c>
    </row>
    <row r="31" spans="1:9" ht="20.149999999999999" customHeight="1" x14ac:dyDescent="0.35">
      <c r="A31" s="3">
        <v>29</v>
      </c>
      <c r="B31" s="17" t="s">
        <v>4893</v>
      </c>
      <c r="C31" s="4" t="s">
        <v>4894</v>
      </c>
      <c r="D31" s="22">
        <v>38035</v>
      </c>
      <c r="E31" s="22">
        <v>38837</v>
      </c>
      <c r="F31" s="5" t="s">
        <v>972</v>
      </c>
      <c r="G31" s="5">
        <v>1</v>
      </c>
      <c r="H31" s="5">
        <v>10</v>
      </c>
      <c r="I31" s="4" t="str">
        <f t="shared" si="0"/>
        <v>(29,'PT-HBK','Terminal de Pipeline Hassi Berkine','yyyy-02-dd','yyyy-04-dd',NULL,1,10),</v>
      </c>
    </row>
    <row r="32" spans="1:9" ht="20.149999999999999" customHeight="1" x14ac:dyDescent="0.35">
      <c r="A32" s="3">
        <v>30</v>
      </c>
      <c r="B32" s="17" t="s">
        <v>4895</v>
      </c>
      <c r="C32" s="4" t="s">
        <v>4896</v>
      </c>
      <c r="D32" s="22">
        <v>38555</v>
      </c>
      <c r="E32" s="22">
        <v>39340</v>
      </c>
      <c r="F32" s="5" t="s">
        <v>972</v>
      </c>
      <c r="G32" s="5">
        <v>1</v>
      </c>
      <c r="H32" s="5">
        <v>10</v>
      </c>
      <c r="I32" s="4" t="str">
        <f t="shared" si="0"/>
        <v>(30,'PT-HTJ','Terminal de Pipeline Hassi tedjirane','yyyy-07-dd','yyyy-09-dd',NULL,1,10),</v>
      </c>
    </row>
    <row r="33" spans="1:9" ht="20.149999999999999" customHeight="1" x14ac:dyDescent="0.35">
      <c r="A33" s="3">
        <v>31</v>
      </c>
      <c r="B33" s="17" t="s">
        <v>4897</v>
      </c>
      <c r="C33" s="4" t="s">
        <v>4898</v>
      </c>
      <c r="D33" s="22">
        <v>37537</v>
      </c>
      <c r="E33" s="22">
        <v>38224</v>
      </c>
      <c r="F33" s="5" t="s">
        <v>972</v>
      </c>
      <c r="G33" s="5">
        <v>1</v>
      </c>
      <c r="H33" s="5">
        <v>10</v>
      </c>
      <c r="I33" s="4" t="str">
        <f t="shared" si="0"/>
        <v>(31,'PT-NMS','Terminal de Pipeline In Amenas','yyyy-10-dd','yyyy-08-dd',NULL,1,10),</v>
      </c>
    </row>
    <row r="34" spans="1:9" ht="20.149999999999999" customHeight="1" x14ac:dyDescent="0.35">
      <c r="A34" s="3">
        <v>32</v>
      </c>
      <c r="B34" s="17" t="s">
        <v>4899</v>
      </c>
      <c r="C34" s="4" t="s">
        <v>4900</v>
      </c>
      <c r="D34" s="22">
        <v>39066</v>
      </c>
      <c r="E34" s="22">
        <v>39772</v>
      </c>
      <c r="F34" s="5" t="s">
        <v>972</v>
      </c>
      <c r="G34" s="5">
        <v>1</v>
      </c>
      <c r="H34" s="5">
        <v>10</v>
      </c>
      <c r="I34" s="4" t="str">
        <f t="shared" si="0"/>
        <v>(32,'PT-NSL','Terminal de Pipeline In Salah','yyyy-12-dd','yyyy-11-dd',NULL,1,10),</v>
      </c>
    </row>
    <row r="35" spans="1:9" ht="20.149999999999999" customHeight="1" x14ac:dyDescent="0.35">
      <c r="A35" s="3">
        <v>33</v>
      </c>
      <c r="B35" s="17" t="s">
        <v>4901</v>
      </c>
      <c r="C35" s="4" t="s">
        <v>4902</v>
      </c>
      <c r="D35" s="22">
        <v>35509</v>
      </c>
      <c r="E35" s="22">
        <v>36290</v>
      </c>
      <c r="F35" s="5" t="s">
        <v>972</v>
      </c>
      <c r="G35" s="5">
        <v>1</v>
      </c>
      <c r="H35" s="5">
        <v>10</v>
      </c>
      <c r="I35" s="4" t="str">
        <f t="shared" si="0"/>
        <v>(33,'PT-ISR','Terminal de Pipeline Isser','yyyy-03-dd','yyyy-05-dd',NULL,1,10),</v>
      </c>
    </row>
    <row r="36" spans="1:9" ht="20.149999999999999" customHeight="1" x14ac:dyDescent="0.35">
      <c r="A36" s="3">
        <v>34</v>
      </c>
      <c r="B36" s="17" t="s">
        <v>4903</v>
      </c>
      <c r="C36" s="4" t="s">
        <v>4904</v>
      </c>
      <c r="D36" s="22">
        <v>40341</v>
      </c>
      <c r="E36" s="22">
        <v>41212</v>
      </c>
      <c r="F36" s="5" t="s">
        <v>972</v>
      </c>
      <c r="G36" s="5">
        <v>1</v>
      </c>
      <c r="H36" s="5">
        <v>10</v>
      </c>
      <c r="I36" s="4" t="str">
        <f t="shared" si="0"/>
        <v>(34,'PT-RGN','Terminal de Pipeline Reggane','yyyy-06-dd','yyyy-10-dd',NULL,1,10),</v>
      </c>
    </row>
    <row r="37" spans="1:9" ht="20.149999999999999" customHeight="1" x14ac:dyDescent="0.35">
      <c r="A37" s="3">
        <v>35</v>
      </c>
      <c r="B37" s="17" t="s">
        <v>4905</v>
      </c>
      <c r="C37" s="4" t="s">
        <v>4906</v>
      </c>
      <c r="D37" s="22">
        <v>37152</v>
      </c>
      <c r="E37" s="22">
        <v>37977</v>
      </c>
      <c r="F37" s="5" t="s">
        <v>972</v>
      </c>
      <c r="G37" s="5">
        <v>1</v>
      </c>
      <c r="H37" s="5">
        <v>10</v>
      </c>
      <c r="I37" s="4" t="str">
        <f t="shared" si="0"/>
        <v>(35,'PT-RBL','Terminal de Pipeline Rhoude El Baguel','yyyy-09-dd','yyyy-12-dd',NULL,1,10),</v>
      </c>
    </row>
    <row r="38" spans="1:9" ht="20.149999999999999" customHeight="1" x14ac:dyDescent="0.35">
      <c r="A38" s="3">
        <v>36</v>
      </c>
      <c r="B38" s="17" t="s">
        <v>4907</v>
      </c>
      <c r="C38" s="4" t="s">
        <v>4908</v>
      </c>
      <c r="D38" s="22">
        <v>27494</v>
      </c>
      <c r="E38" s="22">
        <v>28505</v>
      </c>
      <c r="F38" s="5" t="s">
        <v>972</v>
      </c>
      <c r="G38" s="5">
        <v>1</v>
      </c>
      <c r="H38" s="5">
        <v>10</v>
      </c>
      <c r="I38" s="4" t="str">
        <f t="shared" si="0"/>
        <v>(36,'PT-SKD','Terminal de Pipeline Skikda','yyyy-04-dd','yyyy-01-dd',NULL,1,10),</v>
      </c>
    </row>
    <row r="39" spans="1:9" ht="20.149999999999999" customHeight="1" x14ac:dyDescent="0.35">
      <c r="A39" s="3">
        <v>37</v>
      </c>
      <c r="B39" s="17" t="s">
        <v>4909</v>
      </c>
      <c r="C39" s="4" t="s">
        <v>4910</v>
      </c>
      <c r="D39" s="22">
        <v>36540</v>
      </c>
      <c r="E39" s="22">
        <v>37154</v>
      </c>
      <c r="F39" s="5" t="s">
        <v>972</v>
      </c>
      <c r="G39" s="5">
        <v>1</v>
      </c>
      <c r="H39" s="5">
        <v>10</v>
      </c>
      <c r="I39" s="4" t="str">
        <f t="shared" si="0"/>
        <v>(37,'SP1-OZ1','Station de Pompage SP1-OZ1','yyyy-01-dd','yyyy-09-dd',NULL,1,10),</v>
      </c>
    </row>
    <row r="40" spans="1:9" ht="20.149999999999999" customHeight="1" x14ac:dyDescent="0.35">
      <c r="A40" s="42">
        <v>38</v>
      </c>
      <c r="B40" s="51" t="s">
        <v>4911</v>
      </c>
      <c r="C40" s="43" t="s">
        <v>4912</v>
      </c>
      <c r="D40" s="52">
        <v>36540</v>
      </c>
      <c r="E40" s="52">
        <v>37154</v>
      </c>
      <c r="F40" s="50" t="s">
        <v>972</v>
      </c>
      <c r="G40" s="50">
        <v>1</v>
      </c>
      <c r="H40" s="50">
        <v>10</v>
      </c>
      <c r="I40" s="43" t="str">
        <f t="shared" si="0"/>
        <v>(38,'SP1-OZ2','Station de Pompage SP1-OZ2','yyyy-01-dd','yyyy-09-dd',NULL,1,10),</v>
      </c>
    </row>
    <row r="41" spans="1:9" ht="20.149999999999999" customHeight="1" x14ac:dyDescent="0.35">
      <c r="A41" s="3">
        <v>39</v>
      </c>
      <c r="B41" s="17" t="s">
        <v>4913</v>
      </c>
      <c r="C41" s="4" t="s">
        <v>4914</v>
      </c>
      <c r="D41" s="22">
        <v>36960</v>
      </c>
      <c r="E41" s="22">
        <v>37575</v>
      </c>
      <c r="F41" s="5" t="s">
        <v>972</v>
      </c>
      <c r="G41" s="5">
        <v>1</v>
      </c>
      <c r="H41" s="5">
        <v>10</v>
      </c>
      <c r="I41" s="4" t="str">
        <f t="shared" si="0"/>
        <v>(39,'SP2-OZ1','Station de Pompage SP2-OZ1','yyyy-03-dd','yyyy-11-dd',NULL,1,10),</v>
      </c>
    </row>
    <row r="42" spans="1:9" ht="20.149999999999999" customHeight="1" x14ac:dyDescent="0.35">
      <c r="A42" s="42">
        <v>40</v>
      </c>
      <c r="B42" s="51" t="s">
        <v>4915</v>
      </c>
      <c r="C42" s="43" t="s">
        <v>4916</v>
      </c>
      <c r="D42" s="52">
        <v>36960</v>
      </c>
      <c r="E42" s="52">
        <v>37575</v>
      </c>
      <c r="F42" s="50" t="s">
        <v>972</v>
      </c>
      <c r="G42" s="50">
        <v>1</v>
      </c>
      <c r="H42" s="50">
        <v>10</v>
      </c>
      <c r="I42" s="43" t="str">
        <f t="shared" si="0"/>
        <v>(40,'SP2-OZ2','Station de Pompage SP2-OZ2','yyyy-03-dd','yyyy-11-dd',NULL,1,10),</v>
      </c>
    </row>
    <row r="43" spans="1:9" ht="20.149999999999999" customHeight="1" x14ac:dyDescent="0.35">
      <c r="A43" s="3">
        <v>41</v>
      </c>
      <c r="B43" s="17" t="s">
        <v>6071</v>
      </c>
      <c r="C43" s="4" t="s">
        <v>4914</v>
      </c>
      <c r="D43" s="22">
        <v>37396</v>
      </c>
      <c r="E43" s="22">
        <v>37985</v>
      </c>
      <c r="F43" s="5" t="s">
        <v>972</v>
      </c>
      <c r="G43" s="5">
        <v>1</v>
      </c>
      <c r="H43" s="5">
        <v>10</v>
      </c>
      <c r="I43" s="4" t="str">
        <f t="shared" si="0"/>
        <v>(41,'SP3-OZ1','Station de Pompage SP2-OZ1','yyyy-05-dd','yyyy-12-dd',NULL,1,10),</v>
      </c>
    </row>
    <row r="44" spans="1:9" ht="20.149999999999999" customHeight="1" x14ac:dyDescent="0.35">
      <c r="A44" s="42">
        <v>42</v>
      </c>
      <c r="B44" s="51" t="s">
        <v>6072</v>
      </c>
      <c r="C44" s="43" t="s">
        <v>4916</v>
      </c>
      <c r="D44" s="52">
        <v>37396</v>
      </c>
      <c r="E44" s="52">
        <v>37985</v>
      </c>
      <c r="F44" s="50" t="s">
        <v>972</v>
      </c>
      <c r="G44" s="50">
        <v>1</v>
      </c>
      <c r="H44" s="50">
        <v>10</v>
      </c>
      <c r="I44" s="43" t="str">
        <f t="shared" si="0"/>
        <v>(42,'SP3-OZ2','Station de Pompage SP2-OZ2','yyyy-05-dd','yyyy-12-dd',NULL,1,10),</v>
      </c>
    </row>
    <row r="45" spans="1:9" ht="20.149999999999999" customHeight="1" x14ac:dyDescent="0.35">
      <c r="A45" s="3">
        <v>43</v>
      </c>
      <c r="B45" s="17" t="s">
        <v>6073</v>
      </c>
      <c r="C45" s="4" t="s">
        <v>4914</v>
      </c>
      <c r="D45" s="22">
        <v>37848</v>
      </c>
      <c r="E45" s="22">
        <v>38433</v>
      </c>
      <c r="F45" s="5" t="s">
        <v>972</v>
      </c>
      <c r="G45" s="5">
        <v>1</v>
      </c>
      <c r="H45" s="5">
        <v>10</v>
      </c>
      <c r="I45" s="4" t="str">
        <f t="shared" si="0"/>
        <v>(43,'SP4-OZ1','Station de Pompage SP2-OZ1','yyyy-08-dd','yyyy-03-dd',NULL,1,10),</v>
      </c>
    </row>
    <row r="46" spans="1:9" ht="20.149999999999999" customHeight="1" x14ac:dyDescent="0.35">
      <c r="A46" s="42">
        <v>44</v>
      </c>
      <c r="B46" s="51" t="s">
        <v>6074</v>
      </c>
      <c r="C46" s="43" t="s">
        <v>4916</v>
      </c>
      <c r="D46" s="52">
        <v>37848</v>
      </c>
      <c r="E46" s="52">
        <v>38433</v>
      </c>
      <c r="F46" s="50" t="s">
        <v>972</v>
      </c>
      <c r="G46" s="50">
        <v>1</v>
      </c>
      <c r="H46" s="50">
        <v>10</v>
      </c>
      <c r="I46" s="43" t="str">
        <f t="shared" si="0"/>
        <v>(44,'SP4-OZ2','Station de Pompage SP2-OZ2','yyyy-08-dd','yyyy-03-dd',NULL,1,10),</v>
      </c>
    </row>
    <row r="47" spans="1:9" ht="20.149999999999999" customHeight="1" x14ac:dyDescent="0.35">
      <c r="A47" s="3">
        <v>45</v>
      </c>
      <c r="B47" s="17" t="s">
        <v>6075</v>
      </c>
      <c r="C47" s="4" t="s">
        <v>4914</v>
      </c>
      <c r="D47" s="22">
        <v>38265</v>
      </c>
      <c r="E47" s="22">
        <v>38886</v>
      </c>
      <c r="F47" s="5" t="s">
        <v>972</v>
      </c>
      <c r="G47" s="5">
        <v>1</v>
      </c>
      <c r="H47" s="5">
        <v>10</v>
      </c>
      <c r="I47" s="4" t="str">
        <f t="shared" si="0"/>
        <v>(45,'SP5-OZ1','Station de Pompage SP2-OZ1','yyyy-10-dd','yyyy-06-dd',NULL,1,10),</v>
      </c>
    </row>
    <row r="48" spans="1:9" ht="20.149999999999999" customHeight="1" x14ac:dyDescent="0.35">
      <c r="A48" s="42">
        <v>46</v>
      </c>
      <c r="B48" s="51" t="s">
        <v>6076</v>
      </c>
      <c r="C48" s="43" t="s">
        <v>4916</v>
      </c>
      <c r="D48" s="52">
        <v>38265</v>
      </c>
      <c r="E48" s="52">
        <v>38886</v>
      </c>
      <c r="F48" s="50" t="s">
        <v>972</v>
      </c>
      <c r="G48" s="50">
        <v>1</v>
      </c>
      <c r="H48" s="50">
        <v>10</v>
      </c>
      <c r="I48" s="43" t="str">
        <f t="shared" si="0"/>
        <v>(46,'SP5-OZ2','Station de Pompage SP2-OZ2','yyyy-10-dd','yyyy-06-dd',NULL,1,10),</v>
      </c>
    </row>
    <row r="49" spans="1:9" ht="20.149999999999999" customHeight="1" x14ac:dyDescent="0.35">
      <c r="A49" s="3">
        <v>47</v>
      </c>
      <c r="B49" s="17" t="s">
        <v>6077</v>
      </c>
      <c r="C49" s="4" t="s">
        <v>4914</v>
      </c>
      <c r="D49" s="22">
        <v>38698</v>
      </c>
      <c r="E49" s="22">
        <v>39319</v>
      </c>
      <c r="F49" s="5" t="s">
        <v>972</v>
      </c>
      <c r="G49" s="5">
        <v>1</v>
      </c>
      <c r="H49" s="5">
        <v>10</v>
      </c>
      <c r="I49" s="4" t="str">
        <f t="shared" si="0"/>
        <v>(47,'SP6-OZ1','Station de Pompage SP2-OZ1','yyyy-12-dd','yyyy-08-dd',NULL,1,10),</v>
      </c>
    </row>
    <row r="50" spans="1:9" ht="20.149999999999999" customHeight="1" x14ac:dyDescent="0.35">
      <c r="A50" s="42">
        <v>48</v>
      </c>
      <c r="B50" s="51" t="s">
        <v>6078</v>
      </c>
      <c r="C50" s="43" t="s">
        <v>4916</v>
      </c>
      <c r="D50" s="52">
        <v>38698</v>
      </c>
      <c r="E50" s="52">
        <v>39319</v>
      </c>
      <c r="F50" s="50" t="s">
        <v>972</v>
      </c>
      <c r="G50" s="50">
        <v>1</v>
      </c>
      <c r="H50" s="50">
        <v>10</v>
      </c>
      <c r="I50" s="43" t="str">
        <f t="shared" si="0"/>
        <v>(48,'SP6-OZ2','Station de Pompage SP2-OZ2','yyyy-12-dd','yyyy-08-dd',NULL,1,10),</v>
      </c>
    </row>
    <row r="51" spans="1:9" ht="20.149999999999999" customHeight="1" x14ac:dyDescent="0.35">
      <c r="A51" s="3">
        <v>49</v>
      </c>
      <c r="B51" s="17" t="s">
        <v>4917</v>
      </c>
      <c r="C51" s="4" t="s">
        <v>4918</v>
      </c>
      <c r="D51" s="22">
        <v>38796</v>
      </c>
      <c r="E51" s="22">
        <v>39396</v>
      </c>
      <c r="F51" s="5" t="s">
        <v>972</v>
      </c>
      <c r="G51" s="5">
        <v>1</v>
      </c>
      <c r="H51" s="5">
        <v>10</v>
      </c>
      <c r="I51" s="4" t="str">
        <f t="shared" si="0"/>
        <v>(49,'PRS-OZ1','Station de Pompage PRS-OZ1','yyyy-03-dd','yyyy-11-dd',NULL,1,10),</v>
      </c>
    </row>
    <row r="52" spans="1:9" ht="20.149999999999999" customHeight="1" x14ac:dyDescent="0.35">
      <c r="A52" s="42">
        <v>50</v>
      </c>
      <c r="B52" s="51" t="s">
        <v>4919</v>
      </c>
      <c r="C52" s="43" t="s">
        <v>4920</v>
      </c>
      <c r="D52" s="52">
        <v>38796</v>
      </c>
      <c r="E52" s="52">
        <v>39396</v>
      </c>
      <c r="F52" s="50" t="s">
        <v>972</v>
      </c>
      <c r="G52" s="50">
        <v>1</v>
      </c>
      <c r="H52" s="50">
        <v>10</v>
      </c>
      <c r="I52" s="43" t="str">
        <f t="shared" si="0"/>
        <v>(50,'PRS-OZ2','Station de Régulation PRS-OZ2','yyyy-03-dd','yyyy-11-dd',NULL,1,10),</v>
      </c>
    </row>
    <row r="53" spans="1:9" ht="20.149999999999999" customHeight="1" x14ac:dyDescent="0.35">
      <c r="A53" s="3">
        <v>51</v>
      </c>
      <c r="B53" s="17" t="s">
        <v>4921</v>
      </c>
      <c r="C53" s="4" t="s">
        <v>4922</v>
      </c>
      <c r="D53" s="22">
        <v>37057</v>
      </c>
      <c r="E53" s="22">
        <v>37672</v>
      </c>
      <c r="F53" s="5" t="s">
        <v>972</v>
      </c>
      <c r="G53" s="5">
        <v>1</v>
      </c>
      <c r="H53" s="5">
        <v>10</v>
      </c>
      <c r="I53" s="4" t="str">
        <f t="shared" si="0"/>
        <v>(51,'SP1-OK1','Station de Pompage SP1-OK1','yyyy-06-dd','yyyy-02-dd',NULL,1,10),</v>
      </c>
    </row>
    <row r="54" spans="1:9" ht="20.149999999999999" customHeight="1" x14ac:dyDescent="0.35">
      <c r="A54" s="3">
        <v>52</v>
      </c>
      <c r="B54" s="17" t="s">
        <v>4923</v>
      </c>
      <c r="C54" s="4" t="s">
        <v>4924</v>
      </c>
      <c r="D54" s="22">
        <v>40278</v>
      </c>
      <c r="E54" s="22">
        <v>40923</v>
      </c>
      <c r="F54" s="5" t="s">
        <v>972</v>
      </c>
      <c r="G54" s="5">
        <v>1</v>
      </c>
      <c r="H54" s="5">
        <v>10</v>
      </c>
      <c r="I54" s="4" t="str">
        <f t="shared" si="0"/>
        <v>(52,'SP1-OK1-NEW','Station de Pompage SP1-OK1-NEW','yyyy-04-dd','yyyy-01-dd',NULL,1,10),</v>
      </c>
    </row>
    <row r="55" spans="1:9" ht="20.149999999999999" customHeight="1" x14ac:dyDescent="0.35">
      <c r="A55" s="3">
        <v>53</v>
      </c>
      <c r="B55" s="17" t="s">
        <v>4925</v>
      </c>
      <c r="C55" s="4" t="s">
        <v>4926</v>
      </c>
      <c r="D55" s="22">
        <v>37490</v>
      </c>
      <c r="E55" s="22">
        <v>38137</v>
      </c>
      <c r="F55" s="5" t="s">
        <v>972</v>
      </c>
      <c r="G55" s="5">
        <v>1</v>
      </c>
      <c r="H55" s="5">
        <v>10</v>
      </c>
      <c r="I55" s="4" t="str">
        <f t="shared" si="0"/>
        <v>(53,'SP2-OK1','Station de Pompage SP2-OK1','yyyy-08-dd','yyyy-05-dd',NULL,1,10),</v>
      </c>
    </row>
    <row r="56" spans="1:9" ht="20.149999999999999" customHeight="1" x14ac:dyDescent="0.35">
      <c r="A56" s="3">
        <v>54</v>
      </c>
      <c r="B56" s="17" t="s">
        <v>4927</v>
      </c>
      <c r="C56" s="4" t="s">
        <v>4928</v>
      </c>
      <c r="D56" s="22">
        <v>37930</v>
      </c>
      <c r="E56" s="22">
        <v>38551</v>
      </c>
      <c r="F56" s="5" t="s">
        <v>972</v>
      </c>
      <c r="G56" s="5">
        <v>1</v>
      </c>
      <c r="H56" s="5">
        <v>10</v>
      </c>
      <c r="I56" s="4" t="str">
        <f t="shared" si="0"/>
        <v>(54,'SP3-OK1','Station de Pompage SP3-OK1','yyyy-11-dd','yyyy-07-dd',NULL,1,10),</v>
      </c>
    </row>
    <row r="57" spans="1:9" ht="20.149999999999999" customHeight="1" x14ac:dyDescent="0.35">
      <c r="A57" s="3">
        <v>55</v>
      </c>
      <c r="B57" s="17" t="s">
        <v>4929</v>
      </c>
      <c r="C57" s="4" t="s">
        <v>4930</v>
      </c>
      <c r="D57" s="22">
        <v>39859</v>
      </c>
      <c r="E57" s="22">
        <v>40479</v>
      </c>
      <c r="F57" s="5" t="s">
        <v>972</v>
      </c>
      <c r="G57" s="5">
        <v>1</v>
      </c>
      <c r="H57" s="5">
        <v>10</v>
      </c>
      <c r="I57" s="4" t="str">
        <f t="shared" si="0"/>
        <v>(55,'SP3-OK1-BIS','Station de Pompage SP3-OK1-BIS','yyyy-02-dd','yyyy-10-dd',NULL,1,10),</v>
      </c>
    </row>
    <row r="58" spans="1:9" ht="20.149999999999999" customHeight="1" x14ac:dyDescent="0.35">
      <c r="A58" s="3">
        <v>56</v>
      </c>
      <c r="B58" s="17" t="s">
        <v>4931</v>
      </c>
      <c r="C58" s="4" t="s">
        <v>4932</v>
      </c>
      <c r="D58" s="22">
        <v>38125</v>
      </c>
      <c r="E58" s="22">
        <v>38739</v>
      </c>
      <c r="F58" s="5" t="s">
        <v>972</v>
      </c>
      <c r="G58" s="5">
        <v>1</v>
      </c>
      <c r="H58" s="5">
        <v>10</v>
      </c>
      <c r="I58" s="4" t="str">
        <f t="shared" si="0"/>
        <v>(56,'SP4-OK1','Station de Pompage SP4-OK1','yyyy-05-dd','yyyy-01-dd',NULL,1,10),</v>
      </c>
    </row>
    <row r="59" spans="1:9" ht="20.149999999999999" customHeight="1" x14ac:dyDescent="0.35">
      <c r="A59" s="3">
        <v>57</v>
      </c>
      <c r="B59" s="17" t="s">
        <v>4933</v>
      </c>
      <c r="C59" s="4" t="s">
        <v>4934</v>
      </c>
      <c r="D59" s="22">
        <v>37327</v>
      </c>
      <c r="E59" s="22">
        <v>37950</v>
      </c>
      <c r="F59" s="5" t="s">
        <v>972</v>
      </c>
      <c r="G59" s="5">
        <v>1</v>
      </c>
      <c r="H59" s="5">
        <v>10</v>
      </c>
      <c r="I59" s="4" t="str">
        <f t="shared" si="0"/>
        <v>(57,'SP1-OB1','Station de Pompage SP1-OB1','yyyy-03-dd','yyyy-11-dd',NULL,1,10),</v>
      </c>
    </row>
    <row r="60" spans="1:9" ht="20.149999999999999" customHeight="1" x14ac:dyDescent="0.35">
      <c r="A60" s="3">
        <v>58</v>
      </c>
      <c r="B60" s="17" t="s">
        <v>4935</v>
      </c>
      <c r="C60" s="4" t="s">
        <v>4936</v>
      </c>
      <c r="D60" s="22">
        <v>39649</v>
      </c>
      <c r="E60" s="22">
        <v>40283</v>
      </c>
      <c r="F60" s="5" t="s">
        <v>972</v>
      </c>
      <c r="G60" s="5">
        <v>1</v>
      </c>
      <c r="H60" s="5">
        <v>10</v>
      </c>
      <c r="I60" s="4" t="str">
        <f t="shared" si="0"/>
        <v>(58,'SP1-BIS-OB1','Station de Pompage SP1-BIS-OB1','yyyy-07-dd','yyyy-04-dd',NULL,1,10),</v>
      </c>
    </row>
    <row r="61" spans="1:9" ht="20.149999999999999" customHeight="1" x14ac:dyDescent="0.35">
      <c r="A61" s="3">
        <v>59</v>
      </c>
      <c r="B61" s="17" t="s">
        <v>4937</v>
      </c>
      <c r="C61" s="4" t="s">
        <v>4938</v>
      </c>
      <c r="D61" s="22">
        <v>37874</v>
      </c>
      <c r="E61" s="22">
        <v>38521</v>
      </c>
      <c r="F61" s="5" t="s">
        <v>972</v>
      </c>
      <c r="G61" s="5">
        <v>1</v>
      </c>
      <c r="H61" s="5">
        <v>10</v>
      </c>
      <c r="I61" s="4" t="str">
        <f t="shared" si="0"/>
        <v>(59,'SP2-OB1','Station de Pompage SP2-OB1','yyyy-09-dd','yyyy-06-dd',NULL,1,10),</v>
      </c>
    </row>
    <row r="62" spans="1:9" ht="20.149999999999999" customHeight="1" x14ac:dyDescent="0.35">
      <c r="A62" s="3">
        <v>60</v>
      </c>
      <c r="B62" s="17" t="s">
        <v>4939</v>
      </c>
      <c r="C62" s="4" t="s">
        <v>4940</v>
      </c>
      <c r="D62" s="22">
        <v>38326</v>
      </c>
      <c r="E62" s="22">
        <v>38951</v>
      </c>
      <c r="F62" s="5" t="s">
        <v>972</v>
      </c>
      <c r="G62" s="5">
        <v>1</v>
      </c>
      <c r="H62" s="5">
        <v>10</v>
      </c>
      <c r="I62" s="4" t="str">
        <f t="shared" si="0"/>
        <v>(60,'SP3-OB1','Station de Pompage SP3-OB1','yyyy-12-dd','yyyy-08-dd',NULL,1,10),</v>
      </c>
    </row>
    <row r="63" spans="1:9" ht="20.149999999999999" customHeight="1" x14ac:dyDescent="0.35">
      <c r="A63" s="3">
        <v>61</v>
      </c>
      <c r="B63" s="17" t="s">
        <v>4941</v>
      </c>
      <c r="C63" s="4" t="s">
        <v>4942</v>
      </c>
      <c r="D63" s="22">
        <v>39190</v>
      </c>
      <c r="E63" s="22">
        <v>39843</v>
      </c>
      <c r="F63" s="5" t="s">
        <v>972</v>
      </c>
      <c r="G63" s="5">
        <v>1</v>
      </c>
      <c r="H63" s="5">
        <v>10</v>
      </c>
      <c r="I63" s="4" t="str">
        <f t="shared" si="0"/>
        <v>(61,'SP1-BIS-OG1','Station de Pompage SP1-BIS-OG1','yyyy-04-dd','yyyy-01-dd',NULL,1,10),</v>
      </c>
    </row>
    <row r="64" spans="1:9" ht="20.149999999999999" customHeight="1" x14ac:dyDescent="0.35">
      <c r="A64" s="3">
        <v>62</v>
      </c>
      <c r="B64" s="17" t="s">
        <v>4943</v>
      </c>
      <c r="C64" s="4" t="s">
        <v>4944</v>
      </c>
      <c r="D64" s="22">
        <v>38405</v>
      </c>
      <c r="E64" s="22">
        <v>39005</v>
      </c>
      <c r="F64" s="5" t="s">
        <v>972</v>
      </c>
      <c r="G64" s="5">
        <v>1</v>
      </c>
      <c r="H64" s="5">
        <v>10</v>
      </c>
      <c r="I64" s="4" t="str">
        <f t="shared" si="0"/>
        <v>(62,'SP1-OT1','Station de Pompage SP1-OT1','yyyy-02-dd','yyyy-10-dd',NULL,1,10),</v>
      </c>
    </row>
    <row r="65" spans="1:9" ht="20.149999999999999" customHeight="1" x14ac:dyDescent="0.35">
      <c r="A65" s="3">
        <v>63</v>
      </c>
      <c r="B65" s="17" t="s">
        <v>4945</v>
      </c>
      <c r="C65" s="4" t="s">
        <v>4946</v>
      </c>
      <c r="D65" s="22">
        <v>38405</v>
      </c>
      <c r="E65" s="22">
        <v>39005</v>
      </c>
      <c r="F65" s="5" t="s">
        <v>972</v>
      </c>
      <c r="G65" s="5">
        <v>1</v>
      </c>
      <c r="H65" s="5">
        <v>10</v>
      </c>
      <c r="I65" s="4" t="str">
        <f t="shared" si="0"/>
        <v>(63,'SP2-OT1','Station de Pompage SP2-OT1','yyyy-02-dd','yyyy-10-dd',NULL,1,10),</v>
      </c>
    </row>
    <row r="66" spans="1:9" ht="20.149999999999999" customHeight="1" x14ac:dyDescent="0.35">
      <c r="A66" s="3">
        <v>64</v>
      </c>
      <c r="B66" s="17" t="s">
        <v>4947</v>
      </c>
      <c r="C66" s="4" t="s">
        <v>4948</v>
      </c>
      <c r="D66" s="22">
        <v>38852</v>
      </c>
      <c r="E66" s="22">
        <v>39467</v>
      </c>
      <c r="F66" s="5" t="s">
        <v>972</v>
      </c>
      <c r="G66" s="5">
        <v>1</v>
      </c>
      <c r="H66" s="5">
        <v>10</v>
      </c>
      <c r="I66" s="4" t="str">
        <f t="shared" si="0"/>
        <v>(64,'SP1-OH1','Station de Pompage SP1-OH1','yyyy-05-dd','yyyy-01-dd',NULL,1,10),</v>
      </c>
    </row>
    <row r="67" spans="1:9" ht="20.149999999999999" customHeight="1" x14ac:dyDescent="0.35">
      <c r="A67" s="3">
        <v>65</v>
      </c>
      <c r="B67" s="17" t="s">
        <v>4949</v>
      </c>
      <c r="C67" s="4" t="s">
        <v>4950</v>
      </c>
      <c r="D67" s="22">
        <v>38852</v>
      </c>
      <c r="E67" s="22">
        <v>39467</v>
      </c>
      <c r="F67" s="5" t="s">
        <v>972</v>
      </c>
      <c r="G67" s="5">
        <v>1</v>
      </c>
      <c r="H67" s="5">
        <v>10</v>
      </c>
      <c r="I67" s="4" t="str">
        <f t="shared" si="0"/>
        <v>(65,'SP2-OH1','Station de Pompage SP2-OH1','yyyy-05-dd','yyyy-01-dd',NULL,1,10),</v>
      </c>
    </row>
    <row r="68" spans="1:9" ht="20.149999999999999" customHeight="1" x14ac:dyDescent="0.35">
      <c r="A68" s="3">
        <v>66</v>
      </c>
      <c r="B68" s="17" t="s">
        <v>4951</v>
      </c>
      <c r="C68" s="4" t="s">
        <v>4952</v>
      </c>
      <c r="D68" s="22">
        <v>38852</v>
      </c>
      <c r="E68" s="22">
        <v>39467</v>
      </c>
      <c r="F68" s="5" t="s">
        <v>972</v>
      </c>
      <c r="G68" s="5">
        <v>1</v>
      </c>
      <c r="H68" s="5">
        <v>10</v>
      </c>
      <c r="I68" s="4" t="str">
        <f t="shared" si="0"/>
        <v>(66,'SP3-OH1','Station de Pompage SP3-OH1','yyyy-05-dd','yyyy-01-dd',NULL,1,10),</v>
      </c>
    </row>
    <row r="69" spans="1:9" ht="20.149999999999999" customHeight="1" x14ac:dyDescent="0.35">
      <c r="A69" s="3">
        <v>67</v>
      </c>
      <c r="B69" s="17" t="s">
        <v>4953</v>
      </c>
      <c r="C69" s="4" t="s">
        <v>4954</v>
      </c>
      <c r="D69" s="22">
        <v>39304</v>
      </c>
      <c r="E69" s="22">
        <v>39928</v>
      </c>
      <c r="F69" s="5" t="s">
        <v>972</v>
      </c>
      <c r="G69" s="5">
        <v>1</v>
      </c>
      <c r="H69" s="5">
        <v>10</v>
      </c>
      <c r="I69" s="4" t="str">
        <f t="shared" si="0"/>
        <v>(67,'SP1-OD1','Station de Pompage SP1-OD1','yyyy-08-dd','yyyy-04-dd',NULL,1,10),</v>
      </c>
    </row>
    <row r="70" spans="1:9" ht="20.149999999999999" customHeight="1" x14ac:dyDescent="0.35">
      <c r="A70" s="3">
        <v>68</v>
      </c>
      <c r="B70" s="17" t="s">
        <v>4955</v>
      </c>
      <c r="C70" s="4" t="s">
        <v>4956</v>
      </c>
      <c r="D70" s="22">
        <v>39767</v>
      </c>
      <c r="E70" s="22">
        <v>40389</v>
      </c>
      <c r="F70" s="5" t="s">
        <v>972</v>
      </c>
      <c r="G70" s="5">
        <v>1</v>
      </c>
      <c r="H70" s="5">
        <v>10</v>
      </c>
      <c r="I70" s="4" t="str">
        <f t="shared" ref="I70:I133" si="1">CONCATENATE("(",A70,",'",B70,"','",C70,"','",TEXT(D70,"yyyy-mm-dd"),"','",TEXT(E70,"yyyy-mm-dd"),"',",F70,",",G70,",",H70,"),")</f>
        <v>(68,'SP1-OH2','Station de Pompage SP1-OH2','yyyy-11-dd','yyyy-07-dd',NULL,1,10),</v>
      </c>
    </row>
    <row r="71" spans="1:9" ht="20.149999999999999" customHeight="1" x14ac:dyDescent="0.35">
      <c r="A71" s="3">
        <v>69</v>
      </c>
      <c r="B71" s="17" t="s">
        <v>4957</v>
      </c>
      <c r="C71" s="4" t="s">
        <v>4958</v>
      </c>
      <c r="D71" s="22">
        <v>39892</v>
      </c>
      <c r="E71" s="22">
        <v>40558</v>
      </c>
      <c r="F71" s="5" t="s">
        <v>972</v>
      </c>
      <c r="G71" s="5">
        <v>1</v>
      </c>
      <c r="H71" s="5">
        <v>10</v>
      </c>
      <c r="I71" s="4" t="str">
        <f t="shared" si="1"/>
        <v>(69,'SP1-OH3/OH4','Station de Pompage SP1-OH3/OH4','yyyy-03-dd','yyyy-01-dd',NULL,1,10),</v>
      </c>
    </row>
    <row r="72" spans="1:9" ht="20.149999999999999" customHeight="1" x14ac:dyDescent="0.35">
      <c r="A72" s="3">
        <v>70</v>
      </c>
      <c r="B72" s="17" t="s">
        <v>4959</v>
      </c>
      <c r="C72" s="4" t="s">
        <v>4960</v>
      </c>
      <c r="D72" s="22">
        <v>39892</v>
      </c>
      <c r="E72" s="22">
        <v>40558</v>
      </c>
      <c r="F72" s="5" t="s">
        <v>972</v>
      </c>
      <c r="G72" s="5">
        <v>1</v>
      </c>
      <c r="H72" s="5">
        <v>10</v>
      </c>
      <c r="I72" s="4" t="str">
        <f t="shared" si="1"/>
        <v>(70,'SP2-OH3/OH4','Station de Pompage SP2-OH3/OH4','yyyy-03-dd','yyyy-01-dd',NULL,1,10),</v>
      </c>
    </row>
    <row r="73" spans="1:9" ht="20.149999999999999" customHeight="1" x14ac:dyDescent="0.35">
      <c r="A73" s="3">
        <v>71</v>
      </c>
      <c r="B73" s="17" t="s">
        <v>4961</v>
      </c>
      <c r="C73" s="4" t="s">
        <v>4962</v>
      </c>
      <c r="D73" s="22">
        <v>40337</v>
      </c>
      <c r="E73" s="22">
        <v>40990</v>
      </c>
      <c r="F73" s="5" t="s">
        <v>972</v>
      </c>
      <c r="G73" s="5">
        <v>1</v>
      </c>
      <c r="H73" s="5">
        <v>10</v>
      </c>
      <c r="I73" s="4" t="str">
        <f t="shared" si="1"/>
        <v>(71,'SP4-NZ1','Station de Pompage SP4-NZ1','yyyy-06-dd','yyyy-03-dd',NULL,1,10),</v>
      </c>
    </row>
    <row r="74" spans="1:9" ht="20.149999999999999" customHeight="1" x14ac:dyDescent="0.35">
      <c r="A74" s="3">
        <v>72</v>
      </c>
      <c r="B74" s="17" t="s">
        <v>4963</v>
      </c>
      <c r="C74" s="4" t="s">
        <v>4964</v>
      </c>
      <c r="D74" s="22">
        <v>40337</v>
      </c>
      <c r="E74" s="22">
        <v>40990</v>
      </c>
      <c r="F74" s="5" t="s">
        <v>972</v>
      </c>
      <c r="G74" s="5">
        <v>1</v>
      </c>
      <c r="H74" s="5">
        <v>10</v>
      </c>
      <c r="I74" s="4" t="str">
        <f t="shared" si="1"/>
        <v>(72,'SP5-NZ1','Station de Pompage SP5-NZ1','yyyy-06-dd','yyyy-03-dd',NULL,1,10),</v>
      </c>
    </row>
    <row r="75" spans="1:9" ht="20.149999999999999" customHeight="1" x14ac:dyDescent="0.35">
      <c r="A75" s="3">
        <v>73</v>
      </c>
      <c r="B75" s="17" t="s">
        <v>4965</v>
      </c>
      <c r="C75" s="4" t="s">
        <v>4966</v>
      </c>
      <c r="D75" s="22">
        <v>40337</v>
      </c>
      <c r="E75" s="22">
        <v>40990</v>
      </c>
      <c r="F75" s="5" t="s">
        <v>972</v>
      </c>
      <c r="G75" s="5">
        <v>1</v>
      </c>
      <c r="H75" s="5">
        <v>10</v>
      </c>
      <c r="I75" s="4" t="str">
        <f t="shared" si="1"/>
        <v>(73,'SP6-NZ1','Station de Pompage SP6-NZ1','yyyy-06-dd','yyyy-03-dd',NULL,1,10),</v>
      </c>
    </row>
    <row r="76" spans="1:9" ht="20.149999999999999" customHeight="1" x14ac:dyDescent="0.35">
      <c r="A76" s="3">
        <v>74</v>
      </c>
      <c r="B76" s="17" t="s">
        <v>4967</v>
      </c>
      <c r="C76" s="4" t="s">
        <v>4968</v>
      </c>
      <c r="D76" s="22">
        <v>40337</v>
      </c>
      <c r="E76" s="22">
        <v>40990</v>
      </c>
      <c r="F76" s="5" t="s">
        <v>972</v>
      </c>
      <c r="G76" s="5">
        <v>1</v>
      </c>
      <c r="H76" s="5">
        <v>10</v>
      </c>
      <c r="I76" s="4" t="str">
        <f t="shared" si="1"/>
        <v>(74,'PRS-NZ1','Station de Régulation PRS-NZ1','yyyy-06-dd','yyyy-03-dd',NULL,1,10),</v>
      </c>
    </row>
    <row r="77" spans="1:9" ht="20.149999999999999" customHeight="1" x14ac:dyDescent="0.35">
      <c r="A77" s="3">
        <v>75</v>
      </c>
      <c r="B77" s="17" t="s">
        <v>4969</v>
      </c>
      <c r="C77" s="4" t="s">
        <v>4970</v>
      </c>
      <c r="D77" s="22">
        <v>40798</v>
      </c>
      <c r="E77" s="22">
        <v>41443</v>
      </c>
      <c r="F77" s="5" t="s">
        <v>972</v>
      </c>
      <c r="G77" s="5">
        <v>1</v>
      </c>
      <c r="H77" s="5">
        <v>10</v>
      </c>
      <c r="I77" s="4" t="str">
        <f t="shared" si="1"/>
        <v>(75,'SP1-NK1','Station de Pompage SP1-NK1','yyyy-09-dd','yyyy-06-dd',NULL,1,10),</v>
      </c>
    </row>
    <row r="78" spans="1:9" ht="20.149999999999999" customHeight="1" x14ac:dyDescent="0.35">
      <c r="A78" s="3">
        <v>76</v>
      </c>
      <c r="B78" s="17" t="s">
        <v>4971</v>
      </c>
      <c r="C78" s="4" t="s">
        <v>4972</v>
      </c>
      <c r="D78" s="22">
        <v>40798</v>
      </c>
      <c r="E78" s="22">
        <v>41443</v>
      </c>
      <c r="F78" s="5" t="s">
        <v>972</v>
      </c>
      <c r="G78" s="5">
        <v>1</v>
      </c>
      <c r="H78" s="5">
        <v>10</v>
      </c>
      <c r="I78" s="4" t="str">
        <f t="shared" si="1"/>
        <v>(76,'SP3-NK1','Station de Pompage SP3-NK1','yyyy-09-dd','yyyy-06-dd',NULL,1,10),</v>
      </c>
    </row>
    <row r="79" spans="1:9" ht="20.149999999999999" customHeight="1" x14ac:dyDescent="0.35">
      <c r="A79" s="3">
        <v>77</v>
      </c>
      <c r="B79" s="17" t="s">
        <v>4973</v>
      </c>
      <c r="C79" s="4" t="s">
        <v>4974</v>
      </c>
      <c r="D79" s="22">
        <v>40954</v>
      </c>
      <c r="E79" s="22">
        <v>41598</v>
      </c>
      <c r="F79" s="5" t="s">
        <v>972</v>
      </c>
      <c r="G79" s="5">
        <v>1</v>
      </c>
      <c r="H79" s="5">
        <v>10</v>
      </c>
      <c r="I79" s="4" t="str">
        <f t="shared" si="1"/>
        <v>(77,'SP4-LNZ1','Station de Pompage SP4-LNZ1','yyyy-02-dd','yyyy-11-dd',NULL,1,10),</v>
      </c>
    </row>
    <row r="80" spans="1:9" ht="20.149999999999999" customHeight="1" x14ac:dyDescent="0.35">
      <c r="A80" s="3">
        <v>78</v>
      </c>
      <c r="B80" s="17" t="s">
        <v>4975</v>
      </c>
      <c r="C80" s="4" t="s">
        <v>4976</v>
      </c>
      <c r="D80" s="22">
        <v>40954</v>
      </c>
      <c r="E80" s="22">
        <v>41598</v>
      </c>
      <c r="F80" s="5" t="s">
        <v>972</v>
      </c>
      <c r="G80" s="5">
        <v>1</v>
      </c>
      <c r="H80" s="5">
        <v>10</v>
      </c>
      <c r="I80" s="4" t="str">
        <f t="shared" si="1"/>
        <v>(78,'SP5-LNZ1','Station de Pompage SP5-LNZ1','yyyy-02-dd','yyyy-11-dd',NULL,1,10),</v>
      </c>
    </row>
    <row r="81" spans="1:9" ht="20.149999999999999" customHeight="1" x14ac:dyDescent="0.35">
      <c r="A81" s="3">
        <v>79</v>
      </c>
      <c r="B81" s="17" t="s">
        <v>4977</v>
      </c>
      <c r="C81" s="4" t="s">
        <v>4978</v>
      </c>
      <c r="D81" s="22">
        <v>40954</v>
      </c>
      <c r="E81" s="22">
        <v>41598</v>
      </c>
      <c r="F81" s="5" t="s">
        <v>972</v>
      </c>
      <c r="G81" s="5">
        <v>1</v>
      </c>
      <c r="H81" s="5">
        <v>10</v>
      </c>
      <c r="I81" s="4" t="str">
        <f t="shared" si="1"/>
        <v>(79,'SP6-LNZ1','Station de Pompage SP6-LNZ1','yyyy-02-dd','yyyy-11-dd',NULL,1,10),</v>
      </c>
    </row>
    <row r="82" spans="1:9" ht="20.149999999999999" customHeight="1" x14ac:dyDescent="0.35">
      <c r="A82" s="3">
        <v>80</v>
      </c>
      <c r="B82" s="17" t="s">
        <v>4979</v>
      </c>
      <c r="C82" s="4" t="s">
        <v>4980</v>
      </c>
      <c r="D82" s="22">
        <v>41374</v>
      </c>
      <c r="E82" s="22">
        <v>42029</v>
      </c>
      <c r="F82" s="5" t="s">
        <v>972</v>
      </c>
      <c r="G82" s="5">
        <v>1</v>
      </c>
      <c r="H82" s="5">
        <v>10</v>
      </c>
      <c r="I82" s="4" t="str">
        <f t="shared" si="1"/>
        <v>(80,'SP0-LZ1','Station de Pompage SP0-LZ1','yyyy-04-dd','yyyy-01-dd',NULL,1,10),</v>
      </c>
    </row>
    <row r="83" spans="1:9" ht="20.149999999999999" customHeight="1" x14ac:dyDescent="0.35">
      <c r="A83" s="3">
        <v>81</v>
      </c>
      <c r="B83" s="17" t="s">
        <v>4981</v>
      </c>
      <c r="C83" s="4" t="s">
        <v>4982</v>
      </c>
      <c r="D83" s="22">
        <v>41374</v>
      </c>
      <c r="E83" s="22">
        <v>42029</v>
      </c>
      <c r="F83" s="5" t="s">
        <v>972</v>
      </c>
      <c r="G83" s="5">
        <v>1</v>
      </c>
      <c r="H83" s="5">
        <v>10</v>
      </c>
      <c r="I83" s="4" t="str">
        <f t="shared" si="1"/>
        <v>(81,'SP1-LZ1','Station de Pompage SP1-LZ1','yyyy-04-dd','yyyy-01-dd',NULL,1,10),</v>
      </c>
    </row>
    <row r="84" spans="1:9" ht="20.149999999999999" customHeight="1" x14ac:dyDescent="0.35">
      <c r="A84" s="3">
        <v>82</v>
      </c>
      <c r="B84" s="17" t="s">
        <v>4983</v>
      </c>
      <c r="C84" s="4" t="s">
        <v>4984</v>
      </c>
      <c r="D84" s="22">
        <v>41374</v>
      </c>
      <c r="E84" s="22">
        <v>42029</v>
      </c>
      <c r="F84" s="5" t="s">
        <v>972</v>
      </c>
      <c r="G84" s="5">
        <v>1</v>
      </c>
      <c r="H84" s="5">
        <v>10</v>
      </c>
      <c r="I84" s="4" t="str">
        <f t="shared" si="1"/>
        <v>(82,'SP1-LZ2','Station de Pompage SP1-LZ2','yyyy-04-dd','yyyy-01-dd',NULL,1,10),</v>
      </c>
    </row>
    <row r="85" spans="1:9" ht="20.149999999999999" customHeight="1" x14ac:dyDescent="0.35">
      <c r="A85" s="3">
        <v>83</v>
      </c>
      <c r="B85" s="17" t="s">
        <v>4985</v>
      </c>
      <c r="C85" s="4" t="s">
        <v>4986</v>
      </c>
      <c r="D85" s="22">
        <v>41374</v>
      </c>
      <c r="E85" s="22">
        <v>42029</v>
      </c>
      <c r="F85" s="5" t="s">
        <v>972</v>
      </c>
      <c r="G85" s="5">
        <v>1</v>
      </c>
      <c r="H85" s="5">
        <v>10</v>
      </c>
      <c r="I85" s="4" t="str">
        <f t="shared" si="1"/>
        <v>(83,'PRS-LZ1/LZ2','Station de Régulation PRS-LZ1/LZ2','yyyy-04-dd','yyyy-01-dd',NULL,1,10),</v>
      </c>
    </row>
    <row r="86" spans="1:9" ht="20.149999999999999" customHeight="1" x14ac:dyDescent="0.35">
      <c r="A86" s="3">
        <v>84</v>
      </c>
      <c r="B86" s="17" t="s">
        <v>4987</v>
      </c>
      <c r="C86" s="4" t="s">
        <v>4988</v>
      </c>
      <c r="D86" s="22">
        <v>41838</v>
      </c>
      <c r="E86" s="22">
        <v>42490</v>
      </c>
      <c r="F86" s="5" t="s">
        <v>972</v>
      </c>
      <c r="G86" s="5">
        <v>1</v>
      </c>
      <c r="H86" s="5">
        <v>10</v>
      </c>
      <c r="I86" s="4" t="str">
        <f t="shared" si="1"/>
        <v>(84,'SPRN-LR1','Station de Pompage SPRN-LR1','yyyy-07-dd','yyyy-04-dd',NULL,1,10),</v>
      </c>
    </row>
    <row r="87" spans="1:9" ht="20.149999999999999" customHeight="1" x14ac:dyDescent="0.35">
      <c r="A87" s="3">
        <v>85</v>
      </c>
      <c r="B87" s="17" t="s">
        <v>6079</v>
      </c>
      <c r="C87" s="4" t="s">
        <v>4990</v>
      </c>
      <c r="D87" s="22">
        <v>41838</v>
      </c>
      <c r="E87" s="22">
        <v>42490</v>
      </c>
      <c r="F87" s="5" t="s">
        <v>972</v>
      </c>
      <c r="G87" s="5">
        <v>1</v>
      </c>
      <c r="H87" s="5">
        <v>10</v>
      </c>
      <c r="I87" s="4" t="str">
        <f t="shared" si="1"/>
        <v>(85,'SP0-LR1','Station de Pompage SP1-LR1','yyyy-07-dd','yyyy-04-dd',NULL,1,10),</v>
      </c>
    </row>
    <row r="88" spans="1:9" ht="20.149999999999999" customHeight="1" x14ac:dyDescent="0.35">
      <c r="A88" s="3">
        <v>86</v>
      </c>
      <c r="B88" s="17" t="s">
        <v>4989</v>
      </c>
      <c r="C88" s="4" t="s">
        <v>4990</v>
      </c>
      <c r="D88" s="22">
        <v>41838</v>
      </c>
      <c r="E88" s="22">
        <v>42490</v>
      </c>
      <c r="F88" s="5" t="s">
        <v>972</v>
      </c>
      <c r="G88" s="5">
        <v>1</v>
      </c>
      <c r="H88" s="5">
        <v>10</v>
      </c>
      <c r="I88" s="4" t="str">
        <f t="shared" si="1"/>
        <v>(86,'SP1-LR1','Station de Pompage SP1-LR1','yyyy-07-dd','yyyy-04-dd',NULL,1,10),</v>
      </c>
    </row>
    <row r="89" spans="1:9" ht="20.149999999999999" customHeight="1" x14ac:dyDescent="0.35">
      <c r="A89" s="3">
        <v>87</v>
      </c>
      <c r="B89" s="17" t="s">
        <v>4991</v>
      </c>
      <c r="C89" s="4" t="s">
        <v>4992</v>
      </c>
      <c r="D89" s="22">
        <v>41838</v>
      </c>
      <c r="E89" s="22">
        <v>42490</v>
      </c>
      <c r="F89" s="5" t="s">
        <v>972</v>
      </c>
      <c r="G89" s="5">
        <v>1</v>
      </c>
      <c r="H89" s="5">
        <v>10</v>
      </c>
      <c r="I89" s="4" t="str">
        <f t="shared" si="1"/>
        <v>(87,'SP2-LR1','Station de Pompage SP2-LR1','yyyy-07-dd','yyyy-04-dd',NULL,1,10),</v>
      </c>
    </row>
    <row r="90" spans="1:9" ht="20.149999999999999" customHeight="1" x14ac:dyDescent="0.35">
      <c r="A90" s="3">
        <v>88</v>
      </c>
      <c r="B90" s="17" t="s">
        <v>4993</v>
      </c>
      <c r="C90" s="4" t="s">
        <v>4994</v>
      </c>
      <c r="D90" s="22">
        <v>42299</v>
      </c>
      <c r="E90" s="22">
        <v>42962</v>
      </c>
      <c r="F90" s="5" t="s">
        <v>972</v>
      </c>
      <c r="G90" s="5">
        <v>1</v>
      </c>
      <c r="H90" s="5">
        <v>10</v>
      </c>
      <c r="I90" s="4" t="str">
        <f t="shared" si="1"/>
        <v>(88,'SP1-LNZ1','Station de Pompage SP1-LNZ1','yyyy-10-dd','yyyy-08-dd',NULL,1,10),</v>
      </c>
    </row>
    <row r="91" spans="1:9" ht="20.149999999999999" customHeight="1" x14ac:dyDescent="0.35">
      <c r="A91" s="3">
        <v>89</v>
      </c>
      <c r="B91" s="17" t="s">
        <v>4995</v>
      </c>
      <c r="C91" s="4" t="s">
        <v>4996</v>
      </c>
      <c r="D91" s="22">
        <v>42299</v>
      </c>
      <c r="E91" s="22">
        <v>42962</v>
      </c>
      <c r="F91" s="5" t="s">
        <v>972</v>
      </c>
      <c r="G91" s="5">
        <v>1</v>
      </c>
      <c r="H91" s="5">
        <v>10</v>
      </c>
      <c r="I91" s="4" t="str">
        <f t="shared" si="1"/>
        <v>(89,'SP3-LNZ1','Station de Pompage SP3-LNZ1','yyyy-10-dd','yyyy-08-dd',NULL,1,10),</v>
      </c>
    </row>
    <row r="92" spans="1:9" ht="20.149999999999999" customHeight="1" x14ac:dyDescent="0.35">
      <c r="A92" s="3">
        <v>90</v>
      </c>
      <c r="B92" s="17" t="s">
        <v>4997</v>
      </c>
      <c r="C92" s="4" t="s">
        <v>4998</v>
      </c>
      <c r="D92" s="22">
        <v>36566</v>
      </c>
      <c r="E92" s="22">
        <v>37271</v>
      </c>
      <c r="F92" s="5" t="s">
        <v>972</v>
      </c>
      <c r="G92" s="5">
        <v>1</v>
      </c>
      <c r="H92" s="5">
        <v>10</v>
      </c>
      <c r="I92" s="4" t="str">
        <f t="shared" si="1"/>
        <v>(90,'SC1-GZ0','Station de Compression SC1-GZ0','yyyy-02-dd','yyyy-01-dd',NULL,1,10),</v>
      </c>
    </row>
    <row r="93" spans="1:9" ht="20.149999999999999" customHeight="1" x14ac:dyDescent="0.35">
      <c r="A93" s="3">
        <v>91</v>
      </c>
      <c r="B93" s="17" t="s">
        <v>4999</v>
      </c>
      <c r="C93" s="4" t="s">
        <v>5000</v>
      </c>
      <c r="D93" s="22">
        <v>36566</v>
      </c>
      <c r="E93" s="22">
        <v>37271</v>
      </c>
      <c r="F93" s="5" t="s">
        <v>972</v>
      </c>
      <c r="G93" s="5">
        <v>1</v>
      </c>
      <c r="H93" s="5">
        <v>10</v>
      </c>
      <c r="I93" s="4" t="str">
        <f t="shared" si="1"/>
        <v>(91,'SC2-GZ0','Station de Compression SC2-GZ0','yyyy-02-dd','yyyy-01-dd',NULL,1,10),</v>
      </c>
    </row>
    <row r="94" spans="1:9" ht="20.149999999999999" customHeight="1" x14ac:dyDescent="0.35">
      <c r="A94" s="3">
        <v>92</v>
      </c>
      <c r="B94" s="17" t="s">
        <v>5001</v>
      </c>
      <c r="C94" s="4" t="s">
        <v>5002</v>
      </c>
      <c r="D94" s="22">
        <v>36566</v>
      </c>
      <c r="E94" s="22">
        <v>37271</v>
      </c>
      <c r="F94" s="5" t="s">
        <v>972</v>
      </c>
      <c r="G94" s="5">
        <v>1</v>
      </c>
      <c r="H94" s="5">
        <v>10</v>
      </c>
      <c r="I94" s="4" t="str">
        <f t="shared" si="1"/>
        <v>(92,'SC3-GZ0','Station de Compression SC3-GZ0','yyyy-02-dd','yyyy-01-dd',NULL,1,10),</v>
      </c>
    </row>
    <row r="95" spans="1:9" ht="20.149999999999999" customHeight="1" x14ac:dyDescent="0.35">
      <c r="A95" s="3">
        <v>93</v>
      </c>
      <c r="B95" s="17" t="s">
        <v>5003</v>
      </c>
      <c r="C95" s="4" t="s">
        <v>5004</v>
      </c>
      <c r="D95" s="22">
        <v>36566</v>
      </c>
      <c r="E95" s="22">
        <v>37271</v>
      </c>
      <c r="F95" s="5" t="s">
        <v>972</v>
      </c>
      <c r="G95" s="5">
        <v>1</v>
      </c>
      <c r="H95" s="5">
        <v>10</v>
      </c>
      <c r="I95" s="4" t="str">
        <f t="shared" si="1"/>
        <v>(93,'SC4-GZ0','Station de Compression SC4-GZ0','yyyy-02-dd','yyyy-01-dd',NULL,1,10),</v>
      </c>
    </row>
    <row r="96" spans="1:9" ht="20.149999999999999" customHeight="1" x14ac:dyDescent="0.35">
      <c r="A96" s="3">
        <v>94</v>
      </c>
      <c r="B96" s="17" t="s">
        <v>5005</v>
      </c>
      <c r="C96" s="4" t="s">
        <v>5006</v>
      </c>
      <c r="D96" s="22">
        <v>37756</v>
      </c>
      <c r="E96" s="22">
        <v>38462</v>
      </c>
      <c r="F96" s="5" t="s">
        <v>972</v>
      </c>
      <c r="G96" s="5">
        <v>1</v>
      </c>
      <c r="H96" s="5">
        <v>10</v>
      </c>
      <c r="I96" s="4" t="str">
        <f t="shared" si="1"/>
        <v>(94,'SC1-GZ1','Station de Compression SC1-GZ1','yyyy-05-dd','yyyy-04-dd',NULL,1,10),</v>
      </c>
    </row>
    <row r="97" spans="1:9" ht="20.149999999999999" customHeight="1" x14ac:dyDescent="0.35">
      <c r="A97" s="3">
        <v>95</v>
      </c>
      <c r="B97" s="17" t="s">
        <v>5007</v>
      </c>
      <c r="C97" s="4" t="s">
        <v>5008</v>
      </c>
      <c r="D97" s="22">
        <v>37756</v>
      </c>
      <c r="E97" s="22">
        <v>38462</v>
      </c>
      <c r="F97" s="5" t="s">
        <v>972</v>
      </c>
      <c r="G97" s="5">
        <v>1</v>
      </c>
      <c r="H97" s="5">
        <v>10</v>
      </c>
      <c r="I97" s="4" t="str">
        <f t="shared" si="1"/>
        <v>(95,'SC1-GZ2','Station de Compression SC1-GZ2','yyyy-05-dd','yyyy-04-dd',NULL,1,10),</v>
      </c>
    </row>
    <row r="98" spans="1:9" ht="20.149999999999999" customHeight="1" x14ac:dyDescent="0.35">
      <c r="A98" s="3">
        <v>96</v>
      </c>
      <c r="B98" s="17" t="s">
        <v>5009</v>
      </c>
      <c r="C98" s="4" t="s">
        <v>5010</v>
      </c>
      <c r="D98" s="22">
        <v>37756</v>
      </c>
      <c r="E98" s="22">
        <v>38462</v>
      </c>
      <c r="F98" s="5" t="s">
        <v>972</v>
      </c>
      <c r="G98" s="5">
        <v>1</v>
      </c>
      <c r="H98" s="5">
        <v>10</v>
      </c>
      <c r="I98" s="4" t="str">
        <f t="shared" si="1"/>
        <v>(96,'SC1-GZ3','Station de Compression SC1-GZ3','yyyy-05-dd','yyyy-04-dd',NULL,1,10),</v>
      </c>
    </row>
    <row r="99" spans="1:9" ht="20.149999999999999" customHeight="1" x14ac:dyDescent="0.35">
      <c r="A99" s="3">
        <v>97</v>
      </c>
      <c r="B99" s="17" t="s">
        <v>5011</v>
      </c>
      <c r="C99" s="4" t="s">
        <v>5012</v>
      </c>
      <c r="D99" s="22">
        <v>38219</v>
      </c>
      <c r="E99" s="22">
        <v>38923</v>
      </c>
      <c r="F99" s="5" t="s">
        <v>972</v>
      </c>
      <c r="G99" s="5">
        <v>1</v>
      </c>
      <c r="H99" s="5">
        <v>10</v>
      </c>
      <c r="I99" s="4" t="str">
        <f t="shared" si="1"/>
        <v>(97,'SC2-GZ1','Station de Compression SC2-GZ1','yyyy-08-dd','yyyy-07-dd',NULL,1,10),</v>
      </c>
    </row>
    <row r="100" spans="1:9" ht="20.149999999999999" customHeight="1" x14ac:dyDescent="0.35">
      <c r="A100" s="3">
        <v>98</v>
      </c>
      <c r="B100" s="17" t="s">
        <v>5013</v>
      </c>
      <c r="C100" s="4" t="s">
        <v>5014</v>
      </c>
      <c r="D100" s="22">
        <v>38219</v>
      </c>
      <c r="E100" s="22">
        <v>38923</v>
      </c>
      <c r="F100" s="5" t="s">
        <v>972</v>
      </c>
      <c r="G100" s="5">
        <v>1</v>
      </c>
      <c r="H100" s="5">
        <v>10</v>
      </c>
      <c r="I100" s="4" t="str">
        <f t="shared" si="1"/>
        <v>(98,'SC2-GZ2','Station de Compression SC2-GZ2','yyyy-08-dd','yyyy-07-dd',NULL,1,10),</v>
      </c>
    </row>
    <row r="101" spans="1:9" ht="20.149999999999999" customHeight="1" x14ac:dyDescent="0.35">
      <c r="A101" s="3">
        <v>99</v>
      </c>
      <c r="B101" s="17" t="s">
        <v>5015</v>
      </c>
      <c r="C101" s="4" t="s">
        <v>5016</v>
      </c>
      <c r="D101" s="22">
        <v>38219</v>
      </c>
      <c r="E101" s="22">
        <v>38923</v>
      </c>
      <c r="F101" s="5" t="s">
        <v>972</v>
      </c>
      <c r="G101" s="5">
        <v>1</v>
      </c>
      <c r="H101" s="5">
        <v>10</v>
      </c>
      <c r="I101" s="4" t="str">
        <f t="shared" si="1"/>
        <v>(99,'SC2-GZ3','Station de Compression SC2-GZ3','yyyy-08-dd','yyyy-07-dd',NULL,1,10),</v>
      </c>
    </row>
    <row r="102" spans="1:9" ht="20.149999999999999" customHeight="1" x14ac:dyDescent="0.35">
      <c r="A102" s="3">
        <v>100</v>
      </c>
      <c r="B102" s="17" t="s">
        <v>5017</v>
      </c>
      <c r="C102" s="4" t="s">
        <v>5018</v>
      </c>
      <c r="D102" s="22">
        <v>38666</v>
      </c>
      <c r="E102" s="22">
        <v>39370</v>
      </c>
      <c r="F102" s="5" t="s">
        <v>972</v>
      </c>
      <c r="G102" s="5">
        <v>1</v>
      </c>
      <c r="H102" s="5">
        <v>10</v>
      </c>
      <c r="I102" s="4" t="str">
        <f t="shared" si="1"/>
        <v>(100,'SC3-GZ1','Station de Compression SC3-GZ1','yyyy-11-dd','yyyy-10-dd',NULL,1,10),</v>
      </c>
    </row>
    <row r="103" spans="1:9" ht="20.149999999999999" customHeight="1" x14ac:dyDescent="0.35">
      <c r="A103" s="3">
        <v>101</v>
      </c>
      <c r="B103" s="17" t="s">
        <v>5019</v>
      </c>
      <c r="C103" s="4" t="s">
        <v>5020</v>
      </c>
      <c r="D103" s="22">
        <v>38666</v>
      </c>
      <c r="E103" s="22">
        <v>39370</v>
      </c>
      <c r="F103" s="5" t="s">
        <v>972</v>
      </c>
      <c r="G103" s="5">
        <v>1</v>
      </c>
      <c r="H103" s="5">
        <v>10</v>
      </c>
      <c r="I103" s="4" t="str">
        <f t="shared" si="1"/>
        <v>(101,'SC3-GZ2','Station de Compression SC3-GZ2','yyyy-11-dd','yyyy-10-dd',NULL,1,10),</v>
      </c>
    </row>
    <row r="104" spans="1:9" ht="20.149999999999999" customHeight="1" x14ac:dyDescent="0.35">
      <c r="A104" s="3">
        <v>102</v>
      </c>
      <c r="B104" s="17" t="s">
        <v>5021</v>
      </c>
      <c r="C104" s="4" t="s">
        <v>5022</v>
      </c>
      <c r="D104" s="22">
        <v>38666</v>
      </c>
      <c r="E104" s="22">
        <v>39370</v>
      </c>
      <c r="F104" s="5" t="s">
        <v>972</v>
      </c>
      <c r="G104" s="5">
        <v>1</v>
      </c>
      <c r="H104" s="5">
        <v>10</v>
      </c>
      <c r="I104" s="4" t="str">
        <f t="shared" si="1"/>
        <v>(102,'SC3-GZ3','Station de Compression SC3-GZ3','yyyy-11-dd','yyyy-10-dd',NULL,1,10),</v>
      </c>
    </row>
    <row r="105" spans="1:9" ht="20.149999999999999" customHeight="1" x14ac:dyDescent="0.35">
      <c r="A105" s="3">
        <v>103</v>
      </c>
      <c r="B105" s="17" t="s">
        <v>5023</v>
      </c>
      <c r="C105" s="4" t="s">
        <v>5024</v>
      </c>
      <c r="D105" s="22">
        <v>38791</v>
      </c>
      <c r="E105" s="22">
        <v>39498</v>
      </c>
      <c r="F105" s="5" t="s">
        <v>972</v>
      </c>
      <c r="G105" s="5">
        <v>1</v>
      </c>
      <c r="H105" s="5">
        <v>10</v>
      </c>
      <c r="I105" s="4" t="str">
        <f t="shared" si="1"/>
        <v>(103,'SC4-GZ1','Station de Compression SC4-GZ1','yyyy-03-dd','yyyy-02-dd',NULL,1,10),</v>
      </c>
    </row>
    <row r="106" spans="1:9" ht="20.149999999999999" customHeight="1" x14ac:dyDescent="0.35">
      <c r="A106" s="3">
        <v>104</v>
      </c>
      <c r="B106" s="17" t="s">
        <v>5025</v>
      </c>
      <c r="C106" s="4" t="s">
        <v>5026</v>
      </c>
      <c r="D106" s="22">
        <v>38791</v>
      </c>
      <c r="E106" s="22">
        <v>39498</v>
      </c>
      <c r="F106" s="5" t="s">
        <v>972</v>
      </c>
      <c r="G106" s="5">
        <v>1</v>
      </c>
      <c r="H106" s="5">
        <v>10</v>
      </c>
      <c r="I106" s="4" t="str">
        <f t="shared" si="1"/>
        <v>(104,'SC4-GZ2','Station de Compression SC4-GZ2','yyyy-03-dd','yyyy-02-dd',NULL,1,10),</v>
      </c>
    </row>
    <row r="107" spans="1:9" ht="20.149999999999999" customHeight="1" x14ac:dyDescent="0.35">
      <c r="A107" s="3">
        <v>105</v>
      </c>
      <c r="B107" s="17" t="s">
        <v>5027</v>
      </c>
      <c r="C107" s="4" t="s">
        <v>5028</v>
      </c>
      <c r="D107" s="22">
        <v>38791</v>
      </c>
      <c r="E107" s="22">
        <v>39498</v>
      </c>
      <c r="F107" s="5" t="s">
        <v>972</v>
      </c>
      <c r="G107" s="5">
        <v>1</v>
      </c>
      <c r="H107" s="5">
        <v>10</v>
      </c>
      <c r="I107" s="4" t="str">
        <f t="shared" si="1"/>
        <v>(105,'SC4-GZ3','Station de Compression SC4-GZ3','yyyy-03-dd','yyyy-02-dd',NULL,1,10),</v>
      </c>
    </row>
    <row r="108" spans="1:9" ht="20.149999999999999" customHeight="1" x14ac:dyDescent="0.35">
      <c r="A108" s="3">
        <v>106</v>
      </c>
      <c r="B108" s="17" t="s">
        <v>5029</v>
      </c>
      <c r="C108" s="4" t="s">
        <v>5030</v>
      </c>
      <c r="D108" s="22">
        <v>39253</v>
      </c>
      <c r="E108" s="22">
        <v>39958</v>
      </c>
      <c r="F108" s="5" t="s">
        <v>972</v>
      </c>
      <c r="G108" s="5">
        <v>1</v>
      </c>
      <c r="H108" s="5">
        <v>10</v>
      </c>
      <c r="I108" s="4" t="str">
        <f t="shared" si="1"/>
        <v>(106,'SC5-GZ1','Station de Compression SC5-GZ1','yyyy-06-dd','yyyy-05-dd',NULL,1,10),</v>
      </c>
    </row>
    <row r="109" spans="1:9" ht="20.149999999999999" customHeight="1" x14ac:dyDescent="0.35">
      <c r="A109" s="3">
        <v>107</v>
      </c>
      <c r="B109" s="17" t="s">
        <v>5031</v>
      </c>
      <c r="C109" s="4" t="s">
        <v>5032</v>
      </c>
      <c r="D109" s="22">
        <v>39253</v>
      </c>
      <c r="E109" s="22">
        <v>39958</v>
      </c>
      <c r="F109" s="5" t="s">
        <v>972</v>
      </c>
      <c r="G109" s="5">
        <v>1</v>
      </c>
      <c r="H109" s="5">
        <v>10</v>
      </c>
      <c r="I109" s="4" t="str">
        <f t="shared" si="1"/>
        <v>(107,'SC5-GZ2','Station de Compression SC5-GZ2','yyyy-06-dd','yyyy-05-dd',NULL,1,10),</v>
      </c>
    </row>
    <row r="110" spans="1:9" ht="20.149999999999999" customHeight="1" x14ac:dyDescent="0.35">
      <c r="A110" s="3">
        <v>108</v>
      </c>
      <c r="B110" s="17" t="s">
        <v>5033</v>
      </c>
      <c r="C110" s="4" t="s">
        <v>5034</v>
      </c>
      <c r="D110" s="22">
        <v>39253</v>
      </c>
      <c r="E110" s="22">
        <v>39958</v>
      </c>
      <c r="F110" s="5" t="s">
        <v>972</v>
      </c>
      <c r="G110" s="5">
        <v>1</v>
      </c>
      <c r="H110" s="5">
        <v>10</v>
      </c>
      <c r="I110" s="4" t="str">
        <f t="shared" si="1"/>
        <v>(108,'SC5-GZ3','Station de Compression SC5-GZ3','yyyy-06-dd','yyyy-05-dd',NULL,1,10),</v>
      </c>
    </row>
    <row r="111" spans="1:9" ht="20.149999999999999" customHeight="1" x14ac:dyDescent="0.35">
      <c r="A111" s="3">
        <v>109</v>
      </c>
      <c r="B111" s="17" t="s">
        <v>5035</v>
      </c>
      <c r="C111" s="4" t="s">
        <v>5036</v>
      </c>
      <c r="D111" s="22">
        <v>39703</v>
      </c>
      <c r="E111" s="22">
        <v>40408</v>
      </c>
      <c r="F111" s="5" t="s">
        <v>972</v>
      </c>
      <c r="G111" s="5">
        <v>1</v>
      </c>
      <c r="H111" s="5">
        <v>10</v>
      </c>
      <c r="I111" s="4" t="str">
        <f t="shared" si="1"/>
        <v>(109,'SC3-GPDF','Station de Compression SC3-GPDF','yyyy-09-dd','yyyy-08-dd',NULL,1,10),</v>
      </c>
    </row>
    <row r="112" spans="1:9" ht="20.149999999999999" customHeight="1" x14ac:dyDescent="0.35">
      <c r="A112" s="3">
        <v>110</v>
      </c>
      <c r="B112" s="17" t="s">
        <v>5037</v>
      </c>
      <c r="C112" s="4" t="s">
        <v>5038</v>
      </c>
      <c r="D112" s="22">
        <v>40152</v>
      </c>
      <c r="E112" s="22">
        <v>40857</v>
      </c>
      <c r="F112" s="5" t="s">
        <v>972</v>
      </c>
      <c r="G112" s="5">
        <v>1</v>
      </c>
      <c r="H112" s="5">
        <v>10</v>
      </c>
      <c r="I112" s="4" t="str">
        <f t="shared" si="1"/>
        <v>(110,'SC1-GK1','Station de Compression SC1-GK1','yyyy-12-dd','yyyy-11-dd',NULL,1,10),</v>
      </c>
    </row>
    <row r="113" spans="1:9" ht="20.149999999999999" customHeight="1" x14ac:dyDescent="0.35">
      <c r="A113" s="3">
        <v>111</v>
      </c>
      <c r="B113" s="17" t="s">
        <v>5039</v>
      </c>
      <c r="C113" s="4" t="s">
        <v>5040</v>
      </c>
      <c r="D113" s="22">
        <v>40152</v>
      </c>
      <c r="E113" s="22">
        <v>40857</v>
      </c>
      <c r="F113" s="5" t="s">
        <v>972</v>
      </c>
      <c r="G113" s="5">
        <v>1</v>
      </c>
      <c r="H113" s="5">
        <v>10</v>
      </c>
      <c r="I113" s="4" t="str">
        <f t="shared" si="1"/>
        <v>(111,'SC2-GK1','Station de Compression SC2-GK1','yyyy-12-dd','yyyy-11-dd',NULL,1,10),</v>
      </c>
    </row>
    <row r="114" spans="1:9" ht="20.149999999999999" customHeight="1" x14ac:dyDescent="0.35">
      <c r="A114" s="3">
        <v>112</v>
      </c>
      <c r="B114" s="17" t="s">
        <v>5041</v>
      </c>
      <c r="C114" s="4" t="s">
        <v>5042</v>
      </c>
      <c r="D114" s="22">
        <v>40152</v>
      </c>
      <c r="E114" s="22">
        <v>40857</v>
      </c>
      <c r="F114" s="5" t="s">
        <v>972</v>
      </c>
      <c r="G114" s="5">
        <v>1</v>
      </c>
      <c r="H114" s="5">
        <v>10</v>
      </c>
      <c r="I114" s="4" t="str">
        <f t="shared" si="1"/>
        <v>(112,'SC3-GK1','Station de Compression SC3-GK1','yyyy-12-dd','yyyy-11-dd',NULL,1,10),</v>
      </c>
    </row>
    <row r="115" spans="1:9" ht="20.149999999999999" customHeight="1" x14ac:dyDescent="0.35">
      <c r="A115" s="3">
        <v>113</v>
      </c>
      <c r="B115" s="17" t="s">
        <v>5043</v>
      </c>
      <c r="C115" s="4" t="s">
        <v>5044</v>
      </c>
      <c r="D115" s="22">
        <v>40152</v>
      </c>
      <c r="E115" s="22">
        <v>40857</v>
      </c>
      <c r="F115" s="5" t="s">
        <v>972</v>
      </c>
      <c r="G115" s="5">
        <v>1</v>
      </c>
      <c r="H115" s="5">
        <v>10</v>
      </c>
      <c r="I115" s="4" t="str">
        <f t="shared" si="1"/>
        <v>(113,'SC4-GK1','Station de Compression SC4-GK1','yyyy-12-dd','yyyy-11-dd',NULL,1,10),</v>
      </c>
    </row>
    <row r="116" spans="1:9" ht="20.149999999999999" customHeight="1" x14ac:dyDescent="0.35">
      <c r="A116" s="3">
        <v>114</v>
      </c>
      <c r="B116" s="17" t="s">
        <v>5045</v>
      </c>
      <c r="C116" s="4" t="s">
        <v>5046</v>
      </c>
      <c r="D116" s="22">
        <v>40152</v>
      </c>
      <c r="E116" s="22">
        <v>40857</v>
      </c>
      <c r="F116" s="5" t="s">
        <v>972</v>
      </c>
      <c r="G116" s="5">
        <v>1</v>
      </c>
      <c r="H116" s="5">
        <v>10</v>
      </c>
      <c r="I116" s="4" t="str">
        <f t="shared" si="1"/>
        <v>(114,'SC5-GK1','Station de Compression SC5-GK1','yyyy-12-dd','yyyy-11-dd',NULL,1,10),</v>
      </c>
    </row>
    <row r="117" spans="1:9" ht="20.149999999999999" customHeight="1" x14ac:dyDescent="0.35">
      <c r="A117" s="3">
        <v>115</v>
      </c>
      <c r="B117" s="17" t="s">
        <v>5047</v>
      </c>
      <c r="C117" s="4" t="s">
        <v>5048</v>
      </c>
      <c r="D117" s="22">
        <v>40283</v>
      </c>
      <c r="E117" s="22">
        <v>40988</v>
      </c>
      <c r="F117" s="5" t="s">
        <v>972</v>
      </c>
      <c r="G117" s="5">
        <v>1</v>
      </c>
      <c r="H117" s="5">
        <v>10</v>
      </c>
      <c r="I117" s="4" t="str">
        <f t="shared" si="1"/>
        <v>(115,'S01-GO2','Station de Compression S01-GO2','yyyy-04-dd','yyyy-03-dd',NULL,1,10),</v>
      </c>
    </row>
    <row r="118" spans="1:9" ht="20.149999999999999" customHeight="1" x14ac:dyDescent="0.35">
      <c r="A118" s="3">
        <v>116</v>
      </c>
      <c r="B118" s="17" t="s">
        <v>5049</v>
      </c>
      <c r="C118" s="4" t="s">
        <v>5050</v>
      </c>
      <c r="D118" s="22">
        <v>40744</v>
      </c>
      <c r="E118" s="22">
        <v>41450</v>
      </c>
      <c r="F118" s="5" t="s">
        <v>972</v>
      </c>
      <c r="G118" s="5">
        <v>1</v>
      </c>
      <c r="H118" s="5">
        <v>10</v>
      </c>
      <c r="I118" s="4" t="str">
        <f t="shared" si="1"/>
        <v>(116,'S01-GG1','Station de Compression S01-GG1','yyyy-07-dd','yyyy-06-dd',NULL,1,10),</v>
      </c>
    </row>
    <row r="119" spans="1:9" ht="20.149999999999999" customHeight="1" x14ac:dyDescent="0.35">
      <c r="A119" s="3">
        <v>117</v>
      </c>
      <c r="B119" s="17" t="s">
        <v>5051</v>
      </c>
      <c r="C119" s="4" t="s">
        <v>5052</v>
      </c>
      <c r="D119" s="22">
        <v>41192</v>
      </c>
      <c r="E119" s="22">
        <v>41897</v>
      </c>
      <c r="F119" s="5" t="s">
        <v>972</v>
      </c>
      <c r="G119" s="5">
        <v>1</v>
      </c>
      <c r="H119" s="5">
        <v>10</v>
      </c>
      <c r="I119" s="4" t="str">
        <f t="shared" si="1"/>
        <v>(117,'S01-GR5','Station de Compression S01-GR5','yyyy-10-dd','yyyy-09-dd',NULL,1,10),</v>
      </c>
    </row>
    <row r="120" spans="1:9" ht="20.149999999999999" customHeight="1" x14ac:dyDescent="0.35">
      <c r="A120" s="3">
        <v>118</v>
      </c>
      <c r="B120" s="17" t="s">
        <v>5053</v>
      </c>
      <c r="C120" s="4" t="s">
        <v>5054</v>
      </c>
      <c r="D120" s="22">
        <v>41323</v>
      </c>
      <c r="E120" s="22">
        <v>42026</v>
      </c>
      <c r="F120" s="5" t="s">
        <v>972</v>
      </c>
      <c r="G120" s="5">
        <v>1</v>
      </c>
      <c r="H120" s="5">
        <v>10</v>
      </c>
      <c r="I120" s="4" t="str">
        <f t="shared" si="1"/>
        <v>(118,'S01-GR7','Station de Compression S01-GR7','yyyy-02-dd','yyyy-01-dd',NULL,1,10),</v>
      </c>
    </row>
    <row r="121" spans="1:9" ht="20.149999999999999" customHeight="1" x14ac:dyDescent="0.35">
      <c r="A121" s="3">
        <v>119</v>
      </c>
      <c r="B121" s="17" t="s">
        <v>5055</v>
      </c>
      <c r="C121" s="4" t="s">
        <v>5056</v>
      </c>
      <c r="D121" s="22">
        <v>41781</v>
      </c>
      <c r="E121" s="22">
        <v>42488</v>
      </c>
      <c r="F121" s="5" t="s">
        <v>972</v>
      </c>
      <c r="G121" s="5">
        <v>1</v>
      </c>
      <c r="H121" s="5">
        <v>10</v>
      </c>
      <c r="I121" s="4" t="str">
        <f t="shared" si="1"/>
        <v>(119,'SC-TFT','Station de Compression SC-TFT','yyyy-05-dd','yyyy-04-dd',NULL,1,10),</v>
      </c>
    </row>
    <row r="122" spans="1:9" ht="20.149999999999999" customHeight="1" x14ac:dyDescent="0.35">
      <c r="A122" s="3">
        <v>120</v>
      </c>
      <c r="B122" s="17" t="s">
        <v>5057</v>
      </c>
      <c r="C122" s="4" t="s">
        <v>5058</v>
      </c>
      <c r="D122" s="22">
        <v>42228</v>
      </c>
      <c r="E122" s="22">
        <v>42934</v>
      </c>
      <c r="F122" s="5" t="s">
        <v>972</v>
      </c>
      <c r="G122" s="5">
        <v>1</v>
      </c>
      <c r="H122" s="5">
        <v>10</v>
      </c>
      <c r="I122" s="4" t="str">
        <f t="shared" si="1"/>
        <v>(120,'SC1-GR2','Station de Compression SC1-GR2','yyyy-08-dd','yyyy-07-dd',NULL,1,10),</v>
      </c>
    </row>
    <row r="123" spans="1:9" ht="20.149999999999999" customHeight="1" x14ac:dyDescent="0.35">
      <c r="A123" s="3">
        <v>121</v>
      </c>
      <c r="B123" s="17" t="s">
        <v>5059</v>
      </c>
      <c r="C123" s="4" t="s">
        <v>5060</v>
      </c>
      <c r="D123" s="22">
        <v>42228</v>
      </c>
      <c r="E123" s="22">
        <v>42934</v>
      </c>
      <c r="F123" s="5" t="s">
        <v>972</v>
      </c>
      <c r="G123" s="5">
        <v>1</v>
      </c>
      <c r="H123" s="5">
        <v>10</v>
      </c>
      <c r="I123" s="4" t="str">
        <f t="shared" si="1"/>
        <v>(121,'SC2-GR2','Station de Compression SC2-GR2','yyyy-08-dd','yyyy-07-dd',NULL,1,10),</v>
      </c>
    </row>
    <row r="124" spans="1:9" ht="20.149999999999999" customHeight="1" x14ac:dyDescent="0.35">
      <c r="A124" s="3">
        <v>122</v>
      </c>
      <c r="B124" s="17" t="s">
        <v>5061</v>
      </c>
      <c r="C124" s="4" t="s">
        <v>5062</v>
      </c>
      <c r="D124" s="22">
        <v>42228</v>
      </c>
      <c r="E124" s="22">
        <v>42934</v>
      </c>
      <c r="F124" s="5" t="s">
        <v>972</v>
      </c>
      <c r="G124" s="5">
        <v>1</v>
      </c>
      <c r="H124" s="5">
        <v>10</v>
      </c>
      <c r="I124" s="4" t="str">
        <f t="shared" si="1"/>
        <v>(122,'SC3-GR2','Station de Compression SC3-GR2','yyyy-08-dd','yyyy-07-dd',NULL,1,10),</v>
      </c>
    </row>
    <row r="125" spans="1:9" ht="20.149999999999999" customHeight="1" x14ac:dyDescent="0.35">
      <c r="A125" s="3">
        <v>123</v>
      </c>
      <c r="B125" s="17" t="s">
        <v>5063</v>
      </c>
      <c r="C125" s="4" t="s">
        <v>5064</v>
      </c>
      <c r="D125" s="22">
        <v>42228</v>
      </c>
      <c r="E125" s="22">
        <v>42934</v>
      </c>
      <c r="F125" s="5" t="s">
        <v>972</v>
      </c>
      <c r="G125" s="5">
        <v>1</v>
      </c>
      <c r="H125" s="5">
        <v>10</v>
      </c>
      <c r="I125" s="4" t="str">
        <f t="shared" si="1"/>
        <v>(123,'SC4-GR2','Station de Compression SC4-GR2','yyyy-08-dd','yyyy-07-dd',NULL,1,10),</v>
      </c>
    </row>
    <row r="126" spans="1:9" ht="20.149999999999999" customHeight="1" x14ac:dyDescent="0.35">
      <c r="A126" s="3">
        <v>124</v>
      </c>
      <c r="B126" s="17" t="s">
        <v>5065</v>
      </c>
      <c r="C126" s="4" t="s">
        <v>5066</v>
      </c>
      <c r="D126" s="22">
        <v>22903</v>
      </c>
      <c r="E126" s="22">
        <v>23652</v>
      </c>
      <c r="F126" s="5" t="s">
        <v>972</v>
      </c>
      <c r="G126" s="5">
        <v>1</v>
      </c>
      <c r="H126" s="5">
        <v>4</v>
      </c>
      <c r="I126" s="4" t="str">
        <f t="shared" si="1"/>
        <v>(124,'GL1Z','Complexe GNL GL1Z','yyyy-09-dd','yyyy-10-dd',NULL,1,4),</v>
      </c>
    </row>
    <row r="127" spans="1:9" ht="20.149999999999999" customHeight="1" x14ac:dyDescent="0.35">
      <c r="A127" s="3">
        <v>125</v>
      </c>
      <c r="B127" s="17" t="s">
        <v>5067</v>
      </c>
      <c r="C127" s="4" t="s">
        <v>5068</v>
      </c>
      <c r="D127" s="22">
        <v>28564</v>
      </c>
      <c r="E127" s="22">
        <v>29849</v>
      </c>
      <c r="F127" s="5" t="s">
        <v>972</v>
      </c>
      <c r="G127" s="5">
        <v>1</v>
      </c>
      <c r="H127" s="5">
        <v>4</v>
      </c>
      <c r="I127" s="4" t="str">
        <f t="shared" si="1"/>
        <v>(125,'GL2Z','Complexe GNL GL2Z','yyyy-03-dd','yyyy-09-dd',NULL,1,4),</v>
      </c>
    </row>
    <row r="128" spans="1:9" ht="20.149999999999999" customHeight="1" x14ac:dyDescent="0.35">
      <c r="A128" s="3">
        <v>126</v>
      </c>
      <c r="B128" s="17" t="s">
        <v>5069</v>
      </c>
      <c r="C128" s="4" t="s">
        <v>5070</v>
      </c>
      <c r="D128" s="22">
        <v>40318</v>
      </c>
      <c r="E128" s="22">
        <v>41618</v>
      </c>
      <c r="F128" s="5" t="s">
        <v>972</v>
      </c>
      <c r="G128" s="5">
        <v>1</v>
      </c>
      <c r="H128" s="5">
        <v>4</v>
      </c>
      <c r="I128" s="4" t="str">
        <f t="shared" si="1"/>
        <v>(126,'GL3Z','Complexe GNL GL3Z','yyyy-05-dd','yyyy-12-dd',NULL,1,4),</v>
      </c>
    </row>
    <row r="129" spans="1:9" ht="20.149999999999999" customHeight="1" x14ac:dyDescent="0.35">
      <c r="A129" s="3">
        <v>127</v>
      </c>
      <c r="B129" s="17" t="s">
        <v>5071</v>
      </c>
      <c r="C129" s="4" t="s">
        <v>5072</v>
      </c>
      <c r="D129" s="22">
        <v>24473</v>
      </c>
      <c r="E129" s="22">
        <v>26495</v>
      </c>
      <c r="F129" s="5" t="s">
        <v>972</v>
      </c>
      <c r="G129" s="5">
        <v>1</v>
      </c>
      <c r="H129" s="5">
        <v>4</v>
      </c>
      <c r="I129" s="4" t="str">
        <f t="shared" si="1"/>
        <v>(127,'GL1K','Complexe GNL GL1K','yyyy-01-dd','yyyy-07-dd',NULL,1,4),</v>
      </c>
    </row>
    <row r="130" spans="1:9" ht="20.149999999999999" customHeight="1" x14ac:dyDescent="0.35">
      <c r="A130" s="3">
        <v>128</v>
      </c>
      <c r="B130" s="17" t="s">
        <v>5073</v>
      </c>
      <c r="C130" s="4" t="s">
        <v>5074</v>
      </c>
      <c r="D130" s="22">
        <v>25617</v>
      </c>
      <c r="E130" s="22">
        <v>27240</v>
      </c>
      <c r="F130" s="5" t="s">
        <v>972</v>
      </c>
      <c r="G130" s="5">
        <v>1</v>
      </c>
      <c r="H130" s="5">
        <v>4</v>
      </c>
      <c r="I130" s="4" t="str">
        <f t="shared" si="1"/>
        <v>(128,'GP1Z','Usine GPL GP1Z','yyyy-02-dd','yyyy-07-dd',NULL,1,4),</v>
      </c>
    </row>
    <row r="131" spans="1:9" ht="20.149999999999999" customHeight="1" x14ac:dyDescent="0.35">
      <c r="A131" s="3">
        <v>129</v>
      </c>
      <c r="B131" s="17" t="s">
        <v>5075</v>
      </c>
      <c r="C131" s="4" t="s">
        <v>5076</v>
      </c>
      <c r="D131" s="22">
        <v>27872</v>
      </c>
      <c r="E131" s="22">
        <v>29509</v>
      </c>
      <c r="F131" s="5" t="s">
        <v>972</v>
      </c>
      <c r="G131" s="5">
        <v>1</v>
      </c>
      <c r="H131" s="5">
        <v>4</v>
      </c>
      <c r="I131" s="4" t="str">
        <f t="shared" si="1"/>
        <v>(129,'GP2Z','Usine GPL GP2Z','yyyy-04-dd','yyyy-10-dd',NULL,1,4),</v>
      </c>
    </row>
    <row r="132" spans="1:9" ht="20.149999999999999" customHeight="1" x14ac:dyDescent="0.35">
      <c r="A132" s="3">
        <v>130</v>
      </c>
      <c r="B132" s="17" t="s">
        <v>5077</v>
      </c>
      <c r="C132" s="4" t="s">
        <v>5078</v>
      </c>
      <c r="D132" s="22">
        <v>22442</v>
      </c>
      <c r="E132" s="22">
        <v>23456</v>
      </c>
      <c r="F132" s="5" t="s">
        <v>972</v>
      </c>
      <c r="G132" s="5">
        <v>1</v>
      </c>
      <c r="H132" s="5">
        <v>5</v>
      </c>
      <c r="I132" s="4" t="str">
        <f t="shared" si="1"/>
        <v>(130,'RA1G','Raffinerie RA1G','yyyy-06-dd','yyyy-03-dd',NULL,1,5),</v>
      </c>
    </row>
    <row r="133" spans="1:9" ht="20.149999999999999" customHeight="1" x14ac:dyDescent="0.35">
      <c r="A133" s="3">
        <v>131</v>
      </c>
      <c r="B133" s="17" t="s">
        <v>4608</v>
      </c>
      <c r="C133" s="4" t="s">
        <v>5079</v>
      </c>
      <c r="D133" s="22">
        <v>26191</v>
      </c>
      <c r="E133" s="22">
        <v>27539</v>
      </c>
      <c r="F133" s="5" t="s">
        <v>972</v>
      </c>
      <c r="G133" s="5">
        <v>1</v>
      </c>
      <c r="H133" s="5">
        <v>5</v>
      </c>
      <c r="I133" s="4" t="str">
        <f t="shared" si="1"/>
        <v>(131,'RA1Z','Raffinerie RA1Z','yyyy-09-dd','yyyy-05-dd',NULL,1,5),</v>
      </c>
    </row>
    <row r="134" spans="1:9" ht="20.149999999999999" customHeight="1" x14ac:dyDescent="0.35">
      <c r="A134" s="3">
        <v>132</v>
      </c>
      <c r="B134" s="17" t="s">
        <v>5080</v>
      </c>
      <c r="C134" s="4" t="s">
        <v>5081</v>
      </c>
      <c r="D134" s="22">
        <v>35023</v>
      </c>
      <c r="E134" s="22">
        <v>36037</v>
      </c>
      <c r="F134" s="5" t="s">
        <v>972</v>
      </c>
      <c r="G134" s="5">
        <v>1</v>
      </c>
      <c r="H134" s="5">
        <v>5</v>
      </c>
      <c r="I134" s="4" t="str">
        <f t="shared" ref="I134:I197" si="2">CONCATENATE("(",A134,",'",B134,"','",C134,"','",TEXT(D134,"yyyy-mm-dd"),"','",TEXT(E134,"yyyy-mm-dd"),"',",F134,",",G134,",",H134,"),")</f>
        <v>(132,'RHM2','Raffinerie RHM2','yyyy-11-dd','yyyy-08-dd',NULL,1,5),</v>
      </c>
    </row>
    <row r="135" spans="1:9" ht="20.149999999999999" customHeight="1" x14ac:dyDescent="0.35">
      <c r="A135" s="3">
        <v>133</v>
      </c>
      <c r="B135" s="17" t="s">
        <v>4606</v>
      </c>
      <c r="C135" s="4" t="s">
        <v>5082</v>
      </c>
      <c r="D135" s="22">
        <v>28196</v>
      </c>
      <c r="E135" s="22">
        <v>29573</v>
      </c>
      <c r="F135" s="5" t="s">
        <v>972</v>
      </c>
      <c r="G135" s="5">
        <v>1</v>
      </c>
      <c r="H135" s="5">
        <v>5</v>
      </c>
      <c r="I135" s="4" t="str">
        <f t="shared" si="2"/>
        <v>(133,'RA1K','Raffinerie RA1K','yyyy-03-dd','yyyy-12-dd',NULL,1,5),</v>
      </c>
    </row>
    <row r="136" spans="1:9" ht="20.149999999999999" customHeight="1" x14ac:dyDescent="0.35">
      <c r="A136" s="3">
        <v>134</v>
      </c>
      <c r="B136" s="17" t="s">
        <v>5083</v>
      </c>
      <c r="C136" s="4" t="s">
        <v>5084</v>
      </c>
      <c r="D136" s="22">
        <v>28196</v>
      </c>
      <c r="E136" s="22">
        <v>29573</v>
      </c>
      <c r="F136" s="5" t="s">
        <v>972</v>
      </c>
      <c r="G136" s="5">
        <v>1</v>
      </c>
      <c r="H136" s="5">
        <v>5</v>
      </c>
      <c r="I136" s="4" t="str">
        <f t="shared" si="2"/>
        <v>(134,'RA2K','Raffinerie RA2K','yyyy-03-dd','yyyy-12-dd',NULL,1,5),</v>
      </c>
    </row>
    <row r="137" spans="1:9" ht="20.149999999999999" customHeight="1" x14ac:dyDescent="0.35">
      <c r="A137" s="3">
        <v>135</v>
      </c>
      <c r="B137" s="17" t="s">
        <v>5085</v>
      </c>
      <c r="C137" s="4" t="s">
        <v>5086</v>
      </c>
      <c r="D137" s="22">
        <v>24966</v>
      </c>
      <c r="E137" s="22">
        <v>26710</v>
      </c>
      <c r="F137" s="5" t="s">
        <v>972</v>
      </c>
      <c r="G137" s="5">
        <v>1</v>
      </c>
      <c r="H137" s="5">
        <v>5</v>
      </c>
      <c r="I137" s="4" t="str">
        <f t="shared" si="2"/>
        <v>(135,'RA1D','Raffinerie RA1D','yyyy-05-dd','yyyy-02-dd',NULL,1,5),</v>
      </c>
    </row>
    <row r="138" spans="1:9" ht="20.149999999999999" customHeight="1" x14ac:dyDescent="0.35">
      <c r="A138" s="3">
        <v>136</v>
      </c>
      <c r="B138" s="17" t="s">
        <v>5087</v>
      </c>
      <c r="C138" s="4" t="s">
        <v>5088</v>
      </c>
      <c r="D138" s="22">
        <v>29054</v>
      </c>
      <c r="E138" s="22">
        <v>30277</v>
      </c>
      <c r="F138" s="5" t="s">
        <v>972</v>
      </c>
      <c r="G138" s="5">
        <v>1</v>
      </c>
      <c r="H138" s="5">
        <v>4</v>
      </c>
      <c r="I138" s="4" t="str">
        <f t="shared" si="2"/>
        <v>(136,'CP1Z','Usine de Condensats CP1Z','yyyy-07-dd','yyyy-11-dd',NULL,1,4),</v>
      </c>
    </row>
    <row r="139" spans="1:9" ht="20.149999999999999" customHeight="1" x14ac:dyDescent="0.35">
      <c r="A139" s="3">
        <v>137</v>
      </c>
      <c r="B139" s="17" t="s">
        <v>5089</v>
      </c>
      <c r="C139" s="4" t="s">
        <v>5090</v>
      </c>
      <c r="D139" s="22">
        <v>29519</v>
      </c>
      <c r="E139" s="22">
        <v>30863</v>
      </c>
      <c r="F139" s="5" t="s">
        <v>972</v>
      </c>
      <c r="G139" s="5">
        <v>1</v>
      </c>
      <c r="H139" s="5">
        <v>4</v>
      </c>
      <c r="I139" s="4" t="str">
        <f t="shared" si="2"/>
        <v>(137,'CP2K','Usine de Condensats CP2K','yyyy-10-dd','yyyy-06-dd',NULL,1,4),</v>
      </c>
    </row>
    <row r="140" spans="1:9" ht="20.149999999999999" customHeight="1" x14ac:dyDescent="0.35">
      <c r="A140" s="3">
        <v>138</v>
      </c>
      <c r="B140" s="17" t="s">
        <v>5091</v>
      </c>
      <c r="C140" s="4" t="s">
        <v>5092</v>
      </c>
      <c r="D140" s="22">
        <v>25583</v>
      </c>
      <c r="E140" s="22">
        <v>27657</v>
      </c>
      <c r="F140" s="5" t="s">
        <v>972</v>
      </c>
      <c r="G140" s="5">
        <v>1</v>
      </c>
      <c r="H140" s="5">
        <v>5</v>
      </c>
      <c r="I140" s="4" t="str">
        <f t="shared" si="2"/>
        <v>(138,'SORFERT','Complexe Pétrochimique SORFERT','yyyy-01-dd','yyyy-09-dd',NULL,1,5),</v>
      </c>
    </row>
    <row r="141" spans="1:9" ht="20.149999999999999" customHeight="1" x14ac:dyDescent="0.35">
      <c r="A141" s="3">
        <v>139</v>
      </c>
      <c r="B141" s="17" t="s">
        <v>5093</v>
      </c>
      <c r="C141" s="4" t="s">
        <v>5094</v>
      </c>
      <c r="D141" s="22">
        <v>37721</v>
      </c>
      <c r="E141" s="22">
        <v>39767</v>
      </c>
      <c r="F141" s="5" t="s">
        <v>972</v>
      </c>
      <c r="G141" s="5">
        <v>1</v>
      </c>
      <c r="H141" s="5">
        <v>5</v>
      </c>
      <c r="I141" s="4" t="str">
        <f t="shared" si="2"/>
        <v>(139,'AOA','Complexe Pétrochimique AOA','yyyy-04-dd','yyyy-11-dd',NULL,1,5),</v>
      </c>
    </row>
    <row r="142" spans="1:9" ht="20.149999999999999" customHeight="1" x14ac:dyDescent="0.35">
      <c r="A142" s="3">
        <v>140</v>
      </c>
      <c r="B142" s="17" t="s">
        <v>5095</v>
      </c>
      <c r="C142" s="4" t="s">
        <v>6058</v>
      </c>
      <c r="D142" s="22">
        <v>35966</v>
      </c>
      <c r="E142" s="22">
        <v>37253</v>
      </c>
      <c r="F142" s="5" t="s">
        <v>972</v>
      </c>
      <c r="G142" s="5">
        <v>1</v>
      </c>
      <c r="H142" s="5">
        <v>2</v>
      </c>
      <c r="I142" s="4" t="str">
        <f t="shared" si="2"/>
        <v>(140,'CPF-OHD','Usine d\'Ourhoud','yyyy-06-dd','yyyy-12-dd',NULL,1,2),</v>
      </c>
    </row>
    <row r="143" spans="1:9" ht="20.149999999999999" customHeight="1" x14ac:dyDescent="0.35">
      <c r="A143" s="3">
        <v>141</v>
      </c>
      <c r="B143" s="17" t="s">
        <v>5096</v>
      </c>
      <c r="C143" s="4" t="s">
        <v>6059</v>
      </c>
      <c r="D143" s="22">
        <v>36784</v>
      </c>
      <c r="E143" s="22">
        <v>37863</v>
      </c>
      <c r="F143" s="5" t="s">
        <v>972</v>
      </c>
      <c r="G143" s="5">
        <v>1</v>
      </c>
      <c r="H143" s="5">
        <v>2</v>
      </c>
      <c r="I143" s="4" t="str">
        <f t="shared" si="2"/>
        <v>(141,'CPF-MNS','Unité de Traitement Central d\'In Amenas','yyyy-09-dd','yyyy-08-dd',NULL,1,2),</v>
      </c>
    </row>
    <row r="144" spans="1:9" ht="20.149999999999999" customHeight="1" x14ac:dyDescent="0.35">
      <c r="A144" s="3">
        <v>142</v>
      </c>
      <c r="B144" s="17" t="s">
        <v>5097</v>
      </c>
      <c r="C144" s="4" t="s">
        <v>5098</v>
      </c>
      <c r="D144" s="22">
        <v>37215</v>
      </c>
      <c r="E144" s="22">
        <v>38285</v>
      </c>
      <c r="F144" s="5" t="s">
        <v>972</v>
      </c>
      <c r="G144" s="5">
        <v>1</v>
      </c>
      <c r="H144" s="5">
        <v>2</v>
      </c>
      <c r="I144" s="4" t="str">
        <f t="shared" si="2"/>
        <v>(142,'CPF-BBK','Unité de Traitement Central de Berkine (El Merk)','yyyy-11-dd','yyyy-10-dd',NULL,1,2),</v>
      </c>
    </row>
    <row r="145" spans="1:9" ht="20.149999999999999" customHeight="1" x14ac:dyDescent="0.35">
      <c r="A145" s="3">
        <v>143</v>
      </c>
      <c r="B145" s="17" t="s">
        <v>5099</v>
      </c>
      <c r="C145" s="4" t="s">
        <v>6060</v>
      </c>
      <c r="D145" s="22">
        <v>28559</v>
      </c>
      <c r="E145" s="22">
        <v>30147</v>
      </c>
      <c r="F145" s="5" t="s">
        <v>972</v>
      </c>
      <c r="G145" s="5">
        <v>1</v>
      </c>
      <c r="H145" s="5">
        <v>2</v>
      </c>
      <c r="I145" s="4" t="str">
        <f t="shared" si="2"/>
        <v>(143,'GPC-HRM','Station Centrale de Hassi R\'Mel','yyyy-03-dd','yyyy-07-dd',NULL,1,2),</v>
      </c>
    </row>
    <row r="146" spans="1:9" ht="20.149999999999999" customHeight="1" x14ac:dyDescent="0.35">
      <c r="A146" s="3">
        <v>144</v>
      </c>
      <c r="B146" s="17" t="s">
        <v>5100</v>
      </c>
      <c r="C146" s="4" t="s">
        <v>6061</v>
      </c>
      <c r="D146" s="22">
        <v>36658</v>
      </c>
      <c r="E146" s="22">
        <v>37945</v>
      </c>
      <c r="F146" s="5" t="s">
        <v>972</v>
      </c>
      <c r="G146" s="5">
        <v>1</v>
      </c>
      <c r="H146" s="5">
        <v>2</v>
      </c>
      <c r="I146" s="4" t="str">
        <f t="shared" si="2"/>
        <v>(144,'GPC-OHT','Unité de Traitement Central d\'Ohanet - Train de Gaz','yyyy-05-dd','yyyy-11-dd',NULL,1,2),</v>
      </c>
    </row>
    <row r="147" spans="1:9" ht="20.149999999999999" customHeight="1" x14ac:dyDescent="0.35">
      <c r="A147" s="3">
        <v>145</v>
      </c>
      <c r="B147" s="17" t="s">
        <v>5101</v>
      </c>
      <c r="C147" s="4" t="s">
        <v>5102</v>
      </c>
      <c r="D147" s="22">
        <v>38217</v>
      </c>
      <c r="E147" s="22">
        <v>39258</v>
      </c>
      <c r="F147" s="5" t="s">
        <v>972</v>
      </c>
      <c r="G147" s="5">
        <v>1</v>
      </c>
      <c r="H147" s="5">
        <v>2</v>
      </c>
      <c r="I147" s="4" t="str">
        <f t="shared" si="2"/>
        <v>(145,'GPC-TFT','Unité de Traitement Central de Tin-Fouyé-Tabenkort','yyyy-08-dd','yyyy-06-dd',NULL,1,2),</v>
      </c>
    </row>
    <row r="148" spans="1:9" ht="20.149999999999999" customHeight="1" x14ac:dyDescent="0.35">
      <c r="A148" s="3">
        <v>146</v>
      </c>
      <c r="B148" s="17" t="s">
        <v>5103</v>
      </c>
      <c r="C148" s="4" t="s">
        <v>6062</v>
      </c>
      <c r="D148" s="22">
        <v>44635</v>
      </c>
      <c r="E148" s="22">
        <v>45889</v>
      </c>
      <c r="F148" s="5" t="s">
        <v>972</v>
      </c>
      <c r="G148" s="5">
        <v>1</v>
      </c>
      <c r="H148" s="5">
        <v>2</v>
      </c>
      <c r="I148" s="4" t="str">
        <f t="shared" si="2"/>
        <v>(146,'GPC-TSL','Complexe Gazier d\'Ain Tsila','yyyy-03-dd','yyyy-08-dd',NULL,1,2),</v>
      </c>
    </row>
    <row r="149" spans="1:9" ht="20.149999999999999" customHeight="1" x14ac:dyDescent="0.35">
      <c r="A149" s="3">
        <v>147</v>
      </c>
      <c r="B149" s="17" t="s">
        <v>5104</v>
      </c>
      <c r="C149" s="4" t="s">
        <v>5105</v>
      </c>
      <c r="D149" s="22">
        <v>40473</v>
      </c>
      <c r="E149" s="22">
        <v>41759</v>
      </c>
      <c r="F149" s="5" t="s">
        <v>972</v>
      </c>
      <c r="G149" s="5">
        <v>1</v>
      </c>
      <c r="H149" s="5">
        <v>2</v>
      </c>
      <c r="I149" s="4" t="str">
        <f t="shared" si="2"/>
        <v>(147,'GPC-RGN','Traitement du Gaz du Bassin de Reggane','yyyy-10-dd','yyyy-04-dd',NULL,1,2),</v>
      </c>
    </row>
    <row r="150" spans="1:9" ht="20.149999999999999" customHeight="1" x14ac:dyDescent="0.35">
      <c r="A150" s="3">
        <v>148</v>
      </c>
      <c r="B150" s="17" t="s">
        <v>5106</v>
      </c>
      <c r="C150" s="4" t="s">
        <v>6063</v>
      </c>
      <c r="D150" s="22">
        <v>37087</v>
      </c>
      <c r="E150" s="22">
        <v>38066</v>
      </c>
      <c r="F150" s="5" t="s">
        <v>972</v>
      </c>
      <c r="G150" s="5">
        <v>1</v>
      </c>
      <c r="H150" s="5">
        <v>2</v>
      </c>
      <c r="I150" s="4" t="str">
        <f t="shared" si="2"/>
        <v>(148,'CRP-OHT','Unité de Condensats d\'Ohanet','yyyy-07-dd','yyyy-03-dd',NULL,1,2),</v>
      </c>
    </row>
    <row r="151" spans="1:9" ht="20.149999999999999" customHeight="1" x14ac:dyDescent="0.35">
      <c r="A151" s="3">
        <v>149</v>
      </c>
      <c r="B151" s="17" t="s">
        <v>5107</v>
      </c>
      <c r="C151" s="4" t="s">
        <v>5108</v>
      </c>
      <c r="D151" s="22">
        <v>38615</v>
      </c>
      <c r="E151" s="22">
        <v>39596</v>
      </c>
      <c r="F151" s="5" t="s">
        <v>972</v>
      </c>
      <c r="G151" s="5">
        <v>1</v>
      </c>
      <c r="H151" s="5">
        <v>2</v>
      </c>
      <c r="I151" s="4" t="str">
        <f t="shared" si="2"/>
        <v>(149,'CRP-TFT','Unité de Condensats de Tin-Fouyé','yyyy-09-dd','yyyy-05-dd',NULL,1,2),</v>
      </c>
    </row>
    <row r="152" spans="1:9" ht="20.149999999999999" customHeight="1" x14ac:dyDescent="0.35">
      <c r="A152" s="3">
        <v>150</v>
      </c>
      <c r="B152" s="17" t="s">
        <v>5109</v>
      </c>
      <c r="C152" s="4" t="s">
        <v>6064</v>
      </c>
      <c r="D152" s="22">
        <v>44936</v>
      </c>
      <c r="E152" s="22">
        <v>45945</v>
      </c>
      <c r="F152" s="5" t="s">
        <v>972</v>
      </c>
      <c r="G152" s="5">
        <v>1</v>
      </c>
      <c r="H152" s="5">
        <v>2</v>
      </c>
      <c r="I152" s="4" t="str">
        <f t="shared" si="2"/>
        <v>(150,'CRP-TSL','Usine de récupération des Condensats d\'Ain Tsila','yyyy-01-dd','yyyy-10-dd',NULL,1,2),</v>
      </c>
    </row>
    <row r="153" spans="1:9" ht="20.149999999999999" customHeight="1" x14ac:dyDescent="0.35">
      <c r="A153" s="3">
        <v>151</v>
      </c>
      <c r="B153" s="17" t="s">
        <v>5110</v>
      </c>
      <c r="C153" s="4" t="s">
        <v>6065</v>
      </c>
      <c r="D153" s="22">
        <v>37565</v>
      </c>
      <c r="E153" s="22">
        <v>38545</v>
      </c>
      <c r="F153" s="5" t="s">
        <v>972</v>
      </c>
      <c r="G153" s="5">
        <v>1</v>
      </c>
      <c r="H153" s="5">
        <v>2</v>
      </c>
      <c r="I153" s="4" t="str">
        <f t="shared" si="2"/>
        <v>(151,'CRP-MRK','Unité de Condensats d\'El Merk','yyyy-11-dd','yyyy-07-dd',NULL,1,2),</v>
      </c>
    </row>
    <row r="154" spans="1:9" ht="20.149999999999999" customHeight="1" x14ac:dyDescent="0.35">
      <c r="A154" s="3">
        <v>152</v>
      </c>
      <c r="B154" s="17" t="s">
        <v>5111</v>
      </c>
      <c r="C154" s="4" t="s">
        <v>6066</v>
      </c>
      <c r="D154" s="22">
        <v>37060</v>
      </c>
      <c r="E154" s="22">
        <v>38042</v>
      </c>
      <c r="F154" s="5" t="s">
        <v>972</v>
      </c>
      <c r="G154" s="5">
        <v>1</v>
      </c>
      <c r="H154" s="5">
        <v>2</v>
      </c>
      <c r="I154" s="4" t="str">
        <f t="shared" si="2"/>
        <v>(152,'CRP-MNS','Usine de récupération des Condensats d\'In Amenas','yyyy-06-dd','yyyy-02-dd',NULL,1,2),</v>
      </c>
    </row>
    <row r="155" spans="1:9" ht="20.149999999999999" customHeight="1" x14ac:dyDescent="0.35">
      <c r="A155" s="3">
        <v>153</v>
      </c>
      <c r="B155" s="17" t="s">
        <v>5112</v>
      </c>
      <c r="C155" s="4" t="s">
        <v>6067</v>
      </c>
      <c r="D155" s="22">
        <v>30061</v>
      </c>
      <c r="E155" s="22">
        <v>31396</v>
      </c>
      <c r="F155" s="5" t="s">
        <v>972</v>
      </c>
      <c r="G155" s="5">
        <v>1</v>
      </c>
      <c r="H155" s="5">
        <v>2</v>
      </c>
      <c r="I155" s="4" t="str">
        <f t="shared" si="2"/>
        <v>(153,'LPG1-HRM','Unités GPL/Condensats de Hassi R\'Mel','yyyy-04-dd','yyyy-12-dd',NULL,1,2),</v>
      </c>
    </row>
    <row r="156" spans="1:9" ht="20.149999999999999" customHeight="1" x14ac:dyDescent="0.35">
      <c r="A156" s="3">
        <v>154</v>
      </c>
      <c r="B156" s="17" t="s">
        <v>5113</v>
      </c>
      <c r="C156" s="4" t="s">
        <v>6068</v>
      </c>
      <c r="D156" s="22">
        <v>33095</v>
      </c>
      <c r="E156" s="22">
        <v>34140</v>
      </c>
      <c r="F156" s="5" t="s">
        <v>972</v>
      </c>
      <c r="G156" s="5">
        <v>1</v>
      </c>
      <c r="H156" s="5">
        <v>2</v>
      </c>
      <c r="I156" s="4" t="str">
        <f t="shared" si="2"/>
        <v>(154,'LPG2-HRM','Complexe de récupération Centrale GPL de Hassi R\'Mel','yyyy-08-dd','yyyy-06-dd',NULL,1,2),</v>
      </c>
    </row>
    <row r="157" spans="1:9" ht="20.149999999999999" customHeight="1" x14ac:dyDescent="0.35">
      <c r="A157" s="3">
        <v>155</v>
      </c>
      <c r="B157" s="17" t="s">
        <v>5114</v>
      </c>
      <c r="C157" s="4" t="s">
        <v>6069</v>
      </c>
      <c r="D157" s="22">
        <v>35018</v>
      </c>
      <c r="E157" s="22">
        <v>36060</v>
      </c>
      <c r="F157" s="5" t="s">
        <v>972</v>
      </c>
      <c r="G157" s="5">
        <v>1</v>
      </c>
      <c r="H157" s="5">
        <v>2</v>
      </c>
      <c r="I157" s="4" t="str">
        <f t="shared" si="2"/>
        <v>(155,'LPGE-HRM','Complexe de récupération d\'Éthane de Hassi R\'Mel','yyyy-11-dd','yyyy-09-dd',NULL,1,2),</v>
      </c>
    </row>
    <row r="158" spans="1:9" ht="20.149999999999999" customHeight="1" x14ac:dyDescent="0.35">
      <c r="A158" s="3">
        <v>156</v>
      </c>
      <c r="B158" s="17" t="s">
        <v>5115</v>
      </c>
      <c r="C158" s="4" t="s">
        <v>5116</v>
      </c>
      <c r="D158" s="22">
        <v>38801</v>
      </c>
      <c r="E158" s="22">
        <v>39843</v>
      </c>
      <c r="F158" s="5" t="s">
        <v>972</v>
      </c>
      <c r="G158" s="5">
        <v>1</v>
      </c>
      <c r="H158" s="5">
        <v>2</v>
      </c>
      <c r="I158" s="4" t="str">
        <f t="shared" si="2"/>
        <v>(156,'LPG-TFT','Complexe de récupération GPL de Tin-Fouyé','yyyy-03-dd','yyyy-01-dd',NULL,1,2),</v>
      </c>
    </row>
    <row r="159" spans="1:9" ht="20.149999999999999" customHeight="1" x14ac:dyDescent="0.35">
      <c r="A159" s="3">
        <v>157</v>
      </c>
      <c r="B159" s="17" t="s">
        <v>5117</v>
      </c>
      <c r="C159" s="4" t="s">
        <v>6070</v>
      </c>
      <c r="D159" s="22">
        <v>45089</v>
      </c>
      <c r="E159" s="22">
        <v>46009</v>
      </c>
      <c r="F159" s="5" t="s">
        <v>972</v>
      </c>
      <c r="G159" s="5">
        <v>1</v>
      </c>
      <c r="H159" s="5">
        <v>2</v>
      </c>
      <c r="I159" s="4" t="str">
        <f t="shared" si="2"/>
        <v>(157,'LPG-TSL','Complexe de récupération GPL d\'Ain Tsila','yyyy-06-dd','yyyy-12-dd',NULL,1,2),</v>
      </c>
    </row>
    <row r="160" spans="1:9" ht="20.149999999999999" customHeight="1" x14ac:dyDescent="0.35">
      <c r="A160" s="3">
        <v>158</v>
      </c>
      <c r="B160" s="17" t="s">
        <v>5118</v>
      </c>
      <c r="C160" s="4" t="s">
        <v>5173</v>
      </c>
      <c r="D160" s="22">
        <v>23788</v>
      </c>
      <c r="E160" s="22">
        <v>24775</v>
      </c>
      <c r="F160" s="5" t="s">
        <v>972</v>
      </c>
      <c r="G160" s="5">
        <v>1</v>
      </c>
      <c r="H160" s="5">
        <v>10</v>
      </c>
      <c r="I160" s="4" t="str">
        <f t="shared" si="2"/>
        <v>(158,'OZ1','Pipeline OZ1','yyyy-02-dd','yyyy-10-dd',NULL,1,10),</v>
      </c>
    </row>
    <row r="161" spans="1:9" ht="20.149999999999999" customHeight="1" x14ac:dyDescent="0.35">
      <c r="A161" s="3">
        <v>159</v>
      </c>
      <c r="B161" s="17" t="s">
        <v>5119</v>
      </c>
      <c r="C161" s="4" t="s">
        <v>5174</v>
      </c>
      <c r="D161" s="5" t="s">
        <v>5229</v>
      </c>
      <c r="E161" s="5" t="s">
        <v>5229</v>
      </c>
      <c r="F161" s="5" t="s">
        <v>972</v>
      </c>
      <c r="G161" s="5">
        <v>1</v>
      </c>
      <c r="H161" s="5">
        <v>10</v>
      </c>
      <c r="I161" s="4" t="str">
        <f t="shared" si="2"/>
        <v>(159,'OZ2','Pipeline OZ2','yyyy-08-dd','yyyy-08-dd',NULL,1,10),</v>
      </c>
    </row>
    <row r="162" spans="1:9" ht="20.149999999999999" customHeight="1" x14ac:dyDescent="0.35">
      <c r="A162" s="3">
        <v>160</v>
      </c>
      <c r="B162" s="17" t="s">
        <v>5120</v>
      </c>
      <c r="C162" s="4" t="s">
        <v>5175</v>
      </c>
      <c r="D162" s="5" t="s">
        <v>5230</v>
      </c>
      <c r="E162" s="5" t="s">
        <v>5230</v>
      </c>
      <c r="F162" s="5" t="s">
        <v>972</v>
      </c>
      <c r="G162" s="5">
        <v>1</v>
      </c>
      <c r="H162" s="5">
        <v>10</v>
      </c>
      <c r="I162" s="4" t="str">
        <f t="shared" si="2"/>
        <v>(160,'OK1','Pipeline OK1','yyyy-01-dd','yyyy-01-dd',NULL,1,10),</v>
      </c>
    </row>
    <row r="163" spans="1:9" ht="20.149999999999999" customHeight="1" x14ac:dyDescent="0.35">
      <c r="A163" s="3">
        <v>161</v>
      </c>
      <c r="B163" s="17" t="s">
        <v>5121</v>
      </c>
      <c r="C163" s="4" t="s">
        <v>5176</v>
      </c>
      <c r="D163" s="22">
        <v>21064</v>
      </c>
      <c r="E163" s="22">
        <v>21889</v>
      </c>
      <c r="F163" s="5" t="s">
        <v>972</v>
      </c>
      <c r="G163" s="5">
        <v>1</v>
      </c>
      <c r="H163" s="5">
        <v>10</v>
      </c>
      <c r="I163" s="4" t="str">
        <f t="shared" si="2"/>
        <v>(161,'OB1','Pipeline OB1','yyyy-09-dd','yyyy-12-dd',NULL,1,10),</v>
      </c>
    </row>
    <row r="164" spans="1:9" ht="20.149999999999999" customHeight="1" x14ac:dyDescent="0.35">
      <c r="A164" s="3">
        <v>162</v>
      </c>
      <c r="B164" s="17" t="s">
        <v>5122</v>
      </c>
      <c r="C164" s="4" t="s">
        <v>5177</v>
      </c>
      <c r="D164" s="22">
        <v>35236</v>
      </c>
      <c r="E164" s="22">
        <v>36479</v>
      </c>
      <c r="F164" s="5" t="s">
        <v>972</v>
      </c>
      <c r="G164" s="5">
        <v>1</v>
      </c>
      <c r="H164" s="5">
        <v>10</v>
      </c>
      <c r="I164" s="4" t="str">
        <f t="shared" si="2"/>
        <v>(162,'ROB1-01','Pipeline ROB1-01','yyyy-06-dd','yyyy-11-dd',NULL,1,10),</v>
      </c>
    </row>
    <row r="165" spans="1:9" ht="20.149999999999999" customHeight="1" x14ac:dyDescent="0.35">
      <c r="A165" s="3">
        <v>163</v>
      </c>
      <c r="B165" s="17" t="s">
        <v>5123</v>
      </c>
      <c r="C165" s="4" t="s">
        <v>5178</v>
      </c>
      <c r="D165" s="22">
        <v>36595</v>
      </c>
      <c r="E165" s="22">
        <v>37855</v>
      </c>
      <c r="F165" s="5" t="s">
        <v>972</v>
      </c>
      <c r="G165" s="5">
        <v>1</v>
      </c>
      <c r="H165" s="5">
        <v>10</v>
      </c>
      <c r="I165" s="4" t="str">
        <f t="shared" si="2"/>
        <v>(163,'ROB1-02','Pipeline ROB1-02','yyyy-03-dd','yyyy-08-dd',NULL,1,10),</v>
      </c>
    </row>
    <row r="166" spans="1:9" ht="20.149999999999999" customHeight="1" x14ac:dyDescent="0.35">
      <c r="A166" s="3">
        <v>164</v>
      </c>
      <c r="B166" s="17" t="s">
        <v>5124</v>
      </c>
      <c r="C166" s="4" t="s">
        <v>5179</v>
      </c>
      <c r="D166" s="5" t="s">
        <v>5231</v>
      </c>
      <c r="E166" s="5" t="s">
        <v>5231</v>
      </c>
      <c r="F166" s="5" t="s">
        <v>972</v>
      </c>
      <c r="G166" s="5">
        <v>1</v>
      </c>
      <c r="H166" s="5">
        <v>10</v>
      </c>
      <c r="I166" s="4" t="str">
        <f t="shared" si="2"/>
        <v>(164,'OG1','Pipeline OG1','yyyy-07-dd','yyyy-07-dd',NULL,1,10),</v>
      </c>
    </row>
    <row r="167" spans="1:9" ht="20.149999999999999" customHeight="1" x14ac:dyDescent="0.35">
      <c r="A167" s="3">
        <v>165</v>
      </c>
      <c r="B167" s="17" t="s">
        <v>5125</v>
      </c>
      <c r="C167" s="4" t="s">
        <v>5180</v>
      </c>
      <c r="D167" s="22">
        <v>21337</v>
      </c>
      <c r="E167" s="22">
        <v>21930</v>
      </c>
      <c r="F167" s="5" t="s">
        <v>972</v>
      </c>
      <c r="G167" s="5">
        <v>1</v>
      </c>
      <c r="H167" s="5">
        <v>10</v>
      </c>
      <c r="I167" s="4" t="str">
        <f t="shared" si="2"/>
        <v>(165,'OT1','Pipeline OT1','yyyy-06-dd','yyyy-01-dd',NULL,1,10),</v>
      </c>
    </row>
    <row r="168" spans="1:9" ht="20.149999999999999" customHeight="1" x14ac:dyDescent="0.35">
      <c r="A168" s="3">
        <v>166</v>
      </c>
      <c r="B168" s="17" t="s">
        <v>5126</v>
      </c>
      <c r="C168" s="4" t="s">
        <v>5181</v>
      </c>
      <c r="D168" s="22" t="s">
        <v>5233</v>
      </c>
      <c r="E168" s="22" t="s">
        <v>5233</v>
      </c>
      <c r="F168" s="5" t="s">
        <v>972</v>
      </c>
      <c r="G168" s="5">
        <v>1</v>
      </c>
      <c r="H168" s="5">
        <v>10</v>
      </c>
      <c r="I168" s="4" t="str">
        <f t="shared" si="2"/>
        <v>(166,'OH1','Pipeline OH1','yyyy-01-dd','yyyy-01-dd',NULL,1,10),</v>
      </c>
    </row>
    <row r="169" spans="1:9" ht="20.149999999999999" customHeight="1" x14ac:dyDescent="0.35">
      <c r="A169" s="3">
        <v>167</v>
      </c>
      <c r="B169" s="18" t="s">
        <v>5127</v>
      </c>
      <c r="C169" s="4" t="s">
        <v>5182</v>
      </c>
      <c r="D169" s="22">
        <v>38582</v>
      </c>
      <c r="E169" s="22">
        <v>39624</v>
      </c>
      <c r="F169" s="5" t="s">
        <v>972</v>
      </c>
      <c r="G169" s="5">
        <v>1</v>
      </c>
      <c r="H169" s="5">
        <v>10</v>
      </c>
      <c r="I169" s="4" t="str">
        <f t="shared" si="2"/>
        <v>(167,'ROH1','Pipeline ROH1','yyyy-08-dd','yyyy-06-dd',NULL,1,10),</v>
      </c>
    </row>
    <row r="170" spans="1:9" ht="20.149999999999999" customHeight="1" x14ac:dyDescent="0.35">
      <c r="A170" s="3">
        <v>168</v>
      </c>
      <c r="B170" s="17" t="s">
        <v>5128</v>
      </c>
      <c r="C170" s="4" t="s">
        <v>5183</v>
      </c>
      <c r="D170" s="22" t="s">
        <v>5235</v>
      </c>
      <c r="E170" s="22" t="s">
        <v>5235</v>
      </c>
      <c r="F170" s="5" t="s">
        <v>972</v>
      </c>
      <c r="G170" s="5">
        <v>1</v>
      </c>
      <c r="H170" s="5">
        <v>10</v>
      </c>
      <c r="I170" s="4" t="str">
        <f t="shared" si="2"/>
        <v>(168,'OH2','Pipeline OH2','yyyy-04-dd','yyyy-04-dd',NULL,1,10),</v>
      </c>
    </row>
    <row r="171" spans="1:9" ht="20.149999999999999" customHeight="1" x14ac:dyDescent="0.35">
      <c r="A171" s="3">
        <v>169</v>
      </c>
      <c r="B171" s="17" t="s">
        <v>5129</v>
      </c>
      <c r="C171" s="4" t="s">
        <v>5184</v>
      </c>
      <c r="D171" s="22">
        <v>35476</v>
      </c>
      <c r="E171" s="22">
        <v>37026</v>
      </c>
      <c r="F171" s="5" t="s">
        <v>972</v>
      </c>
      <c r="G171" s="5">
        <v>1</v>
      </c>
      <c r="H171" s="5">
        <v>10</v>
      </c>
      <c r="I171" s="4" t="str">
        <f t="shared" si="2"/>
        <v>(169,'OH3','Pipeline OH3','yyyy-02-dd','yyyy-05-dd',NULL,1,10),</v>
      </c>
    </row>
    <row r="172" spans="1:9" ht="20.149999999999999" customHeight="1" x14ac:dyDescent="0.35">
      <c r="A172" s="3">
        <v>170</v>
      </c>
      <c r="B172" s="17" t="s">
        <v>5130</v>
      </c>
      <c r="C172" s="4" t="s">
        <v>5185</v>
      </c>
      <c r="D172" s="22" t="s">
        <v>5237</v>
      </c>
      <c r="E172" s="22" t="s">
        <v>5237</v>
      </c>
      <c r="F172" s="5" t="s">
        <v>972</v>
      </c>
      <c r="G172" s="5">
        <v>1</v>
      </c>
      <c r="H172" s="5">
        <v>10</v>
      </c>
      <c r="I172" s="4" t="str">
        <f t="shared" si="2"/>
        <v>(170,'OH4','Pipeline OH4','yyyy-01-dd','yyyy-01-dd',NULL,1,10),</v>
      </c>
    </row>
    <row r="173" spans="1:9" ht="20.149999999999999" customHeight="1" x14ac:dyDescent="0.35">
      <c r="A173" s="3">
        <v>171</v>
      </c>
      <c r="B173" s="17" t="s">
        <v>5131</v>
      </c>
      <c r="C173" s="4" t="s">
        <v>5186</v>
      </c>
      <c r="D173" s="22" t="s">
        <v>5234</v>
      </c>
      <c r="E173" s="22" t="s">
        <v>5234</v>
      </c>
      <c r="F173" s="5" t="s">
        <v>972</v>
      </c>
      <c r="G173" s="5">
        <v>1</v>
      </c>
      <c r="H173" s="5">
        <v>10</v>
      </c>
      <c r="I173" s="4" t="str">
        <f t="shared" si="2"/>
        <v>(171,'OD1','Pipeline OD1','yyyy-03-dd','yyyy-03-dd',NULL,1,10),</v>
      </c>
    </row>
    <row r="174" spans="1:9" ht="20.149999999999999" customHeight="1" x14ac:dyDescent="0.35">
      <c r="A174" s="3">
        <v>172</v>
      </c>
      <c r="B174" s="17" t="s">
        <v>5132</v>
      </c>
      <c r="C174" s="4" t="s">
        <v>5187</v>
      </c>
      <c r="D174" s="22">
        <v>38457</v>
      </c>
      <c r="E174" s="22">
        <v>39721</v>
      </c>
      <c r="F174" s="5" t="s">
        <v>972</v>
      </c>
      <c r="G174" s="5">
        <v>1</v>
      </c>
      <c r="H174" s="5">
        <v>10</v>
      </c>
      <c r="I174" s="4" t="str">
        <f t="shared" si="2"/>
        <v>(172,'ROD1','Pipeline ROD1','yyyy-04-dd','yyyy-09-dd',NULL,1,10),</v>
      </c>
    </row>
    <row r="175" spans="1:9" ht="20.149999999999999" customHeight="1" x14ac:dyDescent="0.35">
      <c r="A175" s="3">
        <v>173</v>
      </c>
      <c r="B175" s="17" t="s">
        <v>5133</v>
      </c>
      <c r="C175" s="4" t="s">
        <v>5188</v>
      </c>
      <c r="D175" s="22">
        <v>38970</v>
      </c>
      <c r="E175" s="22">
        <v>39921</v>
      </c>
      <c r="F175" s="5" t="s">
        <v>972</v>
      </c>
      <c r="G175" s="5">
        <v>1</v>
      </c>
      <c r="H175" s="5">
        <v>10</v>
      </c>
      <c r="I175" s="4" t="str">
        <f t="shared" si="2"/>
        <v>(173,'OD2','Pipeline OD2','yyyy-09-dd','yyyy-04-dd',NULL,1,10),</v>
      </c>
    </row>
    <row r="176" spans="1:9" ht="20.149999999999999" customHeight="1" x14ac:dyDescent="0.35">
      <c r="A176" s="3">
        <v>174</v>
      </c>
      <c r="B176" s="17" t="s">
        <v>5134</v>
      </c>
      <c r="C176" s="4" t="s">
        <v>5189</v>
      </c>
      <c r="D176" s="22">
        <v>39380</v>
      </c>
      <c r="E176" s="22">
        <v>40410</v>
      </c>
      <c r="F176" s="5" t="s">
        <v>972</v>
      </c>
      <c r="G176" s="5">
        <v>1</v>
      </c>
      <c r="H176" s="5">
        <v>10</v>
      </c>
      <c r="I176" s="4" t="str">
        <f t="shared" si="2"/>
        <v>(174,'OD3','Pipeline OD3','yyyy-10-dd','yyyy-08-dd',NULL,1,10),</v>
      </c>
    </row>
    <row r="177" spans="1:9" ht="20.149999999999999" customHeight="1" x14ac:dyDescent="0.35">
      <c r="A177" s="3">
        <v>175</v>
      </c>
      <c r="B177" s="17" t="s">
        <v>5135</v>
      </c>
      <c r="C177" s="4" t="s">
        <v>5190</v>
      </c>
      <c r="D177" s="22" t="s">
        <v>5238</v>
      </c>
      <c r="E177" s="22" t="s">
        <v>5238</v>
      </c>
      <c r="F177" s="5" t="s">
        <v>972</v>
      </c>
      <c r="G177" s="5">
        <v>1</v>
      </c>
      <c r="H177" s="5">
        <v>10</v>
      </c>
      <c r="I177" s="4" t="str">
        <f t="shared" si="2"/>
        <v>(175,'NZ1','Pipeline NZ1','yyyy-11-dd','yyyy-11-dd',NULL,1,10),</v>
      </c>
    </row>
    <row r="178" spans="1:9" ht="20.149999999999999" customHeight="1" x14ac:dyDescent="0.35">
      <c r="A178" s="3">
        <v>176</v>
      </c>
      <c r="B178" s="17" t="s">
        <v>5136</v>
      </c>
      <c r="C178" s="4" t="s">
        <v>5191</v>
      </c>
      <c r="D178" s="22" t="s">
        <v>5239</v>
      </c>
      <c r="E178" s="22" t="s">
        <v>5239</v>
      </c>
      <c r="F178" s="5" t="s">
        <v>972</v>
      </c>
      <c r="G178" s="5">
        <v>1</v>
      </c>
      <c r="H178" s="5">
        <v>10</v>
      </c>
      <c r="I178" s="4" t="str">
        <f t="shared" si="2"/>
        <v>(176,'NK1','Pipeline NK1','yyyy-08-dd','yyyy-08-dd',NULL,1,10),</v>
      </c>
    </row>
    <row r="179" spans="1:9" ht="20.149999999999999" customHeight="1" x14ac:dyDescent="0.35">
      <c r="A179" s="3">
        <v>177</v>
      </c>
      <c r="B179" s="17" t="s">
        <v>5137</v>
      </c>
      <c r="C179" s="4" t="s">
        <v>5192</v>
      </c>
      <c r="D179" s="22" t="s">
        <v>5232</v>
      </c>
      <c r="E179" s="22" t="s">
        <v>5232</v>
      </c>
      <c r="F179" s="5" t="s">
        <v>972</v>
      </c>
      <c r="G179" s="5">
        <v>1</v>
      </c>
      <c r="H179" s="5">
        <v>10</v>
      </c>
      <c r="I179" s="4" t="str">
        <f t="shared" si="2"/>
        <v>(177,'NH2','Pipeline NH2','yyyy-01-dd','yyyy-01-dd',NULL,1,10),</v>
      </c>
    </row>
    <row r="180" spans="1:9" ht="20.149999999999999" customHeight="1" x14ac:dyDescent="0.35">
      <c r="A180" s="3">
        <v>178</v>
      </c>
      <c r="B180" s="17" t="s">
        <v>5138</v>
      </c>
      <c r="C180" s="4" t="s">
        <v>5193</v>
      </c>
      <c r="D180" s="25">
        <v>37639</v>
      </c>
      <c r="E180" s="25">
        <v>38647</v>
      </c>
      <c r="F180" s="5" t="s">
        <v>972</v>
      </c>
      <c r="G180" s="5">
        <v>1</v>
      </c>
      <c r="H180" s="5">
        <v>10</v>
      </c>
      <c r="I180" s="4" t="str">
        <f t="shared" si="2"/>
        <v>(178,'LNZ1','Pipeline LNZ1','yyyy-01-dd','yyyy-10-dd',NULL,1,10),</v>
      </c>
    </row>
    <row r="181" spans="1:9" ht="20.149999999999999" customHeight="1" x14ac:dyDescent="0.35">
      <c r="A181" s="3">
        <v>179</v>
      </c>
      <c r="B181" s="17" t="s">
        <v>5139</v>
      </c>
      <c r="C181" s="4" t="s">
        <v>5194</v>
      </c>
      <c r="D181" s="22" t="s">
        <v>5240</v>
      </c>
      <c r="E181" s="22" t="s">
        <v>5240</v>
      </c>
      <c r="F181" s="5" t="s">
        <v>972</v>
      </c>
      <c r="G181" s="5">
        <v>1</v>
      </c>
      <c r="H181" s="5">
        <v>10</v>
      </c>
      <c r="I181" s="4" t="str">
        <f t="shared" si="2"/>
        <v>(179,'LZ1','Pipeline LZ1','yyyy-02-dd','yyyy-02-dd',NULL,1,10),</v>
      </c>
    </row>
    <row r="182" spans="1:9" ht="20.149999999999999" customHeight="1" x14ac:dyDescent="0.35">
      <c r="A182" s="3">
        <v>180</v>
      </c>
      <c r="B182" s="17" t="s">
        <v>5140</v>
      </c>
      <c r="C182" s="4" t="s">
        <v>5195</v>
      </c>
      <c r="D182" s="22" t="s">
        <v>5241</v>
      </c>
      <c r="E182" s="22" t="s">
        <v>5241</v>
      </c>
      <c r="F182" s="5" t="s">
        <v>972</v>
      </c>
      <c r="G182" s="5">
        <v>1</v>
      </c>
      <c r="H182" s="5">
        <v>10</v>
      </c>
      <c r="I182" s="4" t="str">
        <f t="shared" si="2"/>
        <v>(180,'LZ2','Pipeline LZ2','yyyy-11-dd','yyyy-11-dd',NULL,1,10),</v>
      </c>
    </row>
    <row r="183" spans="1:9" ht="20.149999999999999" customHeight="1" x14ac:dyDescent="0.35">
      <c r="A183" s="3">
        <v>181</v>
      </c>
      <c r="B183" s="17" t="s">
        <v>5141</v>
      </c>
      <c r="C183" s="4" t="s">
        <v>5196</v>
      </c>
      <c r="D183" s="22" t="s">
        <v>5242</v>
      </c>
      <c r="E183" s="22" t="s">
        <v>5242</v>
      </c>
      <c r="F183" s="5" t="s">
        <v>972</v>
      </c>
      <c r="G183" s="5">
        <v>1</v>
      </c>
      <c r="H183" s="5">
        <v>10</v>
      </c>
      <c r="I183" s="4" t="str">
        <f t="shared" si="2"/>
        <v>(181,'LR1','Pipeline LR1','yyyy-01-dd','yyyy-01-dd',NULL,1,10),</v>
      </c>
    </row>
    <row r="184" spans="1:9" ht="20.149999999999999" customHeight="1" x14ac:dyDescent="0.35">
      <c r="A184" s="3">
        <v>182</v>
      </c>
      <c r="B184" s="17" t="s">
        <v>5142</v>
      </c>
      <c r="C184" s="4" t="s">
        <v>5197</v>
      </c>
      <c r="D184" s="22" t="s">
        <v>5243</v>
      </c>
      <c r="E184" s="5" t="s">
        <v>5243</v>
      </c>
      <c r="F184" s="5" t="s">
        <v>972</v>
      </c>
      <c r="G184" s="5">
        <v>1</v>
      </c>
      <c r="H184" s="5">
        <v>10</v>
      </c>
      <c r="I184" s="4" t="str">
        <f t="shared" si="2"/>
        <v>(182,'DLR1','Pipeline DLR1','yyyy-10-dd','yyyy-10-dd',NULL,1,10),</v>
      </c>
    </row>
    <row r="185" spans="1:9" ht="20.149999999999999" customHeight="1" x14ac:dyDescent="0.35">
      <c r="A185" s="3">
        <v>183</v>
      </c>
      <c r="B185" s="17" t="s">
        <v>5143</v>
      </c>
      <c r="C185" s="4" t="s">
        <v>5198</v>
      </c>
      <c r="D185" s="22" t="s">
        <v>5244</v>
      </c>
      <c r="E185" s="5" t="s">
        <v>5244</v>
      </c>
      <c r="F185" s="5" t="s">
        <v>972</v>
      </c>
      <c r="G185" s="5">
        <v>1</v>
      </c>
      <c r="H185" s="5">
        <v>10</v>
      </c>
      <c r="I185" s="4" t="str">
        <f t="shared" si="2"/>
        <v>(183,'ELR1','Pipeline ELR1','yyyy-01-dd','yyyy-01-dd',NULL,1,10),</v>
      </c>
    </row>
    <row r="186" spans="1:9" ht="20.149999999999999" customHeight="1" x14ac:dyDescent="0.35">
      <c r="A186" s="3">
        <v>184</v>
      </c>
      <c r="B186" s="17" t="s">
        <v>5144</v>
      </c>
      <c r="C186" s="4" t="s">
        <v>5199</v>
      </c>
      <c r="D186" s="22">
        <v>21976</v>
      </c>
      <c r="E186" s="22">
        <v>22372</v>
      </c>
      <c r="F186" s="5" t="s">
        <v>972</v>
      </c>
      <c r="G186" s="5">
        <v>1</v>
      </c>
      <c r="H186" s="5">
        <v>10</v>
      </c>
      <c r="I186" s="4" t="str">
        <f t="shared" si="2"/>
        <v>(184,'GZ0','Pipeline GZ0','yyyy-03-dd','yyyy-04-dd',NULL,1,10),</v>
      </c>
    </row>
    <row r="187" spans="1:9" ht="20.149999999999999" customHeight="1" x14ac:dyDescent="0.35">
      <c r="A187" s="3">
        <v>185</v>
      </c>
      <c r="B187" s="17" t="s">
        <v>5145</v>
      </c>
      <c r="C187" s="4" t="s">
        <v>5200</v>
      </c>
      <c r="D187" s="22" t="s">
        <v>5246</v>
      </c>
      <c r="E187" s="5" t="s">
        <v>5246</v>
      </c>
      <c r="F187" s="5" t="s">
        <v>972</v>
      </c>
      <c r="G187" s="5">
        <v>1</v>
      </c>
      <c r="H187" s="5">
        <v>10</v>
      </c>
      <c r="I187" s="4" t="str">
        <f t="shared" si="2"/>
        <v>(185,'GZ0 Bis','Pipeline GZ0 Bis','yyyy-09-dd','yyyy-09-dd',NULL,1,10),</v>
      </c>
    </row>
    <row r="188" spans="1:9" ht="20.149999999999999" customHeight="1" x14ac:dyDescent="0.35">
      <c r="A188" s="3">
        <v>186</v>
      </c>
      <c r="B188" s="17" t="s">
        <v>5146</v>
      </c>
      <c r="C188" s="4" t="s">
        <v>5201</v>
      </c>
      <c r="D188" s="22" t="s">
        <v>5245</v>
      </c>
      <c r="E188" s="5" t="s">
        <v>5245</v>
      </c>
      <c r="F188" s="5" t="s">
        <v>972</v>
      </c>
      <c r="G188" s="5">
        <v>1</v>
      </c>
      <c r="H188" s="5">
        <v>10</v>
      </c>
      <c r="I188" s="4" t="str">
        <f t="shared" si="2"/>
        <v>(186,'GZ1','Pipeline GZ1','yyyy-01-dd','yyyy-01-dd',NULL,1,10),</v>
      </c>
    </row>
    <row r="189" spans="1:9" ht="20.149999999999999" customHeight="1" x14ac:dyDescent="0.35">
      <c r="A189" s="3">
        <v>187</v>
      </c>
      <c r="B189" s="17" t="s">
        <v>5147</v>
      </c>
      <c r="C189" s="4" t="s">
        <v>5202</v>
      </c>
      <c r="D189" s="22" t="s">
        <v>5233</v>
      </c>
      <c r="E189" s="5" t="s">
        <v>5233</v>
      </c>
      <c r="F189" s="5" t="s">
        <v>972</v>
      </c>
      <c r="G189" s="5">
        <v>1</v>
      </c>
      <c r="H189" s="5">
        <v>10</v>
      </c>
      <c r="I189" s="4" t="str">
        <f t="shared" si="2"/>
        <v>(187,'GZ2','Pipeline GZ2','yyyy-01-dd','yyyy-01-dd',NULL,1,10),</v>
      </c>
    </row>
    <row r="190" spans="1:9" ht="20.149999999999999" customHeight="1" x14ac:dyDescent="0.35">
      <c r="A190" s="3">
        <v>188</v>
      </c>
      <c r="B190" s="17" t="s">
        <v>5148</v>
      </c>
      <c r="C190" s="4" t="s">
        <v>5203</v>
      </c>
      <c r="D190" s="22">
        <v>37333</v>
      </c>
      <c r="E190" s="22">
        <v>38405</v>
      </c>
      <c r="F190" s="5" t="s">
        <v>972</v>
      </c>
      <c r="G190" s="5">
        <v>1</v>
      </c>
      <c r="H190" s="5">
        <v>10</v>
      </c>
      <c r="I190" s="4" t="str">
        <f t="shared" si="2"/>
        <v>(188,'RGZ2','Pipeline RGZ2','yyyy-03-dd','yyyy-02-dd',NULL,1,10),</v>
      </c>
    </row>
    <row r="191" spans="1:9" ht="20.149999999999999" customHeight="1" x14ac:dyDescent="0.35">
      <c r="A191" s="3">
        <v>189</v>
      </c>
      <c r="B191" s="17" t="s">
        <v>5149</v>
      </c>
      <c r="C191" s="4" t="s">
        <v>5204</v>
      </c>
      <c r="D191" s="22" t="s">
        <v>5247</v>
      </c>
      <c r="E191" s="5" t="s">
        <v>5247</v>
      </c>
      <c r="F191" s="5" t="s">
        <v>972</v>
      </c>
      <c r="G191" s="5">
        <v>1</v>
      </c>
      <c r="H191" s="5">
        <v>10</v>
      </c>
      <c r="I191" s="4" t="str">
        <f t="shared" si="2"/>
        <v>(189,'GZ3','Pipeline GZ3','yyyy-01-dd','yyyy-01-dd',NULL,1,10),</v>
      </c>
    </row>
    <row r="192" spans="1:9" ht="20.149999999999999" customHeight="1" x14ac:dyDescent="0.35">
      <c r="A192" s="3">
        <v>190</v>
      </c>
      <c r="B192" s="17" t="s">
        <v>5150</v>
      </c>
      <c r="C192" s="4" t="s">
        <v>5205</v>
      </c>
      <c r="D192" s="22" t="s">
        <v>5248</v>
      </c>
      <c r="E192" s="5" t="s">
        <v>5248</v>
      </c>
      <c r="F192" s="5" t="s">
        <v>972</v>
      </c>
      <c r="G192" s="5">
        <v>1</v>
      </c>
      <c r="H192" s="5">
        <v>10</v>
      </c>
      <c r="I192" s="4" t="str">
        <f t="shared" si="2"/>
        <v>(190,'RGZ3-01','Pipeline RGZ3-01','yyyy-01-dd','yyyy-01-dd',NULL,1,10),</v>
      </c>
    </row>
    <row r="193" spans="1:9" ht="20.149999999999999" customHeight="1" x14ac:dyDescent="0.35">
      <c r="A193" s="3">
        <v>191</v>
      </c>
      <c r="B193" s="17" t="s">
        <v>5151</v>
      </c>
      <c r="C193" s="4" t="s">
        <v>5206</v>
      </c>
      <c r="D193" s="22">
        <v>37753</v>
      </c>
      <c r="E193" s="22">
        <v>38949</v>
      </c>
      <c r="F193" s="5" t="s">
        <v>972</v>
      </c>
      <c r="G193" s="5">
        <v>1</v>
      </c>
      <c r="H193" s="5">
        <v>10</v>
      </c>
      <c r="I193" s="4" t="str">
        <f t="shared" si="2"/>
        <v>(191,'RGZ3-02','Pipeline RGZ3-02','yyyy-05-dd','yyyy-08-dd',NULL,1,10),</v>
      </c>
    </row>
    <row r="194" spans="1:9" ht="20.149999999999999" customHeight="1" x14ac:dyDescent="0.35">
      <c r="A194" s="3">
        <v>192</v>
      </c>
      <c r="B194" s="17" t="s">
        <v>5152</v>
      </c>
      <c r="C194" s="4" t="s">
        <v>5207</v>
      </c>
      <c r="D194" s="22" t="s">
        <v>5249</v>
      </c>
      <c r="E194" s="22" t="s">
        <v>5249</v>
      </c>
      <c r="F194" s="5" t="s">
        <v>972</v>
      </c>
      <c r="G194" s="5">
        <v>1</v>
      </c>
      <c r="H194" s="5">
        <v>10</v>
      </c>
      <c r="I194" s="4" t="str">
        <f t="shared" si="2"/>
        <v>(192,'GZ4-01','Pipeline GZ4-01','yyyy-04-dd','yyyy-04-dd',NULL,1,10),</v>
      </c>
    </row>
    <row r="195" spans="1:9" ht="20.149999999999999" customHeight="1" x14ac:dyDescent="0.35">
      <c r="A195" s="3">
        <v>193</v>
      </c>
      <c r="B195" s="17" t="s">
        <v>5153</v>
      </c>
      <c r="C195" s="4" t="s">
        <v>5208</v>
      </c>
      <c r="D195" s="22">
        <v>38006</v>
      </c>
      <c r="E195" s="22">
        <v>39018</v>
      </c>
      <c r="F195" s="5" t="s">
        <v>972</v>
      </c>
      <c r="G195" s="5">
        <v>1</v>
      </c>
      <c r="H195" s="5">
        <v>10</v>
      </c>
      <c r="I195" s="4" t="str">
        <f t="shared" si="2"/>
        <v>(193,'GZ4-02','Pipeline GZ4-02','yyyy-01-dd','yyyy-10-dd',NULL,1,10),</v>
      </c>
    </row>
    <row r="196" spans="1:9" ht="20.149999999999999" customHeight="1" x14ac:dyDescent="0.35">
      <c r="A196" s="3">
        <v>194</v>
      </c>
      <c r="B196" s="17" t="s">
        <v>5154</v>
      </c>
      <c r="C196" s="4" t="s">
        <v>5209</v>
      </c>
      <c r="D196" s="22">
        <v>38398</v>
      </c>
      <c r="E196" s="22">
        <v>39416</v>
      </c>
      <c r="F196" s="5" t="s">
        <v>972</v>
      </c>
      <c r="G196" s="5">
        <v>1</v>
      </c>
      <c r="H196" s="5">
        <v>10</v>
      </c>
      <c r="I196" s="4" t="str">
        <f t="shared" si="2"/>
        <v>(194,'GZ4-03','Pipeline GZ4-03','yyyy-02-dd','yyyy-11-dd',NULL,1,10),</v>
      </c>
    </row>
    <row r="197" spans="1:9" ht="20.149999999999999" customHeight="1" x14ac:dyDescent="0.35">
      <c r="A197" s="3">
        <v>195</v>
      </c>
      <c r="B197" s="17" t="s">
        <v>5155</v>
      </c>
      <c r="C197" s="4" t="s">
        <v>5210</v>
      </c>
      <c r="D197" s="22" t="s">
        <v>5251</v>
      </c>
      <c r="E197" s="22" t="s">
        <v>5252</v>
      </c>
      <c r="F197" s="5" t="s">
        <v>972</v>
      </c>
      <c r="G197" s="5">
        <v>1</v>
      </c>
      <c r="H197" s="5">
        <v>10</v>
      </c>
      <c r="I197" s="4" t="str">
        <f t="shared" si="2"/>
        <v>(195,'GK1','Pipeline GK1','yyyy-01-dd','yyyy-01-dd',NULL,1,10),</v>
      </c>
    </row>
    <row r="198" spans="1:9" ht="20.149999999999999" customHeight="1" x14ac:dyDescent="0.35">
      <c r="A198" s="3">
        <v>196</v>
      </c>
      <c r="B198" s="17" t="s">
        <v>5156</v>
      </c>
      <c r="C198" s="4" t="s">
        <v>5211</v>
      </c>
      <c r="D198" s="22" t="s">
        <v>5253</v>
      </c>
      <c r="E198" s="22" t="s">
        <v>5254</v>
      </c>
      <c r="F198" s="5" t="s">
        <v>972</v>
      </c>
      <c r="G198" s="5">
        <v>1</v>
      </c>
      <c r="H198" s="5">
        <v>10</v>
      </c>
      <c r="I198" s="4" t="str">
        <f t="shared" ref="I198:I215" si="3">CONCATENATE("(",A198,",'",B198,"','",C198,"','",TEXT(D198,"yyyy-mm-dd"),"','",TEXT(E198,"yyyy-mm-dd"),"',",F198,",",G198,",",H198,"),")</f>
        <v>(196,'GK2','Pipeline GK2','yyyy-01-dd','yyyy-01-dd',NULL,1,10),</v>
      </c>
    </row>
    <row r="199" spans="1:9" ht="20.149999999999999" customHeight="1" x14ac:dyDescent="0.35">
      <c r="A199" s="3">
        <v>197</v>
      </c>
      <c r="B199" s="17" t="s">
        <v>5157</v>
      </c>
      <c r="C199" s="4" t="s">
        <v>5212</v>
      </c>
      <c r="D199" s="22" t="s">
        <v>5255</v>
      </c>
      <c r="E199" s="22" t="s">
        <v>5255</v>
      </c>
      <c r="F199" s="5" t="s">
        <v>972</v>
      </c>
      <c r="G199" s="5">
        <v>1</v>
      </c>
      <c r="H199" s="5">
        <v>10</v>
      </c>
      <c r="I199" s="4" t="str">
        <f t="shared" si="3"/>
        <v>(197,'GK3-01','Pipeline GK3-01','yyyy-01-dd','yyyy-01-dd',NULL,1,10),</v>
      </c>
    </row>
    <row r="200" spans="1:9" ht="20.149999999999999" customHeight="1" x14ac:dyDescent="0.35">
      <c r="A200" s="3">
        <v>198</v>
      </c>
      <c r="B200" s="17" t="s">
        <v>5158</v>
      </c>
      <c r="C200" s="4" t="s">
        <v>5213</v>
      </c>
      <c r="D200" s="22">
        <v>37700</v>
      </c>
      <c r="E200" s="22">
        <v>38640</v>
      </c>
      <c r="F200" s="5" t="s">
        <v>972</v>
      </c>
      <c r="G200" s="5">
        <v>1</v>
      </c>
      <c r="H200" s="5">
        <v>10</v>
      </c>
      <c r="I200" s="4" t="str">
        <f t="shared" si="3"/>
        <v>(198,'GK3-02','Pipeline GK3-02','yyyy-03-dd','yyyy-10-dd',NULL,1,10),</v>
      </c>
    </row>
    <row r="201" spans="1:9" ht="20.149999999999999" customHeight="1" x14ac:dyDescent="0.35">
      <c r="A201" s="3">
        <v>199</v>
      </c>
      <c r="B201" s="17" t="s">
        <v>5159</v>
      </c>
      <c r="C201" s="4" t="s">
        <v>5214</v>
      </c>
      <c r="D201" s="22" t="s">
        <v>5259</v>
      </c>
      <c r="E201" s="22" t="s">
        <v>5259</v>
      </c>
      <c r="F201" s="5" t="s">
        <v>972</v>
      </c>
      <c r="G201" s="5">
        <v>1</v>
      </c>
      <c r="H201" s="5">
        <v>10</v>
      </c>
      <c r="I201" s="4" t="str">
        <f t="shared" si="3"/>
        <v>(199,'GG1','Pipeline GG1','yyyy-01-dd','yyyy-01-dd',NULL,1,10),</v>
      </c>
    </row>
    <row r="202" spans="1:9" ht="20.149999999999999" customHeight="1" x14ac:dyDescent="0.35">
      <c r="A202" s="3">
        <v>200</v>
      </c>
      <c r="B202" s="17" t="s">
        <v>5160</v>
      </c>
      <c r="C202" s="4" t="s">
        <v>5215</v>
      </c>
      <c r="D202" s="22" t="s">
        <v>5260</v>
      </c>
      <c r="E202" s="22" t="s">
        <v>5260</v>
      </c>
      <c r="F202" s="5" t="s">
        <v>972</v>
      </c>
      <c r="G202" s="5">
        <v>1</v>
      </c>
      <c r="H202" s="5">
        <v>10</v>
      </c>
      <c r="I202" s="4" t="str">
        <f t="shared" si="3"/>
        <v>(200,'RGG1','Pipeline RGG1','yyyy-01-dd','yyyy-01-dd',NULL,1,10),</v>
      </c>
    </row>
    <row r="203" spans="1:9" ht="20.149999999999999" customHeight="1" x14ac:dyDescent="0.35">
      <c r="A203" s="3">
        <v>201</v>
      </c>
      <c r="B203" s="17" t="s">
        <v>5161</v>
      </c>
      <c r="C203" s="4" t="s">
        <v>5216</v>
      </c>
      <c r="D203" s="22">
        <v>34222</v>
      </c>
      <c r="E203" s="22">
        <v>35389</v>
      </c>
      <c r="F203" s="5" t="s">
        <v>972</v>
      </c>
      <c r="G203" s="5">
        <v>1</v>
      </c>
      <c r="H203" s="5">
        <v>10</v>
      </c>
      <c r="I203" s="4" t="str">
        <f t="shared" si="3"/>
        <v>(201,'GM1','Pipeline GM1','yyyy-09-dd','yyyy-11-dd',NULL,1,10),</v>
      </c>
    </row>
    <row r="204" spans="1:9" ht="20.149999999999999" customHeight="1" x14ac:dyDescent="0.35">
      <c r="A204" s="3">
        <v>202</v>
      </c>
      <c r="B204" s="17" t="s">
        <v>5162</v>
      </c>
      <c r="C204" s="4" t="s">
        <v>5217</v>
      </c>
      <c r="D204" s="22" t="s">
        <v>5261</v>
      </c>
      <c r="E204" s="22" t="s">
        <v>5261</v>
      </c>
      <c r="F204" s="5" t="s">
        <v>972</v>
      </c>
      <c r="G204" s="5">
        <v>1</v>
      </c>
      <c r="H204" s="5">
        <v>10</v>
      </c>
      <c r="I204" s="4" t="str">
        <f t="shared" si="3"/>
        <v>(202,'GR1','Pipeline GR1','yyyy-01-dd','yyyy-01-dd',NULL,1,10),</v>
      </c>
    </row>
    <row r="205" spans="1:9" ht="20.149999999999999" customHeight="1" x14ac:dyDescent="0.35">
      <c r="A205" s="3">
        <v>203</v>
      </c>
      <c r="B205" s="17" t="s">
        <v>5163</v>
      </c>
      <c r="C205" s="4" t="s">
        <v>5218</v>
      </c>
      <c r="D205" s="22" t="s">
        <v>5236</v>
      </c>
      <c r="E205" s="22" t="s">
        <v>5236</v>
      </c>
      <c r="F205" s="5" t="s">
        <v>972</v>
      </c>
      <c r="G205" s="5">
        <v>1</v>
      </c>
      <c r="H205" s="5">
        <v>10</v>
      </c>
      <c r="I205" s="4" t="str">
        <f t="shared" si="3"/>
        <v>(203,'GR2','Pipeline GR2','yyyy-01-dd','yyyy-01-dd',NULL,1,10),</v>
      </c>
    </row>
    <row r="206" spans="1:9" ht="20.149999999999999" customHeight="1" x14ac:dyDescent="0.35">
      <c r="A206" s="3">
        <v>204</v>
      </c>
      <c r="B206" s="17" t="s">
        <v>5164</v>
      </c>
      <c r="C206" s="4" t="s">
        <v>5219</v>
      </c>
      <c r="D206" s="22">
        <v>38064</v>
      </c>
      <c r="E206" s="22">
        <v>39285</v>
      </c>
      <c r="F206" s="5" t="s">
        <v>972</v>
      </c>
      <c r="G206" s="5">
        <v>1</v>
      </c>
      <c r="H206" s="5">
        <v>10</v>
      </c>
      <c r="I206" s="4" t="str">
        <f t="shared" si="3"/>
        <v>(204,'GR3','Pipeline GR3','yyyy-03-dd','yyyy-07-dd',NULL,1,10),</v>
      </c>
    </row>
    <row r="207" spans="1:9" ht="20.149999999999999" customHeight="1" x14ac:dyDescent="0.35">
      <c r="A207" s="3">
        <v>205</v>
      </c>
      <c r="B207" s="17" t="s">
        <v>5165</v>
      </c>
      <c r="C207" s="4" t="s">
        <v>5220</v>
      </c>
      <c r="D207" s="22" t="s">
        <v>5244</v>
      </c>
      <c r="E207" s="22" t="s">
        <v>5244</v>
      </c>
      <c r="F207" s="5" t="s">
        <v>972</v>
      </c>
      <c r="G207" s="5">
        <v>1</v>
      </c>
      <c r="H207" s="5">
        <v>10</v>
      </c>
      <c r="I207" s="4" t="str">
        <f t="shared" si="3"/>
        <v>(205,'GR4','Pipeline GR4','yyyy-01-dd','yyyy-01-dd',NULL,1,10),</v>
      </c>
    </row>
    <row r="208" spans="1:9" ht="20.149999999999999" customHeight="1" x14ac:dyDescent="0.35">
      <c r="A208" s="3">
        <v>206</v>
      </c>
      <c r="B208" s="17" t="s">
        <v>5166</v>
      </c>
      <c r="C208" s="4" t="s">
        <v>5221</v>
      </c>
      <c r="D208" s="22" t="s">
        <v>5263</v>
      </c>
      <c r="E208" s="22" t="s">
        <v>5263</v>
      </c>
      <c r="F208" s="5" t="s">
        <v>972</v>
      </c>
      <c r="G208" s="5">
        <v>1</v>
      </c>
      <c r="H208" s="5">
        <v>10</v>
      </c>
      <c r="I208" s="4" t="str">
        <f t="shared" si="3"/>
        <v>(206,'GR5','Pipeline GR5','yyyy-06-dd','yyyy-06-dd',NULL,1,10),</v>
      </c>
    </row>
    <row r="209" spans="1:9" ht="20.149999999999999" customHeight="1" x14ac:dyDescent="0.35">
      <c r="A209" s="3">
        <v>207</v>
      </c>
      <c r="B209" s="17" t="s">
        <v>5167</v>
      </c>
      <c r="C209" s="4" t="s">
        <v>5222</v>
      </c>
      <c r="D209" s="22" t="s">
        <v>5262</v>
      </c>
      <c r="E209" s="22" t="s">
        <v>5262</v>
      </c>
      <c r="F209" s="5" t="s">
        <v>972</v>
      </c>
      <c r="G209" s="5">
        <v>1</v>
      </c>
      <c r="H209" s="5">
        <v>10</v>
      </c>
      <c r="I209" s="4" t="str">
        <f t="shared" si="3"/>
        <v>(207,'GR6','Pipeline GR6','yyyy-01-dd','yyyy-01-dd',NULL,1,10),</v>
      </c>
    </row>
    <row r="210" spans="1:9" ht="20.149999999999999" customHeight="1" x14ac:dyDescent="0.35">
      <c r="A210" s="3">
        <v>208</v>
      </c>
      <c r="B210" s="17" t="s">
        <v>5168</v>
      </c>
      <c r="C210" s="4" t="s">
        <v>5223</v>
      </c>
      <c r="D210" s="22" t="s">
        <v>5264</v>
      </c>
      <c r="E210" s="22" t="s">
        <v>5264</v>
      </c>
      <c r="F210" s="5" t="s">
        <v>972</v>
      </c>
      <c r="G210" s="5">
        <v>1</v>
      </c>
      <c r="H210" s="5">
        <v>10</v>
      </c>
      <c r="I210" s="4" t="str">
        <f t="shared" si="3"/>
        <v>(208,'GR7','Pipeline GR7','yyyy-12-dd','yyyy-12-dd',NULL,1,10),</v>
      </c>
    </row>
    <row r="211" spans="1:9" ht="20.149999999999999" customHeight="1" x14ac:dyDescent="0.35">
      <c r="A211" s="3">
        <v>209</v>
      </c>
      <c r="B211" s="17" t="s">
        <v>4153</v>
      </c>
      <c r="C211" s="4" t="s">
        <v>5224</v>
      </c>
      <c r="D211" s="22" t="s">
        <v>5242</v>
      </c>
      <c r="E211" s="22" t="s">
        <v>5242</v>
      </c>
      <c r="F211" s="5" t="s">
        <v>972</v>
      </c>
      <c r="G211" s="5">
        <v>1</v>
      </c>
      <c r="H211" s="5">
        <v>10</v>
      </c>
      <c r="I211" s="4" t="str">
        <f t="shared" si="3"/>
        <v>(209,'GPDF','Pipeline GPDF','yyyy-01-dd','yyyy-01-dd',NULL,1,10),</v>
      </c>
    </row>
    <row r="212" spans="1:9" ht="20.149999999999999" customHeight="1" x14ac:dyDescent="0.35">
      <c r="A212" s="3">
        <v>210</v>
      </c>
      <c r="B212" s="17" t="s">
        <v>5169</v>
      </c>
      <c r="C212" s="4" t="s">
        <v>5225</v>
      </c>
      <c r="D212" s="22" t="s">
        <v>5250</v>
      </c>
      <c r="E212" s="22" t="s">
        <v>5250</v>
      </c>
      <c r="F212" s="5" t="s">
        <v>972</v>
      </c>
      <c r="G212" s="5">
        <v>1</v>
      </c>
      <c r="H212" s="5">
        <v>10</v>
      </c>
      <c r="I212" s="4" t="str">
        <f t="shared" si="3"/>
        <v>(210,'EGPDF','Pipeline EGPDF','yyyy-01-dd','yyyy-01-dd',NULL,1,10),</v>
      </c>
    </row>
    <row r="213" spans="1:9" ht="20.149999999999999" customHeight="1" x14ac:dyDescent="0.35">
      <c r="A213" s="3">
        <v>211</v>
      </c>
      <c r="B213" s="17" t="s">
        <v>5170</v>
      </c>
      <c r="C213" s="4" t="s">
        <v>5226</v>
      </c>
      <c r="D213" s="22" t="s">
        <v>5233</v>
      </c>
      <c r="E213" s="22" t="s">
        <v>5233</v>
      </c>
      <c r="F213" s="5" t="s">
        <v>972</v>
      </c>
      <c r="G213" s="5">
        <v>1</v>
      </c>
      <c r="H213" s="5">
        <v>10</v>
      </c>
      <c r="I213" s="4" t="str">
        <f t="shared" si="3"/>
        <v>(211,'GO1','Pipeline GO1','yyyy-01-dd','yyyy-01-dd',NULL,1,10),</v>
      </c>
    </row>
    <row r="214" spans="1:9" ht="20.149999999999999" customHeight="1" x14ac:dyDescent="0.35">
      <c r="A214" s="3">
        <v>212</v>
      </c>
      <c r="B214" s="17" t="s">
        <v>5171</v>
      </c>
      <c r="C214" s="4" t="s">
        <v>5227</v>
      </c>
      <c r="D214" s="22" t="s">
        <v>5256</v>
      </c>
      <c r="E214" s="5" t="s">
        <v>5256</v>
      </c>
      <c r="F214" s="5" t="s">
        <v>972</v>
      </c>
      <c r="G214" s="5">
        <v>1</v>
      </c>
      <c r="H214" s="5">
        <v>10</v>
      </c>
      <c r="I214" s="4" t="str">
        <f t="shared" si="3"/>
        <v>(212,'GO2','Pipeline GO2','yyyy-01-dd','yyyy-01-dd',NULL,1,10),</v>
      </c>
    </row>
    <row r="215" spans="1:9" ht="20.149999999999999" customHeight="1" x14ac:dyDescent="0.35">
      <c r="A215" s="3">
        <v>213</v>
      </c>
      <c r="B215" s="17" t="s">
        <v>5172</v>
      </c>
      <c r="C215" s="4" t="s">
        <v>5228</v>
      </c>
      <c r="D215" s="22" t="s">
        <v>5257</v>
      </c>
      <c r="E215" s="5" t="s">
        <v>5258</v>
      </c>
      <c r="F215" s="5" t="s">
        <v>972</v>
      </c>
      <c r="G215" s="5">
        <v>1</v>
      </c>
      <c r="H215" s="5">
        <v>10</v>
      </c>
      <c r="I215" s="4" t="str">
        <f t="shared" si="3"/>
        <v>(213,'GO3','Pipeline GO3','yyyy-01-dd','yyyy-01-dd',NULL,1,10),</v>
      </c>
    </row>
  </sheetData>
  <autoFilter ref="A2:H178" xr:uid="{00000000-0009-0000-0000-00001F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D157"/>
  <sheetViews>
    <sheetView workbookViewId="0">
      <selection activeCell="C11" sqref="C11"/>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20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D89"/>
  <sheetViews>
    <sheetView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21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7" tint="0.79998168889431442"/>
  </sheetPr>
  <dimension ref="A1:C92"/>
  <sheetViews>
    <sheetView tabSelected="1" topLeftCell="A9" workbookViewId="0">
      <selection activeCell="B15" sqref="B15"/>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6090</v>
      </c>
      <c r="B1" s="1" t="s">
        <v>6091</v>
      </c>
      <c r="C1" s="1" t="s">
        <v>5603</v>
      </c>
    </row>
    <row r="2" spans="1:3" ht="20.149999999999999" customHeight="1" x14ac:dyDescent="0.35">
      <c r="A2" s="1" t="s">
        <v>41</v>
      </c>
      <c r="B2" s="1" t="s">
        <v>42</v>
      </c>
      <c r="C2" s="1" t="s">
        <v>6087</v>
      </c>
    </row>
    <row r="3" spans="1:3" ht="20.149999999999999" customHeight="1" x14ac:dyDescent="0.35">
      <c r="A3" s="53">
        <v>37</v>
      </c>
      <c r="B3" s="54">
        <v>156</v>
      </c>
      <c r="C3" s="4" t="str">
        <f>CONCATENATE("(",A3,",",B3,"),")</f>
        <v>(37,156),</v>
      </c>
    </row>
    <row r="4" spans="1:3" ht="20.149999999999999" customHeight="1" x14ac:dyDescent="0.35">
      <c r="A4" s="53">
        <v>37</v>
      </c>
      <c r="B4" s="54">
        <v>157</v>
      </c>
      <c r="C4" s="4" t="str">
        <f>CONCATENATE("(",A4,",",B4,"),")</f>
        <v>(37,157),</v>
      </c>
    </row>
    <row r="5" spans="1:3" ht="20.149999999999999" customHeight="1" x14ac:dyDescent="0.35">
      <c r="A5" s="53">
        <v>39</v>
      </c>
      <c r="B5" s="54">
        <v>156</v>
      </c>
      <c r="C5" s="4" t="str">
        <f>CONCATENATE("(",A5,",",B5,"),")</f>
        <v>(39,156),</v>
      </c>
    </row>
    <row r="6" spans="1:3" ht="20.149999999999999" customHeight="1" x14ac:dyDescent="0.35">
      <c r="A6" s="53">
        <v>39</v>
      </c>
      <c r="B6" s="54">
        <v>157</v>
      </c>
      <c r="C6" s="4" t="str">
        <f>CONCATENATE("(",A6,",",B6,"),")</f>
        <v>(39,157),</v>
      </c>
    </row>
    <row r="7" spans="1:3" ht="20.149999999999999" customHeight="1" x14ac:dyDescent="0.35">
      <c r="A7" s="53">
        <v>41</v>
      </c>
      <c r="B7" s="54">
        <v>156</v>
      </c>
      <c r="C7" s="4" t="str">
        <f>CONCATENATE("(",A7,",",B7,"),")</f>
        <v>(41,156),</v>
      </c>
    </row>
    <row r="8" spans="1:3" ht="20.149999999999999" customHeight="1" x14ac:dyDescent="0.35">
      <c r="A8" s="53">
        <v>41</v>
      </c>
      <c r="B8" s="54">
        <v>157</v>
      </c>
      <c r="C8" s="4" t="str">
        <f>CONCATENATE("(",A8,",",B8,"),")</f>
        <v>(41,157),</v>
      </c>
    </row>
    <row r="9" spans="1:3" ht="20.149999999999999" customHeight="1" x14ac:dyDescent="0.35">
      <c r="A9" s="53">
        <v>43</v>
      </c>
      <c r="B9" s="54">
        <v>156</v>
      </c>
      <c r="C9" s="4" t="str">
        <f>CONCATENATE("(",A9,",",B9,"),")</f>
        <v>(43,156),</v>
      </c>
    </row>
    <row r="10" spans="1:3" ht="20.149999999999999" customHeight="1" x14ac:dyDescent="0.35">
      <c r="A10" s="53">
        <v>43</v>
      </c>
      <c r="B10" s="54">
        <v>157</v>
      </c>
      <c r="C10" s="4" t="str">
        <f>CONCATENATE("(",A10,",",B10,"),")</f>
        <v>(43,157),</v>
      </c>
    </row>
    <row r="11" spans="1:3" ht="20.149999999999999" customHeight="1" x14ac:dyDescent="0.35">
      <c r="A11" s="53">
        <v>45</v>
      </c>
      <c r="B11" s="54">
        <v>156</v>
      </c>
      <c r="C11" s="4" t="str">
        <f>CONCATENATE("(",A11,",",B11,"),")</f>
        <v>(45,156),</v>
      </c>
    </row>
    <row r="12" spans="1:3" ht="20.149999999999999" customHeight="1" x14ac:dyDescent="0.35">
      <c r="A12" s="53">
        <v>45</v>
      </c>
      <c r="B12" s="54">
        <v>157</v>
      </c>
      <c r="C12" s="4" t="str">
        <f>CONCATENATE("(",A12,",",B12,"),")</f>
        <v>(45,157),</v>
      </c>
    </row>
    <row r="13" spans="1:3" ht="20.149999999999999" customHeight="1" x14ac:dyDescent="0.35">
      <c r="A13" s="53">
        <v>47</v>
      </c>
      <c r="B13" s="54">
        <v>156</v>
      </c>
      <c r="C13" s="4" t="str">
        <f>CONCATENATE("(",A13,",",B13,"),")</f>
        <v>(47,156),</v>
      </c>
    </row>
    <row r="14" spans="1:3" ht="20.149999999999999" customHeight="1" x14ac:dyDescent="0.35">
      <c r="A14" s="53">
        <v>47</v>
      </c>
      <c r="B14" s="54">
        <v>157</v>
      </c>
      <c r="C14" s="4" t="str">
        <f>CONCATENATE("(",A14,",",B14,"),")</f>
        <v>(47,157),</v>
      </c>
    </row>
    <row r="15" spans="1:3" ht="20.149999999999999" customHeight="1" x14ac:dyDescent="0.35">
      <c r="A15" s="53">
        <v>49</v>
      </c>
      <c r="B15" s="54">
        <v>156</v>
      </c>
      <c r="C15" s="4" t="str">
        <f>CONCATENATE("(",A15,",",B15,"),")</f>
        <v>(49,156),</v>
      </c>
    </row>
    <row r="16" spans="1:3" ht="20.149999999999999" customHeight="1" x14ac:dyDescent="0.35">
      <c r="A16" s="53">
        <v>49</v>
      </c>
      <c r="B16" s="54">
        <v>157</v>
      </c>
      <c r="C16" s="4" t="str">
        <f>CONCATENATE("(",A16,",",B16,"),")</f>
        <v>(49,157),</v>
      </c>
    </row>
    <row r="17" spans="1:3" ht="20.149999999999999" customHeight="1" x14ac:dyDescent="0.35">
      <c r="A17" s="5">
        <v>51</v>
      </c>
      <c r="B17" s="3">
        <v>158</v>
      </c>
      <c r="C17" s="4" t="str">
        <f>CONCATENATE("(",A17,",",B17,"),")</f>
        <v>(51,158),</v>
      </c>
    </row>
    <row r="18" spans="1:3" ht="20.149999999999999" customHeight="1" x14ac:dyDescent="0.35">
      <c r="A18" s="5">
        <v>52</v>
      </c>
      <c r="B18" s="3">
        <v>158</v>
      </c>
      <c r="C18" s="4" t="str">
        <f>CONCATENATE("(",A18,",",B18,"),")</f>
        <v>(52,158),</v>
      </c>
    </row>
    <row r="19" spans="1:3" ht="20.149999999999999" customHeight="1" x14ac:dyDescent="0.35">
      <c r="A19" s="5">
        <v>53</v>
      </c>
      <c r="B19" s="3">
        <v>158</v>
      </c>
      <c r="C19" s="4" t="str">
        <f>CONCATENATE("(",A19,",",B19,"),")</f>
        <v>(53,158),</v>
      </c>
    </row>
    <row r="20" spans="1:3" ht="20.149999999999999" customHeight="1" x14ac:dyDescent="0.35">
      <c r="A20" s="5">
        <v>54</v>
      </c>
      <c r="B20" s="3">
        <v>158</v>
      </c>
      <c r="C20" s="4" t="str">
        <f>CONCATENATE("(",A20,",",B20,"),")</f>
        <v>(54,158),</v>
      </c>
    </row>
    <row r="21" spans="1:3" ht="20.149999999999999" customHeight="1" x14ac:dyDescent="0.35">
      <c r="A21" s="5">
        <v>55</v>
      </c>
      <c r="B21" s="3">
        <v>158</v>
      </c>
      <c r="C21" s="4" t="str">
        <f>CONCATENATE("(",A21,",",B21,"),")</f>
        <v>(55,158),</v>
      </c>
    </row>
    <row r="22" spans="1:3" ht="20.149999999999999" customHeight="1" x14ac:dyDescent="0.35">
      <c r="A22" s="5">
        <v>56</v>
      </c>
      <c r="B22" s="3">
        <v>158</v>
      </c>
      <c r="C22" s="4" t="str">
        <f>CONCATENATE("(",A22,",",B22,"),")</f>
        <v>(56,158),</v>
      </c>
    </row>
    <row r="23" spans="1:3" ht="20.149999999999999" customHeight="1" x14ac:dyDescent="0.35">
      <c r="A23" s="5">
        <v>57</v>
      </c>
      <c r="B23" s="3">
        <v>159</v>
      </c>
      <c r="C23" s="4" t="str">
        <f>CONCATENATE("(",A23,",",B23,"),")</f>
        <v>(57,159),</v>
      </c>
    </row>
    <row r="24" spans="1:3" ht="20.149999999999999" customHeight="1" x14ac:dyDescent="0.35">
      <c r="A24" s="5">
        <v>58</v>
      </c>
      <c r="B24" s="3">
        <v>159</v>
      </c>
      <c r="C24" s="4" t="str">
        <f>CONCATENATE("(",A24,",",B24,"),")</f>
        <v>(58,159),</v>
      </c>
    </row>
    <row r="25" spans="1:3" ht="20.149999999999999" customHeight="1" x14ac:dyDescent="0.35">
      <c r="A25" s="5">
        <v>59</v>
      </c>
      <c r="B25" s="3">
        <v>159</v>
      </c>
      <c r="C25" s="4" t="str">
        <f>CONCATENATE("(",A25,",",B25,"),")</f>
        <v>(59,159),</v>
      </c>
    </row>
    <row r="26" spans="1:3" ht="20.149999999999999" customHeight="1" x14ac:dyDescent="0.35">
      <c r="A26" s="5">
        <v>60</v>
      </c>
      <c r="B26" s="3">
        <v>159</v>
      </c>
      <c r="C26" s="4" t="str">
        <f>CONCATENATE("(",A26,",",B26,"),")</f>
        <v>(60,159),</v>
      </c>
    </row>
    <row r="27" spans="1:3" ht="20.149999999999999" customHeight="1" x14ac:dyDescent="0.35">
      <c r="A27" s="5">
        <v>61</v>
      </c>
      <c r="B27" s="3">
        <v>162</v>
      </c>
      <c r="C27" s="4" t="str">
        <f>CONCATENATE("(",A27,",",B27,"),")</f>
        <v>(61,162),</v>
      </c>
    </row>
    <row r="28" spans="1:3" ht="20.149999999999999" customHeight="1" x14ac:dyDescent="0.35">
      <c r="A28" s="5">
        <v>62</v>
      </c>
      <c r="B28" s="3">
        <v>163</v>
      </c>
      <c r="C28" s="4" t="str">
        <f>CONCATENATE("(",A28,",",B28,"),")</f>
        <v>(62,163),</v>
      </c>
    </row>
    <row r="29" spans="1:3" ht="20.149999999999999" customHeight="1" x14ac:dyDescent="0.35">
      <c r="A29" s="5">
        <v>63</v>
      </c>
      <c r="B29" s="3">
        <v>163</v>
      </c>
      <c r="C29" s="4" t="str">
        <f>CONCATENATE("(",A29,",",B29,"),")</f>
        <v>(63,163),</v>
      </c>
    </row>
    <row r="30" spans="1:3" ht="20.149999999999999" customHeight="1" x14ac:dyDescent="0.35">
      <c r="A30" s="5">
        <v>64</v>
      </c>
      <c r="B30" s="3">
        <v>164</v>
      </c>
      <c r="C30" s="4" t="str">
        <f>CONCATENATE("(",A30,",",B30,"),")</f>
        <v>(64,164),</v>
      </c>
    </row>
    <row r="31" spans="1:3" ht="20.149999999999999" customHeight="1" x14ac:dyDescent="0.35">
      <c r="A31" s="5">
        <v>65</v>
      </c>
      <c r="B31" s="3">
        <v>164</v>
      </c>
      <c r="C31" s="4" t="str">
        <f>CONCATENATE("(",A31,",",B31,"),")</f>
        <v>(65,164),</v>
      </c>
    </row>
    <row r="32" spans="1:3" ht="20.149999999999999" customHeight="1" x14ac:dyDescent="0.35">
      <c r="A32" s="5">
        <v>66</v>
      </c>
      <c r="B32" s="3">
        <v>164</v>
      </c>
      <c r="C32" s="4" t="str">
        <f>CONCATENATE("(",A32,",",B32,"),")</f>
        <v>(66,164),</v>
      </c>
    </row>
    <row r="33" spans="1:3" ht="20.149999999999999" customHeight="1" x14ac:dyDescent="0.35">
      <c r="A33" s="5">
        <v>67</v>
      </c>
      <c r="B33" s="3">
        <v>169</v>
      </c>
      <c r="C33" s="4" t="str">
        <f>CONCATENATE("(",A33,",",B33,"),")</f>
        <v>(67,169),</v>
      </c>
    </row>
    <row r="34" spans="1:3" ht="20.149999999999999" customHeight="1" x14ac:dyDescent="0.35">
      <c r="A34" s="5">
        <v>68</v>
      </c>
      <c r="B34" s="3">
        <v>166</v>
      </c>
      <c r="C34" s="4" t="str">
        <f>CONCATENATE("(",A34,",",B34,"),")</f>
        <v>(68,166),</v>
      </c>
    </row>
    <row r="35" spans="1:3" ht="20.149999999999999" customHeight="1" x14ac:dyDescent="0.35">
      <c r="A35" s="5">
        <v>69</v>
      </c>
      <c r="B35" s="3">
        <v>167</v>
      </c>
      <c r="C35" s="4" t="str">
        <f>CONCATENATE("(",A35,",",B35,"),")</f>
        <v>(69,167),</v>
      </c>
    </row>
    <row r="36" spans="1:3" ht="20.149999999999999" customHeight="1" x14ac:dyDescent="0.35">
      <c r="A36" s="5">
        <v>69</v>
      </c>
      <c r="B36" s="3">
        <v>168</v>
      </c>
      <c r="C36" s="4" t="str">
        <f>CONCATENATE("(",A36,",",B36,"),")</f>
        <v>(69,168),</v>
      </c>
    </row>
    <row r="37" spans="1:3" ht="20.149999999999999" customHeight="1" x14ac:dyDescent="0.35">
      <c r="A37" s="5">
        <v>70</v>
      </c>
      <c r="B37" s="3">
        <v>167</v>
      </c>
      <c r="C37" s="4" t="str">
        <f>CONCATENATE("(",A37,",",B37,"),")</f>
        <v>(70,167),</v>
      </c>
    </row>
    <row r="38" spans="1:3" ht="20.149999999999999" customHeight="1" x14ac:dyDescent="0.35">
      <c r="A38" s="5">
        <v>70</v>
      </c>
      <c r="B38" s="3">
        <v>168</v>
      </c>
      <c r="C38" s="4" t="str">
        <f>CONCATENATE("(",A38,",",B38,"),")</f>
        <v>(70,168),</v>
      </c>
    </row>
    <row r="39" spans="1:3" ht="20.149999999999999" customHeight="1" x14ac:dyDescent="0.35">
      <c r="A39" s="5">
        <v>71</v>
      </c>
      <c r="B39" s="3">
        <v>173</v>
      </c>
      <c r="C39" s="4" t="str">
        <f>CONCATENATE("(",A39,",",B39,"),")</f>
        <v>(71,173),</v>
      </c>
    </row>
    <row r="40" spans="1:3" ht="20.149999999999999" customHeight="1" x14ac:dyDescent="0.35">
      <c r="A40" s="5">
        <v>72</v>
      </c>
      <c r="B40" s="3">
        <v>173</v>
      </c>
      <c r="C40" s="4" t="str">
        <f>CONCATENATE("(",A40,",",B40,"),")</f>
        <v>(72,173),</v>
      </c>
    </row>
    <row r="41" spans="1:3" ht="20.149999999999999" customHeight="1" x14ac:dyDescent="0.35">
      <c r="A41" s="5">
        <v>73</v>
      </c>
      <c r="B41" s="3">
        <v>173</v>
      </c>
      <c r="C41" s="4" t="str">
        <f>CONCATENATE("(",A41,",",B41,"),")</f>
        <v>(73,173),</v>
      </c>
    </row>
    <row r="42" spans="1:3" ht="20.149999999999999" customHeight="1" x14ac:dyDescent="0.35">
      <c r="A42" s="5">
        <v>74</v>
      </c>
      <c r="B42" s="3">
        <v>173</v>
      </c>
      <c r="C42" s="4" t="str">
        <f>CONCATENATE("(",A42,",",B42,"),")</f>
        <v>(74,173),</v>
      </c>
    </row>
    <row r="43" spans="1:3" ht="20.149999999999999" customHeight="1" x14ac:dyDescent="0.35">
      <c r="A43" s="5">
        <v>75</v>
      </c>
      <c r="B43" s="3">
        <v>174</v>
      </c>
      <c r="C43" s="4" t="str">
        <f>CONCATENATE("(",A43,",",B43,"),")</f>
        <v>(75,174),</v>
      </c>
    </row>
    <row r="44" spans="1:3" ht="20.149999999999999" customHeight="1" x14ac:dyDescent="0.35">
      <c r="A44" s="5">
        <v>76</v>
      </c>
      <c r="B44" s="3">
        <v>174</v>
      </c>
      <c r="C44" s="4" t="str">
        <f>CONCATENATE("(",A44,",",B44,"),")</f>
        <v>(76,174),</v>
      </c>
    </row>
    <row r="45" spans="1:3" ht="20.149999999999999" customHeight="1" x14ac:dyDescent="0.35">
      <c r="A45" s="5">
        <v>77</v>
      </c>
      <c r="B45" s="3">
        <v>176</v>
      </c>
      <c r="C45" s="4" t="str">
        <f>CONCATENATE("(",A45,",",B45,"),")</f>
        <v>(77,176),</v>
      </c>
    </row>
    <row r="46" spans="1:3" ht="20.149999999999999" customHeight="1" x14ac:dyDescent="0.35">
      <c r="A46" s="5">
        <v>78</v>
      </c>
      <c r="B46" s="3">
        <v>176</v>
      </c>
      <c r="C46" s="4" t="str">
        <f>CONCATENATE("(",A46,",",B46,"),")</f>
        <v>(78,176),</v>
      </c>
    </row>
    <row r="47" spans="1:3" ht="20.149999999999999" customHeight="1" x14ac:dyDescent="0.35">
      <c r="A47" s="5">
        <v>79</v>
      </c>
      <c r="B47" s="3">
        <v>176</v>
      </c>
      <c r="C47" s="4" t="str">
        <f>CONCATENATE("(",A47,",",B47,"),")</f>
        <v>(79,176),</v>
      </c>
    </row>
    <row r="48" spans="1:3" ht="20.149999999999999" customHeight="1" x14ac:dyDescent="0.35">
      <c r="A48" s="5">
        <v>80</v>
      </c>
      <c r="B48" s="3">
        <v>177</v>
      </c>
      <c r="C48" s="4" t="str">
        <f>CONCATENATE("(",A48,",",B48,"),")</f>
        <v>(80,177),</v>
      </c>
    </row>
    <row r="49" spans="1:3" ht="20.149999999999999" customHeight="1" x14ac:dyDescent="0.35">
      <c r="A49" s="5">
        <v>81</v>
      </c>
      <c r="B49" s="3">
        <v>177</v>
      </c>
      <c r="C49" s="4" t="str">
        <f>CONCATENATE("(",A49,",",B49,"),")</f>
        <v>(81,177),</v>
      </c>
    </row>
    <row r="50" spans="1:3" ht="20.149999999999999" customHeight="1" x14ac:dyDescent="0.35">
      <c r="A50" s="5">
        <v>82</v>
      </c>
      <c r="B50" s="3">
        <v>178</v>
      </c>
      <c r="C50" s="4" t="str">
        <f>CONCATENATE("(",A50,",",B50,"),")</f>
        <v>(82,178),</v>
      </c>
    </row>
    <row r="51" spans="1:3" ht="20.149999999999999" customHeight="1" x14ac:dyDescent="0.35">
      <c r="A51" s="5">
        <v>83</v>
      </c>
      <c r="B51" s="3">
        <v>177</v>
      </c>
      <c r="C51" s="4" t="str">
        <f>CONCATENATE("(",A51,",",B51,"),")</f>
        <v>(83,177),</v>
      </c>
    </row>
    <row r="52" spans="1:3" ht="20.149999999999999" customHeight="1" x14ac:dyDescent="0.35">
      <c r="A52" s="5">
        <v>83</v>
      </c>
      <c r="B52" s="3">
        <v>178</v>
      </c>
      <c r="C52" s="4" t="str">
        <f>CONCATENATE("(",A52,",",B52,"),")</f>
        <v>(83,178),</v>
      </c>
    </row>
    <row r="53" spans="1:3" ht="20.149999999999999" customHeight="1" x14ac:dyDescent="0.35">
      <c r="A53" s="5">
        <v>84</v>
      </c>
      <c r="B53" s="3">
        <v>179</v>
      </c>
      <c r="C53" s="4" t="str">
        <f>CONCATENATE("(",A53,",",B53,"),")</f>
        <v>(84,179),</v>
      </c>
    </row>
    <row r="54" spans="1:3" ht="20.149999999999999" customHeight="1" x14ac:dyDescent="0.35">
      <c r="A54" s="5">
        <v>85</v>
      </c>
      <c r="B54" s="3">
        <v>179</v>
      </c>
      <c r="C54" s="4" t="str">
        <f>CONCATENATE("(",A54,",",B54,"),")</f>
        <v>(85,179),</v>
      </c>
    </row>
    <row r="55" spans="1:3" ht="20.149999999999999" customHeight="1" x14ac:dyDescent="0.35">
      <c r="A55" s="5">
        <v>86</v>
      </c>
      <c r="B55" s="3">
        <v>179</v>
      </c>
      <c r="C55" s="4" t="str">
        <f>CONCATENATE("(",A55,",",B55,"),")</f>
        <v>(86,179),</v>
      </c>
    </row>
    <row r="56" spans="1:3" ht="20.149999999999999" customHeight="1" x14ac:dyDescent="0.35">
      <c r="A56" s="5">
        <v>87</v>
      </c>
      <c r="B56" s="3">
        <v>179</v>
      </c>
      <c r="C56" s="4" t="str">
        <f>CONCATENATE("(",A56,",",B56,"),")</f>
        <v>(87,179),</v>
      </c>
    </row>
    <row r="57" spans="1:3" ht="20.149999999999999" customHeight="1" x14ac:dyDescent="0.35">
      <c r="A57" s="5">
        <v>88</v>
      </c>
      <c r="B57" s="3">
        <v>176</v>
      </c>
      <c r="C57" s="4" t="str">
        <f>CONCATENATE("(",A57,",",B57,"),")</f>
        <v>(88,176),</v>
      </c>
    </row>
    <row r="58" spans="1:3" ht="20.149999999999999" customHeight="1" x14ac:dyDescent="0.35">
      <c r="A58" s="5">
        <v>89</v>
      </c>
      <c r="B58" s="3">
        <v>176</v>
      </c>
      <c r="C58" s="4" t="str">
        <f>CONCATENATE("(",A58,",",B58,"),")</f>
        <v>(89,176),</v>
      </c>
    </row>
    <row r="59" spans="1:3" ht="20.149999999999999" customHeight="1" x14ac:dyDescent="0.35">
      <c r="A59" s="5">
        <v>90</v>
      </c>
      <c r="B59" s="3">
        <v>182</v>
      </c>
      <c r="C59" s="4" t="str">
        <f>CONCATENATE("(",A59,",",B59,"),")</f>
        <v>(90,182),</v>
      </c>
    </row>
    <row r="60" spans="1:3" ht="20.149999999999999" customHeight="1" x14ac:dyDescent="0.35">
      <c r="A60" s="5">
        <v>91</v>
      </c>
      <c r="B60" s="3">
        <v>182</v>
      </c>
      <c r="C60" s="4" t="str">
        <f>CONCATENATE("(",A60,",",B60,"),")</f>
        <v>(91,182),</v>
      </c>
    </row>
    <row r="61" spans="1:3" ht="20.149999999999999" customHeight="1" x14ac:dyDescent="0.35">
      <c r="A61" s="5">
        <v>92</v>
      </c>
      <c r="B61" s="3">
        <v>182</v>
      </c>
      <c r="C61" s="4" t="str">
        <f>CONCATENATE("(",A61,",",B61,"),")</f>
        <v>(92,182),</v>
      </c>
    </row>
    <row r="62" spans="1:3" ht="20.149999999999999" customHeight="1" x14ac:dyDescent="0.35">
      <c r="A62" s="5">
        <v>93</v>
      </c>
      <c r="B62" s="3">
        <v>182</v>
      </c>
      <c r="C62" s="4" t="str">
        <f>CONCATENATE("(",A62,",",B62,"),")</f>
        <v>(93,182),</v>
      </c>
    </row>
    <row r="63" spans="1:3" ht="20.149999999999999" customHeight="1" x14ac:dyDescent="0.35">
      <c r="A63" s="5">
        <v>94</v>
      </c>
      <c r="B63" s="3">
        <v>184</v>
      </c>
      <c r="C63" s="4" t="str">
        <f>CONCATENATE("(",A63,",",B63,"),")</f>
        <v>(94,184),</v>
      </c>
    </row>
    <row r="64" spans="1:3" ht="20.149999999999999" customHeight="1" x14ac:dyDescent="0.35">
      <c r="A64" s="5">
        <v>95</v>
      </c>
      <c r="B64" s="3">
        <v>185</v>
      </c>
      <c r="C64" s="4" t="str">
        <f>CONCATENATE("(",A64,",",B64,"),")</f>
        <v>(95,185),</v>
      </c>
    </row>
    <row r="65" spans="1:3" ht="20.149999999999999" customHeight="1" x14ac:dyDescent="0.35">
      <c r="A65" s="5">
        <v>96</v>
      </c>
      <c r="B65" s="5">
        <v>187</v>
      </c>
      <c r="C65" s="4" t="str">
        <f>CONCATENATE("(",A65,",",B65,"),")</f>
        <v>(96,187),</v>
      </c>
    </row>
    <row r="66" spans="1:3" ht="20.149999999999999" customHeight="1" x14ac:dyDescent="0.35">
      <c r="A66" s="5">
        <v>97</v>
      </c>
      <c r="B66" s="3">
        <v>184</v>
      </c>
      <c r="C66" s="4" t="str">
        <f>CONCATENATE("(",A66,",",B66,"),")</f>
        <v>(97,184),</v>
      </c>
    </row>
    <row r="67" spans="1:3" ht="20.149999999999999" customHeight="1" x14ac:dyDescent="0.35">
      <c r="A67" s="5">
        <v>98</v>
      </c>
      <c r="B67" s="3">
        <v>185</v>
      </c>
      <c r="C67" s="4" t="str">
        <f>CONCATENATE("(",A67,",",B67,"),")</f>
        <v>(98,185),</v>
      </c>
    </row>
    <row r="68" spans="1:3" ht="20.149999999999999" customHeight="1" x14ac:dyDescent="0.35">
      <c r="A68" s="5">
        <v>99</v>
      </c>
      <c r="B68" s="5">
        <v>187</v>
      </c>
      <c r="C68" s="4" t="str">
        <f>CONCATENATE("(",A68,",",B68,"),")</f>
        <v>(99,187),</v>
      </c>
    </row>
    <row r="69" spans="1:3" ht="20.149999999999999" customHeight="1" x14ac:dyDescent="0.35">
      <c r="A69" s="5">
        <v>100</v>
      </c>
      <c r="B69" s="3">
        <v>184</v>
      </c>
      <c r="C69" s="4" t="str">
        <f>CONCATENATE("(",A69,",",B69,"),")</f>
        <v>(100,184),</v>
      </c>
    </row>
    <row r="70" spans="1:3" ht="20.149999999999999" customHeight="1" x14ac:dyDescent="0.35">
      <c r="A70" s="5">
        <v>101</v>
      </c>
      <c r="B70" s="3">
        <v>185</v>
      </c>
      <c r="C70" s="4" t="str">
        <f>CONCATENATE("(",A70,",",B70,"),")</f>
        <v>(101,185),</v>
      </c>
    </row>
    <row r="71" spans="1:3" ht="20.149999999999999" customHeight="1" x14ac:dyDescent="0.35">
      <c r="A71" s="5">
        <v>102</v>
      </c>
      <c r="B71" s="5">
        <v>187</v>
      </c>
      <c r="C71" s="4" t="str">
        <f>CONCATENATE("(",A71,",",B71,"),")</f>
        <v>(102,187),</v>
      </c>
    </row>
    <row r="72" spans="1:3" ht="20.149999999999999" customHeight="1" x14ac:dyDescent="0.35">
      <c r="A72" s="5">
        <v>103</v>
      </c>
      <c r="B72" s="3">
        <v>184</v>
      </c>
      <c r="C72" s="4" t="str">
        <f>CONCATENATE("(",A72,",",B72,"),")</f>
        <v>(103,184),</v>
      </c>
    </row>
    <row r="73" spans="1:3" ht="20.149999999999999" customHeight="1" x14ac:dyDescent="0.35">
      <c r="A73" s="5">
        <v>104</v>
      </c>
      <c r="B73" s="3">
        <v>185</v>
      </c>
      <c r="C73" s="4" t="str">
        <f>CONCATENATE("(",A73,",",B73,"),")</f>
        <v>(104,185),</v>
      </c>
    </row>
    <row r="74" spans="1:3" ht="20.149999999999999" customHeight="1" x14ac:dyDescent="0.35">
      <c r="A74" s="5">
        <v>105</v>
      </c>
      <c r="B74" s="5">
        <v>187</v>
      </c>
      <c r="C74" s="4" t="str">
        <f>CONCATENATE("(",A74,",",B74,"),")</f>
        <v>(105,187),</v>
      </c>
    </row>
    <row r="75" spans="1:3" ht="20.149999999999999" customHeight="1" x14ac:dyDescent="0.35">
      <c r="A75" s="5">
        <v>106</v>
      </c>
      <c r="B75" s="3">
        <v>184</v>
      </c>
      <c r="C75" s="4" t="str">
        <f>CONCATENATE("(",A75,",",B75,"),")</f>
        <v>(106,184),</v>
      </c>
    </row>
    <row r="76" spans="1:3" ht="20.149999999999999" customHeight="1" x14ac:dyDescent="0.35">
      <c r="A76" s="5">
        <v>107</v>
      </c>
      <c r="B76" s="3">
        <v>185</v>
      </c>
      <c r="C76" s="4" t="str">
        <f>CONCATENATE("(",A76,",",B76,"),")</f>
        <v>(107,185),</v>
      </c>
    </row>
    <row r="77" spans="1:3" ht="20.149999999999999" customHeight="1" x14ac:dyDescent="0.35">
      <c r="A77" s="5">
        <v>108</v>
      </c>
      <c r="B77" s="5">
        <v>187</v>
      </c>
      <c r="C77" s="4" t="str">
        <f>CONCATENATE("(",A77,",",B77,"),")</f>
        <v>(108,187),</v>
      </c>
    </row>
    <row r="78" spans="1:3" ht="20.149999999999999" customHeight="1" x14ac:dyDescent="0.35">
      <c r="A78" s="5">
        <v>109</v>
      </c>
      <c r="B78" s="3">
        <v>207</v>
      </c>
      <c r="C78" s="4" t="str">
        <f>CONCATENATE("(",A78,",",B78,"),")</f>
        <v>(109,207),</v>
      </c>
    </row>
    <row r="79" spans="1:3" ht="20.149999999999999" customHeight="1" x14ac:dyDescent="0.35">
      <c r="A79" s="5">
        <v>110</v>
      </c>
      <c r="B79" s="3">
        <v>193</v>
      </c>
      <c r="C79" s="4" t="str">
        <f>CONCATENATE("(",A79,",",B79,"),")</f>
        <v>(110,193),</v>
      </c>
    </row>
    <row r="80" spans="1:3" ht="20.149999999999999" customHeight="1" x14ac:dyDescent="0.35">
      <c r="A80" s="5">
        <v>111</v>
      </c>
      <c r="B80" s="3">
        <v>193</v>
      </c>
      <c r="C80" s="4" t="str">
        <f>CONCATENATE("(",A80,",",B80,"),")</f>
        <v>(111,193),</v>
      </c>
    </row>
    <row r="81" spans="1:3" ht="20.149999999999999" customHeight="1" x14ac:dyDescent="0.35">
      <c r="A81" s="5">
        <v>112</v>
      </c>
      <c r="B81" s="3">
        <v>193</v>
      </c>
      <c r="C81" s="4" t="str">
        <f>CONCATENATE("(",A81,",",B81,"),")</f>
        <v>(112,193),</v>
      </c>
    </row>
    <row r="82" spans="1:3" ht="20.149999999999999" customHeight="1" x14ac:dyDescent="0.35">
      <c r="A82" s="5">
        <v>113</v>
      </c>
      <c r="B82" s="3">
        <v>193</v>
      </c>
      <c r="C82" s="4" t="str">
        <f>CONCATENATE("(",A82,",",B82,"),")</f>
        <v>(113,193),</v>
      </c>
    </row>
    <row r="83" spans="1:3" ht="20.149999999999999" customHeight="1" x14ac:dyDescent="0.35">
      <c r="A83" s="5">
        <v>114</v>
      </c>
      <c r="B83" s="3">
        <v>193</v>
      </c>
      <c r="C83" s="4" t="str">
        <f>CONCATENATE("(",A83,",",B83,"),")</f>
        <v>(114,193),</v>
      </c>
    </row>
    <row r="84" spans="1:3" ht="20.149999999999999" customHeight="1" x14ac:dyDescent="0.35">
      <c r="A84" s="5">
        <v>115</v>
      </c>
      <c r="B84" s="3">
        <v>210</v>
      </c>
      <c r="C84" s="4" t="str">
        <f>CONCATENATE("(",A84,",",B84,"),")</f>
        <v>(115,210),</v>
      </c>
    </row>
    <row r="85" spans="1:3" ht="20.149999999999999" customHeight="1" x14ac:dyDescent="0.35">
      <c r="A85" s="5">
        <v>116</v>
      </c>
      <c r="B85" s="3">
        <v>197</v>
      </c>
      <c r="C85" s="4" t="str">
        <f>CONCATENATE("(",A85,",",B85,"),")</f>
        <v>(116,197),</v>
      </c>
    </row>
    <row r="86" spans="1:3" ht="20.149999999999999" customHeight="1" x14ac:dyDescent="0.35">
      <c r="A86" s="5">
        <v>117</v>
      </c>
      <c r="B86" s="3">
        <v>204</v>
      </c>
      <c r="C86" s="4" t="str">
        <f>CONCATENATE("(",A86,",",B86,"),")</f>
        <v>(117,204),</v>
      </c>
    </row>
    <row r="87" spans="1:3" ht="20.149999999999999" customHeight="1" x14ac:dyDescent="0.35">
      <c r="A87" s="5">
        <v>118</v>
      </c>
      <c r="B87" s="3">
        <v>206</v>
      </c>
      <c r="C87" s="4" t="str">
        <f>CONCATENATE("(",A87,",",B87,"),")</f>
        <v>(118,206),</v>
      </c>
    </row>
    <row r="88" spans="1:3" ht="20.149999999999999" customHeight="1" x14ac:dyDescent="0.35">
      <c r="A88" s="5">
        <v>119</v>
      </c>
      <c r="B88" s="3">
        <v>201</v>
      </c>
      <c r="C88" s="4" t="str">
        <f>CONCATENATE("(",A88,",",B88,"),")</f>
        <v>(119,201),</v>
      </c>
    </row>
    <row r="89" spans="1:3" ht="20.149999999999999" customHeight="1" x14ac:dyDescent="0.35">
      <c r="A89" s="5">
        <v>120</v>
      </c>
      <c r="B89" s="3">
        <v>201</v>
      </c>
      <c r="C89" s="4" t="str">
        <f>CONCATENATE("(",A89,",",B89,"),")</f>
        <v>(120,201),</v>
      </c>
    </row>
    <row r="90" spans="1:3" ht="20.149999999999999" customHeight="1" x14ac:dyDescent="0.35">
      <c r="A90" s="5">
        <v>121</v>
      </c>
      <c r="B90" s="3">
        <v>201</v>
      </c>
      <c r="C90" s="4" t="str">
        <f>CONCATENATE("(",A90,",",B90,"),")</f>
        <v>(121,201),</v>
      </c>
    </row>
    <row r="91" spans="1:3" ht="20.149999999999999" customHeight="1" x14ac:dyDescent="0.35">
      <c r="A91" s="5">
        <v>122</v>
      </c>
      <c r="B91" s="3">
        <v>201</v>
      </c>
      <c r="C91" s="4" t="str">
        <f>CONCATENATE("(",A91,",",B91,"),")</f>
        <v>(122,201),</v>
      </c>
    </row>
    <row r="92" spans="1:3" ht="20.149999999999999" customHeight="1" x14ac:dyDescent="0.35">
      <c r="A92" s="5">
        <v>123</v>
      </c>
      <c r="B92" s="3">
        <v>201</v>
      </c>
      <c r="C92" s="4" t="str">
        <f>CONCATENATE("(",A92,",",B92,"),")</f>
        <v>(123,201),</v>
      </c>
    </row>
  </sheetData>
  <autoFilter ref="A2:C92" xr:uid="{00000000-0009-0000-0000-000022000000}">
    <sortState xmlns:xlrd2="http://schemas.microsoft.com/office/spreadsheetml/2017/richdata2" ref="A3:C92">
      <sortCondition ref="A2:A92"/>
    </sortState>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FF00"/>
  </sheetPr>
  <dimension ref="A1:C36"/>
  <sheetViews>
    <sheetView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23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6093</v>
      </c>
      <c r="C1" s="1" t="s">
        <v>5603</v>
      </c>
    </row>
    <row r="2" spans="1:3" ht="20.149999999999999" customHeight="1" x14ac:dyDescent="0.35">
      <c r="A2" s="1" t="s">
        <v>41</v>
      </c>
      <c r="B2" s="1" t="s">
        <v>42</v>
      </c>
      <c r="C2" s="1" t="s">
        <v>6086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4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6091</v>
      </c>
      <c r="C1" s="1" t="s">
        <v>5603</v>
      </c>
    </row>
    <row r="2" spans="1:3" ht="20.149999999999999" customHeight="1" x14ac:dyDescent="0.35">
      <c r="A2" s="1" t="s">
        <v>41</v>
      </c>
      <c r="B2" s="1" t="s">
        <v>42</v>
      </c>
      <c r="C2" s="1" t="s">
        <v>6086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5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26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6097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7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6095</v>
      </c>
      <c r="C1" s="1" t="s">
        <v>5603</v>
      </c>
    </row>
    <row r="2" spans="1:3" ht="20.149999999999999" customHeight="1" x14ac:dyDescent="0.35">
      <c r="A2" s="1" t="s">
        <v>41</v>
      </c>
      <c r="B2" s="1" t="s">
        <v>42</v>
      </c>
      <c r="C2" s="1" t="s">
        <v>6096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8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6091</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9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A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5539</v>
      </c>
      <c r="C1" s="1" t="s">
        <v>5603</v>
      </c>
    </row>
    <row r="2" spans="1:3" ht="20.149999999999999" customHeight="1" x14ac:dyDescent="0.35">
      <c r="A2" s="1" t="s">
        <v>41</v>
      </c>
      <c r="B2" s="1" t="s">
        <v>42</v>
      </c>
      <c r="C2" s="1" t="s">
        <v>6098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B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6095</v>
      </c>
      <c r="C1" s="1" t="s">
        <v>5603</v>
      </c>
    </row>
    <row r="2" spans="1:3" ht="20.149999999999999" customHeight="1" x14ac:dyDescent="0.35">
      <c r="A2" s="1" t="s">
        <v>41</v>
      </c>
      <c r="B2" s="1" t="s">
        <v>42</v>
      </c>
      <c r="C2" s="1" t="s">
        <v>6100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C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FF00"/>
  </sheetPr>
  <dimension ref="A1:G24"/>
  <sheetViews>
    <sheetView workbookViewId="0">
      <selection activeCell="B14" sqref="B1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FF00"/>
  </sheetPr>
  <dimension ref="A1:AH59"/>
  <sheetViews>
    <sheetView workbookViewId="0">
      <selection activeCell="A3" sqref="A3:B59"/>
    </sheetView>
  </sheetViews>
  <sheetFormatPr baseColWidth="10" defaultColWidth="10.81640625" defaultRowHeight="15.5" x14ac:dyDescent="0.35"/>
  <cols>
    <col min="1" max="1" width="5.54296875" style="2" customWidth="1"/>
    <col min="2" max="2" width="10.54296875" style="2" customWidth="1"/>
    <col min="3" max="3" width="12.7265625" style="2" customWidth="1"/>
    <col min="4" max="7" width="12.7265625" style="2" hidden="1" customWidth="1"/>
    <col min="8" max="8" width="19.7265625" style="2" customWidth="1"/>
    <col min="9" max="9" width="12.7265625" style="2" customWidth="1"/>
    <col min="10" max="10" width="36" style="2" customWidth="1"/>
    <col min="11" max="30" width="12.7265625" style="2" customWidth="1"/>
    <col min="31" max="31" width="21.453125" style="2" customWidth="1"/>
    <col min="32" max="32" width="12.7265625" style="2" customWidth="1"/>
    <col min="33" max="33" width="117.36328125" style="2" bestFit="1" customWidth="1"/>
    <col min="34" max="16384" width="10.81640625" style="2"/>
  </cols>
  <sheetData>
    <row r="1" spans="1:34" ht="20.149999999999999" customHeight="1" x14ac:dyDescent="0.35">
      <c r="A1" s="1" t="s">
        <v>37</v>
      </c>
      <c r="B1" s="26" t="s">
        <v>54</v>
      </c>
      <c r="C1" s="1" t="s">
        <v>5644</v>
      </c>
      <c r="D1" s="1" t="s">
        <v>4710</v>
      </c>
      <c r="E1" s="1" t="s">
        <v>6213</v>
      </c>
      <c r="F1" s="1" t="s">
        <v>6215</v>
      </c>
      <c r="G1" s="1" t="s">
        <v>6216</v>
      </c>
      <c r="H1" s="1" t="s">
        <v>5576</v>
      </c>
      <c r="I1" s="1" t="s">
        <v>5577</v>
      </c>
      <c r="J1" s="1" t="s">
        <v>5578</v>
      </c>
      <c r="K1" s="1" t="s">
        <v>5579</v>
      </c>
      <c r="L1" s="1" t="s">
        <v>5580</v>
      </c>
      <c r="M1" s="1" t="s">
        <v>5581</v>
      </c>
      <c r="N1" s="1" t="s">
        <v>5582</v>
      </c>
      <c r="O1" s="1" t="s">
        <v>5583</v>
      </c>
      <c r="P1" s="1" t="s">
        <v>5584</v>
      </c>
      <c r="Q1" s="1" t="s">
        <v>5585</v>
      </c>
      <c r="R1" s="1" t="s">
        <v>5586</v>
      </c>
      <c r="S1" s="1" t="s">
        <v>6227</v>
      </c>
      <c r="T1" s="1" t="s">
        <v>5587</v>
      </c>
      <c r="U1" s="1" t="s">
        <v>6226</v>
      </c>
      <c r="V1" s="1" t="s">
        <v>5588</v>
      </c>
      <c r="W1" s="1" t="s">
        <v>6225</v>
      </c>
      <c r="X1" s="1" t="s">
        <v>5536</v>
      </c>
      <c r="Y1" s="1" t="s">
        <v>6214</v>
      </c>
      <c r="Z1" s="1" t="s">
        <v>5589</v>
      </c>
      <c r="AA1" s="1" t="s">
        <v>6217</v>
      </c>
      <c r="AB1" s="1" t="s">
        <v>5590</v>
      </c>
      <c r="AC1" s="1" t="s">
        <v>6218</v>
      </c>
      <c r="AD1" s="1" t="s">
        <v>6811</v>
      </c>
      <c r="AE1" s="1" t="s">
        <v>5495</v>
      </c>
      <c r="AF1" s="1" t="s">
        <v>6239</v>
      </c>
    </row>
    <row r="2" spans="1:34"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t="s">
        <v>5602</v>
      </c>
      <c r="AE2" s="1"/>
      <c r="AF2" s="1" t="s">
        <v>6326</v>
      </c>
      <c r="AG2" s="46" t="s">
        <v>6812</v>
      </c>
    </row>
    <row r="3" spans="1:34"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v>12</v>
      </c>
      <c r="AE3" s="5" t="s">
        <v>5635</v>
      </c>
      <c r="AF3" s="5"/>
      <c r="AG3" s="47" t="str">
        <f>CONCATENATE("(",A3,"*'",H3,"'*",I3,"*'",J3,"'*'",K3,"'*",L3,"*",M3,"*",N3,"*",O3,"*",P3,"*",Q3,"*",S3,"*",U3,"*",W3,"*",Y3,"*",AA3,"*",AC3,"*",AD3,")*")</f>
        <v>(156*'28'*801.478*'6.35 / 7.14 / 7.92 / 8.74 / 9.52 /  11.91 / 12.70'*'0,0457'*63*54*0*0*21*11*3*14*NULL*1*7*21*12)*</v>
      </c>
      <c r="AH3" s="37"/>
    </row>
    <row r="4" spans="1:34"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5">
        <v>12</v>
      </c>
      <c r="AE4" s="30" t="s">
        <v>5639</v>
      </c>
      <c r="AF4" s="30"/>
      <c r="AG4" s="47" t="str">
        <f t="shared" ref="AG4:AG11" si="0">CONCATENATE("(",A4,"*'",H4,"'*",I4,"*'",J4,"'*'",K4,"'*",L4,"*",M4,"*",N4,"*",O4,"*",P4,"*",Q4,"*",S4,"*",U4,"*",W4,"*",Y4,"*",AA4,"*",AC4,"*",AD4,")*")</f>
        <v>(157*'34'*821*'7.92 - 17.48'*'0,0457'*70*70*0*0*34*34*4*11*NULL*1*7*21*12)*</v>
      </c>
    </row>
    <row r="5" spans="1:34"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v>12</v>
      </c>
      <c r="AE5" s="5" t="s">
        <v>5643</v>
      </c>
      <c r="AF5" s="5"/>
      <c r="AG5" s="47" t="str">
        <f t="shared" si="0"/>
        <v>(158*'34'*646*'7,92 / 8,74 / 9,52 / 10,31 / 11,13 / 11,91 / 12,70 / 14,27 / 15,88 / 17,48 / 22,22'*'0,0457'*75*75*0*0*30*30*3*14*NULL*2*7*34*12)*</v>
      </c>
    </row>
    <row r="6" spans="1:34" ht="20.149999999999999" customHeight="1" x14ac:dyDescent="0.35">
      <c r="A6" s="3">
        <v>159</v>
      </c>
      <c r="B6" s="27" t="s">
        <v>5121</v>
      </c>
      <c r="C6" s="22">
        <v>21864</v>
      </c>
      <c r="D6" s="15">
        <v>1</v>
      </c>
      <c r="E6" s="5" t="s">
        <v>4141</v>
      </c>
      <c r="F6" s="5">
        <v>15</v>
      </c>
      <c r="G6" s="5">
        <v>12</v>
      </c>
      <c r="H6" s="7" t="s">
        <v>6211</v>
      </c>
      <c r="I6" s="31">
        <v>672</v>
      </c>
      <c r="J6" s="5" t="s">
        <v>5645</v>
      </c>
      <c r="K6" s="5">
        <v>1.4999999999999999E-2</v>
      </c>
      <c r="L6" s="5">
        <v>83</v>
      </c>
      <c r="M6" s="5">
        <v>0</v>
      </c>
      <c r="N6" s="5">
        <v>0</v>
      </c>
      <c r="O6" s="5">
        <v>0</v>
      </c>
      <c r="P6" s="5">
        <v>14</v>
      </c>
      <c r="Q6" s="5" t="s">
        <v>5649</v>
      </c>
      <c r="R6" s="5" t="s">
        <v>5646</v>
      </c>
      <c r="S6" s="5">
        <v>2</v>
      </c>
      <c r="T6" s="5" t="s">
        <v>5647</v>
      </c>
      <c r="U6" s="5">
        <v>14</v>
      </c>
      <c r="V6" s="5" t="s">
        <v>972</v>
      </c>
      <c r="W6" s="5" t="s">
        <v>972</v>
      </c>
      <c r="X6" s="5" t="s">
        <v>5543</v>
      </c>
      <c r="Y6" s="5">
        <v>3</v>
      </c>
      <c r="Z6" s="35" t="s">
        <v>4854</v>
      </c>
      <c r="AA6" s="5">
        <v>7</v>
      </c>
      <c r="AB6" s="35" t="s">
        <v>1091</v>
      </c>
      <c r="AC6" s="5">
        <v>22</v>
      </c>
      <c r="AD6" s="5">
        <v>12</v>
      </c>
      <c r="AE6" s="5" t="s">
        <v>5648</v>
      </c>
      <c r="AF6" s="5"/>
      <c r="AG6" s="47" t="str">
        <f t="shared" si="0"/>
        <v>(159*'24 / 22'*672*'2,7 / 9,52 / 9,0 / 8,73 / 7,92 / 7,13 / 6,35'*'0,015'*83*0*0*0*14*11.4*2*14*NULL*3*7*22*12)*</v>
      </c>
    </row>
    <row r="7" spans="1:34" ht="20.149999999999999" customHeight="1" x14ac:dyDescent="0.35">
      <c r="A7" s="3">
        <v>160</v>
      </c>
      <c r="B7" s="27" t="s">
        <v>5122</v>
      </c>
      <c r="C7" s="22">
        <v>44738</v>
      </c>
      <c r="D7" s="15">
        <v>1</v>
      </c>
      <c r="E7" s="5" t="s">
        <v>4141</v>
      </c>
      <c r="F7" s="5">
        <v>15</v>
      </c>
      <c r="G7" s="5">
        <v>12</v>
      </c>
      <c r="H7" s="7" t="s">
        <v>6211</v>
      </c>
      <c r="I7" s="31">
        <v>174</v>
      </c>
      <c r="J7" s="5" t="s">
        <v>5650</v>
      </c>
      <c r="K7" s="5">
        <v>4.5999999999999999E-2</v>
      </c>
      <c r="L7" s="5">
        <v>83</v>
      </c>
      <c r="M7" s="5">
        <v>0</v>
      </c>
      <c r="N7" s="5">
        <v>0</v>
      </c>
      <c r="O7" s="5">
        <v>0</v>
      </c>
      <c r="P7" s="5">
        <v>0</v>
      </c>
      <c r="Q7" s="5">
        <v>0</v>
      </c>
      <c r="R7" s="5" t="s">
        <v>5637</v>
      </c>
      <c r="S7" s="5">
        <v>4</v>
      </c>
      <c r="T7" s="5" t="s">
        <v>5653</v>
      </c>
      <c r="U7" s="5">
        <v>10</v>
      </c>
      <c r="V7" s="5" t="s">
        <v>972</v>
      </c>
      <c r="W7" s="5" t="s">
        <v>972</v>
      </c>
      <c r="X7" s="5" t="s">
        <v>5543</v>
      </c>
      <c r="Y7" s="5">
        <v>3</v>
      </c>
      <c r="Z7" s="35" t="s">
        <v>1026</v>
      </c>
      <c r="AA7" s="5">
        <v>10</v>
      </c>
      <c r="AB7" s="35" t="s">
        <v>1091</v>
      </c>
      <c r="AC7" s="5">
        <v>22</v>
      </c>
      <c r="AD7" s="5">
        <v>12</v>
      </c>
      <c r="AE7" s="5"/>
      <c r="AF7" s="5"/>
      <c r="AG7" s="47" t="str">
        <f t="shared" si="0"/>
        <v>(160*'24 / 22'*174*'8,74 / 9,53 / 11,3 / 12,7'*'0,046'*83*0*0*0*0*0*4*10*NULL*3*10*22*12)*</v>
      </c>
    </row>
    <row r="8" spans="1:34"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t="s">
        <v>972</v>
      </c>
      <c r="W8" s="5" t="s">
        <v>972</v>
      </c>
      <c r="X8" s="5" t="s">
        <v>5543</v>
      </c>
      <c r="Y8" s="5">
        <v>3</v>
      </c>
      <c r="Z8" s="35" t="s">
        <v>4854</v>
      </c>
      <c r="AA8" s="5">
        <v>7</v>
      </c>
      <c r="AB8" s="35" t="s">
        <v>1916</v>
      </c>
      <c r="AC8" s="5">
        <v>11</v>
      </c>
      <c r="AD8" s="5">
        <v>12</v>
      </c>
      <c r="AE8" s="5"/>
      <c r="AF8" s="5"/>
      <c r="AG8" s="47" t="str">
        <f t="shared" si="0"/>
        <v>(161*'24'*504*'12,7 / 11,13 / 9,53 / 7,9'*'0,046'*0*0*0*0*0*0*4*21*NULL*3*7*11*12)*</v>
      </c>
    </row>
    <row r="9" spans="1:34" ht="20.149999999999999" customHeight="1" x14ac:dyDescent="0.35">
      <c r="A9" s="3">
        <v>162</v>
      </c>
      <c r="B9" s="27" t="s">
        <v>5124</v>
      </c>
      <c r="C9" s="22">
        <v>38537</v>
      </c>
      <c r="D9" s="15">
        <v>1</v>
      </c>
      <c r="E9" s="5" t="s">
        <v>4141</v>
      </c>
      <c r="F9" s="5">
        <v>15</v>
      </c>
      <c r="G9" s="5">
        <v>12</v>
      </c>
      <c r="H9" s="7">
        <v>20</v>
      </c>
      <c r="I9" s="31" t="s">
        <v>5654</v>
      </c>
      <c r="J9" s="5" t="s">
        <v>5655</v>
      </c>
      <c r="K9" s="5">
        <v>4.5699999999999998E-2</v>
      </c>
      <c r="L9" s="5">
        <v>72</v>
      </c>
      <c r="M9" s="5">
        <v>72</v>
      </c>
      <c r="N9" s="5">
        <v>0</v>
      </c>
      <c r="O9" s="5">
        <v>0</v>
      </c>
      <c r="P9" s="5">
        <v>4</v>
      </c>
      <c r="Q9" s="5">
        <v>4</v>
      </c>
      <c r="R9" s="5" t="s">
        <v>5637</v>
      </c>
      <c r="S9" s="5">
        <v>4</v>
      </c>
      <c r="T9" s="5" t="s">
        <v>5638</v>
      </c>
      <c r="U9" s="5">
        <v>11</v>
      </c>
      <c r="V9" s="5" t="s">
        <v>972</v>
      </c>
      <c r="W9" s="5" t="s">
        <v>972</v>
      </c>
      <c r="X9" s="5" t="s">
        <v>5543</v>
      </c>
      <c r="Y9" s="5">
        <v>3</v>
      </c>
      <c r="Z9" s="35" t="s">
        <v>5657</v>
      </c>
      <c r="AA9" s="5">
        <v>13</v>
      </c>
      <c r="AB9" s="35" t="s">
        <v>5525</v>
      </c>
      <c r="AC9" s="50">
        <v>128</v>
      </c>
      <c r="AD9" s="5">
        <v>12</v>
      </c>
      <c r="AE9" s="5" t="s">
        <v>5656</v>
      </c>
      <c r="AF9" s="5"/>
      <c r="AG9" s="47" t="str">
        <f t="shared" si="0"/>
        <v>(162*'20'*144.74*'8,74 / 10,31'*'0,0457'*72*72*0*0*4*4*4*11*NULL*3*13*128*12)*</v>
      </c>
    </row>
    <row r="10" spans="1:34"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v>12</v>
      </c>
      <c r="AE10" s="5" t="s">
        <v>5659</v>
      </c>
      <c r="AF10" s="5"/>
      <c r="AG10" s="47" t="str">
        <f t="shared" si="0"/>
        <v>(163*'24'*265*'7,94 / 8,74 / 10,31'*'0,015'*70*70*0*0*13.9*7.8*3*14*17*4*29*1*12)*</v>
      </c>
    </row>
    <row r="11" spans="1:34"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v>12</v>
      </c>
      <c r="AE11" s="5" t="s">
        <v>5669</v>
      </c>
      <c r="AF11" s="5"/>
      <c r="AG11" s="47" t="str">
        <f t="shared" si="0"/>
        <v>(164*'30'*630*'7,14 / 7,92'*'0,06'*67*49*1.4*0*18*8.9*3*14*17*5*29*7*12)*</v>
      </c>
    </row>
    <row r="12" spans="1:34" ht="20.149999999999999" customHeight="1" x14ac:dyDescent="0.35">
      <c r="A12" s="3">
        <v>165</v>
      </c>
      <c r="B12" s="28" t="s">
        <v>5127</v>
      </c>
      <c r="C12" s="22">
        <v>38353</v>
      </c>
      <c r="D12" s="15">
        <v>1</v>
      </c>
      <c r="E12" s="5" t="s">
        <v>4137</v>
      </c>
      <c r="F12" s="5">
        <v>14</v>
      </c>
      <c r="G12" s="5">
        <v>12</v>
      </c>
      <c r="H12" s="7">
        <v>30</v>
      </c>
      <c r="I12" s="31" t="s">
        <v>5670</v>
      </c>
      <c r="J12" s="5" t="s">
        <v>5671</v>
      </c>
      <c r="K12" s="5">
        <v>4.5699999999999998E-2</v>
      </c>
      <c r="L12" s="5">
        <v>49</v>
      </c>
      <c r="M12" s="5">
        <v>0</v>
      </c>
      <c r="N12" s="5">
        <v>0</v>
      </c>
      <c r="O12" s="5">
        <v>0</v>
      </c>
      <c r="P12" s="5">
        <v>0</v>
      </c>
      <c r="Q12" s="5">
        <v>0</v>
      </c>
      <c r="R12" s="5" t="s">
        <v>5637</v>
      </c>
      <c r="S12" s="5">
        <v>4</v>
      </c>
      <c r="T12" s="5" t="s">
        <v>5672</v>
      </c>
      <c r="U12" s="5">
        <v>11</v>
      </c>
      <c r="V12" s="5" t="s">
        <v>972</v>
      </c>
      <c r="W12" s="5" t="s">
        <v>972</v>
      </c>
      <c r="X12" s="5" t="s">
        <v>5126</v>
      </c>
      <c r="Y12" s="5">
        <v>5</v>
      </c>
      <c r="Z12" s="35" t="s">
        <v>5673</v>
      </c>
      <c r="AA12" s="50" t="s">
        <v>5673</v>
      </c>
      <c r="AB12" s="35" t="s">
        <v>4044</v>
      </c>
      <c r="AC12" s="50" t="s">
        <v>4044</v>
      </c>
      <c r="AD12" s="5"/>
      <c r="AE12" s="5"/>
      <c r="AF12" s="5"/>
      <c r="AG12" s="47" t="str">
        <f t="shared" ref="AG12:AG54" si="1">CONCATENATE("(",A12,"*'",H12,"'*",I12,"*'",J12,"'*'",K12,"'*",L12,"*",M12,"*",N12,"*",O12,"*",P12,"*",Q12,"*",S12,"*",U12,"*",W12,"*",Y12,"*",AA12,"*",AC12,")*")</f>
        <v>(165*'30'*44.5*'10.31'*'0,0457'*49*0*0*0*0*0*4*11*NULL*5*TFT*Nezla)*</v>
      </c>
    </row>
    <row r="13" spans="1:34" ht="20.149999999999999" customHeight="1" x14ac:dyDescent="0.35">
      <c r="A13" s="3">
        <v>166</v>
      </c>
      <c r="B13" s="27" t="s">
        <v>5128</v>
      </c>
      <c r="C13" s="22">
        <v>26399</v>
      </c>
      <c r="D13" s="15">
        <v>1</v>
      </c>
      <c r="E13" s="5" t="s">
        <v>5676</v>
      </c>
      <c r="F13" s="5">
        <v>12</v>
      </c>
      <c r="G13" s="5">
        <v>12</v>
      </c>
      <c r="H13" s="7">
        <v>26</v>
      </c>
      <c r="I13" s="31">
        <v>108.372</v>
      </c>
      <c r="J13" s="5" t="s">
        <v>6107</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v>12</v>
      </c>
      <c r="AE13" s="5" t="s">
        <v>5682</v>
      </c>
      <c r="AF13" s="5"/>
      <c r="AG13" s="47" t="str">
        <f t="shared" ref="AG13:AG33" si="2">CONCATENATE("(",A13,"*'",H13,"'*",I13,"*'",J13,"'*'",K13,"'*",L13,"*",M13,"*",N13,"*",O13,"*",P13,"*",Q13,"*",S13,"*",U13,"*",W13,"*",Y13,"*",AA13,"*",AC13,"*",AD13,")*")</f>
        <v>(166*'26'*108,372*'7,14 / 8,74'*'0,0457'*40*40*0*0*12*12*3*14*NULL*6*15*7*12)*</v>
      </c>
    </row>
    <row r="14" spans="1:34"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5">
        <v>12</v>
      </c>
      <c r="AE14" s="30" t="s">
        <v>6219</v>
      </c>
      <c r="AF14" s="30"/>
      <c r="AG14" s="47" t="str">
        <f t="shared" si="2"/>
        <v>(167*'30'*292*'10,31 - 12,7'*'0,0457'*70*70*0*0*30*30*3*11*NULL*7*27*7*12)*</v>
      </c>
    </row>
    <row r="15" spans="1:34"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5">
        <v>12</v>
      </c>
      <c r="AE15" s="30" t="s">
        <v>6219</v>
      </c>
      <c r="AF15" s="30"/>
      <c r="AG15" s="47" t="str">
        <f t="shared" si="2"/>
        <v>(168*'30'*292*'10,31 - 12,7'*'0,0457'*70*70*0*0*30*30*4*11*NULL*7*27*7*12)*</v>
      </c>
    </row>
    <row r="16" spans="1:34" ht="20.149999999999999" customHeight="1" x14ac:dyDescent="0.35">
      <c r="A16" s="3">
        <v>169</v>
      </c>
      <c r="B16" s="27" t="s">
        <v>5131</v>
      </c>
      <c r="C16" s="22">
        <v>28207</v>
      </c>
      <c r="D16" s="15">
        <v>1</v>
      </c>
      <c r="E16" s="5" t="s">
        <v>5676</v>
      </c>
      <c r="F16" s="5">
        <v>12</v>
      </c>
      <c r="G16" s="5">
        <v>12</v>
      </c>
      <c r="H16" s="7">
        <v>20</v>
      </c>
      <c r="I16" s="31">
        <v>272.35000000000002</v>
      </c>
      <c r="J16" s="5" t="s">
        <v>6228</v>
      </c>
      <c r="K16" s="5">
        <v>4.5699999999999998E-2</v>
      </c>
      <c r="L16" s="5">
        <v>72</v>
      </c>
      <c r="M16" s="5">
        <v>12</v>
      </c>
      <c r="N16" s="5">
        <v>0</v>
      </c>
      <c r="O16" s="5">
        <v>0</v>
      </c>
      <c r="P16" s="5">
        <v>5</v>
      </c>
      <c r="Q16" s="5">
        <v>2</v>
      </c>
      <c r="R16" s="5" t="s">
        <v>5633</v>
      </c>
      <c r="S16" s="5">
        <v>3</v>
      </c>
      <c r="T16" s="5" t="s">
        <v>972</v>
      </c>
      <c r="U16" s="5" t="s">
        <v>972</v>
      </c>
      <c r="V16" s="5" t="s">
        <v>972</v>
      </c>
      <c r="W16" s="5" t="s">
        <v>972</v>
      </c>
      <c r="X16" s="5" t="s">
        <v>5679</v>
      </c>
      <c r="Y16" s="5">
        <v>6</v>
      </c>
      <c r="Z16" s="35" t="s">
        <v>5678</v>
      </c>
      <c r="AA16" s="5">
        <v>25</v>
      </c>
      <c r="AB16" s="35" t="s">
        <v>5677</v>
      </c>
      <c r="AC16" s="5">
        <v>15</v>
      </c>
      <c r="AD16" s="5">
        <v>12</v>
      </c>
      <c r="AE16" s="5" t="s">
        <v>5675</v>
      </c>
      <c r="AF16" s="5"/>
      <c r="AG16" s="47" t="str">
        <f t="shared" si="2"/>
        <v>(169*'20'*272,35*'6,35 - 8,74'*'0,0457'*72*12*0*0*5*2*3*NULL*NULL*6*25*15*12)*</v>
      </c>
    </row>
    <row r="17" spans="1:33" ht="20.149999999999999" customHeight="1" x14ac:dyDescent="0.35">
      <c r="A17" s="3">
        <v>170</v>
      </c>
      <c r="B17" s="27" t="s">
        <v>5132</v>
      </c>
      <c r="C17" s="22">
        <v>45778</v>
      </c>
      <c r="D17" s="15">
        <v>1</v>
      </c>
      <c r="E17" s="5" t="s">
        <v>5676</v>
      </c>
      <c r="F17" s="5">
        <v>12</v>
      </c>
      <c r="G17" s="5">
        <v>12</v>
      </c>
      <c r="H17" s="7">
        <v>16</v>
      </c>
      <c r="I17" s="31">
        <v>271</v>
      </c>
      <c r="J17" s="5">
        <v>6.35</v>
      </c>
      <c r="K17" s="5">
        <v>4.5999999999999999E-2</v>
      </c>
      <c r="L17" s="5">
        <v>40</v>
      </c>
      <c r="M17" s="5">
        <v>0</v>
      </c>
      <c r="N17" s="5">
        <v>0</v>
      </c>
      <c r="O17" s="5">
        <v>0</v>
      </c>
      <c r="P17" s="5">
        <v>0</v>
      </c>
      <c r="Q17" s="5">
        <v>0</v>
      </c>
      <c r="R17" s="5" t="s">
        <v>5637</v>
      </c>
      <c r="S17" s="5">
        <v>4</v>
      </c>
      <c r="T17" s="5" t="s">
        <v>972</v>
      </c>
      <c r="U17" s="5" t="s">
        <v>972</v>
      </c>
      <c r="V17" s="5" t="s">
        <v>972</v>
      </c>
      <c r="W17" s="5" t="s">
        <v>972</v>
      </c>
      <c r="X17" s="5" t="s">
        <v>5679</v>
      </c>
      <c r="Y17" s="5">
        <v>6</v>
      </c>
      <c r="Z17" s="35" t="s">
        <v>5678</v>
      </c>
      <c r="AA17" s="5">
        <v>25</v>
      </c>
      <c r="AB17" s="35" t="s">
        <v>5677</v>
      </c>
      <c r="AC17" s="5">
        <v>15</v>
      </c>
      <c r="AD17" s="5">
        <v>12</v>
      </c>
      <c r="AE17" s="5"/>
      <c r="AF17" s="5"/>
      <c r="AG17" s="47" t="str">
        <f t="shared" si="2"/>
        <v>(170*'16'*271*'6,35'*'0,046'*40*0*0*0*0*0*4*NULL*NULL*6*25*15*12)*</v>
      </c>
    </row>
    <row r="18" spans="1:33" ht="20.149999999999999" customHeight="1" x14ac:dyDescent="0.35">
      <c r="A18" s="3">
        <v>171</v>
      </c>
      <c r="B18" s="27" t="s">
        <v>5133</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5637</v>
      </c>
      <c r="S18" s="5">
        <v>4</v>
      </c>
      <c r="T18" s="5" t="s">
        <v>972</v>
      </c>
      <c r="U18" s="5" t="s">
        <v>972</v>
      </c>
      <c r="V18" s="5" t="s">
        <v>972</v>
      </c>
      <c r="W18" s="5" t="s">
        <v>972</v>
      </c>
      <c r="X18" s="5" t="s">
        <v>5679</v>
      </c>
      <c r="Y18" s="5">
        <v>6</v>
      </c>
      <c r="Z18" s="35" t="s">
        <v>4903</v>
      </c>
      <c r="AA18" s="5">
        <v>32</v>
      </c>
      <c r="AB18" s="35" t="s">
        <v>4869</v>
      </c>
      <c r="AC18" s="5">
        <v>15</v>
      </c>
      <c r="AD18" s="5">
        <v>12</v>
      </c>
      <c r="AE18" s="5"/>
      <c r="AF18" s="5"/>
      <c r="AG18" s="47" t="str">
        <f t="shared" si="2"/>
        <v>(171*'20'*230*''*'0,0457'*0*0*0*0*0*0*4*NULL*NULL*6*32*15*12)*</v>
      </c>
    </row>
    <row r="19" spans="1:33" ht="20.149999999999999" customHeight="1" x14ac:dyDescent="0.35">
      <c r="A19" s="3">
        <v>172</v>
      </c>
      <c r="B19" s="27" t="s">
        <v>5134</v>
      </c>
      <c r="C19" s="22">
        <v>36505</v>
      </c>
      <c r="D19" s="15">
        <v>1</v>
      </c>
      <c r="E19" s="5" t="s">
        <v>5676</v>
      </c>
      <c r="F19" s="5">
        <v>12</v>
      </c>
      <c r="G19" s="5">
        <v>12</v>
      </c>
      <c r="H19" s="7">
        <v>20</v>
      </c>
      <c r="I19" s="31">
        <v>33</v>
      </c>
      <c r="J19" s="5" t="s">
        <v>6229</v>
      </c>
      <c r="K19" s="5">
        <v>4.5999999999999999E-2</v>
      </c>
      <c r="L19" s="5">
        <v>55</v>
      </c>
      <c r="M19" s="5">
        <v>55</v>
      </c>
      <c r="N19" s="5">
        <v>0</v>
      </c>
      <c r="O19" s="5">
        <v>0</v>
      </c>
      <c r="P19" s="5">
        <v>5</v>
      </c>
      <c r="Q19" s="5">
        <v>5</v>
      </c>
      <c r="R19" s="5" t="s">
        <v>5633</v>
      </c>
      <c r="S19" s="5">
        <v>3</v>
      </c>
      <c r="T19" s="5" t="s">
        <v>972</v>
      </c>
      <c r="U19" s="5" t="s">
        <v>972</v>
      </c>
      <c r="V19" s="5" t="s">
        <v>972</v>
      </c>
      <c r="W19" s="5" t="s">
        <v>972</v>
      </c>
      <c r="X19" s="5" t="s">
        <v>5679</v>
      </c>
      <c r="Y19" s="5">
        <v>6</v>
      </c>
      <c r="Z19" s="35" t="s">
        <v>5681</v>
      </c>
      <c r="AA19" s="5">
        <v>33</v>
      </c>
      <c r="AB19" s="35" t="s">
        <v>5677</v>
      </c>
      <c r="AC19" s="5">
        <v>15</v>
      </c>
      <c r="AD19" s="5">
        <v>12</v>
      </c>
      <c r="AE19" s="5" t="s">
        <v>4702</v>
      </c>
      <c r="AF19" s="5"/>
      <c r="AG19" s="47" t="str">
        <f t="shared" si="2"/>
        <v>(172*'20'*33*'7,14 - 8,74'*'0,046'*55*55*0*0*5*5*3*NULL*NULL*6*33*15*12)*</v>
      </c>
    </row>
    <row r="20" spans="1:33" ht="20.149999999999999" customHeight="1" x14ac:dyDescent="0.35">
      <c r="A20" s="3">
        <v>173</v>
      </c>
      <c r="B20" s="27" t="s">
        <v>5135</v>
      </c>
      <c r="C20" s="22">
        <v>28795</v>
      </c>
      <c r="D20" s="15">
        <v>1</v>
      </c>
      <c r="E20" s="5" t="s">
        <v>4125</v>
      </c>
      <c r="F20" s="5">
        <v>11</v>
      </c>
      <c r="G20" s="5">
        <v>12</v>
      </c>
      <c r="H20" s="7">
        <v>28</v>
      </c>
      <c r="I20" s="31">
        <v>507</v>
      </c>
      <c r="J20" s="5" t="s">
        <v>6212</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5">
        <v>12</v>
      </c>
      <c r="AE20" s="30" t="s">
        <v>6220</v>
      </c>
      <c r="AF20" s="30"/>
      <c r="AG20" s="47" t="str">
        <f t="shared" si="2"/>
        <v>(173*'28'*507*'6,35 / 7,14 / 7,22 / 8,74 / 9,25 / 12,7 / 14,27'*'0,0457'*66*66*0*0*21*13,6*3*14*NULL*8*8*21*12)*</v>
      </c>
    </row>
    <row r="21" spans="1:33" ht="20.149999999999999" customHeight="1" x14ac:dyDescent="0.35">
      <c r="A21" s="3">
        <v>174</v>
      </c>
      <c r="B21" s="27" t="s">
        <v>5136</v>
      </c>
      <c r="C21" s="22">
        <v>40029</v>
      </c>
      <c r="D21" s="15">
        <v>1</v>
      </c>
      <c r="E21" s="5" t="s">
        <v>4133</v>
      </c>
      <c r="F21" s="5">
        <v>13</v>
      </c>
      <c r="G21" s="5">
        <v>12</v>
      </c>
      <c r="H21" s="7">
        <v>30</v>
      </c>
      <c r="I21" s="31">
        <v>646</v>
      </c>
      <c r="J21" s="5" t="s">
        <v>6104</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v>12</v>
      </c>
      <c r="AE21" s="5" t="s">
        <v>6105</v>
      </c>
      <c r="AF21" s="5"/>
      <c r="AG21" s="47" t="str">
        <f t="shared" si="2"/>
        <v>(174*'30'*646*'7,92/ 8,74/ 9,53/ 10,31/ 11,91/ 14,27'*'0,0457'*82,9*82,9*0*0*11,41*11,41*4*11*NULL*9*8*34*12)*</v>
      </c>
    </row>
    <row r="22" spans="1:33" ht="20.149999999999999" customHeight="1" x14ac:dyDescent="0.35">
      <c r="A22" s="3">
        <v>175</v>
      </c>
      <c r="B22" s="27" t="s">
        <v>5137</v>
      </c>
      <c r="C22" s="22">
        <v>21916</v>
      </c>
      <c r="D22" s="15">
        <v>1</v>
      </c>
      <c r="E22" s="5" t="s">
        <v>4137</v>
      </c>
      <c r="F22" s="5">
        <v>14</v>
      </c>
      <c r="G22" s="5">
        <v>12</v>
      </c>
      <c r="H22" s="7" t="s">
        <v>6106</v>
      </c>
      <c r="I22" s="31">
        <v>565</v>
      </c>
      <c r="J22" s="5" t="s">
        <v>6107</v>
      </c>
      <c r="K22" s="5">
        <v>4.5699999999999998E-2</v>
      </c>
      <c r="L22" s="5">
        <v>49</v>
      </c>
      <c r="M22" s="5">
        <v>11</v>
      </c>
      <c r="N22" s="5">
        <v>0</v>
      </c>
      <c r="O22" s="5">
        <v>0</v>
      </c>
      <c r="P22" s="5">
        <v>7.9</v>
      </c>
      <c r="Q22" s="5">
        <v>7.9</v>
      </c>
      <c r="R22" s="5" t="s">
        <v>5633</v>
      </c>
      <c r="S22" s="5">
        <v>3</v>
      </c>
      <c r="T22" s="5" t="s">
        <v>5668</v>
      </c>
      <c r="U22" s="5">
        <v>14</v>
      </c>
      <c r="V22" s="5" t="s">
        <v>5660</v>
      </c>
      <c r="W22" s="5">
        <v>17</v>
      </c>
      <c r="X22" s="5" t="s">
        <v>5137</v>
      </c>
      <c r="Y22" s="5">
        <v>10</v>
      </c>
      <c r="Z22" s="35" t="s">
        <v>6109</v>
      </c>
      <c r="AA22" s="5">
        <v>29</v>
      </c>
      <c r="AB22" s="35" t="s">
        <v>4854</v>
      </c>
      <c r="AC22" s="5">
        <v>7</v>
      </c>
      <c r="AD22" s="5">
        <v>12</v>
      </c>
      <c r="AE22" s="5" t="s">
        <v>6108</v>
      </c>
      <c r="AF22" s="5"/>
      <c r="AG22" s="47" t="str">
        <f t="shared" si="2"/>
        <v>(175*'24/30'*565*'7,14 / 8,74'*'0,0457'*49*11*0*0*7,9*7,9*3*14*17*10*29*7*12)*</v>
      </c>
    </row>
    <row r="23" spans="1:33" ht="20.149999999999999" customHeight="1" x14ac:dyDescent="0.35">
      <c r="A23" s="3">
        <v>176</v>
      </c>
      <c r="B23" s="27" t="s">
        <v>6170</v>
      </c>
      <c r="C23" s="22"/>
      <c r="D23" s="15">
        <v>1</v>
      </c>
      <c r="E23" s="5" t="s">
        <v>4125</v>
      </c>
      <c r="F23" s="5">
        <v>11</v>
      </c>
      <c r="G23" s="5">
        <v>12</v>
      </c>
      <c r="H23" s="29">
        <v>16</v>
      </c>
      <c r="I23" s="31"/>
      <c r="J23" s="5"/>
      <c r="K23" s="5">
        <v>4.5699999999999998E-2</v>
      </c>
      <c r="L23" s="5">
        <v>0</v>
      </c>
      <c r="M23" s="5">
        <v>0</v>
      </c>
      <c r="N23" s="5">
        <v>0</v>
      </c>
      <c r="O23" s="5">
        <v>0</v>
      </c>
      <c r="P23" s="5">
        <v>0</v>
      </c>
      <c r="Q23" s="5">
        <v>0</v>
      </c>
      <c r="R23" s="5" t="s">
        <v>5633</v>
      </c>
      <c r="S23" s="5">
        <v>3</v>
      </c>
      <c r="T23" s="5" t="s">
        <v>972</v>
      </c>
      <c r="U23" s="5" t="s">
        <v>972</v>
      </c>
      <c r="V23" s="5" t="s">
        <v>972</v>
      </c>
      <c r="W23" s="5" t="s">
        <v>972</v>
      </c>
      <c r="X23" s="5" t="s">
        <v>5554</v>
      </c>
      <c r="Y23" s="5">
        <v>11</v>
      </c>
      <c r="Z23" s="35" t="s">
        <v>4856</v>
      </c>
      <c r="AA23" s="5">
        <v>8</v>
      </c>
      <c r="AB23" s="35" t="s">
        <v>1824</v>
      </c>
      <c r="AC23" s="5">
        <v>21</v>
      </c>
      <c r="AD23" s="5">
        <v>12</v>
      </c>
      <c r="AE23" s="5"/>
      <c r="AF23" s="5"/>
      <c r="AG23" s="47" t="str">
        <f t="shared" si="2"/>
        <v>(176*'16'**''*'0,0457'*0*0*0*0*0*0*3*NULL*NULL*11*8*21*12)*</v>
      </c>
    </row>
    <row r="24" spans="1:33" ht="20.149999999999999" customHeight="1" x14ac:dyDescent="0.35">
      <c r="A24" s="3">
        <v>177</v>
      </c>
      <c r="B24" s="27" t="s">
        <v>5139</v>
      </c>
      <c r="C24" s="22">
        <v>30720</v>
      </c>
      <c r="D24" s="15">
        <v>1</v>
      </c>
      <c r="E24" s="5" t="s">
        <v>4125</v>
      </c>
      <c r="F24" s="5">
        <v>11</v>
      </c>
      <c r="G24" s="5">
        <v>12</v>
      </c>
      <c r="H24" s="7">
        <v>24</v>
      </c>
      <c r="I24" s="31">
        <v>503.46</v>
      </c>
      <c r="J24" s="5" t="s">
        <v>6161</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v>12</v>
      </c>
      <c r="AE24" s="5" t="s">
        <v>6164</v>
      </c>
      <c r="AF24" s="5"/>
      <c r="AG24" s="47" t="str">
        <f t="shared" si="2"/>
        <v>(177*'24'*503,46*'9,52 / 11,91 '*'0,05'*84*84*0*0*9*9*3*14*NULL*11*8*21*12)*</v>
      </c>
    </row>
    <row r="25" spans="1:33" ht="20.149999999999999" customHeight="1" x14ac:dyDescent="0.35">
      <c r="A25" s="3">
        <v>178</v>
      </c>
      <c r="B25" s="27" t="s">
        <v>5140</v>
      </c>
      <c r="C25" s="22">
        <v>39814</v>
      </c>
      <c r="D25" s="15">
        <v>1</v>
      </c>
      <c r="E25" s="5" t="s">
        <v>4125</v>
      </c>
      <c r="F25" s="5">
        <v>11</v>
      </c>
      <c r="G25" s="5">
        <v>12</v>
      </c>
      <c r="H25" s="7">
        <v>24</v>
      </c>
      <c r="I25" s="31">
        <v>495</v>
      </c>
      <c r="J25" s="30" t="s">
        <v>6162</v>
      </c>
      <c r="K25" s="5">
        <v>0.05</v>
      </c>
      <c r="L25" s="5">
        <v>114.1</v>
      </c>
      <c r="M25" s="5">
        <v>114.1</v>
      </c>
      <c r="N25" s="5">
        <v>0</v>
      </c>
      <c r="O25" s="5">
        <v>0</v>
      </c>
      <c r="P25" s="5">
        <v>6</v>
      </c>
      <c r="Q25" s="5">
        <v>6</v>
      </c>
      <c r="R25" s="5" t="s">
        <v>6163</v>
      </c>
      <c r="S25" s="5">
        <v>4</v>
      </c>
      <c r="T25" s="5" t="s">
        <v>5638</v>
      </c>
      <c r="U25" s="5">
        <v>11</v>
      </c>
      <c r="V25" s="5" t="s">
        <v>972</v>
      </c>
      <c r="W25" s="5" t="s">
        <v>972</v>
      </c>
      <c r="X25" s="5" t="s">
        <v>5554</v>
      </c>
      <c r="Y25" s="5">
        <v>11</v>
      </c>
      <c r="Z25" s="35" t="s">
        <v>4856</v>
      </c>
      <c r="AA25" s="5">
        <v>8</v>
      </c>
      <c r="AB25" s="35" t="s">
        <v>1824</v>
      </c>
      <c r="AC25" s="5">
        <v>21</v>
      </c>
      <c r="AD25" s="5">
        <v>12</v>
      </c>
      <c r="AE25" s="5" t="s">
        <v>4624</v>
      </c>
      <c r="AF25" s="5"/>
      <c r="AG25" s="47" t="str">
        <f t="shared" si="2"/>
        <v>(178*'24'*495*'8,74 / 9,52 / 10,31 / 12,70 / 14,27 / 15,88 / 19,05 / 17,5'*'0,05'*114,1*114,1*0*0*6*6*4*11*NULL*11*8*21*12)*</v>
      </c>
    </row>
    <row r="26" spans="1:33" ht="20.149999999999999" customHeight="1" x14ac:dyDescent="0.35">
      <c r="A26" s="3">
        <v>179</v>
      </c>
      <c r="B26" s="27" t="s">
        <v>5141</v>
      </c>
      <c r="C26" s="22">
        <v>35065</v>
      </c>
      <c r="D26" s="15">
        <v>1</v>
      </c>
      <c r="E26" s="5" t="s">
        <v>5676</v>
      </c>
      <c r="F26" s="5">
        <v>12</v>
      </c>
      <c r="G26" s="5">
        <v>12</v>
      </c>
      <c r="H26" s="7" t="s">
        <v>6210</v>
      </c>
      <c r="I26" s="31">
        <v>989</v>
      </c>
      <c r="J26" s="5" t="s">
        <v>6161</v>
      </c>
      <c r="K26" s="5">
        <v>0.05</v>
      </c>
      <c r="L26" s="5">
        <v>91.7</v>
      </c>
      <c r="M26" s="5">
        <v>91.7</v>
      </c>
      <c r="N26" s="5">
        <v>0</v>
      </c>
      <c r="O26" s="5">
        <v>0</v>
      </c>
      <c r="P26" s="5">
        <v>6.5</v>
      </c>
      <c r="Q26" s="5">
        <v>5.7</v>
      </c>
      <c r="R26" s="5" t="s">
        <v>5637</v>
      </c>
      <c r="S26" s="5">
        <v>4</v>
      </c>
      <c r="T26" s="5" t="s">
        <v>5638</v>
      </c>
      <c r="U26" s="5">
        <v>11</v>
      </c>
      <c r="V26" s="5" t="s">
        <v>972</v>
      </c>
      <c r="W26" s="5" t="s">
        <v>972</v>
      </c>
      <c r="X26" s="5" t="s">
        <v>6733</v>
      </c>
      <c r="Y26" s="5">
        <v>12</v>
      </c>
      <c r="Z26" s="35" t="s">
        <v>5392</v>
      </c>
      <c r="AA26" s="5">
        <v>20</v>
      </c>
      <c r="AB26" s="35" t="s">
        <v>4856</v>
      </c>
      <c r="AC26" s="5">
        <v>8</v>
      </c>
      <c r="AD26" s="5">
        <v>12</v>
      </c>
      <c r="AE26" s="5" t="s">
        <v>6165</v>
      </c>
      <c r="AF26" s="5"/>
      <c r="AG26" s="47" t="str">
        <f t="shared" si="2"/>
        <v>(179*'10 / 12 / 14 / 16 / 20 / 24'*989*'9,52 / 11,91 '*'0,05'*91,7*91,7*0*0*6,5*5,7*4*11*NULL*12*20*8*12)*</v>
      </c>
    </row>
    <row r="27" spans="1:33" ht="20.149999999999999" customHeight="1" x14ac:dyDescent="0.35">
      <c r="A27" s="3">
        <v>179</v>
      </c>
      <c r="B27" s="48" t="s">
        <v>6171</v>
      </c>
      <c r="C27" s="22"/>
      <c r="D27" s="15">
        <v>1</v>
      </c>
      <c r="E27" s="5" t="s">
        <v>4125</v>
      </c>
      <c r="F27" s="5">
        <v>11</v>
      </c>
      <c r="G27" s="5">
        <v>12</v>
      </c>
      <c r="H27" s="29">
        <v>12</v>
      </c>
      <c r="I27" s="31"/>
      <c r="J27" s="5" t="s">
        <v>6180</v>
      </c>
      <c r="K27" s="5">
        <v>0.05</v>
      </c>
      <c r="L27" s="5">
        <v>0</v>
      </c>
      <c r="M27" s="5">
        <v>0</v>
      </c>
      <c r="N27" s="5">
        <v>0</v>
      </c>
      <c r="O27" s="5">
        <v>0</v>
      </c>
      <c r="P27" s="5">
        <v>0</v>
      </c>
      <c r="Q27" s="5">
        <v>0</v>
      </c>
      <c r="R27" s="5" t="s">
        <v>5637</v>
      </c>
      <c r="S27" s="5">
        <v>4</v>
      </c>
      <c r="T27" s="5" t="s">
        <v>972</v>
      </c>
      <c r="U27" s="5" t="s">
        <v>972</v>
      </c>
      <c r="V27" s="5" t="s">
        <v>972</v>
      </c>
      <c r="W27" s="5" t="s">
        <v>972</v>
      </c>
      <c r="X27" s="5" t="s">
        <v>6733</v>
      </c>
      <c r="Y27" s="5">
        <v>12</v>
      </c>
      <c r="Z27" s="35" t="s">
        <v>4856</v>
      </c>
      <c r="AA27" s="5">
        <v>8</v>
      </c>
      <c r="AB27" s="35" t="s">
        <v>1824</v>
      </c>
      <c r="AC27" s="5">
        <v>21</v>
      </c>
      <c r="AD27" s="5">
        <v>12</v>
      </c>
      <c r="AE27" s="5"/>
      <c r="AF27" s="5"/>
      <c r="AG27" s="47" t="str">
        <f t="shared" si="2"/>
        <v>(179*'12'**'11,91 / 12,7 / 14,25 / 19,05'*'0,05'*0*0*0*0*0*0*4*NULL*NULL*12*8*21*12)*</v>
      </c>
    </row>
    <row r="28" spans="1:33" ht="20.149999999999999" customHeight="1" x14ac:dyDescent="0.35">
      <c r="A28" s="3">
        <v>180</v>
      </c>
      <c r="B28" s="27" t="s">
        <v>5142</v>
      </c>
      <c r="C28" s="22">
        <v>38264</v>
      </c>
      <c r="D28" s="15">
        <v>1</v>
      </c>
      <c r="E28" s="5" t="s">
        <v>5676</v>
      </c>
      <c r="F28" s="5">
        <v>12</v>
      </c>
      <c r="G28" s="5">
        <v>12</v>
      </c>
      <c r="H28" s="7">
        <v>16</v>
      </c>
      <c r="I28" s="31">
        <v>404</v>
      </c>
      <c r="J28" s="5" t="s">
        <v>6166</v>
      </c>
      <c r="K28" s="5">
        <v>4.5999999999999999E-2</v>
      </c>
      <c r="L28" s="5">
        <v>89.2</v>
      </c>
      <c r="M28" s="5">
        <v>89.2</v>
      </c>
      <c r="N28" s="5">
        <v>0</v>
      </c>
      <c r="O28" s="5">
        <v>0</v>
      </c>
      <c r="P28" s="5">
        <v>3.26</v>
      </c>
      <c r="Q28" s="5">
        <v>3.26</v>
      </c>
      <c r="R28" s="5" t="s">
        <v>5637</v>
      </c>
      <c r="S28" s="5">
        <v>4</v>
      </c>
      <c r="T28" s="5" t="s">
        <v>5638</v>
      </c>
      <c r="U28" s="5">
        <v>11</v>
      </c>
      <c r="V28" s="5" t="s">
        <v>972</v>
      </c>
      <c r="W28" s="5" t="s">
        <v>972</v>
      </c>
      <c r="X28" s="5" t="s">
        <v>6733</v>
      </c>
      <c r="Y28" s="5">
        <v>12</v>
      </c>
      <c r="Z28" s="35" t="s">
        <v>5347</v>
      </c>
      <c r="AA28" s="5">
        <v>16</v>
      </c>
      <c r="AB28" s="35" t="s">
        <v>5396</v>
      </c>
      <c r="AC28" s="5">
        <v>26</v>
      </c>
      <c r="AD28" s="5">
        <v>12</v>
      </c>
      <c r="AE28" s="5" t="s">
        <v>6167</v>
      </c>
      <c r="AF28" s="5"/>
      <c r="AG28" s="47" t="str">
        <f t="shared" si="2"/>
        <v>(180*'16'*404*'7,92 / 11,13'*'0,046'*89,2*89,2*0*0*3,26*3,26*4*11*NULL*12*16*26*12)*</v>
      </c>
    </row>
    <row r="29" spans="1:33" ht="20.149999999999999" customHeight="1" x14ac:dyDescent="0.35">
      <c r="A29" s="3">
        <v>181</v>
      </c>
      <c r="B29" s="27" t="s">
        <v>5143</v>
      </c>
      <c r="C29" s="22">
        <v>41640</v>
      </c>
      <c r="D29" s="15">
        <v>1</v>
      </c>
      <c r="E29" s="5" t="s">
        <v>5676</v>
      </c>
      <c r="F29" s="5">
        <v>12</v>
      </c>
      <c r="G29" s="5">
        <v>12</v>
      </c>
      <c r="H29" s="7">
        <v>24</v>
      </c>
      <c r="I29" s="31">
        <v>336</v>
      </c>
      <c r="J29" s="5" t="s">
        <v>6168</v>
      </c>
      <c r="K29" s="5">
        <v>4.5999999999999999E-2</v>
      </c>
      <c r="L29" s="5">
        <v>77</v>
      </c>
      <c r="M29" s="5">
        <v>77</v>
      </c>
      <c r="N29" s="5">
        <v>0</v>
      </c>
      <c r="O29" s="5">
        <v>0</v>
      </c>
      <c r="P29" s="5">
        <v>4.5</v>
      </c>
      <c r="Q29" s="5">
        <v>4.5</v>
      </c>
      <c r="R29" s="5" t="s">
        <v>5637</v>
      </c>
      <c r="S29" s="5">
        <v>4</v>
      </c>
      <c r="T29" s="5" t="s">
        <v>5652</v>
      </c>
      <c r="U29" s="5">
        <v>21</v>
      </c>
      <c r="V29" s="5" t="s">
        <v>972</v>
      </c>
      <c r="W29" s="5" t="s">
        <v>972</v>
      </c>
      <c r="X29" s="5" t="s">
        <v>6733</v>
      </c>
      <c r="Y29" s="5">
        <v>12</v>
      </c>
      <c r="Z29" s="35" t="s">
        <v>1812</v>
      </c>
      <c r="AA29" s="5">
        <v>14</v>
      </c>
      <c r="AB29" s="35" t="s">
        <v>4856</v>
      </c>
      <c r="AC29" s="5">
        <v>8</v>
      </c>
      <c r="AD29" s="5">
        <v>12</v>
      </c>
      <c r="AE29" s="5" t="s">
        <v>6169</v>
      </c>
      <c r="AF29" s="5"/>
      <c r="AG29" s="47" t="str">
        <f t="shared" si="2"/>
        <v>(181*'24'*336*'14,3 / 9,52 / 11,13 / 15,88 / 10,31'*'0,046'*77*77*0*0*4,5*4,5*4*21*NULL*12*14*8*12)*</v>
      </c>
    </row>
    <row r="30" spans="1:33" ht="20.149999999999999" customHeight="1" x14ac:dyDescent="0.35">
      <c r="A30" s="3">
        <v>182</v>
      </c>
      <c r="B30" s="27" t="s">
        <v>5144</v>
      </c>
      <c r="C30" s="22">
        <v>22282</v>
      </c>
      <c r="D30" s="15">
        <v>1</v>
      </c>
      <c r="E30" s="5" t="s">
        <v>4125</v>
      </c>
      <c r="F30" s="5">
        <v>11</v>
      </c>
      <c r="G30" s="5">
        <v>16</v>
      </c>
      <c r="H30" s="7" t="s">
        <v>6175</v>
      </c>
      <c r="I30" s="31">
        <v>509</v>
      </c>
      <c r="J30" s="5" t="s">
        <v>6174</v>
      </c>
      <c r="K30" s="5">
        <v>1.4999999999999999E-2</v>
      </c>
      <c r="L30" s="5">
        <v>65</v>
      </c>
      <c r="M30" s="5">
        <v>0</v>
      </c>
      <c r="N30" s="5">
        <v>0</v>
      </c>
      <c r="O30" s="5">
        <v>0</v>
      </c>
      <c r="P30" s="5">
        <v>3.56</v>
      </c>
      <c r="Q30" s="5">
        <v>0</v>
      </c>
      <c r="R30" s="5" t="s">
        <v>5641</v>
      </c>
      <c r="S30" s="5">
        <v>3</v>
      </c>
      <c r="T30" s="5" t="s">
        <v>6173</v>
      </c>
      <c r="U30" s="5">
        <v>14</v>
      </c>
      <c r="V30" s="5" t="s">
        <v>6172</v>
      </c>
      <c r="W30" s="5">
        <v>17</v>
      </c>
      <c r="X30" s="5" t="s">
        <v>5144</v>
      </c>
      <c r="Y30" s="5">
        <v>13</v>
      </c>
      <c r="Z30" s="35" t="s">
        <v>4856</v>
      </c>
      <c r="AA30" s="5">
        <v>8</v>
      </c>
      <c r="AB30" s="35" t="s">
        <v>1824</v>
      </c>
      <c r="AC30" s="5">
        <v>21</v>
      </c>
      <c r="AD30" s="5">
        <v>16</v>
      </c>
      <c r="AE30" s="5" t="s">
        <v>6176</v>
      </c>
      <c r="AF30" s="5"/>
      <c r="AG30" s="47" t="str">
        <f t="shared" si="2"/>
        <v>(182*'20 / 24'*509*'8,74 - 12,7 - 10,31 - 15,9'*'0,015'*65*0*0*0*3,56*0*3*14*17*13*8*21*16)*</v>
      </c>
    </row>
    <row r="31" spans="1:33"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6172</v>
      </c>
      <c r="W31" s="5">
        <v>17</v>
      </c>
      <c r="X31" s="5" t="s">
        <v>5559</v>
      </c>
      <c r="Y31" s="5">
        <v>14</v>
      </c>
      <c r="Z31" s="35" t="s">
        <v>1824</v>
      </c>
      <c r="AA31" s="5">
        <v>21</v>
      </c>
      <c r="AB31" s="35" t="s">
        <v>6177</v>
      </c>
      <c r="AC31" s="50">
        <v>122</v>
      </c>
      <c r="AD31" s="5">
        <v>16</v>
      </c>
      <c r="AE31" s="5"/>
      <c r="AF31" s="5"/>
      <c r="AG31" s="47" t="str">
        <f t="shared" si="2"/>
        <v>(183*'20'*3,6*'11,13'*'0,015'*70*70*0*0*0*0*4*21*17*14*21*122*16)*</v>
      </c>
    </row>
    <row r="32" spans="1:33" ht="20.149999999999999" customHeight="1" x14ac:dyDescent="0.35">
      <c r="A32" s="3">
        <v>184</v>
      </c>
      <c r="B32" s="27" t="s">
        <v>5146</v>
      </c>
      <c r="C32" s="22">
        <v>27760</v>
      </c>
      <c r="D32" s="15">
        <v>1</v>
      </c>
      <c r="E32" s="5" t="s">
        <v>4125</v>
      </c>
      <c r="F32" s="5">
        <v>11</v>
      </c>
      <c r="G32" s="5">
        <v>16</v>
      </c>
      <c r="H32" s="7">
        <v>40</v>
      </c>
      <c r="I32" s="31">
        <v>507</v>
      </c>
      <c r="J32" s="5" t="s">
        <v>6179</v>
      </c>
      <c r="K32" s="5">
        <v>1.4999999999999999E-2</v>
      </c>
      <c r="L32" s="5">
        <v>69.8</v>
      </c>
      <c r="M32" s="5">
        <v>69.8</v>
      </c>
      <c r="N32" s="5">
        <v>0</v>
      </c>
      <c r="O32" s="5">
        <v>0</v>
      </c>
      <c r="P32" s="5">
        <v>13.679</v>
      </c>
      <c r="Q32" s="5">
        <v>13.679</v>
      </c>
      <c r="R32" s="5" t="s">
        <v>5641</v>
      </c>
      <c r="S32" s="5">
        <v>3</v>
      </c>
      <c r="T32" s="5" t="s">
        <v>6173</v>
      </c>
      <c r="U32" s="5">
        <v>14</v>
      </c>
      <c r="V32" s="5" t="s">
        <v>6172</v>
      </c>
      <c r="W32" s="5">
        <v>17</v>
      </c>
      <c r="X32" s="5" t="s">
        <v>5559</v>
      </c>
      <c r="Y32" s="5">
        <v>14</v>
      </c>
      <c r="Z32" s="35" t="s">
        <v>4856</v>
      </c>
      <c r="AA32" s="5">
        <v>8</v>
      </c>
      <c r="AB32" s="35" t="s">
        <v>1824</v>
      </c>
      <c r="AC32" s="5">
        <v>21</v>
      </c>
      <c r="AD32" s="5">
        <v>16</v>
      </c>
      <c r="AE32" s="5" t="s">
        <v>6178</v>
      </c>
      <c r="AF32" s="5"/>
      <c r="AG32" s="47" t="str">
        <f t="shared" si="2"/>
        <v>(184*'40'*507*'11,13 - 12,7 - 19,05'*'0,015'*69,8*69,8*0*0*13,679*13,679*3*14*17*14*8*21*16)*</v>
      </c>
    </row>
    <row r="33" spans="1:33" ht="20.149999999999999" customHeight="1" x14ac:dyDescent="0.35">
      <c r="A33" s="3">
        <v>185</v>
      </c>
      <c r="B33" s="27" t="s">
        <v>5147</v>
      </c>
      <c r="C33" s="22">
        <v>29952</v>
      </c>
      <c r="D33" s="15">
        <v>1</v>
      </c>
      <c r="E33" s="5" t="s">
        <v>4125</v>
      </c>
      <c r="F33" s="5">
        <v>11</v>
      </c>
      <c r="G33" s="5">
        <v>16</v>
      </c>
      <c r="H33" s="7">
        <v>40</v>
      </c>
      <c r="I33" s="31">
        <v>511</v>
      </c>
      <c r="J33" s="5" t="s">
        <v>6179</v>
      </c>
      <c r="K33" s="5">
        <v>1.4999999999999999E-2</v>
      </c>
      <c r="L33" s="5">
        <v>67</v>
      </c>
      <c r="M33" s="5">
        <v>67</v>
      </c>
      <c r="N33" s="5">
        <v>0</v>
      </c>
      <c r="O33" s="5">
        <v>0</v>
      </c>
      <c r="P33" s="5">
        <v>12.507</v>
      </c>
      <c r="Q33" s="5">
        <v>12.507</v>
      </c>
      <c r="R33" s="5" t="s">
        <v>5641</v>
      </c>
      <c r="S33" s="5">
        <v>3</v>
      </c>
      <c r="T33" s="5" t="s">
        <v>6173</v>
      </c>
      <c r="U33" s="5">
        <v>14</v>
      </c>
      <c r="V33" s="5" t="s">
        <v>6172</v>
      </c>
      <c r="W33" s="5">
        <v>17</v>
      </c>
      <c r="X33" s="5" t="s">
        <v>5559</v>
      </c>
      <c r="Y33" s="5">
        <v>14</v>
      </c>
      <c r="Z33" s="35" t="s">
        <v>4856</v>
      </c>
      <c r="AA33" s="5">
        <v>8</v>
      </c>
      <c r="AB33" s="35" t="s">
        <v>1824</v>
      </c>
      <c r="AC33" s="5">
        <v>21</v>
      </c>
      <c r="AD33" s="5">
        <v>16</v>
      </c>
      <c r="AE33" s="5" t="s">
        <v>6221</v>
      </c>
      <c r="AF33" s="5"/>
      <c r="AG33" s="47" t="str">
        <f t="shared" si="2"/>
        <v>(185*'40'*511*'11,13 - 12,7 - 19,05'*'0,015'*67*67*0*0*12,507*12,507*3*14*17*14*8*21*16)*</v>
      </c>
    </row>
    <row r="34" spans="1:33" ht="20.149999999999999" customHeight="1" x14ac:dyDescent="0.35">
      <c r="A34" s="3">
        <v>186</v>
      </c>
      <c r="B34" s="27" t="s">
        <v>5148</v>
      </c>
      <c r="C34" s="22"/>
      <c r="D34" s="15">
        <v>1</v>
      </c>
      <c r="E34" s="5" t="s">
        <v>4125</v>
      </c>
      <c r="F34" s="5">
        <v>11</v>
      </c>
      <c r="G34" s="5">
        <v>16</v>
      </c>
      <c r="H34" s="7">
        <v>40</v>
      </c>
      <c r="I34" s="31">
        <v>221</v>
      </c>
      <c r="J34" s="5" t="s">
        <v>6180</v>
      </c>
      <c r="K34" s="5">
        <v>1.4999999999999999E-2</v>
      </c>
      <c r="L34" s="5">
        <v>67</v>
      </c>
      <c r="M34" s="5">
        <v>0</v>
      </c>
      <c r="N34" s="5">
        <v>0</v>
      </c>
      <c r="O34" s="5">
        <v>0</v>
      </c>
      <c r="P34" s="5">
        <v>0</v>
      </c>
      <c r="Q34" s="5">
        <v>0</v>
      </c>
      <c r="R34" s="5" t="s">
        <v>5637</v>
      </c>
      <c r="S34" s="5">
        <v>4</v>
      </c>
      <c r="T34" s="5" t="s">
        <v>972</v>
      </c>
      <c r="U34" s="5" t="s">
        <v>972</v>
      </c>
      <c r="V34" s="5" t="s">
        <v>972</v>
      </c>
      <c r="W34" s="5" t="s">
        <v>972</v>
      </c>
      <c r="X34" s="5" t="s">
        <v>5559</v>
      </c>
      <c r="Y34" s="5">
        <v>14</v>
      </c>
      <c r="Z34" s="35"/>
      <c r="AA34" s="50"/>
      <c r="AB34" s="35"/>
      <c r="AC34" s="50"/>
      <c r="AD34" s="5"/>
      <c r="AE34" s="5"/>
      <c r="AF34" s="5"/>
      <c r="AG34" s="47" t="str">
        <f t="shared" si="1"/>
        <v>(186*'40'*221*'11,91 / 12,7 / 14,25 / 19,05'*'0,015'*67*0*0*0*0*0*4*NULL*NULL*14**)*</v>
      </c>
    </row>
    <row r="35" spans="1:33" ht="20.149999999999999" customHeight="1" x14ac:dyDescent="0.35">
      <c r="A35" s="3">
        <v>187</v>
      </c>
      <c r="B35" s="27" t="s">
        <v>5149</v>
      </c>
      <c r="C35" s="22">
        <v>32509</v>
      </c>
      <c r="D35" s="15">
        <v>1</v>
      </c>
      <c r="E35" s="5" t="s">
        <v>4125</v>
      </c>
      <c r="F35" s="5">
        <v>11</v>
      </c>
      <c r="G35" s="5">
        <v>16</v>
      </c>
      <c r="H35" s="7">
        <v>42</v>
      </c>
      <c r="I35" s="31">
        <v>517</v>
      </c>
      <c r="J35" s="5" t="s">
        <v>6181</v>
      </c>
      <c r="K35" s="5">
        <v>1.4999999999999999E-2</v>
      </c>
      <c r="L35" s="5">
        <v>65</v>
      </c>
      <c r="M35" s="5">
        <v>65</v>
      </c>
      <c r="N35" s="5">
        <v>0</v>
      </c>
      <c r="O35" s="5">
        <v>0</v>
      </c>
      <c r="P35" s="5">
        <v>14.462</v>
      </c>
      <c r="Q35" s="5">
        <v>14.462</v>
      </c>
      <c r="R35" s="5" t="s">
        <v>6182</v>
      </c>
      <c r="S35" s="5">
        <v>4</v>
      </c>
      <c r="T35" s="5" t="s">
        <v>6183</v>
      </c>
      <c r="U35" s="5">
        <v>14</v>
      </c>
      <c r="V35" s="5" t="s">
        <v>6172</v>
      </c>
      <c r="W35" s="5">
        <v>17</v>
      </c>
      <c r="X35" s="5" t="s">
        <v>5559</v>
      </c>
      <c r="Y35" s="5">
        <v>14</v>
      </c>
      <c r="Z35" s="35" t="s">
        <v>4856</v>
      </c>
      <c r="AA35" s="5">
        <v>8</v>
      </c>
      <c r="AB35" s="35" t="s">
        <v>1824</v>
      </c>
      <c r="AC35" s="5">
        <v>21</v>
      </c>
      <c r="AD35" s="5">
        <v>16</v>
      </c>
      <c r="AE35" s="5" t="s">
        <v>6184</v>
      </c>
      <c r="AF35" s="5"/>
      <c r="AG35" s="47" t="str">
        <f>CONCATENATE("(",A35,"*'",H35,"'*",I35,"*'",J35,"'*'",K35,"'*",L35,"*",M35,"*",N35,"*",O35,"*",P35,"*",Q35,"*",S35,"*",U35,"*",W35,"*",Y35,"*",AA35,"*",AC35,"*",AD35,")*")</f>
        <v>(187*'42'*517*'11,13 / 12,7 / 14,3 / 0,6 '*'0,015'*65*65*0*0*14,462*14,462*4*14*17*14*8*21*16)*</v>
      </c>
    </row>
    <row r="36" spans="1:33" ht="20.149999999999999" customHeight="1" x14ac:dyDescent="0.35">
      <c r="A36" s="3">
        <v>188</v>
      </c>
      <c r="B36" s="27" t="s">
        <v>5150</v>
      </c>
      <c r="C36" s="22"/>
      <c r="D36" s="15">
        <v>1</v>
      </c>
      <c r="E36" s="5" t="s">
        <v>4125</v>
      </c>
      <c r="F36" s="5">
        <v>11</v>
      </c>
      <c r="G36" s="5">
        <v>16</v>
      </c>
      <c r="H36" s="7"/>
      <c r="I36" s="31"/>
      <c r="J36" s="7" t="s">
        <v>6185</v>
      </c>
      <c r="K36" s="5">
        <v>1.4999999999999999E-2</v>
      </c>
      <c r="L36" s="5">
        <v>0</v>
      </c>
      <c r="M36" s="5">
        <v>0</v>
      </c>
      <c r="N36" s="5">
        <v>0</v>
      </c>
      <c r="O36" s="5">
        <v>0</v>
      </c>
      <c r="P36" s="5">
        <v>0</v>
      </c>
      <c r="Q36" s="5">
        <v>0</v>
      </c>
      <c r="R36" s="5" t="s">
        <v>5637</v>
      </c>
      <c r="S36" s="5">
        <v>4</v>
      </c>
      <c r="T36" s="5" t="s">
        <v>972</v>
      </c>
      <c r="U36" s="5" t="s">
        <v>972</v>
      </c>
      <c r="V36" s="5" t="s">
        <v>972</v>
      </c>
      <c r="W36" s="5" t="s">
        <v>972</v>
      </c>
      <c r="X36" s="5" t="s">
        <v>5559</v>
      </c>
      <c r="Y36" s="5">
        <v>14</v>
      </c>
      <c r="Z36" s="35"/>
      <c r="AA36" s="50"/>
      <c r="AB36" s="35"/>
      <c r="AC36" s="50"/>
      <c r="AD36" s="5"/>
      <c r="AE36" s="5"/>
      <c r="AF36" s="5"/>
      <c r="AG36" s="47" t="str">
        <f t="shared" si="1"/>
        <v>(188*''**'11,91 - 22,22'*'0,015'*0*0*0*0*0*0*4*NULL*NULL*14**)*</v>
      </c>
    </row>
    <row r="37" spans="1:33" ht="20.149999999999999" customHeight="1" x14ac:dyDescent="0.35">
      <c r="A37" s="3">
        <v>189</v>
      </c>
      <c r="B37" s="27" t="s">
        <v>5151</v>
      </c>
      <c r="C37" s="22"/>
      <c r="D37" s="15">
        <v>1</v>
      </c>
      <c r="E37" s="5" t="s">
        <v>4125</v>
      </c>
      <c r="F37" s="5">
        <v>11</v>
      </c>
      <c r="G37" s="5">
        <v>16</v>
      </c>
      <c r="H37" s="7"/>
      <c r="I37" s="31"/>
      <c r="J37" s="7" t="s">
        <v>6185</v>
      </c>
      <c r="K37" s="5">
        <v>1.4999999999999999E-2</v>
      </c>
      <c r="L37" s="5">
        <v>0</v>
      </c>
      <c r="M37" s="5">
        <v>0</v>
      </c>
      <c r="N37" s="5">
        <v>0</v>
      </c>
      <c r="O37" s="5">
        <v>0</v>
      </c>
      <c r="P37" s="5">
        <v>0</v>
      </c>
      <c r="Q37" s="5">
        <v>0</v>
      </c>
      <c r="R37" s="5" t="s">
        <v>5637</v>
      </c>
      <c r="S37" s="5">
        <v>4</v>
      </c>
      <c r="T37" s="5" t="s">
        <v>972</v>
      </c>
      <c r="U37" s="5" t="s">
        <v>972</v>
      </c>
      <c r="V37" s="5" t="s">
        <v>972</v>
      </c>
      <c r="W37" s="5" t="s">
        <v>972</v>
      </c>
      <c r="X37" s="5" t="s">
        <v>5559</v>
      </c>
      <c r="Y37" s="5">
        <v>14</v>
      </c>
      <c r="Z37" s="35"/>
      <c r="AA37" s="50"/>
      <c r="AB37" s="35"/>
      <c r="AC37" s="50"/>
      <c r="AD37" s="5"/>
      <c r="AE37" s="5"/>
      <c r="AF37" s="5"/>
      <c r="AG37" s="47" t="str">
        <f t="shared" si="1"/>
        <v>(189*''**'11,91 - 22,22'*'0,015'*0*0*0*0*0*0*4*NULL*NULL*14**)*</v>
      </c>
    </row>
    <row r="38" spans="1:33" ht="20.149999999999999" customHeight="1" x14ac:dyDescent="0.35">
      <c r="A38" s="3">
        <v>190</v>
      </c>
      <c r="B38" s="27" t="s">
        <v>5152</v>
      </c>
      <c r="C38" s="22">
        <v>39841</v>
      </c>
      <c r="D38" s="15">
        <v>1</v>
      </c>
      <c r="E38" s="5" t="s">
        <v>4125</v>
      </c>
      <c r="F38" s="5">
        <v>11</v>
      </c>
      <c r="G38" s="5">
        <v>16</v>
      </c>
      <c r="H38" s="7">
        <v>48</v>
      </c>
      <c r="I38" s="31">
        <v>513.17200000000003</v>
      </c>
      <c r="J38" s="7" t="s">
        <v>6185</v>
      </c>
      <c r="K38" s="5">
        <v>1.4999999999999999E-2</v>
      </c>
      <c r="L38" s="5">
        <v>70</v>
      </c>
      <c r="M38" s="5">
        <v>70</v>
      </c>
      <c r="N38" s="5">
        <v>0</v>
      </c>
      <c r="O38" s="5">
        <v>0</v>
      </c>
      <c r="P38" s="5">
        <v>0</v>
      </c>
      <c r="Q38" s="5">
        <v>0</v>
      </c>
      <c r="R38" s="5" t="s">
        <v>6187</v>
      </c>
      <c r="S38" s="5">
        <v>6</v>
      </c>
      <c r="T38" s="5" t="s">
        <v>5638</v>
      </c>
      <c r="U38" s="5">
        <v>11</v>
      </c>
      <c r="V38" s="5" t="s">
        <v>972</v>
      </c>
      <c r="W38" s="5" t="s">
        <v>972</v>
      </c>
      <c r="X38" s="5" t="s">
        <v>5265</v>
      </c>
      <c r="Y38" s="5">
        <v>15</v>
      </c>
      <c r="Z38" s="35" t="s">
        <v>4856</v>
      </c>
      <c r="AA38" s="5">
        <v>8</v>
      </c>
      <c r="AB38" s="35" t="s">
        <v>1824</v>
      </c>
      <c r="AC38" s="5">
        <v>21</v>
      </c>
      <c r="AD38" s="5">
        <v>16</v>
      </c>
      <c r="AE38" s="5" t="s">
        <v>6186</v>
      </c>
      <c r="AF38" s="5"/>
      <c r="AG38" s="47" t="str">
        <f>CONCATENATE("(",A38,"*'",H38,"'*",I38,"*'",J38,"'*'",K38,"'*",L38,"*",M38,"*",N38,"*",O38,"*",P38,"*",Q38,"*",S38,"*",U38,"*",W38,"*",Y38,"*",AA38,"*",AC38,"*",AD38,")*")</f>
        <v>(190*'48'*513,172*'11,91 - 22,22'*'0,015'*70*70*0*0*0*0*6*11*NULL*15*8*21*16)*</v>
      </c>
    </row>
    <row r="39" spans="1:33" ht="20.149999999999999" customHeight="1" x14ac:dyDescent="0.35">
      <c r="A39" s="3">
        <v>191</v>
      </c>
      <c r="B39" s="27" t="s">
        <v>5153</v>
      </c>
      <c r="C39" s="22">
        <v>40284</v>
      </c>
      <c r="D39" s="15">
        <v>1</v>
      </c>
      <c r="E39" s="5" t="s">
        <v>4125</v>
      </c>
      <c r="F39" s="5">
        <v>11</v>
      </c>
      <c r="G39" s="5">
        <v>16</v>
      </c>
      <c r="H39" s="7">
        <v>48</v>
      </c>
      <c r="I39" s="31">
        <v>120.37</v>
      </c>
      <c r="J39" s="7" t="s">
        <v>6185</v>
      </c>
      <c r="K39" s="5">
        <v>1.4999999999999999E-2</v>
      </c>
      <c r="L39" s="5">
        <v>70</v>
      </c>
      <c r="M39" s="5">
        <v>45</v>
      </c>
      <c r="N39" s="5">
        <v>0</v>
      </c>
      <c r="O39" s="5">
        <v>0</v>
      </c>
      <c r="P39" s="5">
        <v>0</v>
      </c>
      <c r="Q39" s="5">
        <v>0</v>
      </c>
      <c r="R39" s="5" t="s">
        <v>6187</v>
      </c>
      <c r="S39" s="5">
        <v>6</v>
      </c>
      <c r="T39" s="5" t="s">
        <v>5638</v>
      </c>
      <c r="U39" s="5">
        <v>11</v>
      </c>
      <c r="V39" s="5" t="s">
        <v>972</v>
      </c>
      <c r="W39" s="5" t="s">
        <v>972</v>
      </c>
      <c r="X39" s="5" t="s">
        <v>5265</v>
      </c>
      <c r="Y39" s="5">
        <v>15</v>
      </c>
      <c r="Z39" s="35" t="s">
        <v>6189</v>
      </c>
      <c r="AA39" s="50" t="s">
        <v>6189</v>
      </c>
      <c r="AB39" s="35" t="s">
        <v>2048</v>
      </c>
      <c r="AC39" s="5">
        <v>3</v>
      </c>
      <c r="AD39" s="5"/>
      <c r="AE39" s="5" t="s">
        <v>6188</v>
      </c>
      <c r="AF39" s="5"/>
      <c r="AG39" s="47" t="str">
        <f t="shared" si="1"/>
        <v>(191*'48'*120,37*'11,91 - 22,22'*'0,015'*70*45*0*0*0*0*6*11*NULL*15*Mactaa Douz*3)*</v>
      </c>
    </row>
    <row r="40" spans="1:33" ht="20.149999999999999" customHeight="1" x14ac:dyDescent="0.35">
      <c r="A40" s="3">
        <v>192</v>
      </c>
      <c r="B40" s="27" t="s">
        <v>5154</v>
      </c>
      <c r="C40" s="22"/>
      <c r="D40" s="15">
        <v>1</v>
      </c>
      <c r="E40" s="5" t="s">
        <v>4125</v>
      </c>
      <c r="F40" s="5">
        <v>11</v>
      </c>
      <c r="G40" s="5">
        <v>16</v>
      </c>
      <c r="H40" s="7"/>
      <c r="I40" s="31"/>
      <c r="J40" s="7" t="s">
        <v>6185</v>
      </c>
      <c r="K40" s="5">
        <v>1.4999999999999999E-2</v>
      </c>
      <c r="L40" s="5">
        <v>0</v>
      </c>
      <c r="M40" s="5">
        <v>0</v>
      </c>
      <c r="N40" s="5">
        <v>0</v>
      </c>
      <c r="O40" s="5">
        <v>0</v>
      </c>
      <c r="P40" s="5">
        <v>0</v>
      </c>
      <c r="Q40" s="5">
        <v>0</v>
      </c>
      <c r="R40" s="5" t="s">
        <v>5637</v>
      </c>
      <c r="S40" s="5">
        <v>4</v>
      </c>
      <c r="T40" s="5" t="s">
        <v>972</v>
      </c>
      <c r="U40" s="5" t="s">
        <v>972</v>
      </c>
      <c r="V40" s="5" t="s">
        <v>972</v>
      </c>
      <c r="W40" s="5" t="s">
        <v>972</v>
      </c>
      <c r="X40" s="5" t="s">
        <v>5265</v>
      </c>
      <c r="Y40" s="5">
        <v>15</v>
      </c>
      <c r="Z40" s="35"/>
      <c r="AA40" s="5"/>
      <c r="AB40" s="35" t="s">
        <v>4850</v>
      </c>
      <c r="AC40" s="5">
        <v>3</v>
      </c>
      <c r="AD40" s="5"/>
      <c r="AE40" s="5"/>
      <c r="AF40" s="5"/>
      <c r="AG40" s="47" t="str">
        <f t="shared" si="1"/>
        <v>(192*''**'11,91 - 22,22'*'0,015'*0*0*0*0*0*0*4*NULL*NULL*15**3)*</v>
      </c>
    </row>
    <row r="41" spans="1:33" ht="20.149999999999999" customHeight="1" x14ac:dyDescent="0.35">
      <c r="A41" s="3">
        <v>193</v>
      </c>
      <c r="B41" s="27" t="s">
        <v>5155</v>
      </c>
      <c r="C41" s="22">
        <v>25934</v>
      </c>
      <c r="D41" s="15">
        <v>1</v>
      </c>
      <c r="E41" s="5" t="s">
        <v>4133</v>
      </c>
      <c r="F41" s="5">
        <v>13</v>
      </c>
      <c r="G41" s="5">
        <v>16</v>
      </c>
      <c r="H41" s="7">
        <v>40</v>
      </c>
      <c r="I41" s="31">
        <v>574.87</v>
      </c>
      <c r="J41" s="5" t="s">
        <v>6200</v>
      </c>
      <c r="K41" s="5">
        <v>3.5000000000000003E-2</v>
      </c>
      <c r="L41" s="5">
        <v>70</v>
      </c>
      <c r="M41" s="5">
        <v>70</v>
      </c>
      <c r="N41" s="5">
        <v>0</v>
      </c>
      <c r="O41" s="5">
        <v>0</v>
      </c>
      <c r="P41" s="5">
        <v>20.47</v>
      </c>
      <c r="Q41" s="5">
        <v>20.47</v>
      </c>
      <c r="R41" s="5" t="s">
        <v>6199</v>
      </c>
      <c r="S41" s="5">
        <v>4</v>
      </c>
      <c r="T41" s="5" t="s">
        <v>6196</v>
      </c>
      <c r="U41" s="5">
        <v>14</v>
      </c>
      <c r="V41" s="5" t="s">
        <v>6172</v>
      </c>
      <c r="W41" s="5">
        <v>17</v>
      </c>
      <c r="X41" s="5" t="s">
        <v>5563</v>
      </c>
      <c r="Y41" s="5">
        <v>17</v>
      </c>
      <c r="Z41" s="35" t="s">
        <v>4856</v>
      </c>
      <c r="AA41" s="5">
        <v>8</v>
      </c>
      <c r="AB41" s="35" t="s">
        <v>1012</v>
      </c>
      <c r="AC41" s="5">
        <v>34</v>
      </c>
      <c r="AD41" s="5">
        <v>16</v>
      </c>
      <c r="AE41" s="5" t="s">
        <v>6222</v>
      </c>
      <c r="AF41" s="5"/>
      <c r="AG41" s="47" t="str">
        <f t="shared" ref="AG41:AG42" si="3">CONCATENATE("(",A41,"*'",H41,"'*",I41,"*'",J41,"'*'",K41,"'*",L41,"*",M41,"*",N41,"*",O41,"*",P41,"*",Q41,"*",S41,"*",U41,"*",W41,"*",Y41,"*",AA41,"*",AC41,"*",AD41,")*")</f>
        <v>(193*'40'*574,87*'12,7 / 15,88 / 19,43 / 19,05 '*'0,035'*70*70*0*0*20,47*20,47*4*14*17*17*8*34*16)*</v>
      </c>
    </row>
    <row r="42" spans="1:33" ht="20.149999999999999" customHeight="1" x14ac:dyDescent="0.35">
      <c r="A42" s="3">
        <v>194</v>
      </c>
      <c r="B42" s="27" t="s">
        <v>5156</v>
      </c>
      <c r="C42" s="22">
        <v>35796</v>
      </c>
      <c r="D42" s="15">
        <v>1</v>
      </c>
      <c r="E42" s="5" t="s">
        <v>4133</v>
      </c>
      <c r="F42" s="5">
        <v>13</v>
      </c>
      <c r="G42" s="5">
        <v>16</v>
      </c>
      <c r="H42" s="7">
        <v>42</v>
      </c>
      <c r="I42" s="31">
        <v>575.54499999999996</v>
      </c>
      <c r="J42" s="5" t="s">
        <v>6200</v>
      </c>
      <c r="K42" s="5">
        <v>1.4999999999999999E-2</v>
      </c>
      <c r="L42" s="5">
        <v>70</v>
      </c>
      <c r="M42" s="5">
        <v>70</v>
      </c>
      <c r="N42" s="5">
        <v>0</v>
      </c>
      <c r="O42" s="5">
        <v>0</v>
      </c>
      <c r="P42" s="5">
        <v>20.47</v>
      </c>
      <c r="Q42" s="5">
        <v>20.47</v>
      </c>
      <c r="R42" s="5" t="s">
        <v>6197</v>
      </c>
      <c r="S42" s="5">
        <v>4</v>
      </c>
      <c r="T42" s="5" t="s">
        <v>6196</v>
      </c>
      <c r="U42" s="5">
        <v>14</v>
      </c>
      <c r="V42" s="5" t="s">
        <v>6172</v>
      </c>
      <c r="W42" s="5">
        <v>17</v>
      </c>
      <c r="X42" s="5" t="s">
        <v>5563</v>
      </c>
      <c r="Y42" s="5">
        <v>17</v>
      </c>
      <c r="Z42" s="35" t="s">
        <v>4856</v>
      </c>
      <c r="AA42" s="5">
        <v>8</v>
      </c>
      <c r="AB42" s="35" t="s">
        <v>1012</v>
      </c>
      <c r="AC42" s="5">
        <v>34</v>
      </c>
      <c r="AD42" s="5">
        <v>16</v>
      </c>
      <c r="AE42" s="5" t="s">
        <v>6198</v>
      </c>
      <c r="AF42" s="5"/>
      <c r="AG42" s="47" t="str">
        <f t="shared" si="3"/>
        <v>(194*'42'*575,545*'12,7 / 15,88 / 19,43 / 19,05 '*'0,015'*70*70*0*0*20,47*20,47*4*14*17*17*8*34*16)*</v>
      </c>
    </row>
    <row r="43" spans="1:33" ht="20.149999999999999" customHeight="1" x14ac:dyDescent="0.35">
      <c r="A43" s="3">
        <v>195</v>
      </c>
      <c r="B43" s="27" t="s">
        <v>5157</v>
      </c>
      <c r="C43" s="22"/>
      <c r="D43" s="15">
        <v>1</v>
      </c>
      <c r="E43" s="5" t="s">
        <v>4133</v>
      </c>
      <c r="F43" s="5">
        <v>13</v>
      </c>
      <c r="G43" s="5">
        <v>16</v>
      </c>
      <c r="H43" s="7"/>
      <c r="I43" s="31"/>
      <c r="J43" s="5" t="s">
        <v>6201</v>
      </c>
      <c r="K43" s="5">
        <v>1.4999999999999999E-2</v>
      </c>
      <c r="L43" s="5">
        <v>0</v>
      </c>
      <c r="M43" s="5">
        <v>0</v>
      </c>
      <c r="N43" s="5">
        <v>0</v>
      </c>
      <c r="O43" s="5">
        <v>0</v>
      </c>
      <c r="P43" s="5">
        <v>9.66</v>
      </c>
      <c r="Q43" s="5">
        <v>9.66</v>
      </c>
      <c r="R43" s="5" t="s">
        <v>5637</v>
      </c>
      <c r="S43" s="5">
        <v>4</v>
      </c>
      <c r="T43" s="5" t="s">
        <v>972</v>
      </c>
      <c r="U43" s="5" t="s">
        <v>972</v>
      </c>
      <c r="V43" s="5" t="s">
        <v>972</v>
      </c>
      <c r="W43" s="5" t="s">
        <v>972</v>
      </c>
      <c r="X43" s="5" t="s">
        <v>5266</v>
      </c>
      <c r="Y43" s="5">
        <v>18</v>
      </c>
      <c r="Z43" s="35" t="s">
        <v>4856</v>
      </c>
      <c r="AA43" s="5">
        <v>8</v>
      </c>
      <c r="AB43" s="35" t="s">
        <v>6734</v>
      </c>
      <c r="AC43" s="49" t="s">
        <v>6734</v>
      </c>
      <c r="AD43" s="35"/>
      <c r="AE43" s="5"/>
      <c r="AF43" s="5"/>
      <c r="AG43" s="47" t="str">
        <f t="shared" si="1"/>
        <v>(195*''**'14,3 / 22,22'*'0,015'*0*0*0*0*9,66*9,66*4*NULL*NULL*18*8*EL Kala)*</v>
      </c>
    </row>
    <row r="44" spans="1:33" ht="20.149999999999999" customHeight="1" x14ac:dyDescent="0.35">
      <c r="A44" s="3">
        <v>196</v>
      </c>
      <c r="B44" s="27" t="s">
        <v>5158</v>
      </c>
      <c r="C44" s="22"/>
      <c r="D44" s="15">
        <v>1</v>
      </c>
      <c r="E44" s="5" t="s">
        <v>4133</v>
      </c>
      <c r="F44" s="5">
        <v>13</v>
      </c>
      <c r="G44" s="5">
        <v>16</v>
      </c>
      <c r="H44" s="7">
        <v>48</v>
      </c>
      <c r="I44" s="31">
        <v>87</v>
      </c>
      <c r="J44" s="5" t="s">
        <v>6201</v>
      </c>
      <c r="K44" s="5">
        <v>1.4999999999999999E-2</v>
      </c>
      <c r="L44" s="5">
        <v>71.5</v>
      </c>
      <c r="M44" s="5">
        <v>0</v>
      </c>
      <c r="N44" s="5">
        <v>0</v>
      </c>
      <c r="O44" s="5">
        <v>0</v>
      </c>
      <c r="P44" s="5">
        <v>0</v>
      </c>
      <c r="Q44" s="5">
        <v>0</v>
      </c>
      <c r="R44" s="5" t="s">
        <v>6191</v>
      </c>
      <c r="S44" s="5">
        <v>6</v>
      </c>
      <c r="T44" s="5" t="s">
        <v>972</v>
      </c>
      <c r="U44" s="5" t="s">
        <v>972</v>
      </c>
      <c r="V44" s="5" t="s">
        <v>972</v>
      </c>
      <c r="W44" s="5" t="s">
        <v>972</v>
      </c>
      <c r="X44" s="5" t="s">
        <v>5266</v>
      </c>
      <c r="Y44" s="5">
        <v>18</v>
      </c>
      <c r="Z44" s="35"/>
      <c r="AA44" s="50"/>
      <c r="AB44" s="35"/>
      <c r="AC44" s="50"/>
      <c r="AD44" s="5"/>
      <c r="AE44" s="5"/>
      <c r="AF44" s="5"/>
      <c r="AG44" s="47" t="str">
        <f t="shared" si="1"/>
        <v>(196*'48'*87*'14,3 / 22,22'*'0,015'*71,5*0*0*0*0*0*6*NULL*NULL*18**)*</v>
      </c>
    </row>
    <row r="45" spans="1:33" ht="20.149999999999999" customHeight="1" x14ac:dyDescent="0.35">
      <c r="A45" s="3">
        <v>197</v>
      </c>
      <c r="B45" s="27" t="s">
        <v>5159</v>
      </c>
      <c r="C45" s="22">
        <v>29587</v>
      </c>
      <c r="D45" s="15">
        <v>1</v>
      </c>
      <c r="E45" s="5" t="s">
        <v>4141</v>
      </c>
      <c r="F45" s="5">
        <v>15</v>
      </c>
      <c r="G45" s="5">
        <v>16</v>
      </c>
      <c r="H45" s="7">
        <v>42</v>
      </c>
      <c r="I45" s="31">
        <v>437</v>
      </c>
      <c r="J45" s="5" t="s">
        <v>6230</v>
      </c>
      <c r="K45" s="5">
        <v>1.4999999999999999E-2</v>
      </c>
      <c r="L45" s="5">
        <v>70</v>
      </c>
      <c r="M45" s="5">
        <v>70</v>
      </c>
      <c r="N45" s="5">
        <v>0</v>
      </c>
      <c r="O45" s="5">
        <v>0</v>
      </c>
      <c r="P45" s="5">
        <v>11.3</v>
      </c>
      <c r="Q45" s="5">
        <v>11.3</v>
      </c>
      <c r="R45" s="5" t="s">
        <v>5637</v>
      </c>
      <c r="S45" s="5">
        <v>4</v>
      </c>
      <c r="T45" s="5">
        <v>11.3</v>
      </c>
      <c r="U45" s="5">
        <v>14</v>
      </c>
      <c r="V45" s="5" t="s">
        <v>972</v>
      </c>
      <c r="W45" s="5" t="s">
        <v>972</v>
      </c>
      <c r="X45" s="5" t="s">
        <v>5159</v>
      </c>
      <c r="Y45" s="5">
        <v>20</v>
      </c>
      <c r="Z45" s="35" t="s">
        <v>4856</v>
      </c>
      <c r="AA45" s="5">
        <v>8</v>
      </c>
      <c r="AB45" s="35" t="s">
        <v>6233</v>
      </c>
      <c r="AC45" s="5">
        <v>24</v>
      </c>
      <c r="AD45" s="5">
        <v>16</v>
      </c>
      <c r="AE45" s="5" t="s">
        <v>6231</v>
      </c>
      <c r="AF45" s="5"/>
      <c r="AG45" s="47" t="str">
        <f t="shared" ref="AG45:AG46" si="4">CONCATENATE("(",A45,"*'",H45,"'*",I45,"*'",J45,"'*'",K45,"'*",L45,"*",M45,"*",N45,"*",O45,"*",P45,"*",Q45,"*",S45,"*",U45,"*",W45,"*",Y45,"*",AA45,"*",AC45,"*",AD45,")*")</f>
        <v>(197*'42'*437*'11,91 / 12,7 / 19,05'*'0,015'*70*70*0*0*11,3*11,3*4*14*NULL*20*8*24*16)*</v>
      </c>
    </row>
    <row r="46" spans="1:33" ht="20.149999999999999" customHeight="1" x14ac:dyDescent="0.35">
      <c r="A46" s="3">
        <v>198</v>
      </c>
      <c r="B46" s="27" t="s">
        <v>5160</v>
      </c>
      <c r="C46" s="22">
        <v>43800</v>
      </c>
      <c r="D46" s="15">
        <v>1</v>
      </c>
      <c r="E46" s="5" t="s">
        <v>4141</v>
      </c>
      <c r="F46" s="5">
        <v>15</v>
      </c>
      <c r="G46" s="5">
        <v>16</v>
      </c>
      <c r="H46" s="7">
        <v>42</v>
      </c>
      <c r="I46" s="31">
        <v>207</v>
      </c>
      <c r="J46" s="5" t="s">
        <v>6232</v>
      </c>
      <c r="K46" s="5">
        <v>1.4999999999999999E-2</v>
      </c>
      <c r="L46" s="5">
        <v>70</v>
      </c>
      <c r="M46" s="5">
        <v>70</v>
      </c>
      <c r="N46" s="5">
        <v>0</v>
      </c>
      <c r="O46" s="5">
        <v>0</v>
      </c>
      <c r="P46" s="5">
        <v>0</v>
      </c>
      <c r="Q46" s="5">
        <v>0</v>
      </c>
      <c r="R46" s="5" t="s">
        <v>6191</v>
      </c>
      <c r="S46" s="5">
        <v>6</v>
      </c>
      <c r="T46" s="5" t="s">
        <v>5652</v>
      </c>
      <c r="U46" s="5" t="s">
        <v>972</v>
      </c>
      <c r="V46" s="5" t="s">
        <v>972</v>
      </c>
      <c r="W46" s="5" t="s">
        <v>972</v>
      </c>
      <c r="X46" s="5" t="s">
        <v>5159</v>
      </c>
      <c r="Y46" s="5">
        <v>20</v>
      </c>
      <c r="Z46" s="35" t="s">
        <v>6234</v>
      </c>
      <c r="AA46" s="5">
        <v>9</v>
      </c>
      <c r="AB46" s="35" t="s">
        <v>6233</v>
      </c>
      <c r="AC46" s="5">
        <v>24</v>
      </c>
      <c r="AD46" s="5">
        <v>16</v>
      </c>
      <c r="AE46" s="5"/>
      <c r="AF46" s="5"/>
      <c r="AG46" s="47" t="str">
        <f t="shared" si="4"/>
        <v>(198*'42'*207*'20,62 / 14,27'*'0,015'*70*70*0*0*0*0*6*NULL*NULL*20*9*24*16)*</v>
      </c>
    </row>
    <row r="47" spans="1:33" ht="20.149999999999999" customHeight="1" x14ac:dyDescent="0.35">
      <c r="A47" s="3">
        <v>199</v>
      </c>
      <c r="B47" s="27" t="s">
        <v>5161</v>
      </c>
      <c r="C47" s="22"/>
      <c r="D47" s="15">
        <v>1</v>
      </c>
      <c r="E47" s="5" t="s">
        <v>4129</v>
      </c>
      <c r="F47" s="5"/>
      <c r="G47" s="5">
        <v>16</v>
      </c>
      <c r="H47" s="7"/>
      <c r="I47" s="31"/>
      <c r="J47" s="5" t="s">
        <v>6232</v>
      </c>
      <c r="K47" s="5">
        <v>1.4999999999999999E-2</v>
      </c>
      <c r="L47" s="5">
        <v>0</v>
      </c>
      <c r="M47" s="5">
        <v>0</v>
      </c>
      <c r="N47" s="5">
        <v>0</v>
      </c>
      <c r="O47" s="5">
        <v>0</v>
      </c>
      <c r="P47" s="5">
        <v>0</v>
      </c>
      <c r="Q47" s="5">
        <v>0</v>
      </c>
      <c r="R47" s="5" t="s">
        <v>5637</v>
      </c>
      <c r="S47" s="5">
        <v>4</v>
      </c>
      <c r="T47" s="5" t="s">
        <v>972</v>
      </c>
      <c r="U47" s="5" t="s">
        <v>972</v>
      </c>
      <c r="V47" s="5" t="s">
        <v>972</v>
      </c>
      <c r="W47" s="5" t="s">
        <v>972</v>
      </c>
      <c r="X47" s="5" t="s">
        <v>5569</v>
      </c>
      <c r="Y47" s="5">
        <v>21</v>
      </c>
      <c r="Z47" s="35"/>
      <c r="AA47" s="50"/>
      <c r="AB47" s="35"/>
      <c r="AC47" s="50"/>
      <c r="AD47" s="5"/>
      <c r="AE47" s="5"/>
      <c r="AF47" s="5"/>
      <c r="AG47" s="47" t="str">
        <f t="shared" si="1"/>
        <v>(199*''**'20,62 / 14,27'*'0,015'*0*0*0*0*0*0*4*NULL*NULL*21**)*</v>
      </c>
    </row>
    <row r="48" spans="1:33" ht="20.149999999999999" customHeight="1" x14ac:dyDescent="0.35">
      <c r="A48" s="3">
        <v>200</v>
      </c>
      <c r="B48" s="27" t="s">
        <v>5162</v>
      </c>
      <c r="C48" s="22">
        <v>31413</v>
      </c>
      <c r="D48" s="15">
        <v>1</v>
      </c>
      <c r="E48" s="5" t="s">
        <v>4137</v>
      </c>
      <c r="F48" s="5">
        <v>14</v>
      </c>
      <c r="G48" s="5">
        <v>16</v>
      </c>
      <c r="H48" s="7" t="s">
        <v>6205</v>
      </c>
      <c r="I48" s="31">
        <v>966</v>
      </c>
      <c r="J48" s="5" t="s">
        <v>6207</v>
      </c>
      <c r="K48" s="5">
        <v>1.4999999999999999E-2</v>
      </c>
      <c r="L48" s="5">
        <v>71</v>
      </c>
      <c r="M48" s="5">
        <v>71</v>
      </c>
      <c r="N48" s="5">
        <v>0</v>
      </c>
      <c r="O48" s="5">
        <v>0</v>
      </c>
      <c r="P48" s="5">
        <v>15.76</v>
      </c>
      <c r="Q48" s="5">
        <v>15.76</v>
      </c>
      <c r="R48" s="5" t="s">
        <v>6206</v>
      </c>
      <c r="S48" s="5">
        <v>6</v>
      </c>
      <c r="T48" s="5" t="s">
        <v>5668</v>
      </c>
      <c r="U48" s="5">
        <v>14</v>
      </c>
      <c r="V48" s="5" t="s">
        <v>6172</v>
      </c>
      <c r="W48" s="5">
        <v>17</v>
      </c>
      <c r="X48" s="5" t="s">
        <v>5569</v>
      </c>
      <c r="Y48" s="5">
        <v>21</v>
      </c>
      <c r="Z48" s="35" t="s">
        <v>5392</v>
      </c>
      <c r="AA48" s="5">
        <v>20</v>
      </c>
      <c r="AB48" s="35" t="s">
        <v>4856</v>
      </c>
      <c r="AC48" s="5">
        <v>8</v>
      </c>
      <c r="AD48" s="5">
        <v>16</v>
      </c>
      <c r="AE48" s="5" t="s">
        <v>6223</v>
      </c>
      <c r="AF48" s="5"/>
      <c r="AG48" s="47" t="str">
        <f t="shared" ref="AG48:AG49" si="5">CONCATENATE("(",A48,"*'",H48,"'*",I48,"*'",J48,"'*'",K48,"'*",L48,"*",M48,"*",N48,"*",O48,"*",P48,"*",Q48,"*",S48,"*",U48,"*",W48,"*",Y48,"*",AA48,"*",AC48,"*",AD48,")*")</f>
        <v>(200*'42 / 48'*966*'11,92 / 12,7 / 13,35 / 14,27 / 15,88 / 22,22'*'0,015'*71*71*0*0*15,76*15,76*6*14*17*21*20*8*16)*</v>
      </c>
    </row>
    <row r="49" spans="1:33" ht="20.149999999999999" customHeight="1" x14ac:dyDescent="0.35">
      <c r="A49" s="3">
        <v>201</v>
      </c>
      <c r="B49" s="27" t="s">
        <v>5163</v>
      </c>
      <c r="C49" s="22">
        <v>36161</v>
      </c>
      <c r="D49" s="15">
        <v>1</v>
      </c>
      <c r="E49" s="5" t="s">
        <v>4137</v>
      </c>
      <c r="F49" s="5">
        <v>14</v>
      </c>
      <c r="G49" s="5">
        <v>16</v>
      </c>
      <c r="H49" s="7" t="s">
        <v>6205</v>
      </c>
      <c r="I49" s="31">
        <v>966</v>
      </c>
      <c r="J49" s="5" t="s">
        <v>6208</v>
      </c>
      <c r="K49" s="5">
        <v>1.4999999999999999E-2</v>
      </c>
      <c r="L49" s="5">
        <v>71</v>
      </c>
      <c r="M49" s="5">
        <v>71</v>
      </c>
      <c r="N49" s="5">
        <v>0</v>
      </c>
      <c r="O49" s="5">
        <v>0</v>
      </c>
      <c r="P49" s="5">
        <v>15.77</v>
      </c>
      <c r="Q49" s="5">
        <v>15.77</v>
      </c>
      <c r="R49" s="5" t="s">
        <v>6191</v>
      </c>
      <c r="S49" s="5">
        <v>6</v>
      </c>
      <c r="T49" s="5" t="s">
        <v>5638</v>
      </c>
      <c r="U49" s="5">
        <v>11</v>
      </c>
      <c r="V49" s="5" t="s">
        <v>6172</v>
      </c>
      <c r="W49" s="5">
        <v>17</v>
      </c>
      <c r="X49" s="5" t="s">
        <v>5569</v>
      </c>
      <c r="Y49" s="5">
        <v>21</v>
      </c>
      <c r="Z49" s="35" t="s">
        <v>5392</v>
      </c>
      <c r="AA49" s="5">
        <v>20</v>
      </c>
      <c r="AB49" s="35" t="s">
        <v>4856</v>
      </c>
      <c r="AC49" s="5">
        <v>8</v>
      </c>
      <c r="AD49" s="5">
        <v>16</v>
      </c>
      <c r="AE49" s="5" t="s">
        <v>6224</v>
      </c>
      <c r="AF49" s="5"/>
      <c r="AG49" s="47" t="str">
        <f t="shared" si="5"/>
        <v>(201*'42 / 48'*966*'11,91 / 12,7 / 14,27 / 19,05 / 22,22'*'0,015'*71*71*0*0*15,77*15,77*6*11*17*21*20*8*16)*</v>
      </c>
    </row>
    <row r="50" spans="1:33" ht="20.149999999999999" customHeight="1" x14ac:dyDescent="0.35">
      <c r="A50" s="3">
        <v>202</v>
      </c>
      <c r="B50" s="27" t="s">
        <v>5164</v>
      </c>
      <c r="C50" s="22">
        <v>37622</v>
      </c>
      <c r="D50" s="15">
        <v>1</v>
      </c>
      <c r="E50" s="5" t="s">
        <v>4089</v>
      </c>
      <c r="F50" s="5">
        <v>2</v>
      </c>
      <c r="G50" s="5">
        <v>2</v>
      </c>
      <c r="H50" s="7">
        <v>48</v>
      </c>
      <c r="I50" s="31">
        <v>520</v>
      </c>
      <c r="J50" s="5" t="s">
        <v>6208</v>
      </c>
      <c r="K50" s="5">
        <v>1.4999999999999999E-2</v>
      </c>
      <c r="L50" s="5">
        <v>0</v>
      </c>
      <c r="M50" s="5">
        <v>0</v>
      </c>
      <c r="N50" s="5">
        <v>0</v>
      </c>
      <c r="O50" s="5">
        <v>0</v>
      </c>
      <c r="P50" s="5">
        <v>0</v>
      </c>
      <c r="Q50" s="5">
        <v>0</v>
      </c>
      <c r="R50" s="5" t="s">
        <v>5637</v>
      </c>
      <c r="S50" s="5">
        <v>4</v>
      </c>
      <c r="T50" s="5" t="s">
        <v>972</v>
      </c>
      <c r="U50" s="5" t="s">
        <v>972</v>
      </c>
      <c r="V50" s="5" t="s">
        <v>972</v>
      </c>
      <c r="W50" s="5" t="s">
        <v>972</v>
      </c>
      <c r="X50" s="5" t="s">
        <v>5569</v>
      </c>
      <c r="Y50" s="5">
        <v>21</v>
      </c>
      <c r="Z50" s="35"/>
      <c r="AA50" s="50"/>
      <c r="AB50" s="35"/>
      <c r="AC50" s="50"/>
      <c r="AD50" s="5"/>
      <c r="AE50" s="5"/>
      <c r="AF50" s="5"/>
      <c r="AG50" s="47" t="str">
        <f t="shared" si="1"/>
        <v>(202*'48'*520*'11,91 / 12,7 / 14,27 / 19,05 / 22,22'*'0,015'*0*0*0*0*0*0*4*NULL*NULL*21**)*</v>
      </c>
    </row>
    <row r="51" spans="1:33" ht="20.149999999999999" customHeight="1" x14ac:dyDescent="0.35">
      <c r="A51" s="3">
        <v>203</v>
      </c>
      <c r="B51" s="27" t="s">
        <v>5165</v>
      </c>
      <c r="C51" s="22">
        <v>41640</v>
      </c>
      <c r="D51" s="15">
        <v>1</v>
      </c>
      <c r="E51" s="5" t="s">
        <v>4137</v>
      </c>
      <c r="F51" s="5">
        <v>14</v>
      </c>
      <c r="G51" s="5">
        <v>16</v>
      </c>
      <c r="H51" s="7">
        <v>48</v>
      </c>
      <c r="I51" s="31">
        <v>535</v>
      </c>
      <c r="J51" s="5" t="s">
        <v>6190</v>
      </c>
      <c r="K51" s="5">
        <v>1.4999999999999999E-2</v>
      </c>
      <c r="L51" s="5">
        <v>71</v>
      </c>
      <c r="M51" s="5">
        <v>71</v>
      </c>
      <c r="N51" s="5">
        <v>0</v>
      </c>
      <c r="O51" s="5">
        <v>0</v>
      </c>
      <c r="P51" s="5">
        <v>11.05</v>
      </c>
      <c r="Q51" s="5">
        <v>11.05</v>
      </c>
      <c r="R51" s="5" t="s">
        <v>6191</v>
      </c>
      <c r="S51" s="5">
        <v>6</v>
      </c>
      <c r="T51" s="5" t="s">
        <v>972</v>
      </c>
      <c r="U51" s="5" t="s">
        <v>972</v>
      </c>
      <c r="V51" s="5" t="s">
        <v>972</v>
      </c>
      <c r="W51" s="5" t="s">
        <v>972</v>
      </c>
      <c r="X51" s="5" t="s">
        <v>5569</v>
      </c>
      <c r="Y51" s="5">
        <v>21</v>
      </c>
      <c r="Z51" s="35" t="s">
        <v>6209</v>
      </c>
      <c r="AA51" s="5">
        <v>18</v>
      </c>
      <c r="AB51" s="35" t="s">
        <v>4856</v>
      </c>
      <c r="AC51" s="5">
        <v>8</v>
      </c>
      <c r="AD51" s="5">
        <v>16</v>
      </c>
      <c r="AE51" s="5" t="s">
        <v>6188</v>
      </c>
      <c r="AF51" s="5"/>
      <c r="AG51" s="47" t="str">
        <f t="shared" ref="AG51:AG53" si="6">CONCATENATE("(",A51,"*'",H51,"'*",I51,"*'",J51,"'*'",K51,"'*",L51,"*",M51,"*",N51,"*",O51,"*",P51,"*",Q51,"*",S51,"*",U51,"*",W51,"*",Y51,"*",AA51,"*",AC51,"*",AD51,")*")</f>
        <v>(203*'48'*535*'12,7 / 14,27 / 22,22'*'0,015'*71*71*0*0*11,05*11,05*6*NULL*NULL*21*18*8*16)*</v>
      </c>
    </row>
    <row r="52" spans="1:33" ht="20.149999999999999" customHeight="1" x14ac:dyDescent="0.35">
      <c r="A52" s="3">
        <v>204</v>
      </c>
      <c r="B52" s="27" t="s">
        <v>5166</v>
      </c>
      <c r="C52" s="22">
        <v>42887</v>
      </c>
      <c r="D52" s="15">
        <v>1</v>
      </c>
      <c r="E52" s="5" t="s">
        <v>4145</v>
      </c>
      <c r="F52" s="5">
        <v>16</v>
      </c>
      <c r="G52" s="5">
        <v>16</v>
      </c>
      <c r="H52" s="7">
        <v>48</v>
      </c>
      <c r="I52" s="31">
        <v>770</v>
      </c>
      <c r="J52" s="30" t="s">
        <v>6235</v>
      </c>
      <c r="K52" s="5">
        <v>1.4999999999999999E-2</v>
      </c>
      <c r="L52" s="5">
        <v>70</v>
      </c>
      <c r="M52" s="5">
        <v>70</v>
      </c>
      <c r="N52" s="5">
        <v>45</v>
      </c>
      <c r="O52" s="5">
        <v>45</v>
      </c>
      <c r="P52" s="5">
        <v>0</v>
      </c>
      <c r="Q52" s="5">
        <v>0</v>
      </c>
      <c r="R52" s="5" t="s">
        <v>6191</v>
      </c>
      <c r="S52" s="5">
        <v>6</v>
      </c>
      <c r="T52" s="5" t="s">
        <v>972</v>
      </c>
      <c r="U52" s="5" t="s">
        <v>972</v>
      </c>
      <c r="V52" s="5" t="s">
        <v>972</v>
      </c>
      <c r="W52" s="5" t="s">
        <v>972</v>
      </c>
      <c r="X52" s="5" t="s">
        <v>5572</v>
      </c>
      <c r="Y52" s="5">
        <v>22</v>
      </c>
      <c r="Z52" s="35" t="s">
        <v>1123</v>
      </c>
      <c r="AA52" s="5">
        <v>32</v>
      </c>
      <c r="AB52" s="35" t="s">
        <v>4856</v>
      </c>
      <c r="AC52" s="5">
        <v>8</v>
      </c>
      <c r="AD52" s="5">
        <v>16</v>
      </c>
      <c r="AE52" s="5" t="s">
        <v>6236</v>
      </c>
      <c r="AF52" s="5"/>
      <c r="AG52" s="47" t="str">
        <f t="shared" si="6"/>
        <v>(204*'48'*770*'12,48 / 13,61 / 20,79 / 24,26'*'0,015'*70*70*45*45*0*0*6*NULL*NULL*22*32*8*16)*</v>
      </c>
    </row>
    <row r="53" spans="1:33" ht="20.149999999999999" customHeight="1" x14ac:dyDescent="0.35">
      <c r="A53" s="3">
        <v>205</v>
      </c>
      <c r="B53" s="27" t="s">
        <v>5167</v>
      </c>
      <c r="C53" s="22">
        <v>42736</v>
      </c>
      <c r="D53" s="15">
        <v>1</v>
      </c>
      <c r="E53" s="5" t="s">
        <v>4137</v>
      </c>
      <c r="F53" s="5">
        <v>14</v>
      </c>
      <c r="G53" s="5">
        <v>16</v>
      </c>
      <c r="H53" s="7">
        <v>48</v>
      </c>
      <c r="I53" s="31">
        <v>531</v>
      </c>
      <c r="J53" s="5" t="s">
        <v>6190</v>
      </c>
      <c r="K53" s="5">
        <v>1.4999999999999999E-2</v>
      </c>
      <c r="L53" s="5">
        <v>71</v>
      </c>
      <c r="M53" s="5">
        <v>71</v>
      </c>
      <c r="N53" s="5">
        <v>0</v>
      </c>
      <c r="O53" s="5">
        <v>0</v>
      </c>
      <c r="P53" s="5">
        <v>8.52</v>
      </c>
      <c r="Q53" s="5">
        <v>8.52</v>
      </c>
      <c r="R53" s="5" t="s">
        <v>6191</v>
      </c>
      <c r="S53" s="5">
        <v>6</v>
      </c>
      <c r="T53" s="5" t="s">
        <v>972</v>
      </c>
      <c r="U53" s="5" t="s">
        <v>972</v>
      </c>
      <c r="V53" s="5" t="s">
        <v>972</v>
      </c>
      <c r="W53" s="5" t="s">
        <v>972</v>
      </c>
      <c r="X53" s="5" t="s">
        <v>5569</v>
      </c>
      <c r="Y53" s="5">
        <v>21</v>
      </c>
      <c r="Z53" s="35" t="s">
        <v>6209</v>
      </c>
      <c r="AA53" s="5">
        <v>18</v>
      </c>
      <c r="AB53" s="35" t="s">
        <v>4856</v>
      </c>
      <c r="AC53" s="5">
        <v>8</v>
      </c>
      <c r="AD53" s="5">
        <v>16</v>
      </c>
      <c r="AE53" s="5" t="s">
        <v>6188</v>
      </c>
      <c r="AF53" s="5"/>
      <c r="AG53" s="47" t="str">
        <f t="shared" si="6"/>
        <v>(205*'48'*531*'12,7 / 14,27 / 22,22'*'0,015'*71*71*0*0*8,52*8,52*6*NULL*NULL*21*18*8*16)*</v>
      </c>
    </row>
    <row r="54" spans="1:33" ht="20.149999999999999" customHeight="1" x14ac:dyDescent="0.35">
      <c r="A54" s="3">
        <v>206</v>
      </c>
      <c r="B54" s="27" t="s">
        <v>5168</v>
      </c>
      <c r="C54" s="22">
        <v>43800</v>
      </c>
      <c r="D54" s="15">
        <v>1</v>
      </c>
      <c r="E54" s="5" t="s">
        <v>4145</v>
      </c>
      <c r="F54" s="5">
        <v>16</v>
      </c>
      <c r="G54" s="5">
        <v>16</v>
      </c>
      <c r="H54" s="7">
        <v>48</v>
      </c>
      <c r="I54" s="31">
        <v>345</v>
      </c>
      <c r="J54" s="5" t="s">
        <v>6237</v>
      </c>
      <c r="K54" s="5">
        <v>1.4999999999999999E-2</v>
      </c>
      <c r="L54" s="5">
        <v>70</v>
      </c>
      <c r="M54" s="5">
        <v>70</v>
      </c>
      <c r="N54" s="5">
        <v>45</v>
      </c>
      <c r="O54" s="5">
        <v>45</v>
      </c>
      <c r="P54" s="5">
        <v>0</v>
      </c>
      <c r="Q54" s="5">
        <v>0</v>
      </c>
      <c r="R54" s="5" t="s">
        <v>6191</v>
      </c>
      <c r="S54" s="5">
        <v>6</v>
      </c>
      <c r="T54" s="5" t="s">
        <v>972</v>
      </c>
      <c r="U54" s="5" t="s">
        <v>972</v>
      </c>
      <c r="V54" s="5" t="s">
        <v>972</v>
      </c>
      <c r="W54" s="5" t="s">
        <v>972</v>
      </c>
      <c r="X54" s="5" t="s">
        <v>5572</v>
      </c>
      <c r="Y54" s="5">
        <v>22</v>
      </c>
      <c r="Z54" s="35" t="s">
        <v>6238</v>
      </c>
      <c r="AA54" s="5"/>
      <c r="AB54" s="35" t="s">
        <v>4856</v>
      </c>
      <c r="AC54" s="5">
        <v>8</v>
      </c>
      <c r="AD54" s="5"/>
      <c r="AE54" s="5"/>
      <c r="AF54" s="5"/>
      <c r="AG54" s="47" t="str">
        <f t="shared" si="1"/>
        <v>(206*'48'*345*'12,95 / 14,27 / 22,23'*'0,015'*70*70*45*45*0*0*6*NULL*NULL*22**8)*</v>
      </c>
    </row>
    <row r="55" spans="1:33" ht="20.149999999999999" customHeight="1" x14ac:dyDescent="0.35">
      <c r="A55" s="3">
        <v>207</v>
      </c>
      <c r="B55" s="27" t="s">
        <v>4153</v>
      </c>
      <c r="C55" s="22">
        <v>35065</v>
      </c>
      <c r="D55" s="15">
        <v>1</v>
      </c>
      <c r="E55" s="5" t="s">
        <v>4153</v>
      </c>
      <c r="F55" s="5">
        <v>18</v>
      </c>
      <c r="G55" s="5">
        <v>16</v>
      </c>
      <c r="H55" s="7">
        <v>48</v>
      </c>
      <c r="I55" s="31">
        <v>521</v>
      </c>
      <c r="J55" s="5" t="s">
        <v>6190</v>
      </c>
      <c r="K55" s="5">
        <v>1.4999999999999999E-2</v>
      </c>
      <c r="L55" s="5">
        <v>71</v>
      </c>
      <c r="M55" s="5">
        <v>50.81</v>
      </c>
      <c r="N55" s="5">
        <v>0</v>
      </c>
      <c r="O55" s="5">
        <v>0</v>
      </c>
      <c r="P55" s="5">
        <v>11.47</v>
      </c>
      <c r="Q55" s="5">
        <v>11.47</v>
      </c>
      <c r="R55" s="5" t="s">
        <v>6191</v>
      </c>
      <c r="S55" s="5">
        <v>6</v>
      </c>
      <c r="T55" s="5" t="s">
        <v>6192</v>
      </c>
      <c r="U55" s="5">
        <v>9</v>
      </c>
      <c r="V55" s="5" t="s">
        <v>6172</v>
      </c>
      <c r="W55" s="5">
        <v>17</v>
      </c>
      <c r="X55" s="5" t="s">
        <v>6193</v>
      </c>
      <c r="Y55" s="5">
        <v>16</v>
      </c>
      <c r="Z55" s="35" t="s">
        <v>4856</v>
      </c>
      <c r="AA55" s="5">
        <v>8</v>
      </c>
      <c r="AB55" s="35" t="s">
        <v>6194</v>
      </c>
      <c r="AC55" s="5">
        <v>12</v>
      </c>
      <c r="AD55" s="5">
        <v>16</v>
      </c>
      <c r="AE55" s="5" t="s">
        <v>6164</v>
      </c>
      <c r="AF55" s="5"/>
      <c r="AG55" s="47" t="str">
        <f t="shared" ref="AG55:AG59" si="7">CONCATENATE("(",A55,"*'",H55,"'*",I55,"*'",J55,"'*'",K55,"'*",L55,"*",M55,"*",N55,"*",O55,"*",P55,"*",Q55,"*",S55,"*",U55,"*",W55,"*",Y55,"*",AA55,"*",AC55,"*",AD55,")*")</f>
        <v>(207*'48'*521*'12,7 / 14,27 / 22,22'*'0,015'*71*50,81*0*0*11,47*11,47*6*9*17*16*8*12*16)*</v>
      </c>
    </row>
    <row r="56" spans="1:33" ht="20.149999999999999" customHeight="1" x14ac:dyDescent="0.35">
      <c r="A56" s="3">
        <v>208</v>
      </c>
      <c r="B56" s="27" t="s">
        <v>5169</v>
      </c>
      <c r="C56" s="22">
        <v>44197</v>
      </c>
      <c r="D56" s="15">
        <v>1</v>
      </c>
      <c r="E56" s="5" t="s">
        <v>4153</v>
      </c>
      <c r="F56" s="5">
        <v>18</v>
      </c>
      <c r="G56" s="5">
        <v>16</v>
      </c>
      <c r="H56" s="7">
        <v>48</v>
      </c>
      <c r="I56" s="31">
        <v>198</v>
      </c>
      <c r="J56" s="5" t="s">
        <v>6195</v>
      </c>
      <c r="K56" s="5">
        <v>1.4999999999999999E-2</v>
      </c>
      <c r="L56" s="5">
        <v>70</v>
      </c>
      <c r="M56" s="5">
        <v>0</v>
      </c>
      <c r="N56" s="5">
        <v>0</v>
      </c>
      <c r="O56" s="5">
        <v>0</v>
      </c>
      <c r="P56" s="5">
        <v>9</v>
      </c>
      <c r="Q56" s="5">
        <v>9</v>
      </c>
      <c r="R56" s="5" t="s">
        <v>5637</v>
      </c>
      <c r="S56" s="5">
        <v>4</v>
      </c>
      <c r="T56" s="5" t="s">
        <v>972</v>
      </c>
      <c r="U56" s="5" t="s">
        <v>972</v>
      </c>
      <c r="V56" s="5" t="s">
        <v>972</v>
      </c>
      <c r="W56" s="5" t="s">
        <v>972</v>
      </c>
      <c r="X56" s="5" t="s">
        <v>6193</v>
      </c>
      <c r="Y56" s="5">
        <v>16</v>
      </c>
      <c r="Z56" s="35" t="s">
        <v>6194</v>
      </c>
      <c r="AA56" s="5">
        <v>12</v>
      </c>
      <c r="AB56" s="35" t="s">
        <v>2048</v>
      </c>
      <c r="AC56" s="5">
        <v>3</v>
      </c>
      <c r="AD56" s="5">
        <v>16</v>
      </c>
      <c r="AE56" s="5" t="s">
        <v>6169</v>
      </c>
      <c r="AF56" s="5"/>
      <c r="AG56" s="47" t="str">
        <f t="shared" si="7"/>
        <v>(208*'48'*198*'13,61/  14,27 / 20,79 / 22,23'*'0,015'*70*0*0*0*9*9*4*NULL*NULL*16*12*3*16)*</v>
      </c>
    </row>
    <row r="57" spans="1:33" ht="20.149999999999999" customHeight="1" x14ac:dyDescent="0.35">
      <c r="A57" s="3">
        <v>209</v>
      </c>
      <c r="B57" s="27" t="s">
        <v>5170</v>
      </c>
      <c r="C57" s="22">
        <v>29952</v>
      </c>
      <c r="D57" s="15">
        <v>1</v>
      </c>
      <c r="E57" s="5" t="s">
        <v>4149</v>
      </c>
      <c r="F57" s="5">
        <v>17</v>
      </c>
      <c r="G57" s="5">
        <v>16</v>
      </c>
      <c r="H57" s="7">
        <v>48</v>
      </c>
      <c r="I57" s="31">
        <v>548.28499999999997</v>
      </c>
      <c r="J57" s="5" t="s">
        <v>6190</v>
      </c>
      <c r="K57" s="5">
        <v>1.4999999999999999E-2</v>
      </c>
      <c r="L57" s="5">
        <v>70</v>
      </c>
      <c r="M57" s="5">
        <v>70</v>
      </c>
      <c r="N57" s="5">
        <v>0</v>
      </c>
      <c r="O57" s="5">
        <v>0</v>
      </c>
      <c r="P57" s="5">
        <v>11.99</v>
      </c>
      <c r="Q57" s="5">
        <v>11.99</v>
      </c>
      <c r="R57" s="5" t="s">
        <v>6163</v>
      </c>
      <c r="S57" s="5">
        <v>4</v>
      </c>
      <c r="T57" s="5" t="s">
        <v>5661</v>
      </c>
      <c r="U57" s="5">
        <v>14</v>
      </c>
      <c r="V57" s="5" t="s">
        <v>6172</v>
      </c>
      <c r="W57" s="5">
        <v>17</v>
      </c>
      <c r="X57" s="5" t="s">
        <v>5566</v>
      </c>
      <c r="Y57" s="5">
        <v>19</v>
      </c>
      <c r="Z57" s="35" t="s">
        <v>4856</v>
      </c>
      <c r="AA57" s="5">
        <v>8</v>
      </c>
      <c r="AB57" s="35" t="s">
        <v>5488</v>
      </c>
      <c r="AC57" s="5">
        <v>2</v>
      </c>
      <c r="AD57" s="5">
        <v>16</v>
      </c>
      <c r="AE57" s="5" t="s">
        <v>4624</v>
      </c>
      <c r="AF57" s="5"/>
      <c r="AG57" s="47" t="str">
        <f t="shared" si="7"/>
        <v>(209*'48'*548,285*'12,7 / 14,27 / 22,22'*'0,015'*70*70*0*0*11,99*11,99*4*14*17*19*8*2*16)*</v>
      </c>
    </row>
    <row r="58" spans="1:33" ht="20.149999999999999" customHeight="1" x14ac:dyDescent="0.35">
      <c r="A58" s="3">
        <v>210</v>
      </c>
      <c r="B58" s="27" t="s">
        <v>5171</v>
      </c>
      <c r="C58" s="22">
        <v>31778</v>
      </c>
      <c r="D58" s="15">
        <v>1</v>
      </c>
      <c r="E58" s="5" t="s">
        <v>4149</v>
      </c>
      <c r="F58" s="5">
        <v>17</v>
      </c>
      <c r="G58" s="5">
        <v>16</v>
      </c>
      <c r="H58" s="7">
        <v>48</v>
      </c>
      <c r="I58" s="31">
        <v>548.28499999999997</v>
      </c>
      <c r="J58" s="5" t="s">
        <v>6190</v>
      </c>
      <c r="K58" s="5">
        <v>1.4999999999999999E-2</v>
      </c>
      <c r="L58" s="5">
        <v>70</v>
      </c>
      <c r="M58" s="5">
        <v>70</v>
      </c>
      <c r="N58" s="5">
        <v>0</v>
      </c>
      <c r="O58" s="5">
        <v>0</v>
      </c>
      <c r="P58" s="5">
        <v>11.99</v>
      </c>
      <c r="Q58" s="5">
        <v>11.99</v>
      </c>
      <c r="R58" s="5" t="s">
        <v>6163</v>
      </c>
      <c r="S58" s="5">
        <v>4</v>
      </c>
      <c r="T58" s="5" t="s">
        <v>5661</v>
      </c>
      <c r="U58" s="5">
        <v>14</v>
      </c>
      <c r="V58" s="5" t="s">
        <v>6172</v>
      </c>
      <c r="W58" s="5">
        <v>17</v>
      </c>
      <c r="X58" s="5" t="s">
        <v>5566</v>
      </c>
      <c r="Y58" s="5">
        <v>19</v>
      </c>
      <c r="Z58" s="35" t="s">
        <v>4856</v>
      </c>
      <c r="AA58" s="5">
        <v>8</v>
      </c>
      <c r="AB58" s="35" t="s">
        <v>5488</v>
      </c>
      <c r="AC58" s="5">
        <v>2</v>
      </c>
      <c r="AD58" s="5">
        <v>16</v>
      </c>
      <c r="AE58" s="5" t="s">
        <v>6203</v>
      </c>
      <c r="AF58" s="5"/>
      <c r="AG58" s="47" t="str">
        <f t="shared" si="7"/>
        <v>(210*'48'*548,285*'12,7 / 14,27 / 22,22'*'0,015'*70*70*0*0*11,99*11,99*4*14*17*19*8*2*16)*</v>
      </c>
    </row>
    <row r="59" spans="1:33" ht="20.149999999999999" customHeight="1" x14ac:dyDescent="0.35">
      <c r="A59" s="3">
        <v>211</v>
      </c>
      <c r="B59" s="27" t="s">
        <v>5172</v>
      </c>
      <c r="C59" s="22">
        <v>39448</v>
      </c>
      <c r="D59" s="15">
        <v>1</v>
      </c>
      <c r="E59" s="5" t="s">
        <v>4149</v>
      </c>
      <c r="F59" s="5">
        <v>17</v>
      </c>
      <c r="G59" s="5">
        <v>16</v>
      </c>
      <c r="H59" s="7">
        <v>48</v>
      </c>
      <c r="I59" s="31">
        <v>548.28499999999997</v>
      </c>
      <c r="J59" s="5" t="s">
        <v>6190</v>
      </c>
      <c r="K59" s="5">
        <v>1.4999999999999999E-2</v>
      </c>
      <c r="L59" s="5">
        <v>70</v>
      </c>
      <c r="M59" s="5">
        <v>70</v>
      </c>
      <c r="N59" s="5">
        <v>0</v>
      </c>
      <c r="O59" s="5">
        <v>0</v>
      </c>
      <c r="P59" s="5">
        <v>8.74</v>
      </c>
      <c r="Q59" s="5">
        <v>8.74</v>
      </c>
      <c r="R59" s="5" t="s">
        <v>6163</v>
      </c>
      <c r="S59" s="5">
        <v>4</v>
      </c>
      <c r="T59" s="5" t="s">
        <v>6202</v>
      </c>
      <c r="U59" s="5">
        <v>11</v>
      </c>
      <c r="V59" s="5" t="s">
        <v>6172</v>
      </c>
      <c r="W59" s="5">
        <v>17</v>
      </c>
      <c r="X59" s="5" t="s">
        <v>5566</v>
      </c>
      <c r="Y59" s="5">
        <v>19</v>
      </c>
      <c r="Z59" s="35" t="s">
        <v>4856</v>
      </c>
      <c r="AA59" s="5">
        <v>8</v>
      </c>
      <c r="AB59" s="35" t="s">
        <v>5488</v>
      </c>
      <c r="AC59" s="5">
        <v>2</v>
      </c>
      <c r="AD59" s="5">
        <v>16</v>
      </c>
      <c r="AE59" s="5" t="s">
        <v>6204</v>
      </c>
      <c r="AF59" s="5"/>
      <c r="AG59" s="47" t="str">
        <f t="shared" si="7"/>
        <v>(211*'48'*548,285*'12,7 / 14,27 / 22,22'*'0,015'*70*70*0*0*8,74*8,74*4*11*17*19*8*2*16)*</v>
      </c>
    </row>
  </sheetData>
  <autoFilter ref="A1:AC59" xr:uid="{00000000-0009-0000-0000-00002E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6091</v>
      </c>
      <c r="B1" s="1" t="s">
        <v>4798</v>
      </c>
      <c r="C1" s="1" t="s">
        <v>5603</v>
      </c>
    </row>
    <row r="2" spans="1:3" ht="20.149999999999999" customHeight="1" x14ac:dyDescent="0.35">
      <c r="A2" s="1" t="s">
        <v>41</v>
      </c>
      <c r="B2" s="1" t="s">
        <v>42</v>
      </c>
      <c r="C2" s="1" t="s">
        <v>6101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F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6470</v>
      </c>
      <c r="D1" s="1" t="s">
        <v>6469</v>
      </c>
      <c r="E1" s="1" t="s">
        <v>6471</v>
      </c>
      <c r="F1" s="1" t="s">
        <v>5603</v>
      </c>
    </row>
    <row r="2" spans="1:6" ht="20.149999999999999" customHeight="1" x14ac:dyDescent="0.35">
      <c r="A2" s="40" t="s">
        <v>44</v>
      </c>
      <c r="B2" s="40" t="s">
        <v>41</v>
      </c>
      <c r="C2" s="40" t="s">
        <v>42</v>
      </c>
      <c r="D2" s="40" t="s">
        <v>43</v>
      </c>
      <c r="E2" s="40" t="s">
        <v>53</v>
      </c>
      <c r="F2" s="1" t="s">
        <v>6692</v>
      </c>
    </row>
    <row r="3" spans="1:6" ht="20.149999999999999" customHeight="1" x14ac:dyDescent="0.35">
      <c r="A3" s="3">
        <v>1</v>
      </c>
      <c r="B3" s="3" t="s">
        <v>6656</v>
      </c>
      <c r="C3" s="4" t="s">
        <v>6657</v>
      </c>
      <c r="D3" s="4" t="s">
        <v>6658</v>
      </c>
      <c r="E3" s="4" t="s">
        <v>6658</v>
      </c>
      <c r="F3" s="4" t="str">
        <f>CONCATENATE("(",A3,",'",B3,"','",C3,"','",D3,"','",E3,"'),")</f>
        <v>(1,'PRODUCTION','إنتاج','Production','Production'),</v>
      </c>
    </row>
    <row r="4" spans="1:6" ht="20.149999999999999" customHeight="1" x14ac:dyDescent="0.35">
      <c r="A4" s="3">
        <v>2</v>
      </c>
      <c r="B4" s="3" t="s">
        <v>6659</v>
      </c>
      <c r="C4" s="4" t="s">
        <v>6660</v>
      </c>
      <c r="D4" s="4" t="s">
        <v>6661</v>
      </c>
      <c r="E4" s="4" t="s">
        <v>6661</v>
      </c>
      <c r="F4" s="4" t="str">
        <f t="shared" ref="F4:F12" si="0">CONCATENATE("(",A4,",'",B4,"','",C4,"','",D4,"','",E4,"'),")</f>
        <v>(2,'TRANSPORT','نقل','Transport','Transport'),</v>
      </c>
    </row>
    <row r="5" spans="1:6" ht="20.149999999999999" customHeight="1" x14ac:dyDescent="0.35">
      <c r="A5" s="3">
        <v>3</v>
      </c>
      <c r="B5" s="3" t="s">
        <v>6662</v>
      </c>
      <c r="C5" s="4" t="s">
        <v>6663</v>
      </c>
      <c r="D5" s="4" t="s">
        <v>6116</v>
      </c>
      <c r="E5" s="4" t="s">
        <v>6664</v>
      </c>
      <c r="F5" s="4" t="str">
        <f t="shared" si="0"/>
        <v>(3,'EXPORT','تصدير','Export','Exportation'),</v>
      </c>
    </row>
    <row r="6" spans="1:6" ht="20.149999999999999" customHeight="1" x14ac:dyDescent="0.35">
      <c r="A6" s="3">
        <v>4</v>
      </c>
      <c r="B6" s="3" t="s">
        <v>6665</v>
      </c>
      <c r="C6" s="4" t="s">
        <v>6666</v>
      </c>
      <c r="D6" s="4" t="s">
        <v>6667</v>
      </c>
      <c r="E6" s="4" t="s">
        <v>6668</v>
      </c>
      <c r="F6" s="4" t="str">
        <f t="shared" si="0"/>
        <v>(4,'IMPORT','استيراد','Import','Importation'),</v>
      </c>
    </row>
    <row r="7" spans="1:6" ht="20.149999999999999" customHeight="1" x14ac:dyDescent="0.35">
      <c r="A7" s="3">
        <v>5</v>
      </c>
      <c r="B7" s="3" t="s">
        <v>6669</v>
      </c>
      <c r="C7" s="4" t="s">
        <v>6670</v>
      </c>
      <c r="D7" s="4" t="s">
        <v>6671</v>
      </c>
      <c r="E7" s="4" t="s">
        <v>6672</v>
      </c>
      <c r="F7" s="4" t="str">
        <f t="shared" si="0"/>
        <v>(5,'STORAGE_IN','تخزين - دخول','Storage In','Stockage - Entrée'),</v>
      </c>
    </row>
    <row r="8" spans="1:6" ht="20.149999999999999" customHeight="1" x14ac:dyDescent="0.35">
      <c r="A8" s="3">
        <v>6</v>
      </c>
      <c r="B8" s="3" t="s">
        <v>6673</v>
      </c>
      <c r="C8" s="4" t="s">
        <v>6674</v>
      </c>
      <c r="D8" s="4" t="s">
        <v>6675</v>
      </c>
      <c r="E8" s="4" t="s">
        <v>6676</v>
      </c>
      <c r="F8" s="4" t="str">
        <f t="shared" si="0"/>
        <v>(6,'STORAGE_OUT','تخزين - خروج','Storage Out','Stockage - Sortie'),</v>
      </c>
    </row>
    <row r="9" spans="1:6" ht="20.149999999999999" customHeight="1" x14ac:dyDescent="0.35">
      <c r="A9" s="3">
        <v>7</v>
      </c>
      <c r="B9" s="3" t="s">
        <v>6677</v>
      </c>
      <c r="C9" s="4" t="s">
        <v>6678</v>
      </c>
      <c r="D9" s="4" t="s">
        <v>6679</v>
      </c>
      <c r="E9" s="4" t="s">
        <v>6680</v>
      </c>
      <c r="F9" s="4" t="str">
        <f t="shared" si="0"/>
        <v>(7,'CONSUMPTION','استهلاك','Consumption','Consommation'),</v>
      </c>
    </row>
    <row r="10" spans="1:6" ht="20.149999999999999" customHeight="1" x14ac:dyDescent="0.35">
      <c r="A10" s="3">
        <v>8</v>
      </c>
      <c r="B10" s="3" t="s">
        <v>6681</v>
      </c>
      <c r="C10" s="4" t="s">
        <v>6682</v>
      </c>
      <c r="D10" s="4" t="s">
        <v>6683</v>
      </c>
      <c r="E10" s="4" t="s">
        <v>6683</v>
      </c>
      <c r="F10" s="4" t="str">
        <f t="shared" si="0"/>
        <v>(8,'INJECTION','حقن','Injection','Injection'),</v>
      </c>
    </row>
    <row r="11" spans="1:6" ht="20.149999999999999" customHeight="1" x14ac:dyDescent="0.35">
      <c r="A11" s="3">
        <v>9</v>
      </c>
      <c r="B11" s="3" t="s">
        <v>6684</v>
      </c>
      <c r="C11" s="4" t="s">
        <v>6685</v>
      </c>
      <c r="D11" s="4" t="s">
        <v>6686</v>
      </c>
      <c r="E11" s="4" t="s">
        <v>6687</v>
      </c>
      <c r="F11" s="4" t="str">
        <f t="shared" si="0"/>
        <v>(9,'FLARING','حرق','Flaring','Torchage'),</v>
      </c>
    </row>
    <row r="12" spans="1:6" ht="20.149999999999999" customHeight="1" x14ac:dyDescent="0.35">
      <c r="A12" s="3">
        <v>10</v>
      </c>
      <c r="B12" s="3" t="s">
        <v>6688</v>
      </c>
      <c r="C12" s="4" t="s">
        <v>6689</v>
      </c>
      <c r="D12" s="4" t="s">
        <v>6690</v>
      </c>
      <c r="E12" s="4" t="s">
        <v>6691</v>
      </c>
      <c r="F12" s="4" t="str">
        <f t="shared" si="0"/>
        <v>(10,'TRANSFER','نقل داخلي','Transfer','Transfert'),</v>
      </c>
    </row>
  </sheetData>
  <autoFilter ref="A2:F12" xr:uid="{00000000-0009-0000-0000-000030000000}"/>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6470</v>
      </c>
      <c r="D1" s="1" t="s">
        <v>6469</v>
      </c>
      <c r="E1" s="1" t="s">
        <v>6471</v>
      </c>
      <c r="F1" s="1" t="s">
        <v>5603</v>
      </c>
    </row>
    <row r="2" spans="1:6" ht="20.149999999999999" customHeight="1" x14ac:dyDescent="0.35">
      <c r="A2" s="40" t="s">
        <v>44</v>
      </c>
      <c r="B2" s="40" t="s">
        <v>41</v>
      </c>
      <c r="C2" s="40" t="s">
        <v>42</v>
      </c>
      <c r="D2" s="40" t="s">
        <v>43</v>
      </c>
      <c r="E2" s="40" t="s">
        <v>53</v>
      </c>
      <c r="F2" s="1" t="s">
        <v>6732</v>
      </c>
    </row>
    <row r="3" spans="1:6" ht="20.149999999999999" customHeight="1" x14ac:dyDescent="0.35">
      <c r="A3" s="3">
        <v>1</v>
      </c>
      <c r="B3" s="3" t="s">
        <v>6693</v>
      </c>
      <c r="C3" s="4" t="s">
        <v>6694</v>
      </c>
      <c r="D3" s="4" t="s">
        <v>6696</v>
      </c>
      <c r="E3" s="4" t="s">
        <v>6695</v>
      </c>
      <c r="F3" s="4" t="str">
        <f>CONCATENATE("(",A3,",'",B3,"','",C3,"','",D3,"','",E3,"'),")</f>
        <v>(1,'EMERGENCY_SHUTDOWN','إيقاف طارئ','Arrêt d'Urgence','Emergency Shutdown'),</v>
      </c>
    </row>
    <row r="4" spans="1:6" ht="20.149999999999999" customHeight="1" x14ac:dyDescent="0.35">
      <c r="A4" s="3">
        <v>2</v>
      </c>
      <c r="B4" s="3" t="s">
        <v>6697</v>
      </c>
      <c r="C4" s="4" t="s">
        <v>6698</v>
      </c>
      <c r="D4" s="4" t="s">
        <v>6700</v>
      </c>
      <c r="E4" s="4" t="s">
        <v>6699</v>
      </c>
      <c r="F4" s="4" t="str">
        <f t="shared" ref="F4:F12" si="0">CONCATENATE("(",A4,",'",B4,"','",C4,"','",D4,"','",E4,"'),")</f>
        <v>(2,'PLANNED_MAINT','صيانة مخططة','Maintenance Planifiée','Planned Maintenance'),</v>
      </c>
    </row>
    <row r="5" spans="1:6" ht="20.149999999999999" customHeight="1" x14ac:dyDescent="0.35">
      <c r="A5" s="3">
        <v>3</v>
      </c>
      <c r="B5" s="3" t="s">
        <v>6701</v>
      </c>
      <c r="C5" s="4" t="s">
        <v>6702</v>
      </c>
      <c r="D5" s="4" t="s">
        <v>6704</v>
      </c>
      <c r="E5" s="4" t="s">
        <v>6703</v>
      </c>
      <c r="F5" s="4" t="str">
        <f t="shared" si="0"/>
        <v>(3,'CORRECTIVE_MAINT','صيانة تصحيحية','Maintenance Corrective','Corrective Maintenance'),</v>
      </c>
    </row>
    <row r="6" spans="1:6" ht="20.149999999999999" customHeight="1" x14ac:dyDescent="0.35">
      <c r="A6" s="3">
        <v>4</v>
      </c>
      <c r="B6" s="3" t="s">
        <v>6705</v>
      </c>
      <c r="C6" s="4" t="s">
        <v>6706</v>
      </c>
      <c r="D6" s="4" t="s">
        <v>6708</v>
      </c>
      <c r="E6" s="4" t="s">
        <v>6707</v>
      </c>
      <c r="F6" s="4" t="str">
        <f t="shared" si="0"/>
        <v>(4,'EQUIPMENT_FAILURE','عطل في المعدات','Panne d'Équipement','Equipment Failure'),</v>
      </c>
    </row>
    <row r="7" spans="1:6" ht="20.149999999999999" customHeight="1" x14ac:dyDescent="0.35">
      <c r="A7" s="3">
        <v>5</v>
      </c>
      <c r="B7" s="3" t="s">
        <v>6709</v>
      </c>
      <c r="C7" s="4" t="s">
        <v>6710</v>
      </c>
      <c r="D7" s="4" t="s">
        <v>6712</v>
      </c>
      <c r="E7" s="4" t="s">
        <v>6711</v>
      </c>
      <c r="F7" s="4" t="str">
        <f t="shared" si="0"/>
        <v>(5,'SAFETY_INCIDENT','حادث أمان','Incident de Sécurité','Safety Incident'),</v>
      </c>
    </row>
    <row r="8" spans="1:6" ht="20.149999999999999" customHeight="1" x14ac:dyDescent="0.35">
      <c r="A8" s="3">
        <v>6</v>
      </c>
      <c r="B8" s="3" t="s">
        <v>6713</v>
      </c>
      <c r="C8" s="4" t="s">
        <v>6714</v>
      </c>
      <c r="D8" s="4" t="s">
        <v>6715</v>
      </c>
      <c r="E8" s="4" t="s">
        <v>6715</v>
      </c>
      <c r="F8" s="4" t="str">
        <f t="shared" si="0"/>
        <v>(6,'INSPECTION','تفتيش','Inspection','Inspection'),</v>
      </c>
    </row>
    <row r="9" spans="1:6" ht="20.149999999999999" customHeight="1" x14ac:dyDescent="0.35">
      <c r="A9" s="3">
        <v>7</v>
      </c>
      <c r="B9" s="3" t="s">
        <v>6716</v>
      </c>
      <c r="C9" s="4" t="s">
        <v>6717</v>
      </c>
      <c r="D9" s="4" t="s">
        <v>6719</v>
      </c>
      <c r="E9" s="4" t="s">
        <v>6718</v>
      </c>
      <c r="F9" s="4" t="str">
        <f t="shared" si="0"/>
        <v>(7,'STARTUP','بدء التشغيل','Démarrage','Startup'),</v>
      </c>
    </row>
    <row r="10" spans="1:6" ht="20.149999999999999" customHeight="1" x14ac:dyDescent="0.35">
      <c r="A10" s="3">
        <v>8</v>
      </c>
      <c r="B10" s="3" t="s">
        <v>6720</v>
      </c>
      <c r="C10" s="4" t="s">
        <v>6721</v>
      </c>
      <c r="D10" s="4" t="s">
        <v>6723</v>
      </c>
      <c r="E10" s="4" t="s">
        <v>6722</v>
      </c>
      <c r="F10" s="4" t="str">
        <f t="shared" si="0"/>
        <v>(8,'NORMAL_SHUTDOWN','إيقاف عادي','Arrêt Normal','Normal Shutdown'),</v>
      </c>
    </row>
    <row r="11" spans="1:6" ht="20.149999999999999" customHeight="1" x14ac:dyDescent="0.35">
      <c r="A11" s="3">
        <v>9</v>
      </c>
      <c r="B11" s="3" t="s">
        <v>6724</v>
      </c>
      <c r="C11" s="4" t="s">
        <v>6725</v>
      </c>
      <c r="D11" s="4" t="s">
        <v>6727</v>
      </c>
      <c r="E11" s="4" t="s">
        <v>6726</v>
      </c>
      <c r="F11" s="4" t="str">
        <f t="shared" si="0"/>
        <v>(9,'PROCESS_UPSET','اضطراب العملية','Perturbation du Processus','Process Upset'),</v>
      </c>
    </row>
    <row r="12" spans="1:6" ht="20.149999999999999" customHeight="1" x14ac:dyDescent="0.35">
      <c r="A12" s="3">
        <v>10</v>
      </c>
      <c r="B12" s="3" t="s">
        <v>6728</v>
      </c>
      <c r="C12" s="4" t="s">
        <v>6729</v>
      </c>
      <c r="D12" s="4" t="s">
        <v>6731</v>
      </c>
      <c r="E12" s="4" t="s">
        <v>6730</v>
      </c>
      <c r="F12" s="4" t="str">
        <f t="shared" si="0"/>
        <v>(10,'LEAK_DETECTION','كشف التسرب','Détection de Fuite','Leak Detection'),</v>
      </c>
    </row>
  </sheetData>
  <autoFilter ref="A2:F12" xr:uid="{00000000-0009-0000-0000-000031000000}"/>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7030A0"/>
  </sheetPr>
  <dimension ref="A1:E8"/>
  <sheetViews>
    <sheetView workbookViewId="0">
      <selection activeCell="C18" sqref="C1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6470</v>
      </c>
      <c r="C1" s="1" t="s">
        <v>6469</v>
      </c>
      <c r="D1" s="1" t="s">
        <v>6471</v>
      </c>
      <c r="E1" s="1" t="s">
        <v>5603</v>
      </c>
    </row>
    <row r="2" spans="1:5" ht="20.149999999999999" customHeight="1" x14ac:dyDescent="0.35">
      <c r="A2" s="40" t="s">
        <v>44</v>
      </c>
      <c r="B2" s="40" t="s">
        <v>41</v>
      </c>
      <c r="C2" s="40" t="s">
        <v>42</v>
      </c>
      <c r="D2" s="40" t="s">
        <v>43</v>
      </c>
      <c r="E2" s="1" t="s">
        <v>6468</v>
      </c>
    </row>
    <row r="3" spans="1:5" ht="20.149999999999999" customHeight="1" x14ac:dyDescent="0.35">
      <c r="A3" s="3">
        <v>1</v>
      </c>
      <c r="B3" s="4" t="s">
        <v>6450</v>
      </c>
      <c r="C3" s="4" t="s">
        <v>6451</v>
      </c>
      <c r="D3" s="4" t="s">
        <v>6452</v>
      </c>
      <c r="E3" s="4" t="str">
        <f>CONCATENATE("(",A3,",'",B3,"','",C3,"','",D3,"'),")</f>
        <v>(1,'مجدول','Scheduled','Planifié'),</v>
      </c>
    </row>
    <row r="4" spans="1:5" ht="20.149999999999999" customHeight="1" x14ac:dyDescent="0.35">
      <c r="A4" s="3">
        <v>2</v>
      </c>
      <c r="B4" s="4" t="s">
        <v>6453</v>
      </c>
      <c r="C4" s="4" t="s">
        <v>6454</v>
      </c>
      <c r="D4" s="4" t="s">
        <v>6455</v>
      </c>
      <c r="E4" s="4" t="str">
        <f t="shared" ref="E4:E8" si="0">CONCATENATE("(",A4,",'",B4,"','",C4,"','",D4,"'),")</f>
        <v>(2,'جاري','Ongoing','En Cours'),</v>
      </c>
    </row>
    <row r="5" spans="1:5" ht="20.149999999999999" customHeight="1" x14ac:dyDescent="0.35">
      <c r="A5" s="3">
        <v>3</v>
      </c>
      <c r="B5" s="4" t="s">
        <v>6456</v>
      </c>
      <c r="C5" s="4" t="s">
        <v>6457</v>
      </c>
      <c r="D5" s="4" t="s">
        <v>6458</v>
      </c>
      <c r="E5" s="4" t="str">
        <f t="shared" si="0"/>
        <v>(3,'مكتمل','Completed','Terminé'),</v>
      </c>
    </row>
    <row r="6" spans="1:5" ht="20.149999999999999" customHeight="1" x14ac:dyDescent="0.35">
      <c r="A6" s="3">
        <v>4</v>
      </c>
      <c r="B6" s="4" t="s">
        <v>6459</v>
      </c>
      <c r="C6" s="4" t="s">
        <v>6460</v>
      </c>
      <c r="D6" s="4" t="s">
        <v>6461</v>
      </c>
      <c r="E6" s="4" t="str">
        <f t="shared" si="0"/>
        <v>(4,'ملغى','Cancelled','Annulé'),</v>
      </c>
    </row>
    <row r="7" spans="1:5" ht="20.149999999999999" customHeight="1" x14ac:dyDescent="0.35">
      <c r="A7" s="3">
        <v>5</v>
      </c>
      <c r="B7" s="4" t="s">
        <v>6462</v>
      </c>
      <c r="C7" s="4" t="s">
        <v>6463</v>
      </c>
      <c r="D7" s="4" t="s">
        <v>6464</v>
      </c>
      <c r="E7" s="4" t="str">
        <f t="shared" si="0"/>
        <v>(5,'مؤجل','Postponed','Reporté'),</v>
      </c>
    </row>
    <row r="8" spans="1:5" ht="20.149999999999999" customHeight="1" x14ac:dyDescent="0.35">
      <c r="A8" s="3">
        <v>6</v>
      </c>
      <c r="B8" s="4" t="s">
        <v>6465</v>
      </c>
      <c r="C8" s="4" t="s">
        <v>6466</v>
      </c>
      <c r="D8" s="4" t="s">
        <v>6467</v>
      </c>
      <c r="E8" s="4" t="str">
        <f t="shared" si="0"/>
        <v>(6,'قيد التحقيق','Under Investigation','En Investigation'),</v>
      </c>
    </row>
  </sheetData>
  <autoFilter ref="A2:E8" xr:uid="{00000000-0009-0000-0000-000032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7030A0"/>
  </sheetPr>
  <dimension ref="A1:E9"/>
  <sheetViews>
    <sheetView workbookViewId="0">
      <selection activeCell="E2" sqref="E2:E9"/>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6470</v>
      </c>
      <c r="C1" s="1" t="s">
        <v>6469</v>
      </c>
      <c r="D1" s="1" t="s">
        <v>6471</v>
      </c>
      <c r="E1" s="1" t="s">
        <v>5603</v>
      </c>
    </row>
    <row r="2" spans="1:5" ht="20.149999999999999" customHeight="1" x14ac:dyDescent="0.35">
      <c r="A2" s="40" t="s">
        <v>44</v>
      </c>
      <c r="B2" s="40" t="s">
        <v>41</v>
      </c>
      <c r="C2" s="40" t="s">
        <v>42</v>
      </c>
      <c r="D2" s="40" t="s">
        <v>43</v>
      </c>
      <c r="E2" s="1" t="s">
        <v>6472</v>
      </c>
    </row>
    <row r="3" spans="1:5" ht="20.149999999999999" customHeight="1" x14ac:dyDescent="0.35">
      <c r="A3" s="3">
        <v>1</v>
      </c>
      <c r="B3" s="4" t="s">
        <v>6473</v>
      </c>
      <c r="C3" s="4" t="s">
        <v>6474</v>
      </c>
      <c r="D3" s="4" t="s">
        <v>6475</v>
      </c>
      <c r="E3" s="4" t="str">
        <f>CONCATENATE("(",A3,",'",B3,"','",C3,"','",D3,"'),")</f>
        <v>(1,'مفتوح','Open','Ouvert'),</v>
      </c>
    </row>
    <row r="4" spans="1:5" ht="20.149999999999999" customHeight="1" x14ac:dyDescent="0.35">
      <c r="A4" s="3">
        <v>2</v>
      </c>
      <c r="B4" s="4" t="s">
        <v>6476</v>
      </c>
      <c r="C4" s="4" t="s">
        <v>6477</v>
      </c>
      <c r="D4" s="4" t="s">
        <v>6478</v>
      </c>
      <c r="E4" s="4" t="str">
        <f t="shared" ref="E4:E9" si="0">CONCATENATE("(",A4,",'",B4,"','",C4,"','",D4,"'),")</f>
        <v>(2,'تم الإقرار','Acknowledged','Reconnu'),</v>
      </c>
    </row>
    <row r="5" spans="1:5" ht="20.149999999999999" customHeight="1" x14ac:dyDescent="0.35">
      <c r="A5" s="3">
        <v>3</v>
      </c>
      <c r="B5" s="4" t="s">
        <v>6479</v>
      </c>
      <c r="C5" s="4" t="s">
        <v>6480</v>
      </c>
      <c r="D5" s="4" t="s">
        <v>6455</v>
      </c>
      <c r="E5" s="4" t="str">
        <f t="shared" si="0"/>
        <v>(3,'قيد التنفيذ','In Progress','En Cours'),</v>
      </c>
    </row>
    <row r="6" spans="1:5" ht="20.149999999999999" customHeight="1" x14ac:dyDescent="0.35">
      <c r="A6" s="3">
        <v>4</v>
      </c>
      <c r="B6" s="4" t="s">
        <v>6481</v>
      </c>
      <c r="C6" s="4" t="s">
        <v>6482</v>
      </c>
      <c r="D6" s="4" t="s">
        <v>6483</v>
      </c>
      <c r="E6" s="4" t="str">
        <f t="shared" si="0"/>
        <v>(4,'تم الحل','Resolved','Résolu'),</v>
      </c>
    </row>
    <row r="7" spans="1:5" ht="20.149999999999999" customHeight="1" x14ac:dyDescent="0.35">
      <c r="A7" s="3">
        <v>5</v>
      </c>
      <c r="B7" s="4" t="s">
        <v>6484</v>
      </c>
      <c r="C7" s="4" t="s">
        <v>6485</v>
      </c>
      <c r="D7" s="4" t="s">
        <v>6486</v>
      </c>
      <c r="E7" s="4" t="str">
        <f t="shared" si="0"/>
        <v>(5,'مغلق','Closed','Fermé'),</v>
      </c>
    </row>
    <row r="8" spans="1:5" ht="20.149999999999999" customHeight="1" x14ac:dyDescent="0.35">
      <c r="A8" s="3">
        <v>6</v>
      </c>
      <c r="B8" s="4" t="s">
        <v>6487</v>
      </c>
      <c r="C8" s="4" t="s">
        <v>6488</v>
      </c>
      <c r="D8" s="4" t="s">
        <v>6489</v>
      </c>
      <c r="E8" s="4" t="str">
        <f t="shared" si="0"/>
        <v>(6,'تم التصعيد','Escalated','Escaladé'),</v>
      </c>
    </row>
    <row r="9" spans="1:5" ht="20.149999999999999" customHeight="1" x14ac:dyDescent="0.35">
      <c r="A9" s="3">
        <v>7</v>
      </c>
      <c r="B9" s="4" t="s">
        <v>6490</v>
      </c>
      <c r="C9" s="4" t="s">
        <v>6491</v>
      </c>
      <c r="D9" s="4" t="s">
        <v>6492</v>
      </c>
      <c r="E9" s="4" t="str">
        <f t="shared" si="0"/>
        <v>(7,'إنذار كاذب','False Alarm','Fausse Alerte'),</v>
      </c>
    </row>
  </sheetData>
  <autoFilter ref="A2:E9" xr:uid="{00000000-0009-0000-0000-000033000000}"/>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7030A0"/>
  </sheetPr>
  <dimension ref="A1:E8"/>
  <sheetViews>
    <sheetView workbookViewId="0">
      <selection activeCell="E2" sqref="E2:E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6470</v>
      </c>
      <c r="C1" s="1" t="s">
        <v>6469</v>
      </c>
      <c r="D1" s="1" t="s">
        <v>6471</v>
      </c>
      <c r="E1" s="1" t="s">
        <v>5603</v>
      </c>
    </row>
    <row r="2" spans="1:5" ht="20.149999999999999" customHeight="1" x14ac:dyDescent="0.35">
      <c r="A2" s="40" t="s">
        <v>44</v>
      </c>
      <c r="B2" s="40" t="s">
        <v>41</v>
      </c>
      <c r="C2" s="40" t="s">
        <v>42</v>
      </c>
      <c r="D2" s="40" t="s">
        <v>43</v>
      </c>
      <c r="E2" s="1" t="s">
        <v>6511</v>
      </c>
    </row>
    <row r="3" spans="1:5" ht="20.149999999999999" customHeight="1" x14ac:dyDescent="0.35">
      <c r="A3" s="3">
        <v>1</v>
      </c>
      <c r="B3" s="4" t="s">
        <v>6493</v>
      </c>
      <c r="C3" s="4" t="s">
        <v>6494</v>
      </c>
      <c r="D3" s="4" t="s">
        <v>6495</v>
      </c>
      <c r="E3" s="4" t="str">
        <f>CONCATENATE("(",A3,",'",B3,"','",C3,"','",D3,"'),")</f>
        <v>(1,'معلومات','Info','Information'),</v>
      </c>
    </row>
    <row r="4" spans="1:5" ht="20.149999999999999" customHeight="1" x14ac:dyDescent="0.35">
      <c r="A4" s="3">
        <v>2</v>
      </c>
      <c r="B4" s="4" t="s">
        <v>6496</v>
      </c>
      <c r="C4" s="4" t="s">
        <v>6497</v>
      </c>
      <c r="D4" s="4" t="s">
        <v>6498</v>
      </c>
      <c r="E4" s="4" t="str">
        <f t="shared" ref="E4:E8" si="0">CONCATENATE("(",A4,",'",B4,"','",C4,"','",D4,"'),")</f>
        <v>(2,'منخفض','Low','Faible'),</v>
      </c>
    </row>
    <row r="5" spans="1:5" ht="20.149999999999999" customHeight="1" x14ac:dyDescent="0.35">
      <c r="A5" s="3">
        <v>3</v>
      </c>
      <c r="B5" s="4" t="s">
        <v>6499</v>
      </c>
      <c r="C5" s="4" t="s">
        <v>6500</v>
      </c>
      <c r="D5" s="4" t="s">
        <v>6501</v>
      </c>
      <c r="E5" s="4" t="str">
        <f t="shared" si="0"/>
        <v>(3,'متوسط','Medium','Moyen'),</v>
      </c>
    </row>
    <row r="6" spans="1:5" ht="20.149999999999999" customHeight="1" x14ac:dyDescent="0.35">
      <c r="A6" s="3">
        <v>4</v>
      </c>
      <c r="B6" s="4" t="s">
        <v>6502</v>
      </c>
      <c r="C6" s="4" t="s">
        <v>6503</v>
      </c>
      <c r="D6" s="4" t="s">
        <v>6504</v>
      </c>
      <c r="E6" s="4" t="str">
        <f t="shared" si="0"/>
        <v>(4,'عالي','High','Élevé'),</v>
      </c>
    </row>
    <row r="7" spans="1:5" ht="20.149999999999999" customHeight="1" x14ac:dyDescent="0.35">
      <c r="A7" s="3">
        <v>5</v>
      </c>
      <c r="B7" s="4" t="s">
        <v>6505</v>
      </c>
      <c r="C7" s="4" t="s">
        <v>6506</v>
      </c>
      <c r="D7" s="4" t="s">
        <v>6507</v>
      </c>
      <c r="E7" s="4" t="str">
        <f t="shared" si="0"/>
        <v>(5,'حرج','Critical','Critique'),</v>
      </c>
    </row>
    <row r="8" spans="1:5" ht="20.149999999999999" customHeight="1" x14ac:dyDescent="0.35">
      <c r="A8" s="3">
        <v>6</v>
      </c>
      <c r="B8" s="4" t="s">
        <v>6508</v>
      </c>
      <c r="C8" s="4" t="s">
        <v>6509</v>
      </c>
      <c r="D8" s="4" t="s">
        <v>6510</v>
      </c>
      <c r="E8" s="4" t="str">
        <f t="shared" si="0"/>
        <v>(6,'طارئ','Emergency','Urgence'),</v>
      </c>
    </row>
  </sheetData>
  <autoFilter ref="A2:E8" xr:uid="{00000000-0009-0000-0000-000034000000}"/>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6470</v>
      </c>
      <c r="D1" s="1" t="s">
        <v>6469</v>
      </c>
      <c r="E1" s="1" t="s">
        <v>6471</v>
      </c>
      <c r="F1" s="1" t="s">
        <v>6554</v>
      </c>
      <c r="G1" s="1" t="s">
        <v>6555</v>
      </c>
      <c r="H1" s="1" t="s">
        <v>6556</v>
      </c>
      <c r="I1" s="1" t="s">
        <v>5603</v>
      </c>
    </row>
    <row r="2" spans="1:9" ht="20.149999999999999" customHeight="1" x14ac:dyDescent="0.35">
      <c r="A2" s="40" t="s">
        <v>44</v>
      </c>
      <c r="B2" s="40" t="s">
        <v>41</v>
      </c>
      <c r="C2" s="40" t="s">
        <v>42</v>
      </c>
      <c r="D2" s="40" t="s">
        <v>43</v>
      </c>
      <c r="E2" s="40" t="s">
        <v>53</v>
      </c>
      <c r="F2" s="40" t="s">
        <v>2094</v>
      </c>
      <c r="G2" s="40" t="s">
        <v>4077</v>
      </c>
      <c r="H2" s="40" t="s">
        <v>4349</v>
      </c>
      <c r="I2" s="1" t="s">
        <v>6557</v>
      </c>
    </row>
    <row r="3" spans="1:9" ht="20.149999999999999" customHeight="1" x14ac:dyDescent="0.35">
      <c r="A3" s="3">
        <v>1</v>
      </c>
      <c r="B3" s="3" t="s">
        <v>6512</v>
      </c>
      <c r="C3" s="4" t="s">
        <v>6516</v>
      </c>
      <c r="D3" s="4" t="s">
        <v>6517</v>
      </c>
      <c r="E3" s="4" t="s">
        <v>6518</v>
      </c>
      <c r="F3" s="4" t="s">
        <v>6513</v>
      </c>
      <c r="G3" s="4" t="s">
        <v>6514</v>
      </c>
      <c r="H3" s="4" t="s">
        <v>6515</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6519</v>
      </c>
      <c r="C4" s="4" t="s">
        <v>6523</v>
      </c>
      <c r="D4" s="4" t="s">
        <v>6524</v>
      </c>
      <c r="E4" s="4" t="s">
        <v>6525</v>
      </c>
      <c r="F4" s="4" t="s">
        <v>6520</v>
      </c>
      <c r="G4" s="4" t="s">
        <v>6521</v>
      </c>
      <c r="H4" s="4" t="s">
        <v>6522</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6526</v>
      </c>
      <c r="C5" s="4" t="s">
        <v>6530</v>
      </c>
      <c r="D5" s="4" t="s">
        <v>6531</v>
      </c>
      <c r="E5" s="4" t="s">
        <v>6532</v>
      </c>
      <c r="F5" s="4" t="s">
        <v>6527</v>
      </c>
      <c r="G5" s="4" t="s">
        <v>6528</v>
      </c>
      <c r="H5" s="4" t="s">
        <v>6529</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6533</v>
      </c>
      <c r="C6" s="4" t="s">
        <v>6537</v>
      </c>
      <c r="D6" s="4" t="s">
        <v>6538</v>
      </c>
      <c r="E6" s="4" t="s">
        <v>6539</v>
      </c>
      <c r="F6" s="4" t="s">
        <v>6534</v>
      </c>
      <c r="G6" s="4" t="s">
        <v>6535</v>
      </c>
      <c r="H6" s="4" t="s">
        <v>6536</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6540</v>
      </c>
      <c r="C7" s="4" t="s">
        <v>6544</v>
      </c>
      <c r="D7" s="4" t="s">
        <v>6545</v>
      </c>
      <c r="E7" s="4" t="s">
        <v>6546</v>
      </c>
      <c r="F7" s="4" t="s">
        <v>6541</v>
      </c>
      <c r="G7" s="4" t="s">
        <v>6542</v>
      </c>
      <c r="H7" s="4" t="s">
        <v>6543</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6547</v>
      </c>
      <c r="C8" s="4" t="s">
        <v>6551</v>
      </c>
      <c r="D8" s="4" t="s">
        <v>6552</v>
      </c>
      <c r="E8" s="4" t="s">
        <v>6553</v>
      </c>
      <c r="F8" s="4" t="s">
        <v>6548</v>
      </c>
      <c r="G8" s="4" t="s">
        <v>6549</v>
      </c>
      <c r="H8" s="4" t="s">
        <v>6550</v>
      </c>
      <c r="I8" s="4" t="str">
        <f t="shared" si="0"/>
        <v>(6,'ESTIMATED','تقديري','Estimated','Estimé','قيم تقديرية بناء على بيانات تاريخية','Estimated values based on historical data','Valeurs estimées basées sur des données historiques'),</v>
      </c>
    </row>
  </sheetData>
  <autoFilter ref="A2:I8" xr:uid="{00000000-0009-0000-0000-000035000000}"/>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7030A0"/>
  </sheetPr>
  <dimension ref="A1:J9"/>
  <sheetViews>
    <sheetView topLeftCell="G1" workbookViewId="0">
      <selection activeCell="J2" sqref="J2:J9"/>
    </sheetView>
  </sheetViews>
  <sheetFormatPr baseColWidth="10" defaultColWidth="10.81640625" defaultRowHeight="15.5" x14ac:dyDescent="0.35"/>
  <cols>
    <col min="1" max="1" width="5.54296875" style="2" customWidth="1"/>
    <col min="2" max="2" width="15.54296875" style="2" customWidth="1"/>
    <col min="3" max="9" width="20.54296875" style="2" customWidth="1"/>
    <col min="10" max="10" width="75.54296875" style="2" customWidth="1"/>
    <col min="11" max="16384" width="10.81640625" style="2"/>
  </cols>
  <sheetData>
    <row r="1" spans="1:10" ht="20.149999999999999" customHeight="1" x14ac:dyDescent="0.35">
      <c r="A1" s="1" t="s">
        <v>37</v>
      </c>
      <c r="B1" s="1" t="s">
        <v>54</v>
      </c>
      <c r="C1" s="1" t="s">
        <v>6470</v>
      </c>
      <c r="D1" s="1" t="s">
        <v>6469</v>
      </c>
      <c r="E1" s="1" t="s">
        <v>6471</v>
      </c>
      <c r="F1" s="1" t="s">
        <v>6554</v>
      </c>
      <c r="G1" s="1" t="s">
        <v>6555</v>
      </c>
      <c r="H1" s="1" t="s">
        <v>6556</v>
      </c>
      <c r="I1" s="1" t="s">
        <v>6611</v>
      </c>
      <c r="J1" s="1" t="s">
        <v>5603</v>
      </c>
    </row>
    <row r="2" spans="1:10" ht="20.149999999999999" customHeight="1" x14ac:dyDescent="0.35">
      <c r="A2" s="40" t="s">
        <v>44</v>
      </c>
      <c r="B2" s="40" t="s">
        <v>41</v>
      </c>
      <c r="C2" s="40" t="s">
        <v>42</v>
      </c>
      <c r="D2" s="40" t="s">
        <v>43</v>
      </c>
      <c r="E2" s="40" t="s">
        <v>53</v>
      </c>
      <c r="F2" s="40" t="s">
        <v>2094</v>
      </c>
      <c r="G2" s="40" t="s">
        <v>4077</v>
      </c>
      <c r="H2" s="40" t="s">
        <v>4349</v>
      </c>
      <c r="I2" s="40" t="s">
        <v>4350</v>
      </c>
      <c r="J2" s="1" t="s">
        <v>6655</v>
      </c>
    </row>
    <row r="3" spans="1:10" ht="20.149999999999999" customHeight="1" x14ac:dyDescent="0.35">
      <c r="A3" s="3">
        <v>1</v>
      </c>
      <c r="B3" s="3" t="s">
        <v>6558</v>
      </c>
      <c r="C3" s="4" t="s">
        <v>6562</v>
      </c>
      <c r="D3" s="4" t="s">
        <v>6563</v>
      </c>
      <c r="E3" s="4" t="s">
        <v>6564</v>
      </c>
      <c r="F3" s="4" t="s">
        <v>6559</v>
      </c>
      <c r="G3" s="4" t="s">
        <v>6560</v>
      </c>
      <c r="H3" s="4" t="s">
        <v>6561</v>
      </c>
      <c r="I3" s="4" t="s">
        <v>6565</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6566</v>
      </c>
      <c r="C4" s="4" t="s">
        <v>6570</v>
      </c>
      <c r="D4" s="4" t="s">
        <v>6571</v>
      </c>
      <c r="E4" s="4" t="s">
        <v>6572</v>
      </c>
      <c r="F4" s="4" t="s">
        <v>6567</v>
      </c>
      <c r="G4" s="4" t="s">
        <v>6568</v>
      </c>
      <c r="H4" s="4" t="s">
        <v>6569</v>
      </c>
      <c r="I4" s="4" t="s">
        <v>6573</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6574</v>
      </c>
      <c r="C5" s="4" t="s">
        <v>6578</v>
      </c>
      <c r="D5" s="4" t="s">
        <v>6579</v>
      </c>
      <c r="E5" s="4" t="s">
        <v>6580</v>
      </c>
      <c r="F5" s="4" t="s">
        <v>6575</v>
      </c>
      <c r="G5" s="4" t="s">
        <v>6576</v>
      </c>
      <c r="H5" s="4" t="s">
        <v>6577</v>
      </c>
      <c r="I5" s="4" t="s">
        <v>6581</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6582</v>
      </c>
      <c r="C6" s="4" t="s">
        <v>6586</v>
      </c>
      <c r="D6" s="4" t="s">
        <v>6587</v>
      </c>
      <c r="E6" s="4" t="s">
        <v>6588</v>
      </c>
      <c r="F6" s="4" t="s">
        <v>6583</v>
      </c>
      <c r="G6" s="4" t="s">
        <v>6584</v>
      </c>
      <c r="H6" s="4" t="s">
        <v>6585</v>
      </c>
      <c r="I6" s="4" t="s">
        <v>6573</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6589</v>
      </c>
      <c r="C7" s="4" t="s">
        <v>6593</v>
      </c>
      <c r="D7" s="4" t="s">
        <v>6594</v>
      </c>
      <c r="E7" s="4" t="s">
        <v>6595</v>
      </c>
      <c r="F7" s="4" t="s">
        <v>6590</v>
      </c>
      <c r="G7" s="4" t="s">
        <v>6591</v>
      </c>
      <c r="H7" s="4" t="s">
        <v>6592</v>
      </c>
      <c r="I7" s="4" t="s">
        <v>6581</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6596</v>
      </c>
      <c r="C8" s="4" t="s">
        <v>6600</v>
      </c>
      <c r="D8" s="4" t="s">
        <v>6601</v>
      </c>
      <c r="E8" s="4" t="s">
        <v>6602</v>
      </c>
      <c r="F8" s="4" t="s">
        <v>6597</v>
      </c>
      <c r="G8" s="4" t="s">
        <v>6598</v>
      </c>
      <c r="H8" s="4" t="s">
        <v>6599</v>
      </c>
      <c r="I8" s="4" t="s">
        <v>6603</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6604</v>
      </c>
      <c r="C9" s="4" t="s">
        <v>6608</v>
      </c>
      <c r="D9" s="4" t="s">
        <v>6609</v>
      </c>
      <c r="E9" s="4" t="s">
        <v>6610</v>
      </c>
      <c r="F9" s="4" t="s">
        <v>6605</v>
      </c>
      <c r="G9" s="4" t="s">
        <v>6606</v>
      </c>
      <c r="H9" s="4" t="s">
        <v>6607</v>
      </c>
      <c r="I9" s="4" t="s">
        <v>6581</v>
      </c>
      <c r="J9" s="4" t="str">
        <f t="shared" si="0"/>
        <v>(7,'DRIFT','انحراف مكتشف','Drift Detected','Dérive Détectée','انحراف في قيم القياس بمرور الوقت','Measurement values drifting over time','Valeurs de mesure dérivant dans le temps','MEDIUM'),</v>
      </c>
    </row>
  </sheetData>
  <autoFilter ref="A2:J9" xr:uid="{00000000-0009-0000-0000-000036000000}"/>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6470</v>
      </c>
      <c r="D1" s="1" t="s">
        <v>6469</v>
      </c>
      <c r="E1" s="1" t="s">
        <v>6471</v>
      </c>
      <c r="F1" s="1" t="s">
        <v>6554</v>
      </c>
      <c r="G1" s="1" t="s">
        <v>6555</v>
      </c>
      <c r="H1" s="1" t="s">
        <v>6556</v>
      </c>
      <c r="I1" s="1" t="s">
        <v>5603</v>
      </c>
    </row>
    <row r="2" spans="1:9" ht="20.149999999999999" customHeight="1" x14ac:dyDescent="0.35">
      <c r="A2" s="40" t="s">
        <v>44</v>
      </c>
      <c r="B2" s="40" t="s">
        <v>41</v>
      </c>
      <c r="C2" s="40" t="s">
        <v>42</v>
      </c>
      <c r="D2" s="40" t="s">
        <v>43</v>
      </c>
      <c r="E2" s="40" t="s">
        <v>53</v>
      </c>
      <c r="F2" s="40" t="s">
        <v>2094</v>
      </c>
      <c r="G2" s="40" t="s">
        <v>4077</v>
      </c>
      <c r="H2" s="40" t="s">
        <v>4349</v>
      </c>
      <c r="I2" s="1" t="s">
        <v>6654</v>
      </c>
    </row>
    <row r="3" spans="1:9" ht="20.149999999999999" customHeight="1" x14ac:dyDescent="0.35">
      <c r="A3" s="3">
        <v>1</v>
      </c>
      <c r="B3" s="3" t="s">
        <v>6612</v>
      </c>
      <c r="C3" s="4" t="s">
        <v>6616</v>
      </c>
      <c r="D3" s="4" t="s">
        <v>6617</v>
      </c>
      <c r="E3" s="4" t="s">
        <v>6618</v>
      </c>
      <c r="F3" s="4" t="s">
        <v>6613</v>
      </c>
      <c r="G3" s="4" t="s">
        <v>6614</v>
      </c>
      <c r="H3" s="4" t="s">
        <v>6615</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6619</v>
      </c>
      <c r="C4" s="4" t="s">
        <v>6623</v>
      </c>
      <c r="D4" s="4" t="s">
        <v>6624</v>
      </c>
      <c r="E4" s="4" t="s">
        <v>6625</v>
      </c>
      <c r="F4" s="4" t="s">
        <v>6620</v>
      </c>
      <c r="G4" s="4" t="s">
        <v>6621</v>
      </c>
      <c r="H4" s="4" t="s">
        <v>6622</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6626</v>
      </c>
      <c r="C5" s="4" t="s">
        <v>6630</v>
      </c>
      <c r="D5" s="4" t="s">
        <v>6631</v>
      </c>
      <c r="E5" s="4" t="s">
        <v>6632</v>
      </c>
      <c r="F5" s="4" t="s">
        <v>6627</v>
      </c>
      <c r="G5" s="4" t="s">
        <v>6628</v>
      </c>
      <c r="H5" s="4" t="s">
        <v>6629</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6633</v>
      </c>
      <c r="C6" s="4" t="s">
        <v>6637</v>
      </c>
      <c r="D6" s="4" t="s">
        <v>6638</v>
      </c>
      <c r="E6" s="4" t="s">
        <v>6639</v>
      </c>
      <c r="F6" s="4" t="s">
        <v>6634</v>
      </c>
      <c r="G6" s="4" t="s">
        <v>6635</v>
      </c>
      <c r="H6" s="4" t="s">
        <v>6636</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6640</v>
      </c>
      <c r="C7" s="4" t="s">
        <v>6644</v>
      </c>
      <c r="D7" s="4" t="s">
        <v>6645</v>
      </c>
      <c r="E7" s="4" t="s">
        <v>6646</v>
      </c>
      <c r="F7" s="4" t="s">
        <v>6641</v>
      </c>
      <c r="G7" s="4" t="s">
        <v>6642</v>
      </c>
      <c r="H7" s="4" t="s">
        <v>6643</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6647</v>
      </c>
      <c r="C8" s="4" t="s">
        <v>6651</v>
      </c>
      <c r="D8" s="4" t="s">
        <v>6652</v>
      </c>
      <c r="E8" s="4" t="s">
        <v>6653</v>
      </c>
      <c r="F8" s="4" t="s">
        <v>6648</v>
      </c>
      <c r="G8" s="4" t="s">
        <v>6649</v>
      </c>
      <c r="H8" s="4" t="s">
        <v>6650</v>
      </c>
      <c r="I8" s="4" t="str">
        <f t="shared" si="0"/>
        <v>(6,'CORRECTED','تم التصحيح','Corrected','Corrigé','البيانات تم تصحيحها وإعادة التحقق منها','Data has been corrected and revalidated','Les données ont été corrigées et revalidées'),</v>
      </c>
    </row>
  </sheetData>
  <autoFilter ref="A2:I8" xr:uid="{00000000-0009-0000-0000-000037000000}"/>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7030A0"/>
  </sheetPr>
  <dimension ref="A1:H14"/>
  <sheetViews>
    <sheetView workbookViewId="0">
      <selection activeCell="H10" sqref="H10"/>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54296875" style="2" customWidth="1"/>
    <col min="8" max="8" width="74.54296875" style="2" bestFit="1" customWidth="1"/>
    <col min="9" max="16384" width="10.81640625" style="2"/>
  </cols>
  <sheetData>
    <row r="1" spans="1:8" ht="20.149999999999999" customHeight="1" x14ac:dyDescent="0.35">
      <c r="A1" s="1" t="s">
        <v>37</v>
      </c>
      <c r="B1" s="1" t="s">
        <v>54</v>
      </c>
      <c r="C1" s="1" t="s">
        <v>6327</v>
      </c>
      <c r="D1" s="1" t="s">
        <v>6328</v>
      </c>
      <c r="E1" s="1" t="s">
        <v>6470</v>
      </c>
      <c r="F1" s="1" t="s">
        <v>6469</v>
      </c>
      <c r="G1" s="1" t="s">
        <v>6471</v>
      </c>
      <c r="H1" s="1" t="s">
        <v>5603</v>
      </c>
    </row>
    <row r="2" spans="1:8" ht="20.149999999999999" customHeight="1" x14ac:dyDescent="0.35">
      <c r="A2" s="40" t="s">
        <v>44</v>
      </c>
      <c r="B2" s="40" t="s">
        <v>41</v>
      </c>
      <c r="C2" s="40" t="s">
        <v>42</v>
      </c>
      <c r="D2" s="40" t="s">
        <v>43</v>
      </c>
      <c r="E2" s="40" t="s">
        <v>53</v>
      </c>
      <c r="F2" s="40" t="s">
        <v>2094</v>
      </c>
      <c r="G2" s="40" t="s">
        <v>4077</v>
      </c>
      <c r="H2" s="1" t="s">
        <v>6377</v>
      </c>
    </row>
    <row r="3" spans="1:8" ht="20.149999999999999" customHeight="1" x14ac:dyDescent="0.35">
      <c r="A3" s="3">
        <v>1</v>
      </c>
      <c r="B3" s="18" t="s">
        <v>6367</v>
      </c>
      <c r="C3" s="41">
        <v>0.33333333333333331</v>
      </c>
      <c r="D3" s="41">
        <v>0.41666666666666669</v>
      </c>
      <c r="E3" s="4" t="s">
        <v>6330</v>
      </c>
      <c r="F3" s="4" t="s">
        <v>6329</v>
      </c>
      <c r="G3" s="4" t="s">
        <v>6331</v>
      </c>
      <c r="H3" s="4" t="str">
        <f>CONCATENATE("(",A3,",'",B3,"','",TEXT(C3,"HH:MM:SS"),"','",TEXT(D3,"HH:MM:SS"),"','",E3,"','",F3,"','",G3,"'),")</f>
        <v>(1,'SLOT_01','08:00:00','10:00:00','الصباح المبكر','Morning Early','Matinée tôt'),</v>
      </c>
    </row>
    <row r="4" spans="1:8" ht="20.149999999999999" customHeight="1" x14ac:dyDescent="0.35">
      <c r="A4" s="3">
        <v>2</v>
      </c>
      <c r="B4" s="17" t="s">
        <v>6368</v>
      </c>
      <c r="C4" s="41">
        <v>0.41666666666666669</v>
      </c>
      <c r="D4" s="41">
        <v>0.5</v>
      </c>
      <c r="E4" s="4" t="s">
        <v>6333</v>
      </c>
      <c r="F4" s="4" t="s">
        <v>6332</v>
      </c>
      <c r="G4" s="4" t="s">
        <v>6334</v>
      </c>
      <c r="H4" s="4" t="str">
        <f t="shared" ref="H4:H14" si="0">CONCATENATE("(",A4,",'",B4,"','",TEXT(C4,"HH:MM:SS"),"','",TEXT(D4,"HH:MM:SS"),"','",E4,"','",F4,"','",G4,"'),")</f>
        <v>(2,'SLOT_02','10:00:00','12:00:00','الصباح المتأخر','Late Morning','Fin de matinée'),</v>
      </c>
    </row>
    <row r="5" spans="1:8" ht="20.149999999999999" customHeight="1" x14ac:dyDescent="0.35">
      <c r="A5" s="3">
        <v>3</v>
      </c>
      <c r="B5" s="18" t="s">
        <v>6369</v>
      </c>
      <c r="C5" s="41">
        <v>0.5</v>
      </c>
      <c r="D5" s="41">
        <v>0.58333333333333337</v>
      </c>
      <c r="E5" s="4" t="s">
        <v>6336</v>
      </c>
      <c r="F5" s="4" t="s">
        <v>6335</v>
      </c>
      <c r="G5" s="4" t="s">
        <v>6337</v>
      </c>
      <c r="H5" s="4" t="str">
        <f t="shared" si="0"/>
        <v>(3,'SLOT_03','12:00:00','14:00:00','الظهيرة','Midday','Midi'),</v>
      </c>
    </row>
    <row r="6" spans="1:8" ht="20.149999999999999" customHeight="1" x14ac:dyDescent="0.35">
      <c r="A6" s="3">
        <v>4</v>
      </c>
      <c r="B6" s="17" t="s">
        <v>6370</v>
      </c>
      <c r="C6" s="41">
        <v>0.58333333333333337</v>
      </c>
      <c r="D6" s="41">
        <v>0.66666666666666663</v>
      </c>
      <c r="E6" s="4" t="s">
        <v>6376</v>
      </c>
      <c r="F6" s="4" t="s">
        <v>6338</v>
      </c>
      <c r="G6" s="4" t="s">
        <v>6339</v>
      </c>
      <c r="H6" s="4" t="str">
        <f t="shared" si="0"/>
        <v>(4,'SLOT_04','14:00:00','16:00:00','بعد الظهر','Early Afternoon','Début d'après-midi'),</v>
      </c>
    </row>
    <row r="7" spans="1:8" ht="20.149999999999999" customHeight="1" x14ac:dyDescent="0.35">
      <c r="A7" s="3">
        <v>5</v>
      </c>
      <c r="B7" s="18" t="s">
        <v>6371</v>
      </c>
      <c r="C7" s="41">
        <v>0.66666666666666663</v>
      </c>
      <c r="D7" s="41">
        <v>0.75</v>
      </c>
      <c r="E7" s="4" t="s">
        <v>6341</v>
      </c>
      <c r="F7" s="4" t="s">
        <v>6340</v>
      </c>
      <c r="G7" s="4" t="s">
        <v>6342</v>
      </c>
      <c r="H7" s="4" t="str">
        <f t="shared" si="0"/>
        <v>(5,'SLOT_05','16:00:00','18:00:00','بعد الظهر المتأخر','Late Afternoon','Fin d'après-midi'),</v>
      </c>
    </row>
    <row r="8" spans="1:8" ht="20.149999999999999" customHeight="1" x14ac:dyDescent="0.35">
      <c r="A8" s="3">
        <v>6</v>
      </c>
      <c r="B8" s="17" t="s">
        <v>6372</v>
      </c>
      <c r="C8" s="41">
        <v>0.75</v>
      </c>
      <c r="D8" s="41">
        <v>0.83333333333333337</v>
      </c>
      <c r="E8" s="4" t="s">
        <v>6344</v>
      </c>
      <c r="F8" s="4" t="s">
        <v>6343</v>
      </c>
      <c r="G8" s="4" t="s">
        <v>6345</v>
      </c>
      <c r="H8" s="4" t="str">
        <f t="shared" si="0"/>
        <v>(6,'SLOT_06','18:00:00','20:00:00','المساء','Evening','Soirée'),</v>
      </c>
    </row>
    <row r="9" spans="1:8" ht="20.149999999999999" customHeight="1" x14ac:dyDescent="0.35">
      <c r="A9" s="3">
        <v>7</v>
      </c>
      <c r="B9" s="18" t="s">
        <v>6373</v>
      </c>
      <c r="C9" s="41">
        <v>0.83333333333333337</v>
      </c>
      <c r="D9" s="41">
        <v>0.91666666666666663</v>
      </c>
      <c r="E9" s="4" t="s">
        <v>6347</v>
      </c>
      <c r="F9" s="4" t="s">
        <v>6346</v>
      </c>
      <c r="G9" s="4" t="s">
        <v>6348</v>
      </c>
      <c r="H9" s="4" t="str">
        <f t="shared" si="0"/>
        <v>(7,'SLOT_07','20:00:00','22:00:00','المساء المتأخر','Late Evening','Fin de soirée'),</v>
      </c>
    </row>
    <row r="10" spans="1:8" ht="20.149999999999999" customHeight="1" x14ac:dyDescent="0.35">
      <c r="A10" s="3">
        <v>8</v>
      </c>
      <c r="B10" s="17" t="s">
        <v>6374</v>
      </c>
      <c r="C10" s="41">
        <v>0.91666666666666663</v>
      </c>
      <c r="D10" s="41">
        <v>0</v>
      </c>
      <c r="E10" s="4" t="s">
        <v>6350</v>
      </c>
      <c r="F10" s="4" t="s">
        <v>6349</v>
      </c>
      <c r="G10" s="4" t="s">
        <v>6351</v>
      </c>
      <c r="H10" s="4" t="str">
        <f t="shared" si="0"/>
        <v>(8,'SLOT_08','22:00:00','00:00:00','الليل','Night','Nuit'),</v>
      </c>
    </row>
    <row r="11" spans="1:8" ht="20.149999999999999" customHeight="1" x14ac:dyDescent="0.35">
      <c r="A11" s="3">
        <v>9</v>
      </c>
      <c r="B11" s="18" t="s">
        <v>6375</v>
      </c>
      <c r="C11" s="41">
        <v>0</v>
      </c>
      <c r="D11" s="41">
        <v>8.3333333333333329E-2</v>
      </c>
      <c r="E11" s="4" t="s">
        <v>6353</v>
      </c>
      <c r="F11" s="4" t="s">
        <v>6352</v>
      </c>
      <c r="G11" s="4" t="s">
        <v>6354</v>
      </c>
      <c r="H11" s="4" t="str">
        <f t="shared" si="0"/>
        <v>(9,'SLOT_09','00:00:00','02:00:00','منتصف الليل','Midnight','Minuit'),</v>
      </c>
    </row>
    <row r="12" spans="1:8" ht="20.149999999999999" customHeight="1" x14ac:dyDescent="0.35">
      <c r="A12" s="3">
        <v>10</v>
      </c>
      <c r="B12" s="17" t="s">
        <v>6355</v>
      </c>
      <c r="C12" s="41">
        <v>8.3333333333333329E-2</v>
      </c>
      <c r="D12" s="41">
        <v>0.16666666666666666</v>
      </c>
      <c r="E12" s="4" t="s">
        <v>6357</v>
      </c>
      <c r="F12" s="4" t="s">
        <v>6356</v>
      </c>
      <c r="G12" s="4" t="s">
        <v>6358</v>
      </c>
      <c r="H12" s="4" t="str">
        <f t="shared" si="0"/>
        <v>(10,'SLOT_10','02:00:00','04:00:00','الليل المتأخر','Late Night','Fin de nuit'),</v>
      </c>
    </row>
    <row r="13" spans="1:8" ht="20.149999999999999" customHeight="1" x14ac:dyDescent="0.35">
      <c r="A13" s="3">
        <v>11</v>
      </c>
      <c r="B13" s="18" t="s">
        <v>6359</v>
      </c>
      <c r="C13" s="41">
        <v>0.16666666666666666</v>
      </c>
      <c r="D13" s="41">
        <v>0.25</v>
      </c>
      <c r="E13" s="4" t="s">
        <v>6361</v>
      </c>
      <c r="F13" s="4" t="s">
        <v>6360</v>
      </c>
      <c r="G13" s="4" t="s">
        <v>6362</v>
      </c>
      <c r="H13" s="4" t="str">
        <f t="shared" si="0"/>
        <v>(11,'SLOT_11','04:00:00','06:00:00','الفجر المبكر','Early Dawn','Aube'),</v>
      </c>
    </row>
    <row r="14" spans="1:8" ht="20.149999999999999" customHeight="1" x14ac:dyDescent="0.35">
      <c r="A14" s="3">
        <v>12</v>
      </c>
      <c r="B14" s="17" t="s">
        <v>6363</v>
      </c>
      <c r="C14" s="41">
        <v>0.25</v>
      </c>
      <c r="D14" s="41">
        <v>0.33333333333333331</v>
      </c>
      <c r="E14" s="4" t="s">
        <v>6365</v>
      </c>
      <c r="F14" s="4" t="s">
        <v>6364</v>
      </c>
      <c r="G14" s="4" t="s">
        <v>6366</v>
      </c>
      <c r="H14" s="4" t="str">
        <f t="shared" si="0"/>
        <v>(12,'SLOT_12','06:00:00','08:00:00','الفجر','Dawn','Petit matin'),</v>
      </c>
    </row>
  </sheetData>
  <autoFilter ref="A2:G14" xr:uid="{00000000-0009-0000-0000-000038000000}"/>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39000000}">
    <sortState xmlns:xlrd2="http://schemas.microsoft.com/office/spreadsheetml/2017/richdata2"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H16"/>
  <sheetViews>
    <sheetView workbookViewId="0">
      <selection activeCell="C15" sqref="C15"/>
    </sheetView>
  </sheetViews>
  <sheetFormatPr baseColWidth="10" defaultRowHeight="14.5" x14ac:dyDescent="0.35"/>
  <cols>
    <col min="1" max="1" width="29.453125" customWidth="1"/>
    <col min="2" max="2" width="10.54296875" bestFit="1" customWidth="1"/>
    <col min="3" max="3" width="24.54296875" customWidth="1"/>
    <col min="4" max="4" width="7.453125" bestFit="1" customWidth="1"/>
    <col min="5" max="5" width="16.81640625" customWidth="1"/>
    <col min="6" max="6" width="9.54296875" bestFit="1" customWidth="1"/>
    <col min="7" max="7" width="20.81640625" customWidth="1"/>
    <col min="8" max="8" width="19.81640625" customWidth="1"/>
  </cols>
  <sheetData>
    <row r="1" spans="1:8" ht="15" thickBot="1" x14ac:dyDescent="0.4">
      <c r="A1" s="32" t="s">
        <v>6110</v>
      </c>
      <c r="B1" s="32" t="s">
        <v>6111</v>
      </c>
      <c r="C1" s="32" t="s">
        <v>6112</v>
      </c>
      <c r="D1" s="32" t="s">
        <v>6113</v>
      </c>
      <c r="E1" s="32" t="s">
        <v>6114</v>
      </c>
      <c r="F1" s="32" t="s">
        <v>6115</v>
      </c>
      <c r="G1" s="32" t="s">
        <v>6116</v>
      </c>
      <c r="H1" s="32" t="s">
        <v>6117</v>
      </c>
    </row>
    <row r="2" spans="1:8" ht="15" thickBot="1" x14ac:dyDescent="0.4">
      <c r="A2" s="33" t="s">
        <v>6118</v>
      </c>
      <c r="B2" s="34" t="s">
        <v>6092</v>
      </c>
      <c r="C2" s="34" t="s">
        <v>6119</v>
      </c>
      <c r="D2" s="34" t="s">
        <v>6120</v>
      </c>
      <c r="E2" s="34" t="s">
        <v>6121</v>
      </c>
      <c r="F2" s="34" t="s">
        <v>6122</v>
      </c>
      <c r="G2" s="34" t="s">
        <v>6123</v>
      </c>
      <c r="H2" s="34" t="s">
        <v>6124</v>
      </c>
    </row>
    <row r="3" spans="1:8" ht="15" thickBot="1" x14ac:dyDescent="0.4">
      <c r="A3" s="33" t="s">
        <v>6118</v>
      </c>
      <c r="B3" s="34" t="s">
        <v>6091</v>
      </c>
      <c r="C3" s="34" t="s">
        <v>6125</v>
      </c>
      <c r="D3" s="34" t="s">
        <v>6126</v>
      </c>
      <c r="E3" s="34" t="s">
        <v>6121</v>
      </c>
      <c r="F3" s="34" t="s">
        <v>6122</v>
      </c>
      <c r="G3" s="34" t="s">
        <v>6123</v>
      </c>
      <c r="H3" s="34" t="s">
        <v>6124</v>
      </c>
    </row>
    <row r="4" spans="1:8" ht="28.5" thickBot="1" x14ac:dyDescent="0.4">
      <c r="A4" s="33" t="s">
        <v>6118</v>
      </c>
      <c r="B4" s="34" t="s">
        <v>6127</v>
      </c>
      <c r="C4" s="34" t="s">
        <v>6128</v>
      </c>
      <c r="D4" s="34" t="s">
        <v>6129</v>
      </c>
      <c r="E4" s="34" t="s">
        <v>6121</v>
      </c>
      <c r="F4" s="34" t="s">
        <v>6122</v>
      </c>
      <c r="G4" s="34" t="s">
        <v>6123</v>
      </c>
      <c r="H4" s="34" t="s">
        <v>6124</v>
      </c>
    </row>
    <row r="5" spans="1:8" ht="15" thickBot="1" x14ac:dyDescent="0.4">
      <c r="A5" s="33" t="s">
        <v>6118</v>
      </c>
      <c r="B5" s="34" t="s">
        <v>6090</v>
      </c>
      <c r="C5" s="34" t="s">
        <v>6130</v>
      </c>
      <c r="D5" s="34" t="s">
        <v>6120</v>
      </c>
      <c r="E5" s="34" t="s">
        <v>6121</v>
      </c>
      <c r="F5" s="34" t="s">
        <v>6122</v>
      </c>
      <c r="G5" s="34" t="s">
        <v>6123</v>
      </c>
      <c r="H5" s="34" t="s">
        <v>6124</v>
      </c>
    </row>
    <row r="6" spans="1:8" ht="28.5" thickBot="1" x14ac:dyDescent="0.4">
      <c r="A6" s="33" t="s">
        <v>6118</v>
      </c>
      <c r="B6" s="34" t="s">
        <v>6131</v>
      </c>
      <c r="C6" s="34" t="s">
        <v>6132</v>
      </c>
      <c r="D6" s="34" t="s">
        <v>6133</v>
      </c>
      <c r="E6" s="34" t="s">
        <v>6121</v>
      </c>
      <c r="F6" s="34" t="s">
        <v>6134</v>
      </c>
      <c r="G6" s="34" t="s">
        <v>6123</v>
      </c>
      <c r="H6" s="34" t="s">
        <v>6124</v>
      </c>
    </row>
    <row r="7" spans="1:8" ht="28.5" thickBot="1" x14ac:dyDescent="0.4">
      <c r="A7" s="33" t="s">
        <v>6118</v>
      </c>
      <c r="B7" s="34" t="s">
        <v>6135</v>
      </c>
      <c r="C7" s="34" t="s">
        <v>6136</v>
      </c>
      <c r="D7" s="34" t="s">
        <v>6133</v>
      </c>
      <c r="E7" s="34" t="s">
        <v>6121</v>
      </c>
      <c r="F7" s="34" t="s">
        <v>6134</v>
      </c>
      <c r="G7" s="34" t="s">
        <v>6123</v>
      </c>
      <c r="H7" s="34" t="s">
        <v>6124</v>
      </c>
    </row>
    <row r="8" spans="1:8" ht="15" thickBot="1" x14ac:dyDescent="0.4">
      <c r="A8" s="33" t="s">
        <v>6137</v>
      </c>
      <c r="B8" s="34" t="s">
        <v>6095</v>
      </c>
      <c r="C8" s="34" t="s">
        <v>6138</v>
      </c>
      <c r="D8" s="34" t="s">
        <v>6139</v>
      </c>
      <c r="E8" s="34" t="s">
        <v>6121</v>
      </c>
      <c r="F8" s="34" t="s">
        <v>6122</v>
      </c>
      <c r="G8" s="34" t="s">
        <v>6123</v>
      </c>
      <c r="H8" s="34" t="s">
        <v>6140</v>
      </c>
    </row>
    <row r="9" spans="1:8" ht="15" thickBot="1" x14ac:dyDescent="0.4">
      <c r="A9" s="33" t="s">
        <v>6137</v>
      </c>
      <c r="B9" s="34" t="s">
        <v>5539</v>
      </c>
      <c r="C9" s="34" t="s">
        <v>6141</v>
      </c>
      <c r="D9" s="34" t="s">
        <v>6142</v>
      </c>
      <c r="E9" s="34" t="s">
        <v>6121</v>
      </c>
      <c r="F9" s="34" t="s">
        <v>6122</v>
      </c>
      <c r="G9" s="34" t="s">
        <v>6123</v>
      </c>
      <c r="H9" s="34" t="s">
        <v>6140</v>
      </c>
    </row>
    <row r="10" spans="1:8" ht="15" thickBot="1" x14ac:dyDescent="0.4">
      <c r="A10" s="33" t="s">
        <v>6137</v>
      </c>
      <c r="B10" s="34" t="s">
        <v>5495</v>
      </c>
      <c r="C10" s="34" t="s">
        <v>6143</v>
      </c>
      <c r="D10" s="34" t="s">
        <v>6144</v>
      </c>
      <c r="E10" s="34" t="s">
        <v>6121</v>
      </c>
      <c r="F10" s="34" t="s">
        <v>6122</v>
      </c>
      <c r="G10" s="34" t="s">
        <v>6123</v>
      </c>
      <c r="H10" s="34" t="s">
        <v>6140</v>
      </c>
    </row>
    <row r="11" spans="1:8" ht="15" thickBot="1" x14ac:dyDescent="0.4">
      <c r="A11" s="33" t="s">
        <v>6145</v>
      </c>
      <c r="B11" s="34" t="s">
        <v>6088</v>
      </c>
      <c r="C11" s="34" t="s">
        <v>6146</v>
      </c>
      <c r="D11" s="34" t="s">
        <v>6147</v>
      </c>
      <c r="E11" s="34" t="s">
        <v>6121</v>
      </c>
      <c r="F11" s="34" t="s">
        <v>6122</v>
      </c>
      <c r="G11" s="34" t="s">
        <v>6148</v>
      </c>
      <c r="H11" s="33" t="s">
        <v>6149</v>
      </c>
    </row>
    <row r="12" spans="1:8" ht="15" thickBot="1" x14ac:dyDescent="0.4">
      <c r="A12" s="33" t="s">
        <v>6145</v>
      </c>
      <c r="B12" s="34" t="s">
        <v>6081</v>
      </c>
      <c r="C12" s="34" t="s">
        <v>6150</v>
      </c>
      <c r="D12" s="34" t="s">
        <v>6151</v>
      </c>
      <c r="E12" s="34" t="s">
        <v>6121</v>
      </c>
      <c r="F12" s="34" t="s">
        <v>6122</v>
      </c>
      <c r="G12" s="34" t="s">
        <v>6123</v>
      </c>
      <c r="H12" s="34" t="s">
        <v>6124</v>
      </c>
    </row>
    <row r="13" spans="1:8" ht="15" thickBot="1" x14ac:dyDescent="0.4">
      <c r="A13" s="33" t="s">
        <v>6145</v>
      </c>
      <c r="B13" s="34" t="s">
        <v>6080</v>
      </c>
      <c r="C13" s="34" t="s">
        <v>6152</v>
      </c>
      <c r="D13" s="34" t="s">
        <v>6151</v>
      </c>
      <c r="E13" s="34" t="s">
        <v>6121</v>
      </c>
      <c r="F13" s="34" t="s">
        <v>6122</v>
      </c>
      <c r="G13" s="34" t="s">
        <v>6123</v>
      </c>
      <c r="H13" s="34" t="s">
        <v>6124</v>
      </c>
    </row>
    <row r="14" spans="1:8" ht="15" thickBot="1" x14ac:dyDescent="0.4">
      <c r="A14" s="33" t="s">
        <v>6153</v>
      </c>
      <c r="B14" s="34" t="s">
        <v>4711</v>
      </c>
      <c r="C14" s="34" t="s">
        <v>6154</v>
      </c>
      <c r="D14" s="34" t="s">
        <v>6155</v>
      </c>
      <c r="E14" s="34" t="s">
        <v>6121</v>
      </c>
      <c r="F14" s="34" t="s">
        <v>6122</v>
      </c>
      <c r="G14" s="34" t="s">
        <v>6148</v>
      </c>
      <c r="H14" s="33" t="s">
        <v>6149</v>
      </c>
    </row>
    <row r="15" spans="1:8" ht="15" thickBot="1" x14ac:dyDescent="0.4">
      <c r="A15" s="33" t="s">
        <v>6153</v>
      </c>
      <c r="B15" s="34" t="s">
        <v>5740</v>
      </c>
      <c r="C15" s="34" t="s">
        <v>6156</v>
      </c>
      <c r="D15" s="34" t="s">
        <v>6157</v>
      </c>
      <c r="E15" s="34" t="s">
        <v>6121</v>
      </c>
      <c r="F15" s="34" t="s">
        <v>6122</v>
      </c>
      <c r="G15" s="34" t="s">
        <v>6123</v>
      </c>
      <c r="H15" s="34" t="s">
        <v>6158</v>
      </c>
    </row>
    <row r="16" spans="1:8" ht="15" thickBot="1" x14ac:dyDescent="0.4">
      <c r="A16" s="33" t="s">
        <v>6153</v>
      </c>
      <c r="B16" s="34" t="s">
        <v>6159</v>
      </c>
      <c r="C16" s="34" t="s">
        <v>6160</v>
      </c>
      <c r="D16" s="34" t="s">
        <v>6139</v>
      </c>
      <c r="E16" s="34" t="s">
        <v>6121</v>
      </c>
      <c r="F16" s="34" t="s">
        <v>6122</v>
      </c>
      <c r="G16" s="34" t="s">
        <v>6123</v>
      </c>
      <c r="H16" s="34" t="s">
        <v>6140</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8" t="s">
        <v>6259</v>
      </c>
      <c r="E2" s="38" t="s">
        <v>4573</v>
      </c>
      <c r="F2" s="38" t="s">
        <v>4574</v>
      </c>
      <c r="G2" s="38" t="s">
        <v>6260</v>
      </c>
    </row>
    <row r="3" spans="1:7" ht="43.5" x14ac:dyDescent="0.35">
      <c r="A3" s="5" t="s">
        <v>6245</v>
      </c>
      <c r="D3" s="39" t="s">
        <v>6271</v>
      </c>
      <c r="E3" s="39" t="s">
        <v>6188</v>
      </c>
      <c r="F3" s="39" t="s">
        <v>68</v>
      </c>
      <c r="G3" s="39" t="s">
        <v>6272</v>
      </c>
    </row>
    <row r="4" spans="1:7" ht="58" x14ac:dyDescent="0.35">
      <c r="A4" s="5" t="s">
        <v>6164</v>
      </c>
      <c r="D4" s="39" t="s">
        <v>6291</v>
      </c>
      <c r="E4" s="39" t="s">
        <v>6198</v>
      </c>
      <c r="F4" s="39" t="s">
        <v>68</v>
      </c>
      <c r="G4" s="39" t="s">
        <v>6292</v>
      </c>
    </row>
    <row r="5" spans="1:7" ht="43.5" x14ac:dyDescent="0.35">
      <c r="A5" s="30" t="s">
        <v>6243</v>
      </c>
      <c r="D5" s="39" t="s">
        <v>6255</v>
      </c>
      <c r="E5" s="39" t="s">
        <v>6255</v>
      </c>
      <c r="F5" s="39" t="s">
        <v>68</v>
      </c>
      <c r="G5" s="39" t="s">
        <v>6293</v>
      </c>
    </row>
    <row r="6" spans="1:7" ht="43.5" x14ac:dyDescent="0.35">
      <c r="A6" s="30" t="s">
        <v>6244</v>
      </c>
      <c r="D6" s="39" t="s">
        <v>6294</v>
      </c>
      <c r="E6" s="39" t="s">
        <v>6295</v>
      </c>
      <c r="F6" s="39" t="s">
        <v>68</v>
      </c>
      <c r="G6" s="39" t="s">
        <v>6296</v>
      </c>
    </row>
    <row r="7" spans="1:7" ht="58" x14ac:dyDescent="0.35">
      <c r="A7" s="30" t="s">
        <v>6242</v>
      </c>
      <c r="D7" s="39" t="s">
        <v>6306</v>
      </c>
      <c r="E7" s="39" t="s">
        <v>6252</v>
      </c>
      <c r="F7" s="39" t="s">
        <v>68</v>
      </c>
      <c r="G7" s="39" t="s">
        <v>6307</v>
      </c>
    </row>
    <row r="8" spans="1:7" ht="43.5" x14ac:dyDescent="0.35">
      <c r="A8" s="30" t="s">
        <v>6241</v>
      </c>
      <c r="D8" s="39" t="s">
        <v>6253</v>
      </c>
      <c r="E8" s="39" t="s">
        <v>6253</v>
      </c>
      <c r="F8" s="39" t="s">
        <v>68</v>
      </c>
      <c r="G8" s="39" t="s">
        <v>6308</v>
      </c>
    </row>
    <row r="9" spans="1:7" ht="43.5" x14ac:dyDescent="0.35">
      <c r="A9" s="5" t="s">
        <v>5643</v>
      </c>
      <c r="D9" s="39" t="s">
        <v>6167</v>
      </c>
      <c r="E9" s="39" t="s">
        <v>6167</v>
      </c>
      <c r="F9" s="39" t="s">
        <v>68</v>
      </c>
      <c r="G9" s="39" t="s">
        <v>6309</v>
      </c>
    </row>
    <row r="10" spans="1:7" ht="58" x14ac:dyDescent="0.35">
      <c r="A10" s="5" t="s">
        <v>5648</v>
      </c>
      <c r="D10" s="39" t="s">
        <v>6310</v>
      </c>
      <c r="E10" s="39" t="s">
        <v>6254</v>
      </c>
      <c r="F10" s="39" t="s">
        <v>68</v>
      </c>
      <c r="G10" s="39" t="s">
        <v>6305</v>
      </c>
    </row>
    <row r="11" spans="1:7" ht="43.5" x14ac:dyDescent="0.35">
      <c r="A11" s="5" t="s">
        <v>6240</v>
      </c>
      <c r="D11" s="39" t="s">
        <v>6231</v>
      </c>
      <c r="E11" s="39" t="s">
        <v>6231</v>
      </c>
      <c r="F11" s="39" t="s">
        <v>68</v>
      </c>
      <c r="G11" s="39" t="s">
        <v>6322</v>
      </c>
    </row>
    <row r="12" spans="1:7" ht="43.5" x14ac:dyDescent="0.35">
      <c r="A12" s="5" t="s">
        <v>4582</v>
      </c>
      <c r="D12" s="39" t="s">
        <v>6248</v>
      </c>
      <c r="E12" s="39" t="s">
        <v>6248</v>
      </c>
      <c r="F12" s="39" t="s">
        <v>68</v>
      </c>
      <c r="G12" s="39" t="s">
        <v>6323</v>
      </c>
    </row>
    <row r="13" spans="1:7" ht="43.5" x14ac:dyDescent="0.35">
      <c r="A13" s="5" t="s">
        <v>5659</v>
      </c>
      <c r="D13" s="39" t="s">
        <v>5643</v>
      </c>
      <c r="E13" s="39" t="s">
        <v>6278</v>
      </c>
      <c r="F13" s="39" t="s">
        <v>6279</v>
      </c>
      <c r="G13" s="39" t="s">
        <v>6280</v>
      </c>
    </row>
    <row r="14" spans="1:7" ht="43.5" x14ac:dyDescent="0.35">
      <c r="A14" s="5" t="s">
        <v>6246</v>
      </c>
      <c r="D14" s="39" t="s">
        <v>6261</v>
      </c>
      <c r="E14" s="39" t="s">
        <v>6245</v>
      </c>
      <c r="F14" s="39" t="s">
        <v>6262</v>
      </c>
      <c r="G14" s="39" t="s">
        <v>6263</v>
      </c>
    </row>
    <row r="15" spans="1:7" ht="29" x14ac:dyDescent="0.35">
      <c r="A15" s="5" t="s">
        <v>5682</v>
      </c>
      <c r="D15" s="39" t="s">
        <v>6304</v>
      </c>
      <c r="E15" s="39" t="s">
        <v>6304</v>
      </c>
      <c r="F15" s="39" t="s">
        <v>299</v>
      </c>
      <c r="G15" s="39" t="s">
        <v>6305</v>
      </c>
    </row>
    <row r="16" spans="1:7" ht="29" x14ac:dyDescent="0.35">
      <c r="A16" s="30" t="s">
        <v>6198</v>
      </c>
      <c r="D16" s="39" t="s">
        <v>6275</v>
      </c>
      <c r="E16" s="39" t="s">
        <v>6276</v>
      </c>
      <c r="F16" s="39" t="s">
        <v>341</v>
      </c>
      <c r="G16" s="39" t="s">
        <v>6277</v>
      </c>
    </row>
    <row r="17" spans="1:7" ht="58" x14ac:dyDescent="0.35">
      <c r="A17" s="30" t="s">
        <v>6255</v>
      </c>
      <c r="D17" s="39" t="s">
        <v>6281</v>
      </c>
      <c r="E17" s="39" t="s">
        <v>5648</v>
      </c>
      <c r="F17" s="39" t="s">
        <v>341</v>
      </c>
      <c r="G17" s="39" t="s">
        <v>6282</v>
      </c>
    </row>
    <row r="18" spans="1:7" ht="43.5" x14ac:dyDescent="0.35">
      <c r="A18" s="5" t="s">
        <v>6258</v>
      </c>
      <c r="D18" s="39" t="s">
        <v>6288</v>
      </c>
      <c r="E18" s="39" t="s">
        <v>6289</v>
      </c>
      <c r="F18" s="39" t="s">
        <v>367</v>
      </c>
      <c r="G18" s="39" t="s">
        <v>6290</v>
      </c>
    </row>
    <row r="19" spans="1:7" ht="29" x14ac:dyDescent="0.35">
      <c r="A19" s="5" t="s">
        <v>393</v>
      </c>
      <c r="D19" s="39" t="s">
        <v>6317</v>
      </c>
      <c r="E19" s="39" t="s">
        <v>6250</v>
      </c>
      <c r="F19" s="39" t="s">
        <v>367</v>
      </c>
      <c r="G19" s="39" t="s">
        <v>6318</v>
      </c>
    </row>
    <row r="20" spans="1:7" ht="58" x14ac:dyDescent="0.35">
      <c r="A20" s="5" t="s">
        <v>4702</v>
      </c>
      <c r="D20" s="39" t="s">
        <v>6285</v>
      </c>
      <c r="E20" s="39" t="s">
        <v>4582</v>
      </c>
      <c r="F20" s="39" t="s">
        <v>6286</v>
      </c>
      <c r="G20" s="39" t="s">
        <v>6287</v>
      </c>
    </row>
    <row r="21" spans="1:7" ht="72.5" x14ac:dyDescent="0.35">
      <c r="A21" s="30" t="s">
        <v>6257</v>
      </c>
      <c r="D21" s="39" t="s">
        <v>6297</v>
      </c>
      <c r="E21" s="39" t="s">
        <v>393</v>
      </c>
      <c r="F21" s="39" t="s">
        <v>6286</v>
      </c>
      <c r="G21" s="39" t="s">
        <v>6298</v>
      </c>
    </row>
    <row r="22" spans="1:7" ht="43.5" x14ac:dyDescent="0.35">
      <c r="A22" s="30" t="s">
        <v>6256</v>
      </c>
      <c r="D22" s="39" t="s">
        <v>6273</v>
      </c>
      <c r="E22" s="39" t="s">
        <v>6242</v>
      </c>
      <c r="F22" s="39" t="s">
        <v>466</v>
      </c>
      <c r="G22" s="39" t="s">
        <v>6274</v>
      </c>
    </row>
    <row r="23" spans="1:7" ht="58" x14ac:dyDescent="0.35">
      <c r="A23" s="5" t="s">
        <v>6105</v>
      </c>
      <c r="D23" s="39" t="s">
        <v>6299</v>
      </c>
      <c r="E23" s="39" t="s">
        <v>6257</v>
      </c>
      <c r="F23" s="39" t="s">
        <v>466</v>
      </c>
      <c r="G23" s="39" t="s">
        <v>6300</v>
      </c>
    </row>
    <row r="24" spans="1:7" ht="29" x14ac:dyDescent="0.35">
      <c r="A24" s="5" t="s">
        <v>6252</v>
      </c>
      <c r="D24" s="39" t="s">
        <v>6301</v>
      </c>
      <c r="E24" s="39" t="s">
        <v>6302</v>
      </c>
      <c r="F24" s="39" t="s">
        <v>466</v>
      </c>
      <c r="G24" s="39" t="s">
        <v>6303</v>
      </c>
    </row>
    <row r="25" spans="1:7" ht="43.5" x14ac:dyDescent="0.35">
      <c r="A25" s="5" t="s">
        <v>6253</v>
      </c>
      <c r="D25" s="39" t="s">
        <v>6315</v>
      </c>
      <c r="E25" s="39" t="s">
        <v>6203</v>
      </c>
      <c r="F25" s="39" t="s">
        <v>466</v>
      </c>
      <c r="G25" s="39" t="s">
        <v>6316</v>
      </c>
    </row>
    <row r="26" spans="1:7" ht="43.5" x14ac:dyDescent="0.35">
      <c r="A26" s="5" t="s">
        <v>6167</v>
      </c>
      <c r="D26" s="39" t="s">
        <v>6324</v>
      </c>
      <c r="E26" s="39" t="s">
        <v>6247</v>
      </c>
      <c r="F26" s="39" t="s">
        <v>474</v>
      </c>
      <c r="G26" s="39" t="s">
        <v>6325</v>
      </c>
    </row>
    <row r="27" spans="1:7" ht="101.5" x14ac:dyDescent="0.35">
      <c r="A27" s="5" t="s">
        <v>6254</v>
      </c>
      <c r="D27" s="39" t="s">
        <v>6313</v>
      </c>
      <c r="E27" s="39" t="s">
        <v>6251</v>
      </c>
      <c r="F27" s="39" t="s">
        <v>630</v>
      </c>
      <c r="G27" s="39" t="s">
        <v>6314</v>
      </c>
    </row>
    <row r="28" spans="1:7" ht="29" x14ac:dyDescent="0.35">
      <c r="A28" s="5" t="s">
        <v>361</v>
      </c>
      <c r="D28" s="39" t="s">
        <v>6268</v>
      </c>
      <c r="E28" s="39" t="s">
        <v>6269</v>
      </c>
      <c r="F28" s="39" t="s">
        <v>725</v>
      </c>
      <c r="G28" s="39" t="s">
        <v>6270</v>
      </c>
    </row>
    <row r="29" spans="1:7" ht="43.5" x14ac:dyDescent="0.35">
      <c r="A29" s="5" t="s">
        <v>6251</v>
      </c>
      <c r="D29" s="39" t="s">
        <v>6264</v>
      </c>
      <c r="E29" s="39" t="s">
        <v>6265</v>
      </c>
      <c r="F29" s="39" t="s">
        <v>6266</v>
      </c>
      <c r="G29" s="39" t="s">
        <v>6267</v>
      </c>
    </row>
    <row r="30" spans="1:7" ht="43.5" x14ac:dyDescent="0.35">
      <c r="A30" s="5" t="s">
        <v>6203</v>
      </c>
      <c r="D30" s="39" t="s">
        <v>6283</v>
      </c>
      <c r="E30" s="39" t="s">
        <v>6240</v>
      </c>
      <c r="F30" s="39" t="s">
        <v>6266</v>
      </c>
      <c r="G30" s="39" t="s">
        <v>6284</v>
      </c>
    </row>
    <row r="31" spans="1:7" ht="43.5" x14ac:dyDescent="0.35">
      <c r="A31" s="5" t="s">
        <v>6250</v>
      </c>
      <c r="D31" s="39" t="s">
        <v>6311</v>
      </c>
      <c r="E31" s="39" t="s">
        <v>361</v>
      </c>
      <c r="F31" s="39" t="s">
        <v>6266</v>
      </c>
      <c r="G31" s="39" t="s">
        <v>6312</v>
      </c>
    </row>
    <row r="32" spans="1:7" ht="43.5" x14ac:dyDescent="0.35">
      <c r="A32" s="5" t="s">
        <v>6249</v>
      </c>
      <c r="D32" s="39" t="s">
        <v>6319</v>
      </c>
      <c r="E32" s="39" t="s">
        <v>6320</v>
      </c>
      <c r="F32" s="39" t="s">
        <v>6266</v>
      </c>
      <c r="G32" s="39" t="s">
        <v>6321</v>
      </c>
    </row>
    <row r="33" spans="1:1" x14ac:dyDescent="0.35">
      <c r="A33" s="5" t="s">
        <v>6231</v>
      </c>
    </row>
    <row r="34" spans="1:1" x14ac:dyDescent="0.35">
      <c r="A34" s="5" t="s">
        <v>6248</v>
      </c>
    </row>
    <row r="35" spans="1:1" x14ac:dyDescent="0.35">
      <c r="A35" s="5" t="s">
        <v>6247</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C000000}">
    <sortState xmlns:xlrd2="http://schemas.microsoft.com/office/spreadsheetml/2017/richdata2"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8" t="s">
        <v>6259</v>
      </c>
      <c r="E2" s="38" t="s">
        <v>4573</v>
      </c>
      <c r="F2" s="38" t="s">
        <v>4574</v>
      </c>
      <c r="G2" s="38" t="s">
        <v>6260</v>
      </c>
    </row>
    <row r="3" spans="1:7" ht="43.5" x14ac:dyDescent="0.35">
      <c r="A3" s="5" t="s">
        <v>6245</v>
      </c>
      <c r="D3" s="39" t="s">
        <v>6271</v>
      </c>
      <c r="E3" s="39" t="s">
        <v>6188</v>
      </c>
      <c r="F3" s="39" t="s">
        <v>68</v>
      </c>
      <c r="G3" s="39" t="s">
        <v>6272</v>
      </c>
    </row>
    <row r="4" spans="1:7" ht="58" x14ac:dyDescent="0.35">
      <c r="A4" s="5" t="s">
        <v>6164</v>
      </c>
      <c r="D4" s="39" t="s">
        <v>6291</v>
      </c>
      <c r="E4" s="39" t="s">
        <v>6198</v>
      </c>
      <c r="F4" s="39" t="s">
        <v>68</v>
      </c>
      <c r="G4" s="39" t="s">
        <v>6292</v>
      </c>
    </row>
    <row r="5" spans="1:7" ht="43.5" x14ac:dyDescent="0.35">
      <c r="A5" s="30" t="s">
        <v>6243</v>
      </c>
      <c r="D5" s="39" t="s">
        <v>6255</v>
      </c>
      <c r="E5" s="39" t="s">
        <v>6255</v>
      </c>
      <c r="F5" s="39" t="s">
        <v>68</v>
      </c>
      <c r="G5" s="39" t="s">
        <v>6293</v>
      </c>
    </row>
    <row r="6" spans="1:7" ht="43.5" x14ac:dyDescent="0.35">
      <c r="A6" s="30" t="s">
        <v>6244</v>
      </c>
      <c r="D6" s="39" t="s">
        <v>6294</v>
      </c>
      <c r="E6" s="39" t="s">
        <v>6295</v>
      </c>
      <c r="F6" s="39" t="s">
        <v>68</v>
      </c>
      <c r="G6" s="39" t="s">
        <v>6296</v>
      </c>
    </row>
    <row r="7" spans="1:7" ht="58" x14ac:dyDescent="0.35">
      <c r="A7" s="30" t="s">
        <v>6242</v>
      </c>
      <c r="D7" s="39" t="s">
        <v>6306</v>
      </c>
      <c r="E7" s="39" t="s">
        <v>6252</v>
      </c>
      <c r="F7" s="39" t="s">
        <v>68</v>
      </c>
      <c r="G7" s="39" t="s">
        <v>6307</v>
      </c>
    </row>
    <row r="8" spans="1:7" ht="43.5" x14ac:dyDescent="0.35">
      <c r="A8" s="30" t="s">
        <v>6241</v>
      </c>
      <c r="D8" s="39" t="s">
        <v>6253</v>
      </c>
      <c r="E8" s="39" t="s">
        <v>6253</v>
      </c>
      <c r="F8" s="39" t="s">
        <v>68</v>
      </c>
      <c r="G8" s="39" t="s">
        <v>6308</v>
      </c>
    </row>
    <row r="9" spans="1:7" ht="43.5" x14ac:dyDescent="0.35">
      <c r="A9" s="5" t="s">
        <v>5643</v>
      </c>
      <c r="D9" s="39" t="s">
        <v>6167</v>
      </c>
      <c r="E9" s="39" t="s">
        <v>6167</v>
      </c>
      <c r="F9" s="39" t="s">
        <v>68</v>
      </c>
      <c r="G9" s="39" t="s">
        <v>6309</v>
      </c>
    </row>
    <row r="10" spans="1:7" ht="58" x14ac:dyDescent="0.35">
      <c r="A10" s="5" t="s">
        <v>5648</v>
      </c>
      <c r="D10" s="39" t="s">
        <v>6310</v>
      </c>
      <c r="E10" s="39" t="s">
        <v>6254</v>
      </c>
      <c r="F10" s="39" t="s">
        <v>68</v>
      </c>
      <c r="G10" s="39" t="s">
        <v>6305</v>
      </c>
    </row>
    <row r="11" spans="1:7" ht="43.5" x14ac:dyDescent="0.35">
      <c r="A11" s="5" t="s">
        <v>6240</v>
      </c>
      <c r="D11" s="39" t="s">
        <v>6231</v>
      </c>
      <c r="E11" s="39" t="s">
        <v>6231</v>
      </c>
      <c r="F11" s="39" t="s">
        <v>68</v>
      </c>
      <c r="G11" s="39" t="s">
        <v>6322</v>
      </c>
    </row>
    <row r="12" spans="1:7" ht="43.5" x14ac:dyDescent="0.35">
      <c r="A12" s="5" t="s">
        <v>4582</v>
      </c>
      <c r="D12" s="39" t="s">
        <v>6248</v>
      </c>
      <c r="E12" s="39" t="s">
        <v>6248</v>
      </c>
      <c r="F12" s="39" t="s">
        <v>68</v>
      </c>
      <c r="G12" s="39" t="s">
        <v>6323</v>
      </c>
    </row>
    <row r="13" spans="1:7" ht="43.5" x14ac:dyDescent="0.35">
      <c r="A13" s="5" t="s">
        <v>5659</v>
      </c>
      <c r="D13" s="39" t="s">
        <v>5643</v>
      </c>
      <c r="E13" s="39" t="s">
        <v>6278</v>
      </c>
      <c r="F13" s="39" t="s">
        <v>6279</v>
      </c>
      <c r="G13" s="39" t="s">
        <v>6280</v>
      </c>
    </row>
    <row r="14" spans="1:7" ht="43.5" x14ac:dyDescent="0.35">
      <c r="A14" s="5" t="s">
        <v>6246</v>
      </c>
      <c r="D14" s="39" t="s">
        <v>6261</v>
      </c>
      <c r="E14" s="39" t="s">
        <v>6245</v>
      </c>
      <c r="F14" s="39" t="s">
        <v>6262</v>
      </c>
      <c r="G14" s="39" t="s">
        <v>6263</v>
      </c>
    </row>
    <row r="15" spans="1:7" ht="29" x14ac:dyDescent="0.35">
      <c r="A15" s="5" t="s">
        <v>5682</v>
      </c>
      <c r="D15" s="39" t="s">
        <v>6304</v>
      </c>
      <c r="E15" s="39" t="s">
        <v>6304</v>
      </c>
      <c r="F15" s="39" t="s">
        <v>299</v>
      </c>
      <c r="G15" s="39" t="s">
        <v>6305</v>
      </c>
    </row>
    <row r="16" spans="1:7" ht="29" x14ac:dyDescent="0.35">
      <c r="A16" s="30" t="s">
        <v>6198</v>
      </c>
      <c r="D16" s="39" t="s">
        <v>6275</v>
      </c>
      <c r="E16" s="39" t="s">
        <v>6276</v>
      </c>
      <c r="F16" s="39" t="s">
        <v>341</v>
      </c>
      <c r="G16" s="39" t="s">
        <v>6277</v>
      </c>
    </row>
    <row r="17" spans="1:7" ht="58" x14ac:dyDescent="0.35">
      <c r="A17" s="30" t="s">
        <v>6255</v>
      </c>
      <c r="D17" s="39" t="s">
        <v>6281</v>
      </c>
      <c r="E17" s="39" t="s">
        <v>5648</v>
      </c>
      <c r="F17" s="39" t="s">
        <v>341</v>
      </c>
      <c r="G17" s="39" t="s">
        <v>6282</v>
      </c>
    </row>
    <row r="18" spans="1:7" ht="43.5" x14ac:dyDescent="0.35">
      <c r="A18" s="5" t="s">
        <v>6258</v>
      </c>
      <c r="D18" s="39" t="s">
        <v>6288</v>
      </c>
      <c r="E18" s="39" t="s">
        <v>6289</v>
      </c>
      <c r="F18" s="39" t="s">
        <v>367</v>
      </c>
      <c r="G18" s="39" t="s">
        <v>6290</v>
      </c>
    </row>
    <row r="19" spans="1:7" ht="29" x14ac:dyDescent="0.35">
      <c r="A19" s="5" t="s">
        <v>393</v>
      </c>
      <c r="D19" s="39" t="s">
        <v>6317</v>
      </c>
      <c r="E19" s="39" t="s">
        <v>6250</v>
      </c>
      <c r="F19" s="39" t="s">
        <v>367</v>
      </c>
      <c r="G19" s="39" t="s">
        <v>6318</v>
      </c>
    </row>
    <row r="20" spans="1:7" ht="58" x14ac:dyDescent="0.35">
      <c r="A20" s="5" t="s">
        <v>4702</v>
      </c>
      <c r="D20" s="39" t="s">
        <v>6285</v>
      </c>
      <c r="E20" s="39" t="s">
        <v>4582</v>
      </c>
      <c r="F20" s="39" t="s">
        <v>6286</v>
      </c>
      <c r="G20" s="39" t="s">
        <v>6287</v>
      </c>
    </row>
    <row r="21" spans="1:7" ht="72.5" x14ac:dyDescent="0.35">
      <c r="A21" s="30" t="s">
        <v>6257</v>
      </c>
      <c r="D21" s="39" t="s">
        <v>6297</v>
      </c>
      <c r="E21" s="39" t="s">
        <v>393</v>
      </c>
      <c r="F21" s="39" t="s">
        <v>6286</v>
      </c>
      <c r="G21" s="39" t="s">
        <v>6298</v>
      </c>
    </row>
    <row r="22" spans="1:7" ht="43.5" x14ac:dyDescent="0.35">
      <c r="A22" s="30" t="s">
        <v>6256</v>
      </c>
      <c r="D22" s="39" t="s">
        <v>6273</v>
      </c>
      <c r="E22" s="39" t="s">
        <v>6242</v>
      </c>
      <c r="F22" s="39" t="s">
        <v>466</v>
      </c>
      <c r="G22" s="39" t="s">
        <v>6274</v>
      </c>
    </row>
    <row r="23" spans="1:7" ht="58" x14ac:dyDescent="0.35">
      <c r="A23" s="5" t="s">
        <v>6105</v>
      </c>
      <c r="D23" s="39" t="s">
        <v>6299</v>
      </c>
      <c r="E23" s="39" t="s">
        <v>6257</v>
      </c>
      <c r="F23" s="39" t="s">
        <v>466</v>
      </c>
      <c r="G23" s="39" t="s">
        <v>6300</v>
      </c>
    </row>
    <row r="24" spans="1:7" ht="29" x14ac:dyDescent="0.35">
      <c r="A24" s="5" t="s">
        <v>6252</v>
      </c>
      <c r="D24" s="39" t="s">
        <v>6301</v>
      </c>
      <c r="E24" s="39" t="s">
        <v>6302</v>
      </c>
      <c r="F24" s="39" t="s">
        <v>466</v>
      </c>
      <c r="G24" s="39" t="s">
        <v>6303</v>
      </c>
    </row>
    <row r="25" spans="1:7" ht="43.5" x14ac:dyDescent="0.35">
      <c r="A25" s="5" t="s">
        <v>6253</v>
      </c>
      <c r="D25" s="39" t="s">
        <v>6315</v>
      </c>
      <c r="E25" s="39" t="s">
        <v>6203</v>
      </c>
      <c r="F25" s="39" t="s">
        <v>466</v>
      </c>
      <c r="G25" s="39" t="s">
        <v>6316</v>
      </c>
    </row>
    <row r="26" spans="1:7" ht="43.5" x14ac:dyDescent="0.35">
      <c r="A26" s="5" t="s">
        <v>6167</v>
      </c>
      <c r="D26" s="39" t="s">
        <v>6324</v>
      </c>
      <c r="E26" s="39" t="s">
        <v>6247</v>
      </c>
      <c r="F26" s="39" t="s">
        <v>474</v>
      </c>
      <c r="G26" s="39" t="s">
        <v>6325</v>
      </c>
    </row>
    <row r="27" spans="1:7" ht="101.5" x14ac:dyDescent="0.35">
      <c r="A27" s="5" t="s">
        <v>6254</v>
      </c>
      <c r="D27" s="39" t="s">
        <v>6313</v>
      </c>
      <c r="E27" s="39" t="s">
        <v>6251</v>
      </c>
      <c r="F27" s="39" t="s">
        <v>630</v>
      </c>
      <c r="G27" s="39" t="s">
        <v>6314</v>
      </c>
    </row>
    <row r="28" spans="1:7" ht="29" x14ac:dyDescent="0.35">
      <c r="A28" s="5" t="s">
        <v>361</v>
      </c>
      <c r="D28" s="39" t="s">
        <v>6268</v>
      </c>
      <c r="E28" s="39" t="s">
        <v>6269</v>
      </c>
      <c r="F28" s="39" t="s">
        <v>725</v>
      </c>
      <c r="G28" s="39" t="s">
        <v>6270</v>
      </c>
    </row>
    <row r="29" spans="1:7" ht="43.5" x14ac:dyDescent="0.35">
      <c r="A29" s="5" t="s">
        <v>6251</v>
      </c>
      <c r="D29" s="39" t="s">
        <v>6264</v>
      </c>
      <c r="E29" s="39" t="s">
        <v>6265</v>
      </c>
      <c r="F29" s="39" t="s">
        <v>6266</v>
      </c>
      <c r="G29" s="39" t="s">
        <v>6267</v>
      </c>
    </row>
    <row r="30" spans="1:7" ht="43.5" x14ac:dyDescent="0.35">
      <c r="A30" s="5" t="s">
        <v>6203</v>
      </c>
      <c r="D30" s="39" t="s">
        <v>6283</v>
      </c>
      <c r="E30" s="39" t="s">
        <v>6240</v>
      </c>
      <c r="F30" s="39" t="s">
        <v>6266</v>
      </c>
      <c r="G30" s="39" t="s">
        <v>6284</v>
      </c>
    </row>
    <row r="31" spans="1:7" ht="43.5" x14ac:dyDescent="0.35">
      <c r="A31" s="5" t="s">
        <v>6250</v>
      </c>
      <c r="D31" s="39" t="s">
        <v>6311</v>
      </c>
      <c r="E31" s="39" t="s">
        <v>361</v>
      </c>
      <c r="F31" s="39" t="s">
        <v>6266</v>
      </c>
      <c r="G31" s="39" t="s">
        <v>6312</v>
      </c>
    </row>
    <row r="32" spans="1:7" ht="43.5" x14ac:dyDescent="0.35">
      <c r="A32" s="5" t="s">
        <v>6249</v>
      </c>
      <c r="D32" s="39" t="s">
        <v>6319</v>
      </c>
      <c r="E32" s="39" t="s">
        <v>6320</v>
      </c>
      <c r="F32" s="39" t="s">
        <v>6266</v>
      </c>
      <c r="G32" s="39" t="s">
        <v>6321</v>
      </c>
    </row>
    <row r="33" spans="1:1" x14ac:dyDescent="0.35">
      <c r="A33" s="5" t="s">
        <v>6231</v>
      </c>
    </row>
    <row r="34" spans="1:1" x14ac:dyDescent="0.35">
      <c r="A34" s="5" t="s">
        <v>6248</v>
      </c>
    </row>
    <row r="35" spans="1:1" x14ac:dyDescent="0.35">
      <c r="A35" s="5" t="s">
        <v>6247</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D000000}">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2026-02-06T13:55:20Z</dcterms:modified>
</cp:coreProperties>
</file>