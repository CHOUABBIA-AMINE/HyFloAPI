
<file path=[Content_Types].xml><?xml version="1.0" encoding="utf-8"?>
<Types xmlns="http://schemas.openxmlformats.org/package/2006/content-types">
  <Default Extension="bin" ContentType="application/vnd.openxmlformats-officedocument.spreadsheetml.printerSettings"/>
  <Default Extension="wmf" ContentType="image/x-w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F:\Dev Framework\Workspace\Backend\HyFloAPI\src\main\resources\data\"/>
    </mc:Choice>
  </mc:AlternateContent>
  <bookViews>
    <workbookView xWindow="-105" yWindow="-105" windowWidth="19425" windowHeight="10425" firstSheet="40" activeTab="46"/>
  </bookViews>
  <sheets>
    <sheet name="00-02-01" sheetId="48" r:id="rId1"/>
    <sheet name="000201-000203" sheetId="53" r:id="rId2"/>
    <sheet name="00-02-02" sheetId="49" r:id="rId3"/>
    <sheet name="000202-000201" sheetId="55" r:id="rId4"/>
    <sheet name="000202-000203" sheetId="54" r:id="rId5"/>
    <sheet name="00-02-03" sheetId="50" r:id="rId6"/>
    <sheet name="000203-000204" sheetId="56" r:id="rId7"/>
    <sheet name="00-02-04" sheetId="51" r:id="rId8"/>
    <sheet name="00-02-05" sheetId="52" r:id="rId9"/>
    <sheet name="01-01-01" sheetId="1" r:id="rId10"/>
    <sheet name="01-02-01" sheetId="3" r:id="rId11"/>
    <sheet name="01-02-02" sheetId="5" r:id="rId12"/>
    <sheet name="01-02-03" sheetId="9" r:id="rId13"/>
    <sheet name="01-02-04" sheetId="13" r:id="rId14"/>
    <sheet name="01-02-05" sheetId="14" r:id="rId15"/>
    <sheet name="01-02-06" sheetId="15" r:id="rId16"/>
    <sheet name="01-03-01" sheetId="16" r:id="rId17"/>
    <sheet name="02-01-01" sheetId="18" r:id="rId18"/>
    <sheet name="02-01-02" sheetId="20" r:id="rId19"/>
    <sheet name="02-01-03" sheetId="21" r:id="rId20"/>
    <sheet name="02-01-04" sheetId="22" r:id="rId21"/>
    <sheet name="02-01-05" sheetId="23" r:id="rId22"/>
    <sheet name="02-01-06" sheetId="24" r:id="rId23"/>
    <sheet name="02-01-07" sheetId="25" r:id="rId24"/>
    <sheet name="02-01-08" sheetId="26" r:id="rId25"/>
    <sheet name="02-01-09" sheetId="47" r:id="rId26"/>
    <sheet name="02-02-01" sheetId="28" r:id="rId27"/>
    <sheet name="02-02-02" sheetId="29" r:id="rId28"/>
    <sheet name="02-02-03" sheetId="31" r:id="rId29"/>
    <sheet name="02-02-04" sheetId="33" r:id="rId30"/>
    <sheet name="02-02-05" sheetId="35" r:id="rId31"/>
    <sheet name="02-03-01" sheetId="37" r:id="rId32"/>
    <sheet name="02-03-02" sheetId="40" r:id="rId33"/>
    <sheet name="02-03-03" sheetId="41" r:id="rId34"/>
    <sheet name="020303-020308" sheetId="57" r:id="rId35"/>
    <sheet name="02-03-04" sheetId="43" r:id="rId36"/>
    <sheet name="020304-020302" sheetId="59" r:id="rId37"/>
    <sheet name="020304-020308" sheetId="58" state="hidden" r:id="rId38"/>
    <sheet name="02-03-05" sheetId="44" r:id="rId39"/>
    <sheet name="020305-020201" sheetId="62" r:id="rId40"/>
    <sheet name="020305-020204" sheetId="61" r:id="rId41"/>
    <sheet name="020305-020308" sheetId="60" r:id="rId42"/>
    <sheet name="02-03-06" sheetId="45" r:id="rId43"/>
    <sheet name="020306-020201" sheetId="63" r:id="rId44"/>
    <sheet name="020306-020204" sheetId="64" r:id="rId45"/>
    <sheet name="02-03-07" sheetId="42" r:id="rId46"/>
    <sheet name="02-03-08" sheetId="46" r:id="rId47"/>
    <sheet name="020308-010206" sheetId="65" r:id="rId48"/>
    <sheet name="02-03-09" sheetId="88" r:id="rId49"/>
    <sheet name="03_01_01" sheetId="84" r:id="rId50"/>
    <sheet name="03_01_02" sheetId="86" r:id="rId51"/>
    <sheet name="03_02_01" sheetId="71" r:id="rId52"/>
    <sheet name="03_02_02" sheetId="73" r:id="rId53"/>
    <sheet name="03_02_03" sheetId="75" r:id="rId54"/>
    <sheet name="03_02_04" sheetId="77" r:id="rId55"/>
    <sheet name="03_02_05" sheetId="79" r:id="rId56"/>
    <sheet name="03_02_06" sheetId="82" r:id="rId57"/>
    <sheet name="03-02-07" sheetId="69" r:id="rId58"/>
    <sheet name="Feuil7" sheetId="38" r:id="rId59"/>
    <sheet name="Feuil1" sheetId="39" r:id="rId60"/>
    <sheet name="Feuil2" sheetId="66" r:id="rId61"/>
    <sheet name="Feuil3 (2)" sheetId="87" r:id="rId62"/>
    <sheet name="Feuil3" sheetId="67" r:id="rId63"/>
  </sheets>
  <definedNames>
    <definedName name="_xlnm._FilterDatabase" localSheetId="0" hidden="1">'00-02-01'!$A$2:$C$10</definedName>
    <definedName name="_xlnm._FilterDatabase" localSheetId="1" hidden="1">'000201-000203'!$A$2:$B$20</definedName>
    <definedName name="_xlnm._FilterDatabase" localSheetId="2" hidden="1">'00-02-02'!$A$2:$K$18</definedName>
    <definedName name="_xlnm._FilterDatabase" localSheetId="3" hidden="1">'000202-000201'!$A$2:$B$10</definedName>
    <definedName name="_xlnm._FilterDatabase" localSheetId="4" hidden="1">'000202-000203'!$A$2:$B$13</definedName>
    <definedName name="_xlnm._FilterDatabase" localSheetId="5" hidden="1">'00-02-03'!$A$2:$B$26</definedName>
    <definedName name="_xlnm._FilterDatabase" localSheetId="6" hidden="1">'000203-000204'!$A$2:$B$62</definedName>
    <definedName name="_xlnm._FilterDatabase" localSheetId="7" hidden="1">'00-02-04'!$A$2:$F$474</definedName>
    <definedName name="_xlnm._FilterDatabase" localSheetId="8" hidden="1">'00-02-05'!$A$2:$E$21</definedName>
    <definedName name="_xlnm._FilterDatabase" localSheetId="9" hidden="1">'01-01-01'!$A$2:$D$15</definedName>
    <definedName name="_xlnm._FilterDatabase" localSheetId="10" hidden="1">'01-02-01'!$A$2:$F$4</definedName>
    <definedName name="_xlnm._FilterDatabase" localSheetId="11" hidden="1">'01-02-02'!$A$2:$F$251</definedName>
    <definedName name="_xlnm._FilterDatabase" localSheetId="12" hidden="1">'01-02-03'!$A$2:$F$60</definedName>
    <definedName name="_xlnm._FilterDatabase" localSheetId="13" hidden="1">'01-02-04'!$A$2:$G$549</definedName>
    <definedName name="_xlnm._FilterDatabase" localSheetId="14" hidden="1">'01-02-05'!$A$2:$H$1543</definedName>
    <definedName name="_xlnm._FilterDatabase" localSheetId="15" hidden="1">'01-02-06'!$A$2:$H$1543</definedName>
    <definedName name="_xlnm._FilterDatabase" localSheetId="16" hidden="1">'01-03-01'!$A$2:$H$22</definedName>
    <definedName name="_xlnm._FilterDatabase" localSheetId="17" hidden="1">'02-01-01'!$A$2:$D$24</definedName>
    <definedName name="_xlnm._FilterDatabase" localSheetId="18" hidden="1">'02-01-02'!$A$2:$B$11</definedName>
    <definedName name="_xlnm._FilterDatabase" localSheetId="19" hidden="1">'02-01-03'!$A$2:$B$15</definedName>
    <definedName name="_xlnm._FilterDatabase" localSheetId="20" hidden="1">'02-01-04'!$A$2:$F$38</definedName>
    <definedName name="_xlnm._FilterDatabase" localSheetId="21" hidden="1">'02-01-05'!$A$2:$B$13</definedName>
    <definedName name="_xlnm._FilterDatabase" localSheetId="22" hidden="1">'02-01-06'!$A$2:$B$8</definedName>
    <definedName name="_xlnm._FilterDatabase" localSheetId="23" hidden="1">'02-01-07'!$A$2:$B$5</definedName>
    <definedName name="_xlnm._FilterDatabase" localSheetId="24" hidden="1">'02-01-08'!$A$2:$B$18</definedName>
    <definedName name="_xlnm._FilterDatabase" localSheetId="25" hidden="1">'02-01-09'!$A$2:$B$18</definedName>
    <definedName name="_xlnm._FilterDatabase" localSheetId="26" hidden="1">'02-02-01'!$A$2:$E$6</definedName>
    <definedName name="_xlnm._FilterDatabase" localSheetId="27" hidden="1">'02-02-02'!$A$2:$H$10</definedName>
    <definedName name="_xlnm._FilterDatabase" localSheetId="28" hidden="1">'02-02-03'!$A$2:$I$25</definedName>
    <definedName name="_xlnm._FilterDatabase" localSheetId="29" hidden="1">'02-02-04'!$A$2:$F$31</definedName>
    <definedName name="_xlnm._FilterDatabase" localSheetId="30" hidden="1">'02-02-05'!$A$2:$F$41</definedName>
    <definedName name="_xlnm._FilterDatabase" localSheetId="31" hidden="1">'02-03-01'!$A$2:$H$179</definedName>
    <definedName name="_xlnm._FilterDatabase" localSheetId="32" hidden="1">'02-03-02'!$A$2:$D$157</definedName>
    <definedName name="_xlnm._FilterDatabase" localSheetId="33" hidden="1">'02-03-03'!$A$2:$D$89</definedName>
    <definedName name="_xlnm._FilterDatabase" localSheetId="34" hidden="1">'020303-020308'!$A$2:$C$92</definedName>
    <definedName name="_xlnm._FilterDatabase" localSheetId="35" hidden="1">'02-03-04'!$A$2:$C$36</definedName>
    <definedName name="_xlnm._FilterDatabase" localSheetId="36" hidden="1">'020304-020302'!$A$2:$C$89</definedName>
    <definedName name="_xlnm._FilterDatabase" localSheetId="37" hidden="1">'020304-020308'!$A$2:$C$89</definedName>
    <definedName name="_xlnm._FilterDatabase" localSheetId="38" hidden="1">'02-03-05'!$A$2:$D$36</definedName>
    <definedName name="_xlnm._FilterDatabase" localSheetId="39" hidden="1">'020305-020201'!$A$2:$C$89</definedName>
    <definedName name="_xlnm._FilterDatabase" localSheetId="40" hidden="1">'020305-020204'!$A$2:$C$89</definedName>
    <definedName name="_xlnm._FilterDatabase" localSheetId="41" hidden="1">'020305-020308'!$A$2:$C$89</definedName>
    <definedName name="_xlnm._FilterDatabase" localSheetId="42" hidden="1">'02-03-06'!$A$2:$E$36</definedName>
    <definedName name="_xlnm._FilterDatabase" localSheetId="43" hidden="1">'020306-020201'!$A$2:$C$89</definedName>
    <definedName name="_xlnm._FilterDatabase" localSheetId="44" hidden="1">'020306-020204'!$A$2:$C$89</definedName>
    <definedName name="_xlnm._FilterDatabase" localSheetId="45" hidden="1">'02-03-07'!$A$2:$F$24</definedName>
    <definedName name="_xlnm._FilterDatabase" localSheetId="46" hidden="1">'02-03-08'!$A$1:$AC$59</definedName>
    <definedName name="_xlnm._FilterDatabase" localSheetId="47" hidden="1">'020308-010206'!$A$2:$C$89</definedName>
    <definedName name="_xlnm._FilterDatabase" localSheetId="48" hidden="1">'02-03-09'!$A$1:$Z$74</definedName>
    <definedName name="_xlnm._FilterDatabase" localSheetId="49" hidden="1">'03_01_01'!$A$2:$F$12</definedName>
    <definedName name="_xlnm._FilterDatabase" localSheetId="50" hidden="1">'03_01_02'!$A$2:$F$12</definedName>
    <definedName name="_xlnm._FilterDatabase" localSheetId="51" hidden="1">'03_02_01'!$A$2:$E$8</definedName>
    <definedName name="_xlnm._FilterDatabase" localSheetId="52" hidden="1">'03_02_02'!$A$2:$E$9</definedName>
    <definedName name="_xlnm._FilterDatabase" localSheetId="53" hidden="1">'03_02_03'!$A$2:$E$8</definedName>
    <definedName name="_xlnm._FilterDatabase" localSheetId="54" hidden="1">'03_02_04'!$A$2:$I$8</definedName>
    <definedName name="_xlnm._FilterDatabase" localSheetId="55" hidden="1">'03_02_05'!$A$2:$J$9</definedName>
    <definedName name="_xlnm._FilterDatabase" localSheetId="56" hidden="1">'03_02_06'!$A$2:$I$8</definedName>
    <definedName name="_xlnm._FilterDatabase" localSheetId="57" hidden="1">'03-02-07'!$A$2:$G$14</definedName>
    <definedName name="_xlnm._FilterDatabase" localSheetId="62" hidden="1">Feuil3!$D$2:$G$32</definedName>
    <definedName name="_xlnm._FilterDatabase" localSheetId="61" hidden="1">'Feuil3 (2)'!$D$2:$G$32</definedName>
    <definedName name="_xlnm._FilterDatabase" localSheetId="58" hidden="1">Feuil7!$A$1:$H$34</definedName>
    <definedName name="Algerian_Hydrocarbon_Pipelines_Integrated" localSheetId="59">Feuil1!$A$1:$I$66</definedName>
    <definedName name="t_00_02_01" localSheetId="0">'00-02-01'!#REF!</definedName>
    <definedName name="t_00_02_01" localSheetId="1">'000201-000203'!#REF!</definedName>
    <definedName name="t_00_02_01" localSheetId="2">'00-02-02'!#REF!</definedName>
    <definedName name="t_00_02_01" localSheetId="3">'000202-000201'!#REF!</definedName>
    <definedName name="t_00_02_01" localSheetId="4">'000202-000203'!#REF!</definedName>
    <definedName name="t_00_02_01" localSheetId="5">'00-02-03'!#REF!</definedName>
    <definedName name="t_00_02_01" localSheetId="6">'000203-000204'!#REF!</definedName>
    <definedName name="t_00_02_01" localSheetId="7">'00-02-04'!#REF!</definedName>
    <definedName name="t_00_02_01" localSheetId="8">'00-02-05'!#REF!</definedName>
    <definedName name="t_00_02_02" localSheetId="2">'00-02-02'!#REF!</definedName>
    <definedName name="t_00_02_02" localSheetId="7">'00-02-04'!#REF!</definedName>
    <definedName name="t_00_02_02" localSheetId="8">'00-02-05'!#REF!</definedName>
    <definedName name="t_00_02_03" localSheetId="5">'00-02-03'!#REF!</definedName>
    <definedName name="t_00_02_04" localSheetId="7">'00-02-04'!#REF!</definedName>
    <definedName name="t_00_02_04" localSheetId="8">'00-02-05'!#REF!</definedName>
    <definedName name="t_00_02_05" localSheetId="8">'00-02-05'!#REF!</definedName>
  </definedNames>
  <calcPr calcId="152511" calcMode="manual"/>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D17" i="88" l="1"/>
  <c r="AD18" i="88"/>
  <c r="AD19" i="88"/>
  <c r="AD20" i="88"/>
  <c r="AD4" i="88"/>
  <c r="AD5" i="88"/>
  <c r="AD6" i="88"/>
  <c r="AD7" i="88"/>
  <c r="AD8" i="88"/>
  <c r="AD9" i="88"/>
  <c r="AD3" i="88"/>
  <c r="I232" i="37"/>
  <c r="I231" i="37"/>
  <c r="I230" i="37"/>
  <c r="I229" i="37"/>
  <c r="I228" i="37"/>
  <c r="I227" i="37"/>
  <c r="I226" i="37"/>
  <c r="I225" i="37"/>
  <c r="I224" i="37"/>
  <c r="I223" i="37"/>
  <c r="I222" i="37"/>
  <c r="I221" i="37"/>
  <c r="I220" i="37"/>
  <c r="I219" i="37"/>
  <c r="I218" i="37"/>
  <c r="I217" i="37"/>
  <c r="I216" i="37"/>
  <c r="I215" i="37"/>
  <c r="I214" i="37"/>
  <c r="I213" i="37"/>
  <c r="I212" i="37"/>
  <c r="I211" i="37"/>
  <c r="I210" i="37"/>
  <c r="I209" i="37"/>
  <c r="I208" i="37"/>
  <c r="I207" i="37"/>
  <c r="I206" i="37"/>
  <c r="I205" i="37"/>
  <c r="I204" i="37"/>
  <c r="I203" i="37"/>
  <c r="I202" i="37"/>
  <c r="I201" i="37"/>
  <c r="I200" i="37"/>
  <c r="I199" i="37"/>
  <c r="I198" i="37"/>
  <c r="I197" i="37"/>
  <c r="I196" i="37"/>
  <c r="I195" i="37"/>
  <c r="I194" i="37"/>
  <c r="I193" i="37"/>
  <c r="I192" i="37"/>
  <c r="I191" i="37"/>
  <c r="I190" i="37"/>
  <c r="I189" i="37"/>
  <c r="I188" i="37"/>
  <c r="I187" i="37"/>
  <c r="I186" i="37"/>
  <c r="I185" i="37"/>
  <c r="I184" i="37"/>
  <c r="I183" i="37"/>
  <c r="I182" i="37"/>
  <c r="I181" i="37"/>
  <c r="I180" i="37"/>
  <c r="I179" i="37"/>
  <c r="I178" i="37"/>
  <c r="I177" i="37"/>
  <c r="I176" i="37"/>
  <c r="I175" i="37"/>
  <c r="I174" i="37"/>
  <c r="I173" i="37"/>
  <c r="I172" i="37"/>
  <c r="I171" i="37"/>
  <c r="I170" i="37"/>
  <c r="I169" i="37"/>
  <c r="I168" i="37"/>
  <c r="I167" i="37"/>
  <c r="I166" i="37"/>
  <c r="I165" i="37"/>
  <c r="I164" i="37"/>
  <c r="I163" i="37"/>
  <c r="I162" i="37"/>
  <c r="I161" i="37"/>
  <c r="I160" i="37"/>
  <c r="I159" i="37"/>
  <c r="I158" i="37"/>
  <c r="I157" i="37"/>
  <c r="I156" i="37"/>
  <c r="I155" i="37"/>
  <c r="I154" i="37"/>
  <c r="I153" i="37"/>
  <c r="I152" i="37"/>
  <c r="I151" i="37"/>
  <c r="I150" i="37"/>
  <c r="I149" i="37"/>
  <c r="I148" i="37"/>
  <c r="I147" i="37"/>
  <c r="I146" i="37"/>
  <c r="I145" i="37"/>
  <c r="I144" i="37"/>
  <c r="I143" i="37"/>
  <c r="I142" i="37"/>
  <c r="I141" i="37"/>
  <c r="I140" i="37"/>
  <c r="I139" i="37"/>
  <c r="I138" i="37"/>
  <c r="I137" i="37"/>
  <c r="I136" i="37"/>
  <c r="I135" i="37"/>
  <c r="I134" i="37"/>
  <c r="I133" i="37"/>
  <c r="I132" i="37"/>
  <c r="I131" i="37"/>
  <c r="I130" i="37"/>
  <c r="I129" i="37"/>
  <c r="I128" i="37"/>
  <c r="I127" i="37"/>
  <c r="I126" i="37"/>
  <c r="I125" i="37"/>
  <c r="I124" i="37"/>
  <c r="I123" i="37"/>
  <c r="I122" i="37"/>
  <c r="I121" i="37"/>
  <c r="I120" i="37"/>
  <c r="I119" i="37"/>
  <c r="I118" i="37"/>
  <c r="I117" i="37"/>
  <c r="I116" i="37"/>
  <c r="I115" i="37"/>
  <c r="I114" i="37"/>
  <c r="I113" i="37"/>
  <c r="I112" i="37"/>
  <c r="I111" i="37"/>
  <c r="I110" i="37"/>
  <c r="I109" i="37"/>
  <c r="I108" i="37"/>
  <c r="I107" i="37"/>
  <c r="I106" i="37"/>
  <c r="I105" i="37"/>
  <c r="I104" i="37"/>
  <c r="I103" i="37"/>
  <c r="I102" i="37"/>
  <c r="I101" i="37"/>
  <c r="I100" i="37"/>
  <c r="I99" i="37"/>
  <c r="I98" i="37"/>
  <c r="I97" i="37"/>
  <c r="I96" i="37"/>
  <c r="I95" i="37"/>
  <c r="I94" i="37"/>
  <c r="I93" i="37"/>
  <c r="I92" i="37"/>
  <c r="I91" i="37"/>
  <c r="I90" i="37"/>
  <c r="I89" i="37"/>
  <c r="I88" i="37"/>
  <c r="I87" i="37"/>
  <c r="I86" i="37"/>
  <c r="I85" i="37"/>
  <c r="I84" i="37"/>
  <c r="I83" i="37"/>
  <c r="I82" i="37"/>
  <c r="I81" i="37"/>
  <c r="I80" i="37"/>
  <c r="I79" i="37"/>
  <c r="I78" i="37"/>
  <c r="I77" i="37"/>
  <c r="I76" i="37"/>
  <c r="I75" i="37"/>
  <c r="I74" i="37"/>
  <c r="I73" i="37"/>
  <c r="I72" i="37"/>
  <c r="I71" i="37"/>
  <c r="I70" i="37"/>
  <c r="I69" i="37"/>
  <c r="I68" i="37"/>
  <c r="I67" i="37"/>
  <c r="I66" i="37"/>
  <c r="I65" i="37"/>
  <c r="I64" i="37"/>
  <c r="I63" i="37"/>
  <c r="I62" i="37"/>
  <c r="I61" i="37"/>
  <c r="I60" i="37"/>
  <c r="I59" i="37"/>
  <c r="I58" i="37"/>
  <c r="I57" i="37"/>
  <c r="I56" i="37"/>
  <c r="I55" i="37"/>
  <c r="I54" i="37"/>
  <c r="I53" i="37"/>
  <c r="I52" i="37"/>
  <c r="I51" i="37"/>
  <c r="I50" i="37"/>
  <c r="I49" i="37"/>
  <c r="I48" i="37"/>
  <c r="I47" i="37"/>
  <c r="I46" i="37"/>
  <c r="I45" i="37"/>
  <c r="I44" i="37"/>
  <c r="I43" i="37"/>
  <c r="I42" i="37"/>
  <c r="I41" i="37"/>
  <c r="I40" i="37"/>
  <c r="I39" i="37"/>
  <c r="I38" i="37"/>
  <c r="I37" i="37"/>
  <c r="I36" i="37"/>
  <c r="I35" i="37"/>
  <c r="I34" i="37"/>
  <c r="I33" i="37"/>
  <c r="I32" i="37"/>
  <c r="I31" i="37"/>
  <c r="I30" i="37"/>
  <c r="I29" i="37"/>
  <c r="I28" i="37"/>
  <c r="I27" i="37"/>
  <c r="I26" i="37"/>
  <c r="I25" i="37"/>
  <c r="I24" i="37"/>
  <c r="I23" i="37"/>
  <c r="I22" i="37"/>
  <c r="I21" i="37"/>
  <c r="I20" i="37"/>
  <c r="I19" i="37"/>
  <c r="I18" i="37"/>
  <c r="I17" i="37"/>
  <c r="I16" i="37"/>
  <c r="I14" i="37"/>
  <c r="I13" i="37"/>
  <c r="I12" i="37"/>
  <c r="I11" i="37"/>
  <c r="I10" i="37"/>
  <c r="I9" i="37"/>
  <c r="I8" i="37"/>
  <c r="I7" i="37"/>
  <c r="I6" i="37"/>
  <c r="I5" i="37"/>
  <c r="I4" i="37"/>
  <c r="AD11" i="88"/>
  <c r="AD12" i="88"/>
  <c r="AD13" i="88"/>
  <c r="AD14" i="88"/>
  <c r="AD15" i="88"/>
  <c r="AD16" i="88"/>
  <c r="AD10" i="88"/>
  <c r="AD21" i="88"/>
  <c r="AD22" i="88"/>
  <c r="AD23" i="88"/>
  <c r="AD24" i="88"/>
  <c r="AD25" i="88"/>
  <c r="AD26" i="88"/>
  <c r="AD27" i="88"/>
  <c r="AD28" i="88"/>
  <c r="AD29" i="88"/>
  <c r="AD30" i="88"/>
  <c r="AD31" i="88"/>
  <c r="AD32" i="88"/>
  <c r="AD33" i="88"/>
  <c r="AD34" i="88"/>
  <c r="AD35" i="88"/>
  <c r="AD36" i="88"/>
  <c r="AD37" i="88"/>
  <c r="AD38" i="88"/>
  <c r="AD39" i="88"/>
  <c r="AD40" i="88"/>
  <c r="AD41" i="88"/>
  <c r="AD42" i="88"/>
  <c r="AD43" i="88"/>
  <c r="AD44" i="88"/>
  <c r="AD45" i="88"/>
  <c r="AD46" i="88"/>
  <c r="AD47" i="88"/>
  <c r="AD48" i="88"/>
  <c r="AD49" i="88"/>
  <c r="AD50" i="88"/>
  <c r="AD51" i="88"/>
  <c r="AD52" i="88"/>
  <c r="AD53" i="88"/>
  <c r="AD54" i="88"/>
  <c r="AD55" i="88"/>
  <c r="AD56" i="88"/>
  <c r="AD57" i="88"/>
  <c r="AD58" i="88"/>
  <c r="AD59" i="88"/>
  <c r="AD60" i="88"/>
  <c r="AD61" i="88"/>
  <c r="AD62" i="88"/>
  <c r="AD63" i="88"/>
  <c r="AD64" i="88"/>
  <c r="AD65" i="88"/>
  <c r="AD66" i="88"/>
  <c r="AD67" i="88"/>
  <c r="AD68" i="88"/>
  <c r="AD69" i="88"/>
  <c r="AD70" i="88"/>
  <c r="AD71" i="88"/>
  <c r="AD72" i="88"/>
  <c r="AD73" i="88"/>
  <c r="AD74" i="88"/>
  <c r="C36" i="57"/>
  <c r="C38" i="57"/>
  <c r="C52" i="57"/>
  <c r="C4" i="57"/>
  <c r="C5" i="57"/>
  <c r="C6" i="57"/>
  <c r="C7" i="57"/>
  <c r="C8" i="57"/>
  <c r="C9" i="57"/>
  <c r="C10" i="57"/>
  <c r="C11" i="57"/>
  <c r="C12" i="57"/>
  <c r="C13" i="57"/>
  <c r="C14" i="57"/>
  <c r="C15" i="57"/>
  <c r="C16" i="57"/>
  <c r="C17" i="57"/>
  <c r="C18" i="57"/>
  <c r="C19" i="57"/>
  <c r="C20" i="57"/>
  <c r="C21" i="57"/>
  <c r="C22" i="57"/>
  <c r="C23" i="57"/>
  <c r="C24" i="57"/>
  <c r="C25" i="57"/>
  <c r="C26" i="57"/>
  <c r="C27" i="57"/>
  <c r="C28" i="57"/>
  <c r="C29" i="57"/>
  <c r="C30" i="57"/>
  <c r="C31" i="57"/>
  <c r="C32" i="57"/>
  <c r="C33" i="57"/>
  <c r="C34" i="57"/>
  <c r="C35" i="57"/>
  <c r="C37" i="57"/>
  <c r="C39" i="57"/>
  <c r="C40" i="57"/>
  <c r="C41" i="57"/>
  <c r="C42" i="57"/>
  <c r="C43" i="57"/>
  <c r="C44" i="57"/>
  <c r="C45" i="57"/>
  <c r="C46" i="57"/>
  <c r="C47" i="57"/>
  <c r="C48" i="57"/>
  <c r="C49" i="57"/>
  <c r="C50" i="57"/>
  <c r="C51" i="57"/>
  <c r="C53" i="57"/>
  <c r="C54" i="57"/>
  <c r="C55" i="57"/>
  <c r="C56" i="57"/>
  <c r="C57" i="57"/>
  <c r="C58" i="57"/>
  <c r="C59" i="57"/>
  <c r="C60" i="57"/>
  <c r="C61" i="57"/>
  <c r="C62" i="57"/>
  <c r="C63" i="57"/>
  <c r="C64" i="57"/>
  <c r="C65" i="57"/>
  <c r="C66" i="57"/>
  <c r="C67" i="57"/>
  <c r="C68" i="57"/>
  <c r="C69" i="57"/>
  <c r="C70" i="57"/>
  <c r="C71" i="57"/>
  <c r="C72" i="57"/>
  <c r="C73" i="57"/>
  <c r="C74" i="57"/>
  <c r="C75" i="57"/>
  <c r="C76" i="57"/>
  <c r="C77" i="57"/>
  <c r="C78" i="57"/>
  <c r="C79" i="57"/>
  <c r="C80" i="57"/>
  <c r="C81" i="57"/>
  <c r="C82" i="57"/>
  <c r="C83" i="57"/>
  <c r="C84" i="57"/>
  <c r="C85" i="57"/>
  <c r="C86" i="57"/>
  <c r="C87" i="57"/>
  <c r="C88" i="57"/>
  <c r="C89" i="57"/>
  <c r="C90" i="57"/>
  <c r="C91" i="57"/>
  <c r="C92" i="57"/>
  <c r="AG59" i="46"/>
  <c r="AG58" i="46"/>
  <c r="AG57" i="46"/>
  <c r="AG56" i="46"/>
  <c r="AG55" i="46"/>
  <c r="AG53" i="46"/>
  <c r="AG52" i="46"/>
  <c r="AG51" i="46"/>
  <c r="AG49" i="46"/>
  <c r="AG48" i="46"/>
  <c r="AG46" i="46"/>
  <c r="AG45" i="46"/>
  <c r="AG42" i="46"/>
  <c r="AG41" i="46"/>
  <c r="AG38" i="46"/>
  <c r="AG35" i="46"/>
  <c r="AG33" i="46"/>
  <c r="AG32" i="46"/>
  <c r="AG31" i="46"/>
  <c r="AG30" i="46"/>
  <c r="AG29" i="46"/>
  <c r="AG28" i="46"/>
  <c r="AG27" i="46"/>
  <c r="AG26" i="46"/>
  <c r="AG25" i="46"/>
  <c r="AG24" i="46"/>
  <c r="AG23" i="46"/>
  <c r="AG22" i="46"/>
  <c r="AG21" i="46"/>
  <c r="AG20" i="46"/>
  <c r="AG19" i="46"/>
  <c r="AG18" i="46"/>
  <c r="AG17" i="46"/>
  <c r="AG16" i="46"/>
  <c r="AG15" i="46"/>
  <c r="AG14" i="46"/>
  <c r="AG13" i="46"/>
  <c r="AG11" i="46"/>
  <c r="AG10" i="46"/>
  <c r="AG9" i="46"/>
  <c r="AG8" i="46"/>
  <c r="AG7" i="46"/>
  <c r="AG6" i="46"/>
  <c r="AG5" i="46"/>
  <c r="AG4" i="46"/>
  <c r="AG3" i="46"/>
  <c r="D4" i="50"/>
  <c r="D5" i="50"/>
  <c r="D6" i="50"/>
  <c r="D7" i="50"/>
  <c r="D8" i="50"/>
  <c r="D9" i="50"/>
  <c r="D10" i="50"/>
  <c r="D11" i="50"/>
  <c r="D12" i="50"/>
  <c r="D13" i="50"/>
  <c r="D14" i="50"/>
  <c r="D53" i="50" l="1"/>
  <c r="D54" i="50"/>
  <c r="D55" i="50"/>
  <c r="D56" i="50"/>
  <c r="D57" i="50"/>
  <c r="D58" i="50"/>
  <c r="D59" i="50"/>
  <c r="D60" i="50"/>
  <c r="D61" i="50"/>
  <c r="D62" i="50"/>
  <c r="D63" i="50"/>
  <c r="D64" i="50"/>
  <c r="D65" i="50"/>
  <c r="C63" i="56" l="1"/>
  <c r="C64" i="56"/>
  <c r="C65" i="56"/>
  <c r="C66" i="56"/>
  <c r="C67" i="56"/>
  <c r="C68" i="56"/>
  <c r="C69" i="56"/>
  <c r="C70" i="56"/>
  <c r="C71" i="56"/>
  <c r="C72" i="56"/>
  <c r="C73" i="56"/>
  <c r="C74" i="56"/>
  <c r="C75" i="56"/>
  <c r="C76" i="56"/>
  <c r="C77" i="56"/>
  <c r="C78" i="56"/>
  <c r="C79" i="56"/>
  <c r="C80" i="56"/>
  <c r="C81" i="56"/>
  <c r="C82" i="56"/>
  <c r="C83" i="56"/>
  <c r="C84" i="56"/>
  <c r="C85" i="56"/>
  <c r="C86" i="56"/>
  <c r="C87" i="56"/>
  <c r="C88" i="56"/>
  <c r="C89" i="56"/>
  <c r="C90" i="56"/>
  <c r="C91" i="56"/>
  <c r="C92" i="56"/>
  <c r="C93" i="56"/>
  <c r="C94" i="56"/>
  <c r="C95" i="56"/>
  <c r="C96" i="56"/>
  <c r="C97" i="56"/>
  <c r="C98" i="56"/>
  <c r="C99" i="56"/>
  <c r="C100" i="56"/>
  <c r="C101" i="56"/>
  <c r="C102" i="56"/>
  <c r="C103" i="56"/>
  <c r="C104" i="56"/>
  <c r="C105" i="56"/>
  <c r="C106" i="56"/>
  <c r="C107" i="56"/>
  <c r="C108" i="56"/>
  <c r="C109" i="56"/>
  <c r="C110" i="56"/>
  <c r="C111" i="56"/>
  <c r="C112" i="56"/>
  <c r="C113" i="56"/>
  <c r="C114" i="56"/>
  <c r="C115" i="56"/>
  <c r="C116" i="56"/>
  <c r="C117" i="56"/>
  <c r="C118" i="56"/>
  <c r="C119" i="56"/>
  <c r="C120" i="56"/>
  <c r="C121" i="56"/>
  <c r="C122" i="56"/>
  <c r="C123" i="56"/>
  <c r="C124" i="56"/>
  <c r="C125" i="56"/>
  <c r="C126" i="56"/>
  <c r="C127" i="56"/>
  <c r="C128" i="56"/>
  <c r="C129" i="56"/>
  <c r="C130" i="56"/>
  <c r="C131" i="56"/>
  <c r="C132" i="56"/>
  <c r="C133" i="56"/>
  <c r="C134" i="56"/>
  <c r="C135" i="56"/>
  <c r="C136" i="56"/>
  <c r="C137" i="56"/>
  <c r="C138" i="56"/>
  <c r="C139" i="56"/>
  <c r="C140" i="56"/>
  <c r="C141" i="56"/>
  <c r="C142" i="56"/>
  <c r="C143" i="56"/>
  <c r="C144" i="56"/>
  <c r="C145" i="56"/>
  <c r="C146" i="56"/>
  <c r="C147" i="56"/>
  <c r="C148" i="56"/>
  <c r="C149" i="56"/>
  <c r="C150" i="56"/>
  <c r="C151" i="56"/>
  <c r="C152" i="56"/>
  <c r="C153" i="56"/>
  <c r="C154" i="56"/>
  <c r="C155" i="56"/>
  <c r="C156" i="56"/>
  <c r="C157" i="56"/>
  <c r="C158" i="56"/>
  <c r="C159" i="56"/>
  <c r="C160" i="56"/>
  <c r="C161" i="56"/>
  <c r="C162" i="56"/>
  <c r="C163" i="56"/>
  <c r="C164" i="56"/>
  <c r="C165" i="56"/>
  <c r="C166" i="56"/>
  <c r="C167" i="56"/>
  <c r="C168" i="56"/>
  <c r="C169" i="56"/>
  <c r="C170" i="56"/>
  <c r="C171" i="56"/>
  <c r="C172" i="56"/>
  <c r="C173" i="56"/>
  <c r="C174" i="56"/>
  <c r="C175" i="56"/>
  <c r="C176" i="56"/>
  <c r="C177" i="56"/>
  <c r="C178" i="56"/>
  <c r="C179" i="56"/>
  <c r="C180" i="56"/>
  <c r="C181" i="56"/>
  <c r="C182" i="56"/>
  <c r="C183" i="56"/>
  <c r="C184" i="56"/>
  <c r="C185" i="56"/>
  <c r="C186" i="56"/>
  <c r="C187" i="56"/>
  <c r="C188" i="56"/>
  <c r="C189" i="56"/>
  <c r="C190" i="56"/>
  <c r="C191" i="56"/>
  <c r="C192" i="56"/>
  <c r="C193" i="56"/>
  <c r="C194" i="56"/>
  <c r="C195" i="56"/>
  <c r="C196" i="56"/>
  <c r="C197" i="56"/>
  <c r="C198" i="56"/>
  <c r="C199" i="56"/>
  <c r="C200" i="56"/>
  <c r="C201" i="56"/>
  <c r="C202" i="56"/>
  <c r="C203" i="56"/>
  <c r="C204" i="56"/>
  <c r="C205" i="56"/>
  <c r="C206" i="56"/>
  <c r="C207" i="56"/>
  <c r="C208" i="56"/>
  <c r="C209" i="56"/>
  <c r="C210" i="56"/>
  <c r="C211" i="56"/>
  <c r="C212" i="56"/>
  <c r="C213" i="56"/>
  <c r="C214" i="56"/>
  <c r="C215" i="56"/>
  <c r="C216" i="56"/>
  <c r="C217" i="56"/>
  <c r="C218" i="56"/>
  <c r="C219" i="56"/>
  <c r="C220" i="56"/>
  <c r="C221" i="56"/>
  <c r="C222" i="56"/>
  <c r="C223" i="56"/>
  <c r="C224" i="56"/>
  <c r="C225" i="56"/>
  <c r="C226" i="56"/>
  <c r="C227" i="56"/>
  <c r="C228" i="56"/>
  <c r="C229" i="56"/>
  <c r="C230" i="56"/>
  <c r="C231" i="56"/>
  <c r="C232" i="56"/>
  <c r="C233" i="56"/>
  <c r="C234" i="56"/>
  <c r="C235" i="56"/>
  <c r="C236" i="56"/>
  <c r="C237" i="56"/>
  <c r="C238" i="56"/>
  <c r="C239" i="56"/>
  <c r="C240" i="56"/>
  <c r="C241" i="56"/>
  <c r="C242" i="56"/>
  <c r="C243" i="56"/>
  <c r="C244" i="56"/>
  <c r="C245" i="56"/>
  <c r="C246" i="56"/>
  <c r="C247" i="56"/>
  <c r="C248" i="56"/>
  <c r="C249" i="56"/>
  <c r="C250" i="56"/>
  <c r="C251" i="56"/>
  <c r="C252" i="56"/>
  <c r="C253" i="56"/>
  <c r="C254" i="56"/>
  <c r="C255" i="56"/>
  <c r="C256" i="56"/>
  <c r="C257" i="56"/>
  <c r="C258" i="56"/>
  <c r="C259" i="56"/>
  <c r="C260" i="56"/>
  <c r="C261" i="56"/>
  <c r="C262" i="56"/>
  <c r="C263" i="56"/>
  <c r="C264" i="56"/>
  <c r="C265" i="56"/>
  <c r="C266" i="56"/>
  <c r="C267" i="56"/>
  <c r="C268" i="56"/>
  <c r="C269" i="56"/>
  <c r="C270" i="56"/>
  <c r="C271" i="56"/>
  <c r="C272" i="56"/>
  <c r="C273" i="56"/>
  <c r="C274" i="56"/>
  <c r="C275" i="56"/>
  <c r="C276" i="56"/>
  <c r="C277" i="56"/>
  <c r="C278" i="56"/>
  <c r="C279" i="56"/>
  <c r="C280" i="56"/>
  <c r="C281" i="56"/>
  <c r="C282" i="56"/>
  <c r="C283" i="56"/>
  <c r="C284" i="56"/>
  <c r="C285" i="56"/>
  <c r="C286" i="56"/>
  <c r="C287" i="56"/>
  <c r="C288" i="56"/>
  <c r="C289" i="56"/>
  <c r="C290" i="56"/>
  <c r="C291" i="56"/>
  <c r="C292" i="56"/>
  <c r="C293" i="56"/>
  <c r="C294" i="56"/>
  <c r="C295" i="56"/>
  <c r="C296" i="56"/>
  <c r="C297" i="56"/>
  <c r="C298" i="56"/>
  <c r="C299" i="56"/>
  <c r="C300" i="56"/>
  <c r="C301" i="56"/>
  <c r="C302" i="56"/>
  <c r="C303" i="56"/>
  <c r="C304" i="56"/>
  <c r="C305" i="56"/>
  <c r="C306" i="56"/>
  <c r="C307" i="56"/>
  <c r="C308" i="56"/>
  <c r="C309" i="56"/>
  <c r="C310" i="56"/>
  <c r="C311" i="56"/>
  <c r="C312" i="56"/>
  <c r="C313" i="56"/>
  <c r="C314" i="56"/>
  <c r="C315" i="56"/>
  <c r="C316" i="56"/>
  <c r="C317" i="56"/>
  <c r="C318" i="56"/>
  <c r="C319" i="56"/>
  <c r="C320" i="56"/>
  <c r="C321" i="56"/>
  <c r="C322" i="56"/>
  <c r="C323" i="56"/>
  <c r="C324" i="56"/>
  <c r="C325" i="56"/>
  <c r="C326" i="56"/>
  <c r="C327" i="56"/>
  <c r="C328" i="56"/>
  <c r="C329" i="56"/>
  <c r="C330" i="56"/>
  <c r="C331" i="56"/>
  <c r="C332" i="56"/>
  <c r="C333" i="56"/>
  <c r="C334" i="56"/>
  <c r="C335" i="56"/>
  <c r="C336" i="56"/>
  <c r="C337" i="56"/>
  <c r="C338" i="56"/>
  <c r="C339" i="56"/>
  <c r="C340" i="56"/>
  <c r="C341" i="56"/>
  <c r="C342" i="56"/>
  <c r="C343" i="56"/>
  <c r="C344" i="56"/>
  <c r="C345" i="56"/>
  <c r="C346" i="56"/>
  <c r="C347" i="56"/>
  <c r="C348" i="56"/>
  <c r="C349" i="56"/>
  <c r="C350" i="56"/>
  <c r="C351" i="56"/>
  <c r="C352" i="56"/>
  <c r="C353" i="56"/>
  <c r="C354" i="56"/>
  <c r="C355" i="56"/>
  <c r="C356" i="56"/>
  <c r="C357" i="56"/>
  <c r="C358" i="56"/>
  <c r="C359" i="56"/>
  <c r="C360" i="56"/>
  <c r="C361" i="56"/>
  <c r="C362" i="56"/>
  <c r="C363" i="56"/>
  <c r="C364" i="56"/>
  <c r="C365" i="56"/>
  <c r="C366" i="56"/>
  <c r="C367" i="56"/>
  <c r="C368" i="56"/>
  <c r="C369" i="56"/>
  <c r="C370" i="56"/>
  <c r="C371" i="56"/>
  <c r="C372" i="56"/>
  <c r="C373" i="56"/>
  <c r="C374" i="56"/>
  <c r="C375" i="56"/>
  <c r="C376" i="56"/>
  <c r="C377" i="56"/>
  <c r="C378" i="56"/>
  <c r="C379" i="56"/>
  <c r="C380" i="56"/>
  <c r="C381" i="56"/>
  <c r="C382" i="56"/>
  <c r="C383" i="56"/>
  <c r="C384" i="56"/>
  <c r="C385" i="56"/>
  <c r="C386" i="56"/>
  <c r="C387" i="56"/>
  <c r="C388" i="56"/>
  <c r="C389" i="56"/>
  <c r="C390" i="56"/>
  <c r="C391" i="56"/>
  <c r="C392" i="56"/>
  <c r="C393" i="56"/>
  <c r="C394" i="56"/>
  <c r="C395" i="56"/>
  <c r="C396" i="56"/>
  <c r="C397" i="56"/>
  <c r="C398" i="56"/>
  <c r="C399" i="56"/>
  <c r="C400" i="56"/>
  <c r="C401" i="56"/>
  <c r="C402" i="56"/>
  <c r="C403" i="56"/>
  <c r="C404" i="56"/>
  <c r="C405" i="56"/>
  <c r="C406" i="56"/>
  <c r="C407" i="56"/>
  <c r="C408" i="56"/>
  <c r="C409" i="56"/>
  <c r="C410" i="56"/>
  <c r="C411" i="56"/>
  <c r="C412" i="56"/>
  <c r="C413" i="56"/>
  <c r="C414" i="56"/>
  <c r="C415" i="56"/>
  <c r="C416" i="56"/>
  <c r="C417" i="56"/>
  <c r="C418" i="56"/>
  <c r="C419" i="56"/>
  <c r="C420" i="56"/>
  <c r="C421" i="56"/>
  <c r="C422" i="56"/>
  <c r="C423" i="56"/>
  <c r="C424" i="56"/>
  <c r="C425" i="56"/>
  <c r="C426" i="56"/>
  <c r="C427" i="56"/>
  <c r="C428" i="56"/>
  <c r="C429" i="56"/>
  <c r="C430" i="56"/>
  <c r="C431" i="56"/>
  <c r="C432" i="56"/>
  <c r="C433" i="56"/>
  <c r="C434" i="56"/>
  <c r="C435" i="56"/>
  <c r="C436" i="56"/>
  <c r="C437" i="56"/>
  <c r="C438" i="56"/>
  <c r="C439" i="56"/>
  <c r="C440" i="56"/>
  <c r="C441" i="56"/>
  <c r="C442" i="56"/>
  <c r="C443" i="56"/>
  <c r="C444" i="56"/>
  <c r="C445" i="56"/>
  <c r="C446" i="56"/>
  <c r="C447" i="56"/>
  <c r="C448" i="56"/>
  <c r="C449" i="56"/>
  <c r="C450" i="56"/>
  <c r="C451" i="56"/>
  <c r="C452" i="56"/>
  <c r="C453" i="56"/>
  <c r="C454" i="56"/>
  <c r="C455" i="56"/>
  <c r="C456" i="56"/>
  <c r="C457" i="56"/>
  <c r="C458" i="56"/>
  <c r="C459" i="56"/>
  <c r="C460" i="56"/>
  <c r="C461" i="56"/>
  <c r="C462" i="56"/>
  <c r="C463" i="56"/>
  <c r="C464" i="56"/>
  <c r="C465" i="56"/>
  <c r="C466" i="56"/>
  <c r="C467" i="56"/>
  <c r="C468" i="56"/>
  <c r="C469" i="56"/>
  <c r="C470" i="56"/>
  <c r="C471" i="56"/>
  <c r="C472" i="56"/>
  <c r="C473" i="56"/>
  <c r="C474" i="56"/>
  <c r="F12" i="86" l="1"/>
  <c r="F11" i="86"/>
  <c r="F10" i="86"/>
  <c r="F9" i="86"/>
  <c r="F8" i="86"/>
  <c r="F7" i="86"/>
  <c r="F6" i="86"/>
  <c r="F5" i="86"/>
  <c r="F4" i="86"/>
  <c r="F3" i="86"/>
  <c r="F4" i="84"/>
  <c r="F5" i="84"/>
  <c r="F6" i="84"/>
  <c r="F7" i="84"/>
  <c r="F8" i="84"/>
  <c r="F9" i="84"/>
  <c r="F10" i="84"/>
  <c r="F11" i="84"/>
  <c r="F12" i="84"/>
  <c r="F3" i="84"/>
  <c r="I8" i="82"/>
  <c r="I7" i="82"/>
  <c r="I6" i="82"/>
  <c r="I5" i="82"/>
  <c r="I4" i="82"/>
  <c r="I3" i="82"/>
  <c r="J4" i="79"/>
  <c r="J5" i="79"/>
  <c r="J6" i="79"/>
  <c r="J7" i="79"/>
  <c r="J8" i="79"/>
  <c r="J9" i="79"/>
  <c r="J3" i="79"/>
  <c r="I4" i="77"/>
  <c r="I5" i="77"/>
  <c r="I6" i="77"/>
  <c r="I7" i="77"/>
  <c r="I8" i="77"/>
  <c r="I3" i="77"/>
  <c r="E8" i="75"/>
  <c r="E7" i="75"/>
  <c r="E6" i="75"/>
  <c r="E5" i="75"/>
  <c r="E4" i="75"/>
  <c r="E3" i="75"/>
  <c r="E8" i="73"/>
  <c r="E9" i="73"/>
  <c r="E7" i="73"/>
  <c r="E6" i="73"/>
  <c r="E5" i="73"/>
  <c r="E4" i="73"/>
  <c r="E3" i="73"/>
  <c r="E4" i="71"/>
  <c r="E5" i="71"/>
  <c r="E6" i="71"/>
  <c r="E7" i="71"/>
  <c r="E8" i="71"/>
  <c r="E3" i="71"/>
  <c r="D66" i="50"/>
  <c r="C415" i="51"/>
  <c r="C414" i="51"/>
  <c r="C413" i="51"/>
  <c r="C412" i="51"/>
  <c r="C411" i="51"/>
  <c r="C410" i="51"/>
  <c r="C409" i="51"/>
  <c r="C408" i="51"/>
  <c r="C407" i="51"/>
  <c r="C406" i="51"/>
  <c r="C405" i="51"/>
  <c r="C404" i="51"/>
  <c r="C403" i="51"/>
  <c r="C402" i="51"/>
  <c r="C401" i="51"/>
  <c r="C400" i="51"/>
  <c r="C399" i="51"/>
  <c r="C398" i="51"/>
  <c r="C397" i="51"/>
  <c r="C396" i="51"/>
  <c r="C395" i="51"/>
  <c r="C394" i="51"/>
  <c r="C393" i="51"/>
  <c r="C392" i="51"/>
  <c r="C391" i="51"/>
  <c r="C390" i="51"/>
  <c r="C389" i="51"/>
  <c r="C388" i="51"/>
  <c r="C387" i="51"/>
  <c r="C386" i="51"/>
  <c r="C385" i="51"/>
  <c r="C384" i="51"/>
  <c r="C383" i="51"/>
  <c r="C382" i="51"/>
  <c r="C381" i="51"/>
  <c r="C380" i="51"/>
  <c r="C379" i="51"/>
  <c r="C378" i="51"/>
  <c r="C377" i="51"/>
  <c r="C376" i="51"/>
  <c r="C375" i="51"/>
  <c r="C374" i="51"/>
  <c r="C373" i="51"/>
  <c r="C372" i="51"/>
  <c r="C371" i="51"/>
  <c r="C370" i="51"/>
  <c r="C369" i="51"/>
  <c r="C368" i="51"/>
  <c r="C367" i="51"/>
  <c r="C366" i="51"/>
  <c r="C365" i="51"/>
  <c r="C364" i="51"/>
  <c r="C363" i="51"/>
  <c r="C362" i="51"/>
  <c r="C361" i="51"/>
  <c r="C360" i="51"/>
  <c r="C359" i="51"/>
  <c r="C358" i="51"/>
  <c r="C357" i="51"/>
  <c r="C297" i="51"/>
  <c r="C296" i="51"/>
  <c r="C295" i="51"/>
  <c r="C294" i="51"/>
  <c r="C293" i="51"/>
  <c r="C292" i="51"/>
  <c r="C291" i="51"/>
  <c r="C290" i="51"/>
  <c r="C289" i="51"/>
  <c r="C288" i="51"/>
  <c r="C287" i="51"/>
  <c r="C286" i="51"/>
  <c r="C285" i="51"/>
  <c r="C284" i="51"/>
  <c r="C283" i="51"/>
  <c r="C282" i="51"/>
  <c r="C281" i="51"/>
  <c r="C280" i="51"/>
  <c r="C279" i="51"/>
  <c r="C278" i="51"/>
  <c r="C277" i="51"/>
  <c r="C276" i="51"/>
  <c r="C275" i="51"/>
  <c r="C274" i="51"/>
  <c r="C273" i="51"/>
  <c r="C272" i="51"/>
  <c r="C271" i="51"/>
  <c r="C270" i="51"/>
  <c r="C269" i="51"/>
  <c r="C268" i="51"/>
  <c r="C267" i="51"/>
  <c r="C266" i="51"/>
  <c r="C265" i="51"/>
  <c r="C264" i="51"/>
  <c r="C263" i="51"/>
  <c r="C262" i="51"/>
  <c r="C261" i="51"/>
  <c r="C260" i="51"/>
  <c r="C259" i="51"/>
  <c r="C258" i="51"/>
  <c r="C257" i="51"/>
  <c r="C256" i="51"/>
  <c r="C255" i="51"/>
  <c r="C254" i="51"/>
  <c r="C253" i="51"/>
  <c r="C252" i="51"/>
  <c r="C251" i="51"/>
  <c r="C250" i="51"/>
  <c r="C249" i="51"/>
  <c r="C248" i="51"/>
  <c r="C247" i="51"/>
  <c r="C246" i="51"/>
  <c r="C245" i="51"/>
  <c r="C244" i="51"/>
  <c r="C243" i="51"/>
  <c r="C242" i="51"/>
  <c r="C241" i="51"/>
  <c r="C240" i="51"/>
  <c r="C239" i="51"/>
  <c r="C61" i="51"/>
  <c r="C60" i="51"/>
  <c r="C59" i="51"/>
  <c r="C58" i="51"/>
  <c r="C57" i="51"/>
  <c r="C56" i="51"/>
  <c r="C55" i="51"/>
  <c r="C54" i="51"/>
  <c r="C53" i="51"/>
  <c r="C52" i="51"/>
  <c r="C51" i="51"/>
  <c r="C50" i="51"/>
  <c r="C49" i="51"/>
  <c r="C48" i="51"/>
  <c r="C47" i="51"/>
  <c r="C46" i="51"/>
  <c r="C45" i="51"/>
  <c r="C44" i="51"/>
  <c r="C43" i="51"/>
  <c r="C42" i="51"/>
  <c r="C41" i="51"/>
  <c r="C40" i="51"/>
  <c r="C39" i="51"/>
  <c r="C38" i="51"/>
  <c r="C37" i="51"/>
  <c r="C36" i="51"/>
  <c r="C35" i="51"/>
  <c r="C34" i="51"/>
  <c r="C33" i="51"/>
  <c r="C32" i="51"/>
  <c r="C31" i="51"/>
  <c r="C30" i="51"/>
  <c r="C29" i="51"/>
  <c r="C28" i="51"/>
  <c r="C27" i="51"/>
  <c r="C26" i="51"/>
  <c r="C25" i="51"/>
  <c r="C24" i="51"/>
  <c r="C23" i="51"/>
  <c r="C22" i="51"/>
  <c r="C21" i="51"/>
  <c r="C20" i="51"/>
  <c r="C19" i="51"/>
  <c r="C18" i="51"/>
  <c r="C17" i="51"/>
  <c r="C16" i="51"/>
  <c r="C15" i="51"/>
  <c r="C14" i="51"/>
  <c r="C13" i="51"/>
  <c r="C12" i="51"/>
  <c r="C11" i="51"/>
  <c r="C10" i="51"/>
  <c r="C9" i="51"/>
  <c r="C8" i="51"/>
  <c r="C7" i="51"/>
  <c r="C6" i="51"/>
  <c r="C5" i="51"/>
  <c r="C4" i="51"/>
  <c r="C3" i="51"/>
  <c r="C120" i="51"/>
  <c r="C119" i="51"/>
  <c r="C118" i="51"/>
  <c r="C117" i="51"/>
  <c r="C116" i="51"/>
  <c r="C115" i="51"/>
  <c r="C114" i="51"/>
  <c r="C113" i="51"/>
  <c r="C112" i="51"/>
  <c r="C111" i="51"/>
  <c r="C110" i="51"/>
  <c r="C109" i="51"/>
  <c r="C108" i="51"/>
  <c r="C107" i="51"/>
  <c r="C106" i="51"/>
  <c r="C105" i="51"/>
  <c r="C104" i="51"/>
  <c r="C103" i="51"/>
  <c r="C102" i="51"/>
  <c r="C101" i="51"/>
  <c r="C100" i="51"/>
  <c r="C99" i="51"/>
  <c r="C98" i="51"/>
  <c r="C97" i="51"/>
  <c r="C96" i="51"/>
  <c r="C95" i="51"/>
  <c r="C94" i="51"/>
  <c r="C93" i="51"/>
  <c r="C92" i="51"/>
  <c r="C91" i="51"/>
  <c r="C90" i="51"/>
  <c r="C89" i="51"/>
  <c r="C88" i="51"/>
  <c r="C87" i="51"/>
  <c r="C86" i="51"/>
  <c r="C85" i="51"/>
  <c r="C84" i="51"/>
  <c r="C83" i="51"/>
  <c r="C82" i="51"/>
  <c r="C81" i="51"/>
  <c r="C80" i="51"/>
  <c r="C79" i="51"/>
  <c r="C78" i="51"/>
  <c r="C77" i="51"/>
  <c r="C76" i="51"/>
  <c r="C75" i="51"/>
  <c r="C74" i="51"/>
  <c r="C73" i="51"/>
  <c r="C72" i="51"/>
  <c r="C71" i="51"/>
  <c r="C70" i="51"/>
  <c r="C69" i="51"/>
  <c r="C68" i="51"/>
  <c r="C67" i="51"/>
  <c r="C66" i="51"/>
  <c r="C65" i="51"/>
  <c r="C64" i="51"/>
  <c r="C63" i="51"/>
  <c r="C62" i="51"/>
  <c r="C238" i="51"/>
  <c r="C237" i="51"/>
  <c r="C236" i="51"/>
  <c r="C235" i="51"/>
  <c r="C234" i="51"/>
  <c r="C233" i="51"/>
  <c r="C232" i="51"/>
  <c r="C231" i="51"/>
  <c r="C230" i="51"/>
  <c r="C229" i="51"/>
  <c r="C228" i="51"/>
  <c r="C227" i="51"/>
  <c r="C226" i="51"/>
  <c r="C225" i="51"/>
  <c r="C224" i="51"/>
  <c r="C223" i="51"/>
  <c r="C222" i="51"/>
  <c r="C221" i="51"/>
  <c r="C220" i="51"/>
  <c r="C219" i="51"/>
  <c r="C218" i="51"/>
  <c r="C217" i="51"/>
  <c r="C216" i="51"/>
  <c r="C215" i="51"/>
  <c r="C214" i="51"/>
  <c r="C213" i="51"/>
  <c r="C212" i="51"/>
  <c r="C211" i="51"/>
  <c r="C210" i="51"/>
  <c r="C209" i="51"/>
  <c r="C208" i="51"/>
  <c r="C207" i="51"/>
  <c r="C206" i="51"/>
  <c r="C205" i="51"/>
  <c r="C204" i="51"/>
  <c r="C203" i="51"/>
  <c r="C202" i="51"/>
  <c r="C201" i="51"/>
  <c r="C200" i="51"/>
  <c r="C199" i="51"/>
  <c r="C198" i="51"/>
  <c r="C197" i="51"/>
  <c r="C196" i="51"/>
  <c r="C195" i="51"/>
  <c r="C194" i="51"/>
  <c r="C193" i="51"/>
  <c r="C192" i="51"/>
  <c r="C191" i="51"/>
  <c r="C190" i="51"/>
  <c r="C189" i="51"/>
  <c r="C188" i="51"/>
  <c r="C187" i="51"/>
  <c r="C186" i="51"/>
  <c r="C185" i="51"/>
  <c r="C184" i="51"/>
  <c r="C183" i="51"/>
  <c r="C182" i="51"/>
  <c r="C181" i="51"/>
  <c r="C180" i="51"/>
  <c r="C356" i="51"/>
  <c r="C355" i="51"/>
  <c r="C354" i="51"/>
  <c r="C353" i="51"/>
  <c r="C352" i="51"/>
  <c r="C351" i="51"/>
  <c r="C350" i="51"/>
  <c r="C349" i="51"/>
  <c r="C348" i="51"/>
  <c r="C347" i="51"/>
  <c r="C346" i="51"/>
  <c r="C345" i="51"/>
  <c r="C344" i="51"/>
  <c r="C343" i="51"/>
  <c r="C342" i="51"/>
  <c r="C341" i="51"/>
  <c r="C340" i="51"/>
  <c r="C339" i="51"/>
  <c r="C338" i="51"/>
  <c r="C337" i="51"/>
  <c r="C336" i="51"/>
  <c r="C335" i="51"/>
  <c r="C334" i="51"/>
  <c r="C333" i="51"/>
  <c r="C332" i="51"/>
  <c r="C331" i="51"/>
  <c r="C330" i="51"/>
  <c r="C329" i="51"/>
  <c r="C328" i="51"/>
  <c r="C327" i="51"/>
  <c r="C326" i="51"/>
  <c r="C325" i="51"/>
  <c r="C324" i="51"/>
  <c r="C323" i="51"/>
  <c r="C322" i="51"/>
  <c r="C321" i="51"/>
  <c r="C320" i="51"/>
  <c r="C319" i="51"/>
  <c r="C318" i="51"/>
  <c r="C317" i="51"/>
  <c r="C316" i="51"/>
  <c r="C315" i="51"/>
  <c r="C314" i="51"/>
  <c r="C313" i="51"/>
  <c r="C312" i="51"/>
  <c r="C311" i="51"/>
  <c r="C310" i="51"/>
  <c r="C309" i="51"/>
  <c r="C308" i="51"/>
  <c r="C307" i="51"/>
  <c r="C306" i="51"/>
  <c r="C305" i="51"/>
  <c r="C304" i="51"/>
  <c r="C303" i="51"/>
  <c r="C302" i="51"/>
  <c r="C301" i="51"/>
  <c r="C300" i="51"/>
  <c r="C299" i="51"/>
  <c r="C298" i="51"/>
  <c r="C179" i="51"/>
  <c r="C178" i="51"/>
  <c r="C177" i="51"/>
  <c r="C176" i="51"/>
  <c r="C175" i="51"/>
  <c r="C174" i="51"/>
  <c r="C173" i="51"/>
  <c r="C172" i="51"/>
  <c r="C171" i="51"/>
  <c r="C170" i="51"/>
  <c r="C169" i="51"/>
  <c r="C168" i="51"/>
  <c r="C167" i="51"/>
  <c r="C166" i="51"/>
  <c r="C165" i="51"/>
  <c r="C164" i="51"/>
  <c r="C163" i="51"/>
  <c r="C162" i="51"/>
  <c r="C161" i="51"/>
  <c r="C160" i="51"/>
  <c r="C159" i="51"/>
  <c r="C158" i="51"/>
  <c r="C157" i="51"/>
  <c r="C156" i="51"/>
  <c r="C155" i="51"/>
  <c r="C154" i="51"/>
  <c r="C153" i="51"/>
  <c r="C152" i="51"/>
  <c r="C151" i="51"/>
  <c r="C150" i="51"/>
  <c r="C149" i="51"/>
  <c r="C148" i="51"/>
  <c r="C147" i="51"/>
  <c r="C146" i="51"/>
  <c r="C145" i="51"/>
  <c r="C144" i="51"/>
  <c r="C143" i="51"/>
  <c r="C142" i="51"/>
  <c r="C141" i="51"/>
  <c r="C140" i="51"/>
  <c r="C139" i="51"/>
  <c r="C138" i="51"/>
  <c r="C137" i="51"/>
  <c r="C136" i="51"/>
  <c r="C135" i="51"/>
  <c r="C134" i="51"/>
  <c r="C133" i="51"/>
  <c r="C132" i="51"/>
  <c r="C131" i="51"/>
  <c r="C130" i="51"/>
  <c r="C129" i="51"/>
  <c r="C128" i="51"/>
  <c r="C127" i="51"/>
  <c r="C126" i="51"/>
  <c r="C125" i="51"/>
  <c r="C124" i="51"/>
  <c r="C123" i="51"/>
  <c r="C122" i="51"/>
  <c r="C121" i="51"/>
  <c r="C474" i="51"/>
  <c r="B474" i="51"/>
  <c r="C473" i="51"/>
  <c r="B473" i="51"/>
  <c r="C472" i="51"/>
  <c r="B472" i="51"/>
  <c r="C471" i="51"/>
  <c r="B471" i="51"/>
  <c r="C470" i="51"/>
  <c r="B470" i="51"/>
  <c r="C469" i="51"/>
  <c r="B469" i="51"/>
  <c r="C468" i="51"/>
  <c r="B468" i="51"/>
  <c r="C467" i="51"/>
  <c r="B467" i="51"/>
  <c r="C466" i="51"/>
  <c r="B466" i="51"/>
  <c r="C465" i="51"/>
  <c r="B465" i="51"/>
  <c r="C464" i="51"/>
  <c r="B464" i="51"/>
  <c r="C463" i="51"/>
  <c r="B463" i="51"/>
  <c r="C462" i="51"/>
  <c r="B462" i="51"/>
  <c r="C461" i="51"/>
  <c r="B461" i="51"/>
  <c r="C460" i="51"/>
  <c r="B460" i="51"/>
  <c r="C459" i="51"/>
  <c r="B459" i="51"/>
  <c r="C458" i="51"/>
  <c r="B458" i="51"/>
  <c r="C457" i="51"/>
  <c r="B457" i="51"/>
  <c r="C456" i="51"/>
  <c r="B456" i="51"/>
  <c r="C455" i="51"/>
  <c r="B455" i="51"/>
  <c r="C454" i="51"/>
  <c r="B454" i="51"/>
  <c r="C453" i="51"/>
  <c r="B453" i="51"/>
  <c r="C452" i="51"/>
  <c r="B452" i="51"/>
  <c r="C451" i="51"/>
  <c r="B451" i="51"/>
  <c r="C450" i="51"/>
  <c r="B450" i="51"/>
  <c r="C449" i="51"/>
  <c r="B449" i="51"/>
  <c r="C448" i="51"/>
  <c r="B448" i="51"/>
  <c r="C447" i="51"/>
  <c r="B447" i="51"/>
  <c r="C446" i="51"/>
  <c r="B446" i="51"/>
  <c r="C445" i="51"/>
  <c r="B445" i="51"/>
  <c r="C444" i="51"/>
  <c r="B444" i="51"/>
  <c r="C443" i="51"/>
  <c r="B443" i="51"/>
  <c r="C442" i="51"/>
  <c r="B442" i="51"/>
  <c r="C441" i="51"/>
  <c r="B441" i="51"/>
  <c r="C440" i="51"/>
  <c r="B440" i="51"/>
  <c r="C439" i="51"/>
  <c r="B439" i="51"/>
  <c r="C438" i="51"/>
  <c r="B438" i="51"/>
  <c r="C437" i="51"/>
  <c r="B437" i="51"/>
  <c r="C436" i="51"/>
  <c r="B436" i="51"/>
  <c r="C435" i="51"/>
  <c r="B435" i="51"/>
  <c r="C434" i="51"/>
  <c r="B434" i="51"/>
  <c r="C433" i="51"/>
  <c r="B433" i="51"/>
  <c r="C432" i="51"/>
  <c r="B432" i="51"/>
  <c r="C431" i="51"/>
  <c r="B431" i="51"/>
  <c r="C430" i="51"/>
  <c r="B430" i="51"/>
  <c r="C429" i="51"/>
  <c r="B429" i="51"/>
  <c r="C428" i="51"/>
  <c r="B428" i="51"/>
  <c r="C427" i="51"/>
  <c r="B427" i="51"/>
  <c r="C426" i="51"/>
  <c r="B426" i="51"/>
  <c r="C425" i="51"/>
  <c r="B425" i="51"/>
  <c r="C424" i="51"/>
  <c r="B424" i="51"/>
  <c r="C423" i="51"/>
  <c r="B423" i="51"/>
  <c r="C422" i="51"/>
  <c r="B422" i="51"/>
  <c r="C421" i="51"/>
  <c r="B421" i="51"/>
  <c r="C420" i="51"/>
  <c r="B420" i="51"/>
  <c r="C419" i="51"/>
  <c r="B419" i="51"/>
  <c r="C418" i="51"/>
  <c r="B418" i="51"/>
  <c r="C417" i="51"/>
  <c r="B417" i="51"/>
  <c r="C416" i="51"/>
  <c r="B416" i="51"/>
  <c r="B415" i="51"/>
  <c r="B414" i="51"/>
  <c r="B413" i="51"/>
  <c r="B412" i="51"/>
  <c r="B411" i="51"/>
  <c r="B410" i="51"/>
  <c r="B409" i="51"/>
  <c r="B408" i="51"/>
  <c r="B407" i="51"/>
  <c r="B406" i="51"/>
  <c r="B405" i="51"/>
  <c r="B404" i="51"/>
  <c r="B403" i="51"/>
  <c r="B402" i="51"/>
  <c r="B401" i="51"/>
  <c r="B400" i="51"/>
  <c r="B399" i="51"/>
  <c r="B398" i="51"/>
  <c r="B397" i="51"/>
  <c r="B396" i="51"/>
  <c r="B395" i="51"/>
  <c r="B394" i="51"/>
  <c r="B393" i="51"/>
  <c r="B392" i="51"/>
  <c r="B391" i="51"/>
  <c r="B390" i="51"/>
  <c r="B389" i="51"/>
  <c r="B388" i="51"/>
  <c r="B387" i="51"/>
  <c r="B386" i="51"/>
  <c r="B385" i="51"/>
  <c r="B384" i="51"/>
  <c r="B383" i="51"/>
  <c r="B382" i="51"/>
  <c r="B381" i="51"/>
  <c r="B380" i="51"/>
  <c r="B379" i="51"/>
  <c r="B378" i="51"/>
  <c r="B377" i="51"/>
  <c r="B376" i="51"/>
  <c r="B375" i="51"/>
  <c r="B374" i="51"/>
  <c r="B373" i="51"/>
  <c r="B372" i="51"/>
  <c r="B371" i="51"/>
  <c r="B370" i="51"/>
  <c r="B369" i="51"/>
  <c r="B368" i="51"/>
  <c r="B367" i="51"/>
  <c r="B366" i="51"/>
  <c r="B365" i="51"/>
  <c r="B364" i="51"/>
  <c r="B363" i="51"/>
  <c r="B362" i="51"/>
  <c r="B361" i="51"/>
  <c r="B360" i="51"/>
  <c r="B359" i="51"/>
  <c r="B358" i="51"/>
  <c r="B357" i="51"/>
  <c r="B356" i="51"/>
  <c r="B355" i="51"/>
  <c r="B354" i="51"/>
  <c r="B353" i="51"/>
  <c r="B352" i="51"/>
  <c r="B351" i="51"/>
  <c r="B350" i="51"/>
  <c r="B349" i="51"/>
  <c r="B348" i="51"/>
  <c r="B347" i="51"/>
  <c r="B346" i="51"/>
  <c r="B345" i="51"/>
  <c r="B344" i="51"/>
  <c r="B343" i="51"/>
  <c r="B342" i="51"/>
  <c r="B341" i="51"/>
  <c r="B340" i="51"/>
  <c r="B339" i="51"/>
  <c r="B338" i="51"/>
  <c r="B337" i="51"/>
  <c r="B336" i="51"/>
  <c r="B335" i="51"/>
  <c r="B334" i="51"/>
  <c r="B333" i="51"/>
  <c r="B332" i="51"/>
  <c r="B331" i="51"/>
  <c r="B330" i="51"/>
  <c r="B329" i="51"/>
  <c r="B328" i="51"/>
  <c r="B327" i="51"/>
  <c r="B326" i="51"/>
  <c r="B325" i="51"/>
  <c r="B324" i="51"/>
  <c r="B323" i="51"/>
  <c r="B322" i="51"/>
  <c r="B321" i="51"/>
  <c r="B320" i="51"/>
  <c r="B319" i="51"/>
  <c r="B318" i="51"/>
  <c r="B317" i="51"/>
  <c r="B316" i="51"/>
  <c r="B315" i="51"/>
  <c r="B314" i="51"/>
  <c r="B313" i="51"/>
  <c r="B312" i="51"/>
  <c r="B311" i="51"/>
  <c r="B310" i="51"/>
  <c r="B309" i="51"/>
  <c r="B308" i="51"/>
  <c r="B307" i="51"/>
  <c r="B306" i="51"/>
  <c r="B305" i="51"/>
  <c r="B304" i="51"/>
  <c r="B303" i="51"/>
  <c r="B302" i="51"/>
  <c r="B301" i="51"/>
  <c r="B300" i="51"/>
  <c r="B299" i="51"/>
  <c r="B298" i="51"/>
  <c r="B297" i="51"/>
  <c r="B296" i="51"/>
  <c r="B295" i="51"/>
  <c r="B294" i="51"/>
  <c r="B293" i="51"/>
  <c r="B292" i="51"/>
  <c r="B291" i="51"/>
  <c r="B290" i="51"/>
  <c r="B289" i="51"/>
  <c r="B288" i="51"/>
  <c r="B287" i="51"/>
  <c r="B286" i="51"/>
  <c r="B285" i="51"/>
  <c r="B284" i="51"/>
  <c r="B283" i="51"/>
  <c r="B282" i="51"/>
  <c r="B281" i="51"/>
  <c r="B280" i="51"/>
  <c r="B279" i="51"/>
  <c r="B278" i="51"/>
  <c r="B277" i="51"/>
  <c r="B276" i="51"/>
  <c r="B275" i="51"/>
  <c r="B274" i="51"/>
  <c r="B273" i="51"/>
  <c r="B272" i="51"/>
  <c r="B271" i="51"/>
  <c r="B270" i="51"/>
  <c r="B269" i="51"/>
  <c r="B268" i="51"/>
  <c r="B267" i="51"/>
  <c r="B266" i="51"/>
  <c r="B265" i="51"/>
  <c r="B264" i="51"/>
  <c r="B263" i="51"/>
  <c r="B262" i="51"/>
  <c r="B261" i="51"/>
  <c r="B260" i="51"/>
  <c r="B259" i="51"/>
  <c r="B258" i="51"/>
  <c r="B257" i="51"/>
  <c r="B256" i="51"/>
  <c r="B255" i="51"/>
  <c r="B254" i="51"/>
  <c r="B253" i="51"/>
  <c r="B252" i="51"/>
  <c r="B251" i="51"/>
  <c r="B250" i="51"/>
  <c r="B249" i="51"/>
  <c r="B248" i="51"/>
  <c r="B247" i="51"/>
  <c r="B246" i="51"/>
  <c r="B245" i="51"/>
  <c r="B244" i="51"/>
  <c r="B243" i="51"/>
  <c r="B242" i="51"/>
  <c r="B241" i="51"/>
  <c r="B240" i="51"/>
  <c r="B239" i="51"/>
  <c r="B238" i="51"/>
  <c r="B237" i="51"/>
  <c r="B236" i="51"/>
  <c r="B235" i="51"/>
  <c r="B234" i="51"/>
  <c r="B233" i="51"/>
  <c r="B232" i="51"/>
  <c r="B231" i="51"/>
  <c r="B230" i="51"/>
  <c r="B229" i="51"/>
  <c r="B228" i="51"/>
  <c r="B227" i="51"/>
  <c r="B226" i="51"/>
  <c r="B225" i="51"/>
  <c r="B224" i="51"/>
  <c r="B223" i="51"/>
  <c r="B222" i="51"/>
  <c r="B221" i="51"/>
  <c r="B220" i="51"/>
  <c r="B219" i="51"/>
  <c r="B218" i="51"/>
  <c r="B217" i="51"/>
  <c r="B216" i="51"/>
  <c r="B215" i="51"/>
  <c r="B214" i="51"/>
  <c r="B213" i="51"/>
  <c r="B212" i="51"/>
  <c r="B211" i="51"/>
  <c r="B210" i="51"/>
  <c r="B209" i="51"/>
  <c r="B208" i="51"/>
  <c r="B207" i="51"/>
  <c r="B206" i="51"/>
  <c r="B205" i="51"/>
  <c r="B204" i="51"/>
  <c r="B203" i="51"/>
  <c r="B202" i="51"/>
  <c r="B201" i="51"/>
  <c r="B200" i="51"/>
  <c r="B199" i="51"/>
  <c r="B198" i="51"/>
  <c r="B197" i="51"/>
  <c r="B196" i="51"/>
  <c r="B195" i="51"/>
  <c r="B194" i="51"/>
  <c r="B193" i="51"/>
  <c r="B192" i="51"/>
  <c r="B191" i="51"/>
  <c r="B190" i="51"/>
  <c r="B189" i="51"/>
  <c r="B188" i="51"/>
  <c r="B187" i="51"/>
  <c r="B186" i="51"/>
  <c r="B185" i="51"/>
  <c r="B184" i="51"/>
  <c r="B183" i="51"/>
  <c r="B182" i="51"/>
  <c r="B181" i="51"/>
  <c r="B180" i="51"/>
  <c r="D52" i="50"/>
  <c r="D51" i="50"/>
  <c r="D50" i="50"/>
  <c r="D49" i="50"/>
  <c r="D48" i="50"/>
  <c r="D47" i="50"/>
  <c r="D46" i="50"/>
  <c r="D45" i="50"/>
  <c r="D44" i="50"/>
  <c r="D43" i="50"/>
  <c r="D42" i="50"/>
  <c r="D41" i="50"/>
  <c r="D40" i="50"/>
  <c r="D39" i="50"/>
  <c r="D38" i="50"/>
  <c r="D37" i="50"/>
  <c r="D36" i="50"/>
  <c r="D35" i="50"/>
  <c r="D34" i="50"/>
  <c r="D33" i="50"/>
  <c r="D32" i="50"/>
  <c r="D31" i="50"/>
  <c r="D30" i="50"/>
  <c r="D29" i="50"/>
  <c r="D28" i="50"/>
  <c r="D27" i="50"/>
  <c r="D15" i="50"/>
  <c r="D16" i="50"/>
  <c r="D17" i="50"/>
  <c r="D18" i="50"/>
  <c r="D19" i="50"/>
  <c r="D20" i="50"/>
  <c r="D21" i="50"/>
  <c r="D22" i="50"/>
  <c r="D23" i="50"/>
  <c r="D24" i="50"/>
  <c r="D25" i="50"/>
  <c r="D26" i="50"/>
  <c r="D3" i="50"/>
  <c r="B4" i="51"/>
  <c r="B5" i="51"/>
  <c r="B6" i="51"/>
  <c r="B7" i="51"/>
  <c r="B8" i="51"/>
  <c r="B9" i="51"/>
  <c r="B10" i="51"/>
  <c r="B11" i="51"/>
  <c r="B12" i="51"/>
  <c r="B13" i="51"/>
  <c r="B14" i="51"/>
  <c r="B15" i="51"/>
  <c r="B16" i="51"/>
  <c r="B17" i="51"/>
  <c r="B18" i="51"/>
  <c r="B19" i="51"/>
  <c r="B20" i="51"/>
  <c r="B21" i="51"/>
  <c r="B22" i="51"/>
  <c r="B23" i="51"/>
  <c r="B24" i="51"/>
  <c r="B25" i="51"/>
  <c r="B26" i="51"/>
  <c r="B27" i="51"/>
  <c r="B28" i="51"/>
  <c r="B29" i="51"/>
  <c r="B30" i="51"/>
  <c r="B31" i="51"/>
  <c r="B32" i="51"/>
  <c r="B33" i="51"/>
  <c r="B34" i="51"/>
  <c r="B35" i="51"/>
  <c r="B36" i="51"/>
  <c r="B37" i="51"/>
  <c r="B38" i="51"/>
  <c r="B39" i="51"/>
  <c r="B40" i="51"/>
  <c r="B41" i="51"/>
  <c r="B42" i="51"/>
  <c r="B43" i="51"/>
  <c r="B44" i="51"/>
  <c r="B45" i="51"/>
  <c r="B46" i="51"/>
  <c r="B47" i="51"/>
  <c r="B48" i="51"/>
  <c r="B49" i="51"/>
  <c r="B50" i="51"/>
  <c r="B51" i="51"/>
  <c r="B52" i="51"/>
  <c r="B53" i="51"/>
  <c r="B54" i="51"/>
  <c r="B55" i="51"/>
  <c r="B56" i="51"/>
  <c r="B57" i="51"/>
  <c r="B58" i="51"/>
  <c r="B59" i="51"/>
  <c r="B60" i="51"/>
  <c r="B61" i="51"/>
  <c r="B62" i="51"/>
  <c r="B63" i="51"/>
  <c r="B64" i="51"/>
  <c r="B65" i="51"/>
  <c r="B66" i="51"/>
  <c r="B67" i="51"/>
  <c r="B68" i="51"/>
  <c r="B69" i="51"/>
  <c r="B70" i="51"/>
  <c r="B71" i="51"/>
  <c r="B72" i="51"/>
  <c r="B73" i="51"/>
  <c r="B74" i="51"/>
  <c r="B75" i="51"/>
  <c r="B76" i="51"/>
  <c r="B77" i="51"/>
  <c r="B78" i="51"/>
  <c r="B79" i="51"/>
  <c r="B80" i="51"/>
  <c r="B81" i="51"/>
  <c r="B82" i="51"/>
  <c r="B83" i="51"/>
  <c r="B84" i="51"/>
  <c r="B85" i="51"/>
  <c r="B86" i="51"/>
  <c r="B87" i="51"/>
  <c r="B88" i="51"/>
  <c r="B89" i="51"/>
  <c r="B90" i="51"/>
  <c r="B91" i="51"/>
  <c r="B92" i="51"/>
  <c r="B93" i="51"/>
  <c r="B94" i="51"/>
  <c r="B95" i="51"/>
  <c r="B96" i="51"/>
  <c r="B97" i="51"/>
  <c r="B98" i="51"/>
  <c r="B99" i="51"/>
  <c r="B100" i="51"/>
  <c r="B101" i="51"/>
  <c r="B102" i="51"/>
  <c r="B103" i="51"/>
  <c r="B104" i="51"/>
  <c r="B105" i="51"/>
  <c r="B106" i="51"/>
  <c r="B107" i="51"/>
  <c r="B108" i="51"/>
  <c r="B109" i="51"/>
  <c r="B110" i="51"/>
  <c r="B111" i="51"/>
  <c r="B112" i="51"/>
  <c r="B113" i="51"/>
  <c r="B114" i="51"/>
  <c r="B115" i="51"/>
  <c r="B116" i="51"/>
  <c r="B117" i="51"/>
  <c r="B118" i="51"/>
  <c r="B119" i="51"/>
  <c r="B120" i="51"/>
  <c r="B121" i="51"/>
  <c r="B122" i="51"/>
  <c r="B123" i="51"/>
  <c r="B124" i="51"/>
  <c r="B125" i="51"/>
  <c r="B126" i="51"/>
  <c r="B127" i="51"/>
  <c r="B128" i="51"/>
  <c r="B129" i="51"/>
  <c r="B130" i="51"/>
  <c r="B131" i="51"/>
  <c r="B132" i="51"/>
  <c r="B133" i="51"/>
  <c r="B134" i="51"/>
  <c r="B135" i="51"/>
  <c r="B136" i="51"/>
  <c r="B137" i="51"/>
  <c r="B138" i="51"/>
  <c r="B139" i="51"/>
  <c r="B140" i="51"/>
  <c r="B141" i="51"/>
  <c r="B142" i="51"/>
  <c r="B143" i="51"/>
  <c r="B144" i="51"/>
  <c r="B145" i="51"/>
  <c r="B146" i="51"/>
  <c r="B147" i="51"/>
  <c r="B148" i="51"/>
  <c r="B149" i="51"/>
  <c r="B150" i="51"/>
  <c r="B151" i="51"/>
  <c r="B152" i="51"/>
  <c r="B153" i="51"/>
  <c r="B154" i="51"/>
  <c r="B155" i="51"/>
  <c r="B156" i="51"/>
  <c r="B157" i="51"/>
  <c r="B158" i="51"/>
  <c r="B159" i="51"/>
  <c r="B160" i="51"/>
  <c r="B161" i="51"/>
  <c r="B162" i="51"/>
  <c r="B163" i="51"/>
  <c r="B164" i="51"/>
  <c r="B165" i="51"/>
  <c r="B166" i="51"/>
  <c r="B167" i="51"/>
  <c r="B168" i="51"/>
  <c r="B169" i="51"/>
  <c r="B170" i="51"/>
  <c r="B171" i="51"/>
  <c r="B172" i="51"/>
  <c r="B173" i="51"/>
  <c r="B174" i="51"/>
  <c r="B175" i="51"/>
  <c r="B176" i="51"/>
  <c r="B177" i="51"/>
  <c r="B178" i="51"/>
  <c r="B179" i="51"/>
  <c r="B3" i="51"/>
  <c r="H4" i="69"/>
  <c r="H5" i="69"/>
  <c r="H6" i="69"/>
  <c r="H7" i="69"/>
  <c r="H8" i="69"/>
  <c r="H9" i="69"/>
  <c r="H10" i="69"/>
  <c r="H11" i="69"/>
  <c r="H12" i="69"/>
  <c r="H13" i="69"/>
  <c r="H14" i="69"/>
  <c r="H3" i="69"/>
  <c r="I3" i="37"/>
  <c r="F416" i="51" l="1"/>
  <c r="F71" i="51"/>
  <c r="F119" i="51"/>
  <c r="F83" i="51"/>
  <c r="F107" i="51"/>
  <c r="F95" i="51"/>
  <c r="F451" i="51"/>
  <c r="F463" i="51"/>
  <c r="F452" i="51"/>
  <c r="F417" i="51"/>
  <c r="F423" i="51"/>
  <c r="F435" i="51"/>
  <c r="F447" i="51"/>
  <c r="F50" i="51"/>
  <c r="F38" i="51"/>
  <c r="F26" i="51"/>
  <c r="F14" i="51"/>
  <c r="F466" i="51"/>
  <c r="F472" i="51"/>
  <c r="F316" i="51"/>
  <c r="F328" i="51"/>
  <c r="F340" i="51"/>
  <c r="F431" i="51"/>
  <c r="F118" i="51"/>
  <c r="F106" i="51"/>
  <c r="F94" i="51"/>
  <c r="F82" i="51"/>
  <c r="F70" i="51"/>
  <c r="F468" i="51"/>
  <c r="F428" i="51"/>
  <c r="F433" i="51"/>
  <c r="F439" i="51"/>
  <c r="F469" i="51"/>
  <c r="F471" i="51"/>
  <c r="F382" i="51"/>
  <c r="F394" i="51"/>
  <c r="F400" i="51"/>
  <c r="F436" i="51"/>
  <c r="F359" i="51"/>
  <c r="F365" i="51"/>
  <c r="F371" i="51"/>
  <c r="F377" i="51"/>
  <c r="F389" i="51"/>
  <c r="F395" i="51"/>
  <c r="F401" i="51"/>
  <c r="F443" i="51"/>
  <c r="F366" i="51"/>
  <c r="F378" i="51"/>
  <c r="F384" i="51"/>
  <c r="F461" i="51"/>
  <c r="F473" i="51"/>
  <c r="F329" i="51"/>
  <c r="F342" i="51"/>
  <c r="F317" i="51"/>
  <c r="F330" i="51"/>
  <c r="F298" i="51"/>
  <c r="F322" i="51"/>
  <c r="F334" i="51"/>
  <c r="F346" i="51"/>
  <c r="F299" i="51"/>
  <c r="F323" i="51"/>
  <c r="F112" i="51"/>
  <c r="F88" i="51"/>
  <c r="F183" i="51"/>
  <c r="F189" i="51"/>
  <c r="F195" i="51"/>
  <c r="F225" i="51"/>
  <c r="F231" i="51"/>
  <c r="F237" i="51"/>
  <c r="F243" i="51"/>
  <c r="F249" i="51"/>
  <c r="F255" i="51"/>
  <c r="F261" i="51"/>
  <c r="F267" i="51"/>
  <c r="F273" i="51"/>
  <c r="F279" i="51"/>
  <c r="F285" i="51"/>
  <c r="F291" i="51"/>
  <c r="F297" i="51"/>
  <c r="F357" i="51"/>
  <c r="F363" i="51"/>
  <c r="F369" i="51"/>
  <c r="F375" i="51"/>
  <c r="F381" i="51"/>
  <c r="F387" i="51"/>
  <c r="F393" i="51"/>
  <c r="F434" i="51"/>
  <c r="F440" i="51"/>
  <c r="F464" i="51"/>
  <c r="F418" i="51"/>
  <c r="F424" i="51"/>
  <c r="F459" i="51"/>
  <c r="F413" i="51"/>
  <c r="F419" i="51"/>
  <c r="F448" i="51"/>
  <c r="F460" i="51"/>
  <c r="F420" i="51"/>
  <c r="F449" i="51"/>
  <c r="F455" i="51"/>
  <c r="F168" i="51"/>
  <c r="F156" i="51"/>
  <c r="F144" i="51"/>
  <c r="F132" i="51"/>
  <c r="F432" i="51"/>
  <c r="F444" i="51"/>
  <c r="F467" i="51"/>
  <c r="F179" i="51"/>
  <c r="F167" i="51"/>
  <c r="F155" i="51"/>
  <c r="F143" i="51"/>
  <c r="F131" i="51"/>
  <c r="F403" i="51"/>
  <c r="F409" i="51"/>
  <c r="F427" i="51"/>
  <c r="F450" i="51"/>
  <c r="F456" i="51"/>
  <c r="F111" i="51"/>
  <c r="F405" i="51"/>
  <c r="F411" i="51"/>
  <c r="F422" i="51"/>
  <c r="F438" i="51"/>
  <c r="F454" i="51"/>
  <c r="F470" i="51"/>
  <c r="F465" i="51"/>
  <c r="F407" i="51"/>
  <c r="F429" i="51"/>
  <c r="F445" i="51"/>
  <c r="F430" i="51"/>
  <c r="F446" i="51"/>
  <c r="F462" i="51"/>
  <c r="F301" i="51"/>
  <c r="F307" i="51"/>
  <c r="F313" i="51"/>
  <c r="F349" i="51"/>
  <c r="F355" i="51"/>
  <c r="F361" i="51"/>
  <c r="F373" i="51"/>
  <c r="F379" i="51"/>
  <c r="F385" i="51"/>
  <c r="F391" i="51"/>
  <c r="F397" i="51"/>
  <c r="F414" i="51"/>
  <c r="F425" i="51"/>
  <c r="F441" i="51"/>
  <c r="F457" i="51"/>
  <c r="F314" i="51"/>
  <c r="F326" i="51"/>
  <c r="F332" i="51"/>
  <c r="F338" i="51"/>
  <c r="F344" i="51"/>
  <c r="F362" i="51"/>
  <c r="F368" i="51"/>
  <c r="F398" i="51"/>
  <c r="F426" i="51"/>
  <c r="F442" i="51"/>
  <c r="F458" i="51"/>
  <c r="F474" i="51"/>
  <c r="F410" i="51"/>
  <c r="F421" i="51"/>
  <c r="F437" i="51"/>
  <c r="F453" i="51"/>
  <c r="F244" i="51"/>
  <c r="F256" i="51"/>
  <c r="F268" i="51"/>
  <c r="F280" i="51"/>
  <c r="F292" i="51"/>
  <c r="F150" i="51"/>
  <c r="F126" i="51"/>
  <c r="F72" i="51"/>
  <c r="F125" i="51"/>
  <c r="F124" i="51"/>
  <c r="F135" i="51"/>
  <c r="F315" i="51"/>
  <c r="F350" i="51"/>
  <c r="F356" i="51"/>
  <c r="F372" i="51"/>
  <c r="F388" i="51"/>
  <c r="F404" i="51"/>
  <c r="F108" i="51"/>
  <c r="F136" i="51"/>
  <c r="F310" i="51"/>
  <c r="F333" i="51"/>
  <c r="F339" i="51"/>
  <c r="F345" i="51"/>
  <c r="F367" i="51"/>
  <c r="F383" i="51"/>
  <c r="F399" i="51"/>
  <c r="F415" i="51"/>
  <c r="F64" i="51"/>
  <c r="F63" i="51"/>
  <c r="F300" i="51"/>
  <c r="F306" i="51"/>
  <c r="F312" i="51"/>
  <c r="F358" i="51"/>
  <c r="F374" i="51"/>
  <c r="F390" i="51"/>
  <c r="F406" i="51"/>
  <c r="F199" i="51"/>
  <c r="F205" i="51"/>
  <c r="F241" i="51"/>
  <c r="F247" i="51"/>
  <c r="F253" i="51"/>
  <c r="F318" i="51"/>
  <c r="F324" i="51"/>
  <c r="F347" i="51"/>
  <c r="F364" i="51"/>
  <c r="F380" i="51"/>
  <c r="F396" i="51"/>
  <c r="F412" i="51"/>
  <c r="F120" i="51"/>
  <c r="F182" i="51"/>
  <c r="F188" i="51"/>
  <c r="F200" i="51"/>
  <c r="F206" i="51"/>
  <c r="F212" i="51"/>
  <c r="F218" i="51"/>
  <c r="F224" i="51"/>
  <c r="F230" i="51"/>
  <c r="F236" i="51"/>
  <c r="F242" i="51"/>
  <c r="F254" i="51"/>
  <c r="F266" i="51"/>
  <c r="F278" i="51"/>
  <c r="F290" i="51"/>
  <c r="F348" i="51"/>
  <c r="F354" i="51"/>
  <c r="F370" i="51"/>
  <c r="F386" i="51"/>
  <c r="F402" i="51"/>
  <c r="F96" i="51"/>
  <c r="F302" i="51"/>
  <c r="F308" i="51"/>
  <c r="F331" i="51"/>
  <c r="F360" i="51"/>
  <c r="F376" i="51"/>
  <c r="F392" i="51"/>
  <c r="F408" i="51"/>
  <c r="F84" i="51"/>
  <c r="F161" i="51"/>
  <c r="F159" i="51"/>
  <c r="F51" i="51"/>
  <c r="F39" i="51"/>
  <c r="F27" i="51"/>
  <c r="F15" i="51"/>
  <c r="F184" i="51"/>
  <c r="F190" i="51"/>
  <c r="F196" i="51"/>
  <c r="F202" i="51"/>
  <c r="F208" i="51"/>
  <c r="F214" i="51"/>
  <c r="F220" i="51"/>
  <c r="F303" i="51"/>
  <c r="F319" i="51"/>
  <c r="F335" i="51"/>
  <c r="F351" i="51"/>
  <c r="F309" i="51"/>
  <c r="F325" i="51"/>
  <c r="F341" i="51"/>
  <c r="F162" i="51"/>
  <c r="F137" i="51"/>
  <c r="F160" i="51"/>
  <c r="F169" i="51"/>
  <c r="F157" i="51"/>
  <c r="F145" i="51"/>
  <c r="F133" i="51"/>
  <c r="F121" i="51"/>
  <c r="F109" i="51"/>
  <c r="F97" i="51"/>
  <c r="F85" i="51"/>
  <c r="F73" i="51"/>
  <c r="F239" i="51"/>
  <c r="F245" i="51"/>
  <c r="F251" i="51"/>
  <c r="F257" i="51"/>
  <c r="F263" i="51"/>
  <c r="F269" i="51"/>
  <c r="F275" i="51"/>
  <c r="F281" i="51"/>
  <c r="F287" i="51"/>
  <c r="F293" i="51"/>
  <c r="F304" i="51"/>
  <c r="F320" i="51"/>
  <c r="F336" i="51"/>
  <c r="F352" i="51"/>
  <c r="F180" i="51"/>
  <c r="F186" i="51"/>
  <c r="F192" i="51"/>
  <c r="F216" i="51"/>
  <c r="F222" i="51"/>
  <c r="F228" i="51"/>
  <c r="F234" i="51"/>
  <c r="F246" i="51"/>
  <c r="F258" i="51"/>
  <c r="F270" i="51"/>
  <c r="F282" i="51"/>
  <c r="F294" i="51"/>
  <c r="F305" i="51"/>
  <c r="F321" i="51"/>
  <c r="F337" i="51"/>
  <c r="F353" i="51"/>
  <c r="F259" i="51"/>
  <c r="F265" i="51"/>
  <c r="F271" i="51"/>
  <c r="F277" i="51"/>
  <c r="F283" i="51"/>
  <c r="F289" i="51"/>
  <c r="F295" i="51"/>
  <c r="F311" i="51"/>
  <c r="F327" i="51"/>
  <c r="F343" i="51"/>
  <c r="F138" i="51"/>
  <c r="F18" i="51"/>
  <c r="F248" i="51"/>
  <c r="F272" i="51"/>
  <c r="F149" i="51"/>
  <c r="F172" i="51"/>
  <c r="F148" i="51"/>
  <c r="F100" i="51"/>
  <c r="F209" i="51"/>
  <c r="F226" i="51"/>
  <c r="F264" i="51"/>
  <c r="F174" i="51"/>
  <c r="F54" i="51"/>
  <c r="F30" i="51"/>
  <c r="F6" i="51"/>
  <c r="F296" i="51"/>
  <c r="F171" i="51"/>
  <c r="F147" i="51"/>
  <c r="F123" i="51"/>
  <c r="F99" i="51"/>
  <c r="F198" i="51"/>
  <c r="F204" i="51"/>
  <c r="F215" i="51"/>
  <c r="F221" i="51"/>
  <c r="F232" i="51"/>
  <c r="F238" i="51"/>
  <c r="F250" i="51"/>
  <c r="F262" i="51"/>
  <c r="F274" i="51"/>
  <c r="F286" i="51"/>
  <c r="F252" i="51"/>
  <c r="F42" i="51"/>
  <c r="F260" i="51"/>
  <c r="F284" i="51"/>
  <c r="F173" i="51"/>
  <c r="F170" i="51"/>
  <c r="F158" i="51"/>
  <c r="F146" i="51"/>
  <c r="F134" i="51"/>
  <c r="F122" i="51"/>
  <c r="F110" i="51"/>
  <c r="F98" i="51"/>
  <c r="F86" i="51"/>
  <c r="F74" i="51"/>
  <c r="F62" i="51"/>
  <c r="F193" i="51"/>
  <c r="F210" i="51"/>
  <c r="F227" i="51"/>
  <c r="F194" i="51"/>
  <c r="F211" i="51"/>
  <c r="F276" i="51"/>
  <c r="F288" i="51"/>
  <c r="F240" i="51"/>
  <c r="F49" i="51"/>
  <c r="F12" i="51"/>
  <c r="F142" i="51"/>
  <c r="F129" i="51"/>
  <c r="F69" i="51"/>
  <c r="F152" i="51"/>
  <c r="F175" i="51"/>
  <c r="F163" i="51"/>
  <c r="F151" i="51"/>
  <c r="F139" i="51"/>
  <c r="F127" i="51"/>
  <c r="F185" i="51"/>
  <c r="F201" i="51"/>
  <c r="F217" i="51"/>
  <c r="F233" i="51"/>
  <c r="F154" i="51"/>
  <c r="F153" i="51"/>
  <c r="F93" i="51"/>
  <c r="F176" i="51"/>
  <c r="F191" i="51"/>
  <c r="F207" i="51"/>
  <c r="F223" i="51"/>
  <c r="F61" i="51"/>
  <c r="F13" i="51"/>
  <c r="F166" i="51"/>
  <c r="F165" i="51"/>
  <c r="F105" i="51"/>
  <c r="F140" i="51"/>
  <c r="F25" i="51"/>
  <c r="F48" i="51"/>
  <c r="F178" i="51"/>
  <c r="F141" i="51"/>
  <c r="F81" i="51"/>
  <c r="F128" i="51"/>
  <c r="F76" i="51"/>
  <c r="F181" i="51"/>
  <c r="F197" i="51"/>
  <c r="F213" i="51"/>
  <c r="F229" i="51"/>
  <c r="F37" i="51"/>
  <c r="F130" i="51"/>
  <c r="F177" i="51"/>
  <c r="F117" i="51"/>
  <c r="F164" i="51"/>
  <c r="F87" i="51"/>
  <c r="F75" i="51"/>
  <c r="F187" i="51"/>
  <c r="F203" i="51"/>
  <c r="F219" i="51"/>
  <c r="F235" i="51"/>
  <c r="F24" i="51"/>
  <c r="F23" i="51"/>
  <c r="F46" i="51"/>
  <c r="F45" i="51"/>
  <c r="F9" i="51"/>
  <c r="F90" i="51"/>
  <c r="F101" i="51"/>
  <c r="F65" i="51"/>
  <c r="F29" i="51"/>
  <c r="F52" i="51"/>
  <c r="F40" i="51"/>
  <c r="F28" i="51"/>
  <c r="F16" i="51"/>
  <c r="F4" i="51"/>
  <c r="F60" i="51"/>
  <c r="F47" i="51"/>
  <c r="F22" i="51"/>
  <c r="F33" i="51"/>
  <c r="F114" i="51"/>
  <c r="F66" i="51"/>
  <c r="F89" i="51"/>
  <c r="F53" i="51"/>
  <c r="F17" i="51"/>
  <c r="F35" i="51"/>
  <c r="F11" i="51"/>
  <c r="F34" i="51"/>
  <c r="F57" i="51"/>
  <c r="F102" i="51"/>
  <c r="F78" i="51"/>
  <c r="F113" i="51"/>
  <c r="F77" i="51"/>
  <c r="F41" i="51"/>
  <c r="F5" i="51"/>
  <c r="F36" i="51"/>
  <c r="F59" i="51"/>
  <c r="F58" i="51"/>
  <c r="F10" i="51"/>
  <c r="F21" i="51"/>
  <c r="F116" i="51"/>
  <c r="F104" i="51"/>
  <c r="F92" i="51"/>
  <c r="F80" i="51"/>
  <c r="F68" i="51"/>
  <c r="F56" i="51"/>
  <c r="F44" i="51"/>
  <c r="F32" i="51"/>
  <c r="F20" i="51"/>
  <c r="F8" i="51"/>
  <c r="F115" i="51"/>
  <c r="F103" i="51"/>
  <c r="F91" i="51"/>
  <c r="F79" i="51"/>
  <c r="F67" i="51"/>
  <c r="F55" i="51"/>
  <c r="F43" i="51"/>
  <c r="F31" i="51"/>
  <c r="F19" i="51"/>
  <c r="F7" i="51"/>
  <c r="F3" i="51"/>
  <c r="AG12" i="46" l="1"/>
  <c r="AG34" i="46"/>
  <c r="AG36" i="46"/>
  <c r="AG37" i="46"/>
  <c r="AG39" i="46"/>
  <c r="AG40" i="46"/>
  <c r="AG43" i="46"/>
  <c r="AG44" i="46"/>
  <c r="AG47" i="46"/>
  <c r="AG50" i="46"/>
  <c r="AG54" i="46"/>
  <c r="C3" i="65"/>
  <c r="C3" i="64"/>
  <c r="C3" i="63"/>
  <c r="C3" i="62"/>
  <c r="C3" i="61"/>
  <c r="C3" i="60"/>
  <c r="C3" i="59"/>
  <c r="C3" i="58"/>
  <c r="C3" i="57"/>
  <c r="C21" i="56"/>
  <c r="C22" i="56"/>
  <c r="C23" i="56"/>
  <c r="C24" i="56"/>
  <c r="C25" i="56"/>
  <c r="C26" i="56"/>
  <c r="C27" i="56"/>
  <c r="C28" i="56"/>
  <c r="C29" i="56"/>
  <c r="C30" i="56"/>
  <c r="C31" i="56"/>
  <c r="C32" i="56"/>
  <c r="C33" i="56"/>
  <c r="C34" i="56"/>
  <c r="C35" i="56"/>
  <c r="C36" i="56"/>
  <c r="C37" i="56"/>
  <c r="C38" i="56"/>
  <c r="C39" i="56"/>
  <c r="C40" i="56"/>
  <c r="C41" i="56"/>
  <c r="C42" i="56"/>
  <c r="C43" i="56"/>
  <c r="C44" i="56"/>
  <c r="C45" i="56"/>
  <c r="C46" i="56"/>
  <c r="C47" i="56"/>
  <c r="C48" i="56"/>
  <c r="C49" i="56"/>
  <c r="C50" i="56"/>
  <c r="C51" i="56"/>
  <c r="C52" i="56"/>
  <c r="C53" i="56"/>
  <c r="C54" i="56"/>
  <c r="C55" i="56"/>
  <c r="C56" i="56"/>
  <c r="C57" i="56"/>
  <c r="C58" i="56"/>
  <c r="C59" i="56"/>
  <c r="C60" i="56"/>
  <c r="C61" i="56"/>
  <c r="C62" i="56"/>
  <c r="C20" i="56"/>
  <c r="C19" i="56"/>
  <c r="C18" i="56"/>
  <c r="C17" i="56"/>
  <c r="C16" i="56"/>
  <c r="C15" i="56"/>
  <c r="C14" i="56"/>
  <c r="C13" i="56"/>
  <c r="C12" i="56"/>
  <c r="C11" i="56"/>
  <c r="C10" i="56"/>
  <c r="C9" i="56"/>
  <c r="C8" i="56"/>
  <c r="C7" i="56"/>
  <c r="C6" i="56"/>
  <c r="C5" i="56"/>
  <c r="C4" i="56"/>
  <c r="C3" i="56"/>
  <c r="C10" i="55"/>
  <c r="C9" i="55"/>
  <c r="C8" i="55"/>
  <c r="C7" i="55"/>
  <c r="C6" i="55"/>
  <c r="C5" i="55"/>
  <c r="C4" i="55"/>
  <c r="C3" i="55"/>
  <c r="C13" i="54"/>
  <c r="C12" i="54"/>
  <c r="C11" i="54"/>
  <c r="C10" i="54"/>
  <c r="C9" i="54"/>
  <c r="C8" i="54"/>
  <c r="C7" i="54"/>
  <c r="C6" i="54"/>
  <c r="C5" i="54"/>
  <c r="C4" i="54"/>
  <c r="C3" i="54"/>
  <c r="C20" i="53"/>
  <c r="C4" i="53"/>
  <c r="C5" i="53"/>
  <c r="C6" i="53"/>
  <c r="C7" i="53"/>
  <c r="C8" i="53"/>
  <c r="C9" i="53"/>
  <c r="C10" i="53"/>
  <c r="C11" i="53"/>
  <c r="C12" i="53"/>
  <c r="C13" i="53"/>
  <c r="C14" i="53"/>
  <c r="C15" i="53"/>
  <c r="C16" i="53"/>
  <c r="C17" i="53"/>
  <c r="C18" i="53"/>
  <c r="C19" i="53"/>
  <c r="C3" i="53"/>
  <c r="F4" i="22"/>
  <c r="F5" i="22"/>
  <c r="F6" i="22"/>
  <c r="F7" i="22"/>
  <c r="F8" i="22"/>
  <c r="F9" i="22"/>
  <c r="F10" i="22"/>
  <c r="F11" i="22"/>
  <c r="F12" i="22"/>
  <c r="F13" i="22"/>
  <c r="F14" i="22"/>
  <c r="F15" i="22"/>
  <c r="F16" i="22"/>
  <c r="F17" i="22"/>
  <c r="F18" i="22"/>
  <c r="F19" i="22"/>
  <c r="F20" i="22"/>
  <c r="F21" i="22"/>
  <c r="F22" i="22"/>
  <c r="F23" i="22"/>
  <c r="F24" i="22"/>
  <c r="F25" i="22"/>
  <c r="F26" i="22"/>
  <c r="F27" i="22"/>
  <c r="F28" i="22"/>
  <c r="F29" i="22"/>
  <c r="F30" i="22"/>
  <c r="F31" i="22"/>
  <c r="F32" i="22"/>
  <c r="F33" i="22"/>
  <c r="F34" i="22"/>
  <c r="F35" i="22"/>
  <c r="F36" i="22"/>
  <c r="F37" i="22"/>
  <c r="F38" i="22"/>
  <c r="F3" i="22"/>
  <c r="E4" i="18"/>
  <c r="E5" i="18"/>
  <c r="E6" i="18"/>
  <c r="E7" i="18"/>
  <c r="E8" i="18"/>
  <c r="E9" i="18"/>
  <c r="E10" i="18"/>
  <c r="E11" i="18"/>
  <c r="E12" i="18"/>
  <c r="E13" i="18"/>
  <c r="E14" i="18"/>
  <c r="E15" i="18"/>
  <c r="E16" i="18"/>
  <c r="E17" i="18"/>
  <c r="E18" i="18"/>
  <c r="E19" i="18"/>
  <c r="E20" i="18"/>
  <c r="E21" i="18"/>
  <c r="E22" i="18"/>
  <c r="E23" i="18"/>
  <c r="E24" i="18"/>
  <c r="E3" i="18"/>
  <c r="E4" i="52" l="1"/>
  <c r="E5" i="52"/>
  <c r="E6" i="52"/>
  <c r="E7" i="52"/>
  <c r="E8" i="52"/>
  <c r="E9" i="52"/>
  <c r="E10" i="52"/>
  <c r="E11" i="52"/>
  <c r="E12" i="52"/>
  <c r="E13" i="52"/>
  <c r="E14" i="52"/>
  <c r="E15" i="52"/>
  <c r="E16" i="52"/>
  <c r="E17" i="52"/>
  <c r="E18" i="52"/>
  <c r="E19" i="52"/>
  <c r="E20" i="52"/>
  <c r="E21" i="52"/>
  <c r="E3" i="52"/>
  <c r="K4" i="49" l="1"/>
  <c r="K5" i="49"/>
  <c r="K6" i="49"/>
  <c r="K7" i="49"/>
  <c r="K8" i="49"/>
  <c r="K9" i="49"/>
  <c r="K10" i="49"/>
  <c r="K11" i="49"/>
  <c r="K12" i="49"/>
  <c r="K13" i="49"/>
  <c r="K14" i="49"/>
  <c r="K15" i="49"/>
  <c r="K16" i="49"/>
  <c r="K17" i="49"/>
  <c r="K18" i="49"/>
  <c r="K3" i="49"/>
  <c r="D4" i="48"/>
  <c r="D5" i="48"/>
  <c r="D6" i="48"/>
  <c r="D7" i="48"/>
  <c r="D8" i="48"/>
  <c r="D9" i="48"/>
  <c r="D10" i="48"/>
  <c r="D3" i="48"/>
  <c r="F38" i="47" l="1"/>
  <c r="F37" i="47"/>
  <c r="F36" i="47"/>
  <c r="F35" i="47"/>
  <c r="F34" i="47"/>
  <c r="F33" i="47"/>
  <c r="F32" i="47"/>
  <c r="F31" i="47"/>
  <c r="F30" i="47"/>
  <c r="F29" i="47"/>
  <c r="F28" i="47"/>
  <c r="F27" i="47"/>
  <c r="F26" i="47"/>
  <c r="F25" i="47"/>
  <c r="F24" i="47"/>
  <c r="F23" i="47"/>
  <c r="F22" i="47"/>
  <c r="F21" i="47"/>
  <c r="F20" i="47"/>
  <c r="F19" i="47"/>
  <c r="F18" i="47"/>
  <c r="F17" i="47"/>
  <c r="F16" i="47"/>
  <c r="F15" i="47"/>
  <c r="F14" i="47"/>
  <c r="F13" i="47"/>
  <c r="F12" i="47"/>
  <c r="F11" i="47"/>
  <c r="F10" i="47"/>
  <c r="F9" i="47"/>
  <c r="F8" i="47"/>
  <c r="F7" i="47"/>
  <c r="F6" i="47"/>
  <c r="F5" i="47"/>
  <c r="F4" i="47"/>
  <c r="F3" i="47"/>
  <c r="E4" i="1"/>
  <c r="E5" i="1"/>
  <c r="E6" i="1"/>
  <c r="E7" i="1"/>
  <c r="E8" i="1"/>
  <c r="E9" i="1"/>
  <c r="E10" i="1"/>
  <c r="E11" i="1"/>
  <c r="E12" i="1"/>
  <c r="E13" i="1"/>
  <c r="E14" i="1"/>
  <c r="E15" i="1"/>
  <c r="E3" i="1"/>
  <c r="F4" i="3"/>
  <c r="F3" i="3"/>
  <c r="F4" i="5"/>
  <c r="F5" i="5"/>
  <c r="F6" i="5"/>
  <c r="F7" i="5"/>
  <c r="F8" i="5"/>
  <c r="F9" i="5"/>
  <c r="F10" i="5"/>
  <c r="F11" i="5"/>
  <c r="F12" i="5"/>
  <c r="F13" i="5"/>
  <c r="F14" i="5"/>
  <c r="F15" i="5"/>
  <c r="F16" i="5"/>
  <c r="F17" i="5"/>
  <c r="F18" i="5"/>
  <c r="F19" i="5"/>
  <c r="F20" i="5"/>
  <c r="F21" i="5"/>
  <c r="F22" i="5"/>
  <c r="F23" i="5"/>
  <c r="F24" i="5"/>
  <c r="F25" i="5"/>
  <c r="F26" i="5"/>
  <c r="F27" i="5"/>
  <c r="F28" i="5"/>
  <c r="F29" i="5"/>
  <c r="F30" i="5"/>
  <c r="F31" i="5"/>
  <c r="F32" i="5"/>
  <c r="F33" i="5"/>
  <c r="F34" i="5"/>
  <c r="F35" i="5"/>
  <c r="F36" i="5"/>
  <c r="F37" i="5"/>
  <c r="F38" i="5"/>
  <c r="F39" i="5"/>
  <c r="F40" i="5"/>
  <c r="F41" i="5"/>
  <c r="F42" i="5"/>
  <c r="F43" i="5"/>
  <c r="F44" i="5"/>
  <c r="F45" i="5"/>
  <c r="F46" i="5"/>
  <c r="F47" i="5"/>
  <c r="F48" i="5"/>
  <c r="F49" i="5"/>
  <c r="F50" i="5"/>
  <c r="F51" i="5"/>
  <c r="F52" i="5"/>
  <c r="F53" i="5"/>
  <c r="F54" i="5"/>
  <c r="F55" i="5"/>
  <c r="F56" i="5"/>
  <c r="F57" i="5"/>
  <c r="F58" i="5"/>
  <c r="F59" i="5"/>
  <c r="F60" i="5"/>
  <c r="F61" i="5"/>
  <c r="F62" i="5"/>
  <c r="F63" i="5"/>
  <c r="F64" i="5"/>
  <c r="F65" i="5"/>
  <c r="F66" i="5"/>
  <c r="F67" i="5"/>
  <c r="F68" i="5"/>
  <c r="F69" i="5"/>
  <c r="F70" i="5"/>
  <c r="F71" i="5"/>
  <c r="F72" i="5"/>
  <c r="F73" i="5"/>
  <c r="F74" i="5"/>
  <c r="F75" i="5"/>
  <c r="F76" i="5"/>
  <c r="F77" i="5"/>
  <c r="F78" i="5"/>
  <c r="F79" i="5"/>
  <c r="F80" i="5"/>
  <c r="F81" i="5"/>
  <c r="F82" i="5"/>
  <c r="F83" i="5"/>
  <c r="F84" i="5"/>
  <c r="F85" i="5"/>
  <c r="F86" i="5"/>
  <c r="F87" i="5"/>
  <c r="F88" i="5"/>
  <c r="F89" i="5"/>
  <c r="F90" i="5"/>
  <c r="F91" i="5"/>
  <c r="F92" i="5"/>
  <c r="F93" i="5"/>
  <c r="F94" i="5"/>
  <c r="F95" i="5"/>
  <c r="F96" i="5"/>
  <c r="F97" i="5"/>
  <c r="F98" i="5"/>
  <c r="F99" i="5"/>
  <c r="F100" i="5"/>
  <c r="F101" i="5"/>
  <c r="F102" i="5"/>
  <c r="F103" i="5"/>
  <c r="F104" i="5"/>
  <c r="F105" i="5"/>
  <c r="F106" i="5"/>
  <c r="F107" i="5"/>
  <c r="F108" i="5"/>
  <c r="F109" i="5"/>
  <c r="F110" i="5"/>
  <c r="F111" i="5"/>
  <c r="F112" i="5"/>
  <c r="F113" i="5"/>
  <c r="F114" i="5"/>
  <c r="F115" i="5"/>
  <c r="F116" i="5"/>
  <c r="F117" i="5"/>
  <c r="F118" i="5"/>
  <c r="F119" i="5"/>
  <c r="F120" i="5"/>
  <c r="F121" i="5"/>
  <c r="F122" i="5"/>
  <c r="F123" i="5"/>
  <c r="F124" i="5"/>
  <c r="F125" i="5"/>
  <c r="F126" i="5"/>
  <c r="F127" i="5"/>
  <c r="F128" i="5"/>
  <c r="F129" i="5"/>
  <c r="F130" i="5"/>
  <c r="F131" i="5"/>
  <c r="F132" i="5"/>
  <c r="F133" i="5"/>
  <c r="F134" i="5"/>
  <c r="F135" i="5"/>
  <c r="F136" i="5"/>
  <c r="F137" i="5"/>
  <c r="F138" i="5"/>
  <c r="F139" i="5"/>
  <c r="F140" i="5"/>
  <c r="F141" i="5"/>
  <c r="F142" i="5"/>
  <c r="F143" i="5"/>
  <c r="F144" i="5"/>
  <c r="F145" i="5"/>
  <c r="F146" i="5"/>
  <c r="F147" i="5"/>
  <c r="F148" i="5"/>
  <c r="F149" i="5"/>
  <c r="F150" i="5"/>
  <c r="F151" i="5"/>
  <c r="F152" i="5"/>
  <c r="F153" i="5"/>
  <c r="F154" i="5"/>
  <c r="F155" i="5"/>
  <c r="F156" i="5"/>
  <c r="F157" i="5"/>
  <c r="F158" i="5"/>
  <c r="F159" i="5"/>
  <c r="F160" i="5"/>
  <c r="F161" i="5"/>
  <c r="F162" i="5"/>
  <c r="F163" i="5"/>
  <c r="F164" i="5"/>
  <c r="F165" i="5"/>
  <c r="F166" i="5"/>
  <c r="F167" i="5"/>
  <c r="F168" i="5"/>
  <c r="F169" i="5"/>
  <c r="F170" i="5"/>
  <c r="F171" i="5"/>
  <c r="F172" i="5"/>
  <c r="F173" i="5"/>
  <c r="F174" i="5"/>
  <c r="F175" i="5"/>
  <c r="F176" i="5"/>
  <c r="F177" i="5"/>
  <c r="F178" i="5"/>
  <c r="F179" i="5"/>
  <c r="F180" i="5"/>
  <c r="F181" i="5"/>
  <c r="F182" i="5"/>
  <c r="F183" i="5"/>
  <c r="F184" i="5"/>
  <c r="F185" i="5"/>
  <c r="F186" i="5"/>
  <c r="F187" i="5"/>
  <c r="F188" i="5"/>
  <c r="F189" i="5"/>
  <c r="F190" i="5"/>
  <c r="F191" i="5"/>
  <c r="F192" i="5"/>
  <c r="F193" i="5"/>
  <c r="F194" i="5"/>
  <c r="F195" i="5"/>
  <c r="F196" i="5"/>
  <c r="F197" i="5"/>
  <c r="F198" i="5"/>
  <c r="F199" i="5"/>
  <c r="F200" i="5"/>
  <c r="F201" i="5"/>
  <c r="F202" i="5"/>
  <c r="F203" i="5"/>
  <c r="F204" i="5"/>
  <c r="F205" i="5"/>
  <c r="F206" i="5"/>
  <c r="F207" i="5"/>
  <c r="F208" i="5"/>
  <c r="F209" i="5"/>
  <c r="F210" i="5"/>
  <c r="F211" i="5"/>
  <c r="F212" i="5"/>
  <c r="F213" i="5"/>
  <c r="F214" i="5"/>
  <c r="F215" i="5"/>
  <c r="F216" i="5"/>
  <c r="F217" i="5"/>
  <c r="F218" i="5"/>
  <c r="F219" i="5"/>
  <c r="F220" i="5"/>
  <c r="F221" i="5"/>
  <c r="F222" i="5"/>
  <c r="F223" i="5"/>
  <c r="F224" i="5"/>
  <c r="F225" i="5"/>
  <c r="F226" i="5"/>
  <c r="F227" i="5"/>
  <c r="F228" i="5"/>
  <c r="F229" i="5"/>
  <c r="F230" i="5"/>
  <c r="F231" i="5"/>
  <c r="F232" i="5"/>
  <c r="F233" i="5"/>
  <c r="F234" i="5"/>
  <c r="F235" i="5"/>
  <c r="F236" i="5"/>
  <c r="F237" i="5"/>
  <c r="F238" i="5"/>
  <c r="F239" i="5"/>
  <c r="F240" i="5"/>
  <c r="F241" i="5"/>
  <c r="F242" i="5"/>
  <c r="F243" i="5"/>
  <c r="F244" i="5"/>
  <c r="F245" i="5"/>
  <c r="F246" i="5"/>
  <c r="F247" i="5"/>
  <c r="F248" i="5"/>
  <c r="F249" i="5"/>
  <c r="F250" i="5"/>
  <c r="F251" i="5"/>
  <c r="F3" i="5"/>
  <c r="F4" i="9"/>
  <c r="F5" i="9"/>
  <c r="F6" i="9"/>
  <c r="F7" i="9"/>
  <c r="F8" i="9"/>
  <c r="F9" i="9"/>
  <c r="F10" i="9"/>
  <c r="F11" i="9"/>
  <c r="F12" i="9"/>
  <c r="F13" i="9"/>
  <c r="F14" i="9"/>
  <c r="F15" i="9"/>
  <c r="F16" i="9"/>
  <c r="F17" i="9"/>
  <c r="F18" i="9"/>
  <c r="F19" i="9"/>
  <c r="F20" i="9"/>
  <c r="F21" i="9"/>
  <c r="F22" i="9"/>
  <c r="F23" i="9"/>
  <c r="F24" i="9"/>
  <c r="F25" i="9"/>
  <c r="F26" i="9"/>
  <c r="F27" i="9"/>
  <c r="F28" i="9"/>
  <c r="F29" i="9"/>
  <c r="F30" i="9"/>
  <c r="F31" i="9"/>
  <c r="F32" i="9"/>
  <c r="F33" i="9"/>
  <c r="F34" i="9"/>
  <c r="F35" i="9"/>
  <c r="F36" i="9"/>
  <c r="F37" i="9"/>
  <c r="F38" i="9"/>
  <c r="F39" i="9"/>
  <c r="F40" i="9"/>
  <c r="F41" i="9"/>
  <c r="F42" i="9"/>
  <c r="F43" i="9"/>
  <c r="F44" i="9"/>
  <c r="F45" i="9"/>
  <c r="F46" i="9"/>
  <c r="F47" i="9"/>
  <c r="F48" i="9"/>
  <c r="F49" i="9"/>
  <c r="F50" i="9"/>
  <c r="F51" i="9"/>
  <c r="F52" i="9"/>
  <c r="F53" i="9"/>
  <c r="F54" i="9"/>
  <c r="F55" i="9"/>
  <c r="F56" i="9"/>
  <c r="F57" i="9"/>
  <c r="F58" i="9"/>
  <c r="F59" i="9"/>
  <c r="F60" i="9"/>
  <c r="F3" i="9"/>
  <c r="G4" i="13"/>
  <c r="G5" i="13"/>
  <c r="G6" i="13"/>
  <c r="G7" i="13"/>
  <c r="G8" i="13"/>
  <c r="G9" i="13"/>
  <c r="G10" i="13"/>
  <c r="G11" i="13"/>
  <c r="G12" i="13"/>
  <c r="G13" i="13"/>
  <c r="G14" i="13"/>
  <c r="G15" i="13"/>
  <c r="G16" i="13"/>
  <c r="G17" i="13"/>
  <c r="G18" i="13"/>
  <c r="G19" i="13"/>
  <c r="G20" i="13"/>
  <c r="G21" i="13"/>
  <c r="G22" i="13"/>
  <c r="G23" i="13"/>
  <c r="G24" i="13"/>
  <c r="G25" i="13"/>
  <c r="G26" i="13"/>
  <c r="G27" i="13"/>
  <c r="G28" i="13"/>
  <c r="G29" i="13"/>
  <c r="G30" i="13"/>
  <c r="G31" i="13"/>
  <c r="G32" i="13"/>
  <c r="G33" i="13"/>
  <c r="G34" i="13"/>
  <c r="G35" i="13"/>
  <c r="G36" i="13"/>
  <c r="G37" i="13"/>
  <c r="G38" i="13"/>
  <c r="G39" i="13"/>
  <c r="G40" i="13"/>
  <c r="G41" i="13"/>
  <c r="G42" i="13"/>
  <c r="G43" i="13"/>
  <c r="G44" i="13"/>
  <c r="G45" i="13"/>
  <c r="G46" i="13"/>
  <c r="G47" i="13"/>
  <c r="G48" i="13"/>
  <c r="G49" i="13"/>
  <c r="G50" i="13"/>
  <c r="G51" i="13"/>
  <c r="G52" i="13"/>
  <c r="G53" i="13"/>
  <c r="G54" i="13"/>
  <c r="G55" i="13"/>
  <c r="G56" i="13"/>
  <c r="G57" i="13"/>
  <c r="G58" i="13"/>
  <c r="G59" i="13"/>
  <c r="G60" i="13"/>
  <c r="G61" i="13"/>
  <c r="G62" i="13"/>
  <c r="G63" i="13"/>
  <c r="G64" i="13"/>
  <c r="G65" i="13"/>
  <c r="G66" i="13"/>
  <c r="G67" i="13"/>
  <c r="G68" i="13"/>
  <c r="G69" i="13"/>
  <c r="G70" i="13"/>
  <c r="G71" i="13"/>
  <c r="G72" i="13"/>
  <c r="G73" i="13"/>
  <c r="G74" i="13"/>
  <c r="G75" i="13"/>
  <c r="G76" i="13"/>
  <c r="G77" i="13"/>
  <c r="G78" i="13"/>
  <c r="G79" i="13"/>
  <c r="G80" i="13"/>
  <c r="G81" i="13"/>
  <c r="G82" i="13"/>
  <c r="G83" i="13"/>
  <c r="G84" i="13"/>
  <c r="G85" i="13"/>
  <c r="G86" i="13"/>
  <c r="G87" i="13"/>
  <c r="G88" i="13"/>
  <c r="G89" i="13"/>
  <c r="G90" i="13"/>
  <c r="G91" i="13"/>
  <c r="G92" i="13"/>
  <c r="G93" i="13"/>
  <c r="G94" i="13"/>
  <c r="G95" i="13"/>
  <c r="G96" i="13"/>
  <c r="G97" i="13"/>
  <c r="G98" i="13"/>
  <c r="G99" i="13"/>
  <c r="G100" i="13"/>
  <c r="G101" i="13"/>
  <c r="G102" i="13"/>
  <c r="G103" i="13"/>
  <c r="G104" i="13"/>
  <c r="G105" i="13"/>
  <c r="G106" i="13"/>
  <c r="G107" i="13"/>
  <c r="G108" i="13"/>
  <c r="G109" i="13"/>
  <c r="G110" i="13"/>
  <c r="G111" i="13"/>
  <c r="G112" i="13"/>
  <c r="G113" i="13"/>
  <c r="G114" i="13"/>
  <c r="G115" i="13"/>
  <c r="G116" i="13"/>
  <c r="G117" i="13"/>
  <c r="G118" i="13"/>
  <c r="G119" i="13"/>
  <c r="G120" i="13"/>
  <c r="G121" i="13"/>
  <c r="G122" i="13"/>
  <c r="G123" i="13"/>
  <c r="G124" i="13"/>
  <c r="G125" i="13"/>
  <c r="G126" i="13"/>
  <c r="G127" i="13"/>
  <c r="G128" i="13"/>
  <c r="G129" i="13"/>
  <c r="G130" i="13"/>
  <c r="G131" i="13"/>
  <c r="G132" i="13"/>
  <c r="G133" i="13"/>
  <c r="G134" i="13"/>
  <c r="G135" i="13"/>
  <c r="G136" i="13"/>
  <c r="G137" i="13"/>
  <c r="G138" i="13"/>
  <c r="G139" i="13"/>
  <c r="G140" i="13"/>
  <c r="G141" i="13"/>
  <c r="G142" i="13"/>
  <c r="G143" i="13"/>
  <c r="G144" i="13"/>
  <c r="G145" i="13"/>
  <c r="G146" i="13"/>
  <c r="G147" i="13"/>
  <c r="G148" i="13"/>
  <c r="G149" i="13"/>
  <c r="G150" i="13"/>
  <c r="G151" i="13"/>
  <c r="G152" i="13"/>
  <c r="G153" i="13"/>
  <c r="G154" i="13"/>
  <c r="G155" i="13"/>
  <c r="G156" i="13"/>
  <c r="G157" i="13"/>
  <c r="G158" i="13"/>
  <c r="G159" i="13"/>
  <c r="G160" i="13"/>
  <c r="G161" i="13"/>
  <c r="G162" i="13"/>
  <c r="G163" i="13"/>
  <c r="G164" i="13"/>
  <c r="G165" i="13"/>
  <c r="G166" i="13"/>
  <c r="G167" i="13"/>
  <c r="G168" i="13"/>
  <c r="G169" i="13"/>
  <c r="G170" i="13"/>
  <c r="G171" i="13"/>
  <c r="G172" i="13"/>
  <c r="G173" i="13"/>
  <c r="G174" i="13"/>
  <c r="G175" i="13"/>
  <c r="G176" i="13"/>
  <c r="G177" i="13"/>
  <c r="G178" i="13"/>
  <c r="G179" i="13"/>
  <c r="G180" i="13"/>
  <c r="G181" i="13"/>
  <c r="G182" i="13"/>
  <c r="G183" i="13"/>
  <c r="G184" i="13"/>
  <c r="G185" i="13"/>
  <c r="G186" i="13"/>
  <c r="G187" i="13"/>
  <c r="G188" i="13"/>
  <c r="G189" i="13"/>
  <c r="G190" i="13"/>
  <c r="G191" i="13"/>
  <c r="G192" i="13"/>
  <c r="G193" i="13"/>
  <c r="G194" i="13"/>
  <c r="G195" i="13"/>
  <c r="G196" i="13"/>
  <c r="G197" i="13"/>
  <c r="G198" i="13"/>
  <c r="G199" i="13"/>
  <c r="G200" i="13"/>
  <c r="G201" i="13"/>
  <c r="G202" i="13"/>
  <c r="G203" i="13"/>
  <c r="G204" i="13"/>
  <c r="G205" i="13"/>
  <c r="G206" i="13"/>
  <c r="G207" i="13"/>
  <c r="G208" i="13"/>
  <c r="G209" i="13"/>
  <c r="G210" i="13"/>
  <c r="G211" i="13"/>
  <c r="G212" i="13"/>
  <c r="G213" i="13"/>
  <c r="G214" i="13"/>
  <c r="G215" i="13"/>
  <c r="G216" i="13"/>
  <c r="G217" i="13"/>
  <c r="G218" i="13"/>
  <c r="G219" i="13"/>
  <c r="G220" i="13"/>
  <c r="G221" i="13"/>
  <c r="G222" i="13"/>
  <c r="G223" i="13"/>
  <c r="G224" i="13"/>
  <c r="G225" i="13"/>
  <c r="G226" i="13"/>
  <c r="G227" i="13"/>
  <c r="G228" i="13"/>
  <c r="G229" i="13"/>
  <c r="G230" i="13"/>
  <c r="G231" i="13"/>
  <c r="G232" i="13"/>
  <c r="G233" i="13"/>
  <c r="G234" i="13"/>
  <c r="G235" i="13"/>
  <c r="G236" i="13"/>
  <c r="G237" i="13"/>
  <c r="G238" i="13"/>
  <c r="G239" i="13"/>
  <c r="G240" i="13"/>
  <c r="G241" i="13"/>
  <c r="G242" i="13"/>
  <c r="G243" i="13"/>
  <c r="G244" i="13"/>
  <c r="G245" i="13"/>
  <c r="G246" i="13"/>
  <c r="G247" i="13"/>
  <c r="G248" i="13"/>
  <c r="G249" i="13"/>
  <c r="G250" i="13"/>
  <c r="G251" i="13"/>
  <c r="G252" i="13"/>
  <c r="G253" i="13"/>
  <c r="G254" i="13"/>
  <c r="G255" i="13"/>
  <c r="G256" i="13"/>
  <c r="G257" i="13"/>
  <c r="G258" i="13"/>
  <c r="G259" i="13"/>
  <c r="G260" i="13"/>
  <c r="G261" i="13"/>
  <c r="G262" i="13"/>
  <c r="G263" i="13"/>
  <c r="G264" i="13"/>
  <c r="G265" i="13"/>
  <c r="G266" i="13"/>
  <c r="G267" i="13"/>
  <c r="G268" i="13"/>
  <c r="G269" i="13"/>
  <c r="G270" i="13"/>
  <c r="G271" i="13"/>
  <c r="G272" i="13"/>
  <c r="G273" i="13"/>
  <c r="G274" i="13"/>
  <c r="G275" i="13"/>
  <c r="G276" i="13"/>
  <c r="G277" i="13"/>
  <c r="G278" i="13"/>
  <c r="G279" i="13"/>
  <c r="G280" i="13"/>
  <c r="G281" i="13"/>
  <c r="G282" i="13"/>
  <c r="G283" i="13"/>
  <c r="G284" i="13"/>
  <c r="G285" i="13"/>
  <c r="G286" i="13"/>
  <c r="G287" i="13"/>
  <c r="G288" i="13"/>
  <c r="G289" i="13"/>
  <c r="G290" i="13"/>
  <c r="G291" i="13"/>
  <c r="G292" i="13"/>
  <c r="G293" i="13"/>
  <c r="G294" i="13"/>
  <c r="G295" i="13"/>
  <c r="G296" i="13"/>
  <c r="G297" i="13"/>
  <c r="G298" i="13"/>
  <c r="G299" i="13"/>
  <c r="G300" i="13"/>
  <c r="G301" i="13"/>
  <c r="G302" i="13"/>
  <c r="G303" i="13"/>
  <c r="G304" i="13"/>
  <c r="G305" i="13"/>
  <c r="G306" i="13"/>
  <c r="G307" i="13"/>
  <c r="G308" i="13"/>
  <c r="G309" i="13"/>
  <c r="G310" i="13"/>
  <c r="G311" i="13"/>
  <c r="G312" i="13"/>
  <c r="G313" i="13"/>
  <c r="G314" i="13"/>
  <c r="G315" i="13"/>
  <c r="G316" i="13"/>
  <c r="G317" i="13"/>
  <c r="G318" i="13"/>
  <c r="G319" i="13"/>
  <c r="G320" i="13"/>
  <c r="G321" i="13"/>
  <c r="G322" i="13"/>
  <c r="G323" i="13"/>
  <c r="G324" i="13"/>
  <c r="G325" i="13"/>
  <c r="G326" i="13"/>
  <c r="G327" i="13"/>
  <c r="G328" i="13"/>
  <c r="G329" i="13"/>
  <c r="G330" i="13"/>
  <c r="G331" i="13"/>
  <c r="G332" i="13"/>
  <c r="G333" i="13"/>
  <c r="G334" i="13"/>
  <c r="G335" i="13"/>
  <c r="G336" i="13"/>
  <c r="G337" i="13"/>
  <c r="G338" i="13"/>
  <c r="G339" i="13"/>
  <c r="G340" i="13"/>
  <c r="G341" i="13"/>
  <c r="G342" i="13"/>
  <c r="G343" i="13"/>
  <c r="G344" i="13"/>
  <c r="G345" i="13"/>
  <c r="G346" i="13"/>
  <c r="G347" i="13"/>
  <c r="G348" i="13"/>
  <c r="G349" i="13"/>
  <c r="G350" i="13"/>
  <c r="G351" i="13"/>
  <c r="G352" i="13"/>
  <c r="G353" i="13"/>
  <c r="G354" i="13"/>
  <c r="G355" i="13"/>
  <c r="G356" i="13"/>
  <c r="G357" i="13"/>
  <c r="G358" i="13"/>
  <c r="G359" i="13"/>
  <c r="G360" i="13"/>
  <c r="G361" i="13"/>
  <c r="G362" i="13"/>
  <c r="G363" i="13"/>
  <c r="G364" i="13"/>
  <c r="G365" i="13"/>
  <c r="G366" i="13"/>
  <c r="G367" i="13"/>
  <c r="G368" i="13"/>
  <c r="G369" i="13"/>
  <c r="G370" i="13"/>
  <c r="G371" i="13"/>
  <c r="G372" i="13"/>
  <c r="G373" i="13"/>
  <c r="G374" i="13"/>
  <c r="G375" i="13"/>
  <c r="G376" i="13"/>
  <c r="G377" i="13"/>
  <c r="G378" i="13"/>
  <c r="G379" i="13"/>
  <c r="G380" i="13"/>
  <c r="G381" i="13"/>
  <c r="G382" i="13"/>
  <c r="G383" i="13"/>
  <c r="G384" i="13"/>
  <c r="G385" i="13"/>
  <c r="G386" i="13"/>
  <c r="G387" i="13"/>
  <c r="G388" i="13"/>
  <c r="G389" i="13"/>
  <c r="G390" i="13"/>
  <c r="G391" i="13"/>
  <c r="G392" i="13"/>
  <c r="G393" i="13"/>
  <c r="G394" i="13"/>
  <c r="G395" i="13"/>
  <c r="G396" i="13"/>
  <c r="G397" i="13"/>
  <c r="G398" i="13"/>
  <c r="G399" i="13"/>
  <c r="G400" i="13"/>
  <c r="G401" i="13"/>
  <c r="G402" i="13"/>
  <c r="G403" i="13"/>
  <c r="G404" i="13"/>
  <c r="G405" i="13"/>
  <c r="G406" i="13"/>
  <c r="G407" i="13"/>
  <c r="G408" i="13"/>
  <c r="G409" i="13"/>
  <c r="G410" i="13"/>
  <c r="G411" i="13"/>
  <c r="G412" i="13"/>
  <c r="G413" i="13"/>
  <c r="G414" i="13"/>
  <c r="G415" i="13"/>
  <c r="G416" i="13"/>
  <c r="G417" i="13"/>
  <c r="G418" i="13"/>
  <c r="G419" i="13"/>
  <c r="G420" i="13"/>
  <c r="G421" i="13"/>
  <c r="G422" i="13"/>
  <c r="G423" i="13"/>
  <c r="G424" i="13"/>
  <c r="G425" i="13"/>
  <c r="G426" i="13"/>
  <c r="G427" i="13"/>
  <c r="G428" i="13"/>
  <c r="G429" i="13"/>
  <c r="G430" i="13"/>
  <c r="G431" i="13"/>
  <c r="G432" i="13"/>
  <c r="G433" i="13"/>
  <c r="G434" i="13"/>
  <c r="G435" i="13"/>
  <c r="G436" i="13"/>
  <c r="G437" i="13"/>
  <c r="G438" i="13"/>
  <c r="G439" i="13"/>
  <c r="G440" i="13"/>
  <c r="G441" i="13"/>
  <c r="G442" i="13"/>
  <c r="G443" i="13"/>
  <c r="G444" i="13"/>
  <c r="G445" i="13"/>
  <c r="G446" i="13"/>
  <c r="G447" i="13"/>
  <c r="G448" i="13"/>
  <c r="G449" i="13"/>
  <c r="G450" i="13"/>
  <c r="G451" i="13"/>
  <c r="G452" i="13"/>
  <c r="G453" i="13"/>
  <c r="G454" i="13"/>
  <c r="G455" i="13"/>
  <c r="G456" i="13"/>
  <c r="G457" i="13"/>
  <c r="G458" i="13"/>
  <c r="G459" i="13"/>
  <c r="G460" i="13"/>
  <c r="G461" i="13"/>
  <c r="G462" i="13"/>
  <c r="G463" i="13"/>
  <c r="G464" i="13"/>
  <c r="G465" i="13"/>
  <c r="G466" i="13"/>
  <c r="G467" i="13"/>
  <c r="G468" i="13"/>
  <c r="G469" i="13"/>
  <c r="G470" i="13"/>
  <c r="G471" i="13"/>
  <c r="G472" i="13"/>
  <c r="G473" i="13"/>
  <c r="G474" i="13"/>
  <c r="G475" i="13"/>
  <c r="G476" i="13"/>
  <c r="G477" i="13"/>
  <c r="G478" i="13"/>
  <c r="G479" i="13"/>
  <c r="G480" i="13"/>
  <c r="G481" i="13"/>
  <c r="G482" i="13"/>
  <c r="G483" i="13"/>
  <c r="G484" i="13"/>
  <c r="G485" i="13"/>
  <c r="G486" i="13"/>
  <c r="G487" i="13"/>
  <c r="G488" i="13"/>
  <c r="G489" i="13"/>
  <c r="G490" i="13"/>
  <c r="G491" i="13"/>
  <c r="G492" i="13"/>
  <c r="G493" i="13"/>
  <c r="G494" i="13"/>
  <c r="G495" i="13"/>
  <c r="G496" i="13"/>
  <c r="G497" i="13"/>
  <c r="G498" i="13"/>
  <c r="G499" i="13"/>
  <c r="G500" i="13"/>
  <c r="G501" i="13"/>
  <c r="G502" i="13"/>
  <c r="G503" i="13"/>
  <c r="G504" i="13"/>
  <c r="G505" i="13"/>
  <c r="G506" i="13"/>
  <c r="G507" i="13"/>
  <c r="G508" i="13"/>
  <c r="G509" i="13"/>
  <c r="G510" i="13"/>
  <c r="G511" i="13"/>
  <c r="G512" i="13"/>
  <c r="G513" i="13"/>
  <c r="G514" i="13"/>
  <c r="G515" i="13"/>
  <c r="G516" i="13"/>
  <c r="G517" i="13"/>
  <c r="G518" i="13"/>
  <c r="G519" i="13"/>
  <c r="G520" i="13"/>
  <c r="G521" i="13"/>
  <c r="G522" i="13"/>
  <c r="G523" i="13"/>
  <c r="G524" i="13"/>
  <c r="G525" i="13"/>
  <c r="G526" i="13"/>
  <c r="G527" i="13"/>
  <c r="G528" i="13"/>
  <c r="G529" i="13"/>
  <c r="G530" i="13"/>
  <c r="G531" i="13"/>
  <c r="G532" i="13"/>
  <c r="G533" i="13"/>
  <c r="G534" i="13"/>
  <c r="G535" i="13"/>
  <c r="G536" i="13"/>
  <c r="G537" i="13"/>
  <c r="G538" i="13"/>
  <c r="G539" i="13"/>
  <c r="G540" i="13"/>
  <c r="G541" i="13"/>
  <c r="G542" i="13"/>
  <c r="G543" i="13"/>
  <c r="G544" i="13"/>
  <c r="G545" i="13"/>
  <c r="G546" i="13"/>
  <c r="G547" i="13"/>
  <c r="G548" i="13"/>
  <c r="G549" i="13"/>
  <c r="G3" i="13"/>
  <c r="H4" i="14"/>
  <c r="H5" i="14"/>
  <c r="H6" i="14"/>
  <c r="H7" i="14"/>
  <c r="H8" i="14"/>
  <c r="H9" i="14"/>
  <c r="H10" i="14"/>
  <c r="H11" i="14"/>
  <c r="H12" i="14"/>
  <c r="H13" i="14"/>
  <c r="H14" i="14"/>
  <c r="H15" i="14"/>
  <c r="H16" i="14"/>
  <c r="H17" i="14"/>
  <c r="H18" i="14"/>
  <c r="H19" i="14"/>
  <c r="H20" i="14"/>
  <c r="H21" i="14"/>
  <c r="H22" i="14"/>
  <c r="H23" i="14"/>
  <c r="H24" i="14"/>
  <c r="H25" i="14"/>
  <c r="H26" i="14"/>
  <c r="H27" i="14"/>
  <c r="H28" i="14"/>
  <c r="H29" i="14"/>
  <c r="H30" i="14"/>
  <c r="H31" i="14"/>
  <c r="H32" i="14"/>
  <c r="H33" i="14"/>
  <c r="H34" i="14"/>
  <c r="H35" i="14"/>
  <c r="H36" i="14"/>
  <c r="H37" i="14"/>
  <c r="H38" i="14"/>
  <c r="H39" i="14"/>
  <c r="H40" i="14"/>
  <c r="H41" i="14"/>
  <c r="H42" i="14"/>
  <c r="H43" i="14"/>
  <c r="H44" i="14"/>
  <c r="H45" i="14"/>
  <c r="H46" i="14"/>
  <c r="H47" i="14"/>
  <c r="H48" i="14"/>
  <c r="H49" i="14"/>
  <c r="H50" i="14"/>
  <c r="H51" i="14"/>
  <c r="H52" i="14"/>
  <c r="H53" i="14"/>
  <c r="H54" i="14"/>
  <c r="H55" i="14"/>
  <c r="H56" i="14"/>
  <c r="H57" i="14"/>
  <c r="H58" i="14"/>
  <c r="H59" i="14"/>
  <c r="H60" i="14"/>
  <c r="H61" i="14"/>
  <c r="H62" i="14"/>
  <c r="H63" i="14"/>
  <c r="H64" i="14"/>
  <c r="H65" i="14"/>
  <c r="H66" i="14"/>
  <c r="H67" i="14"/>
  <c r="H68" i="14"/>
  <c r="H69" i="14"/>
  <c r="H70" i="14"/>
  <c r="H71" i="14"/>
  <c r="H72" i="14"/>
  <c r="H73" i="14"/>
  <c r="H74" i="14"/>
  <c r="H75" i="14"/>
  <c r="H76" i="14"/>
  <c r="H77" i="14"/>
  <c r="H78" i="14"/>
  <c r="H79" i="14"/>
  <c r="H80" i="14"/>
  <c r="H81" i="14"/>
  <c r="H82" i="14"/>
  <c r="H83" i="14"/>
  <c r="H84" i="14"/>
  <c r="H85" i="14"/>
  <c r="H86" i="14"/>
  <c r="H87" i="14"/>
  <c r="H88" i="14"/>
  <c r="H89" i="14"/>
  <c r="H90" i="14"/>
  <c r="H91" i="14"/>
  <c r="H92" i="14"/>
  <c r="H93" i="14"/>
  <c r="H94" i="14"/>
  <c r="H95" i="14"/>
  <c r="H96" i="14"/>
  <c r="H97" i="14"/>
  <c r="H98" i="14"/>
  <c r="H99" i="14"/>
  <c r="H100" i="14"/>
  <c r="H101" i="14"/>
  <c r="H102" i="14"/>
  <c r="H103" i="14"/>
  <c r="H104" i="14"/>
  <c r="H105" i="14"/>
  <c r="H106" i="14"/>
  <c r="H107" i="14"/>
  <c r="H108" i="14"/>
  <c r="H109" i="14"/>
  <c r="H110" i="14"/>
  <c r="H111" i="14"/>
  <c r="H112" i="14"/>
  <c r="H113" i="14"/>
  <c r="H114" i="14"/>
  <c r="H115" i="14"/>
  <c r="H116" i="14"/>
  <c r="H117" i="14"/>
  <c r="H118" i="14"/>
  <c r="H119" i="14"/>
  <c r="H120" i="14"/>
  <c r="H121" i="14"/>
  <c r="H122" i="14"/>
  <c r="H123" i="14"/>
  <c r="H124" i="14"/>
  <c r="H125" i="14"/>
  <c r="H126" i="14"/>
  <c r="H127" i="14"/>
  <c r="H128" i="14"/>
  <c r="H129" i="14"/>
  <c r="H130" i="14"/>
  <c r="H131" i="14"/>
  <c r="H132" i="14"/>
  <c r="H133" i="14"/>
  <c r="H134" i="14"/>
  <c r="H135" i="14"/>
  <c r="H136" i="14"/>
  <c r="H137" i="14"/>
  <c r="H138" i="14"/>
  <c r="H139" i="14"/>
  <c r="H140" i="14"/>
  <c r="H141" i="14"/>
  <c r="H142" i="14"/>
  <c r="H143" i="14"/>
  <c r="H144" i="14"/>
  <c r="H145" i="14"/>
  <c r="H146" i="14"/>
  <c r="H147" i="14"/>
  <c r="H148" i="14"/>
  <c r="H149" i="14"/>
  <c r="H150" i="14"/>
  <c r="H151" i="14"/>
  <c r="H152" i="14"/>
  <c r="H153" i="14"/>
  <c r="H154" i="14"/>
  <c r="H155" i="14"/>
  <c r="H156" i="14"/>
  <c r="H157" i="14"/>
  <c r="H158" i="14"/>
  <c r="H159" i="14"/>
  <c r="H160" i="14"/>
  <c r="H161" i="14"/>
  <c r="H162" i="14"/>
  <c r="H163" i="14"/>
  <c r="H164" i="14"/>
  <c r="H165" i="14"/>
  <c r="H166" i="14"/>
  <c r="H167" i="14"/>
  <c r="H168" i="14"/>
  <c r="H169" i="14"/>
  <c r="H170" i="14"/>
  <c r="H171" i="14"/>
  <c r="H172" i="14"/>
  <c r="H173" i="14"/>
  <c r="H174" i="14"/>
  <c r="H175" i="14"/>
  <c r="H176" i="14"/>
  <c r="H177" i="14"/>
  <c r="H178" i="14"/>
  <c r="H179" i="14"/>
  <c r="H180" i="14"/>
  <c r="H181" i="14"/>
  <c r="H182" i="14"/>
  <c r="H183" i="14"/>
  <c r="H184" i="14"/>
  <c r="H185" i="14"/>
  <c r="H186" i="14"/>
  <c r="H187" i="14"/>
  <c r="H188" i="14"/>
  <c r="H189" i="14"/>
  <c r="H190" i="14"/>
  <c r="H191" i="14"/>
  <c r="H192" i="14"/>
  <c r="H193" i="14"/>
  <c r="H194" i="14"/>
  <c r="H195" i="14"/>
  <c r="H196" i="14"/>
  <c r="H197" i="14"/>
  <c r="H198" i="14"/>
  <c r="H199" i="14"/>
  <c r="H200" i="14"/>
  <c r="H201" i="14"/>
  <c r="H202" i="14"/>
  <c r="H203" i="14"/>
  <c r="H204" i="14"/>
  <c r="H205" i="14"/>
  <c r="H206" i="14"/>
  <c r="H207" i="14"/>
  <c r="H208" i="14"/>
  <c r="H209" i="14"/>
  <c r="H210" i="14"/>
  <c r="H211" i="14"/>
  <c r="H212" i="14"/>
  <c r="H213" i="14"/>
  <c r="H214" i="14"/>
  <c r="H215" i="14"/>
  <c r="H216" i="14"/>
  <c r="H217" i="14"/>
  <c r="H218" i="14"/>
  <c r="H219" i="14"/>
  <c r="H220" i="14"/>
  <c r="H221" i="14"/>
  <c r="H222" i="14"/>
  <c r="H223" i="14"/>
  <c r="H224" i="14"/>
  <c r="H225" i="14"/>
  <c r="H226" i="14"/>
  <c r="H227" i="14"/>
  <c r="H228" i="14"/>
  <c r="H229" i="14"/>
  <c r="H230" i="14"/>
  <c r="H231" i="14"/>
  <c r="H232" i="14"/>
  <c r="H233" i="14"/>
  <c r="H234" i="14"/>
  <c r="H235" i="14"/>
  <c r="H236" i="14"/>
  <c r="H237" i="14"/>
  <c r="H238" i="14"/>
  <c r="H239" i="14"/>
  <c r="H240" i="14"/>
  <c r="H241" i="14"/>
  <c r="H242" i="14"/>
  <c r="H243" i="14"/>
  <c r="H244" i="14"/>
  <c r="H245" i="14"/>
  <c r="H246" i="14"/>
  <c r="H247" i="14"/>
  <c r="H248" i="14"/>
  <c r="H249" i="14"/>
  <c r="H250" i="14"/>
  <c r="H251" i="14"/>
  <c r="H252" i="14"/>
  <c r="H253" i="14"/>
  <c r="H254" i="14"/>
  <c r="H255" i="14"/>
  <c r="H256" i="14"/>
  <c r="H257" i="14"/>
  <c r="H258" i="14"/>
  <c r="H259" i="14"/>
  <c r="H260" i="14"/>
  <c r="H261" i="14"/>
  <c r="H262" i="14"/>
  <c r="H263" i="14"/>
  <c r="H264" i="14"/>
  <c r="H265" i="14"/>
  <c r="H266" i="14"/>
  <c r="H267" i="14"/>
  <c r="H268" i="14"/>
  <c r="H269" i="14"/>
  <c r="H270" i="14"/>
  <c r="H271" i="14"/>
  <c r="H272" i="14"/>
  <c r="H273" i="14"/>
  <c r="H274" i="14"/>
  <c r="H275" i="14"/>
  <c r="H276" i="14"/>
  <c r="H277" i="14"/>
  <c r="H278" i="14"/>
  <c r="H279" i="14"/>
  <c r="H280" i="14"/>
  <c r="H281" i="14"/>
  <c r="H282" i="14"/>
  <c r="H283" i="14"/>
  <c r="H284" i="14"/>
  <c r="H285" i="14"/>
  <c r="H286" i="14"/>
  <c r="H287" i="14"/>
  <c r="H288" i="14"/>
  <c r="H289" i="14"/>
  <c r="H290" i="14"/>
  <c r="H291" i="14"/>
  <c r="H292" i="14"/>
  <c r="H293" i="14"/>
  <c r="H294" i="14"/>
  <c r="H295" i="14"/>
  <c r="H296" i="14"/>
  <c r="H297" i="14"/>
  <c r="H298" i="14"/>
  <c r="H299" i="14"/>
  <c r="H300" i="14"/>
  <c r="H301" i="14"/>
  <c r="H302" i="14"/>
  <c r="H303" i="14"/>
  <c r="H304" i="14"/>
  <c r="H305" i="14"/>
  <c r="H306" i="14"/>
  <c r="H307" i="14"/>
  <c r="H308" i="14"/>
  <c r="H309" i="14"/>
  <c r="H310" i="14"/>
  <c r="H311" i="14"/>
  <c r="H312" i="14"/>
  <c r="H313" i="14"/>
  <c r="H314" i="14"/>
  <c r="H315" i="14"/>
  <c r="H316" i="14"/>
  <c r="H317" i="14"/>
  <c r="H318" i="14"/>
  <c r="H319" i="14"/>
  <c r="H320" i="14"/>
  <c r="H321" i="14"/>
  <c r="H322" i="14"/>
  <c r="H323" i="14"/>
  <c r="H324" i="14"/>
  <c r="H325" i="14"/>
  <c r="H326" i="14"/>
  <c r="H327" i="14"/>
  <c r="H328" i="14"/>
  <c r="H329" i="14"/>
  <c r="H330" i="14"/>
  <c r="H331" i="14"/>
  <c r="H332" i="14"/>
  <c r="H333" i="14"/>
  <c r="H334" i="14"/>
  <c r="H335" i="14"/>
  <c r="H336" i="14"/>
  <c r="H337" i="14"/>
  <c r="H338" i="14"/>
  <c r="H339" i="14"/>
  <c r="H340" i="14"/>
  <c r="H341" i="14"/>
  <c r="H342" i="14"/>
  <c r="H343" i="14"/>
  <c r="H344" i="14"/>
  <c r="H345" i="14"/>
  <c r="H346" i="14"/>
  <c r="H347" i="14"/>
  <c r="H348" i="14"/>
  <c r="H349" i="14"/>
  <c r="H350" i="14"/>
  <c r="H351" i="14"/>
  <c r="H352" i="14"/>
  <c r="H353" i="14"/>
  <c r="H354" i="14"/>
  <c r="H355" i="14"/>
  <c r="H356" i="14"/>
  <c r="H357" i="14"/>
  <c r="H358" i="14"/>
  <c r="H359" i="14"/>
  <c r="H360" i="14"/>
  <c r="H361" i="14"/>
  <c r="H362" i="14"/>
  <c r="H363" i="14"/>
  <c r="H364" i="14"/>
  <c r="H365" i="14"/>
  <c r="H366" i="14"/>
  <c r="H367" i="14"/>
  <c r="H368" i="14"/>
  <c r="H369" i="14"/>
  <c r="H370" i="14"/>
  <c r="H371" i="14"/>
  <c r="H372" i="14"/>
  <c r="H373" i="14"/>
  <c r="H374" i="14"/>
  <c r="H375" i="14"/>
  <c r="H376" i="14"/>
  <c r="H377" i="14"/>
  <c r="H378" i="14"/>
  <c r="H379" i="14"/>
  <c r="H380" i="14"/>
  <c r="H381" i="14"/>
  <c r="H382" i="14"/>
  <c r="H383" i="14"/>
  <c r="H384" i="14"/>
  <c r="H385" i="14"/>
  <c r="H386" i="14"/>
  <c r="H387" i="14"/>
  <c r="H388" i="14"/>
  <c r="H389" i="14"/>
  <c r="H390" i="14"/>
  <c r="H391" i="14"/>
  <c r="H392" i="14"/>
  <c r="H393" i="14"/>
  <c r="H394" i="14"/>
  <c r="H395" i="14"/>
  <c r="H396" i="14"/>
  <c r="H397" i="14"/>
  <c r="H398" i="14"/>
  <c r="H399" i="14"/>
  <c r="H400" i="14"/>
  <c r="H401" i="14"/>
  <c r="H402" i="14"/>
  <c r="H403" i="14"/>
  <c r="H404" i="14"/>
  <c r="H405" i="14"/>
  <c r="H406" i="14"/>
  <c r="H407" i="14"/>
  <c r="H408" i="14"/>
  <c r="H409" i="14"/>
  <c r="H410" i="14"/>
  <c r="H411" i="14"/>
  <c r="H412" i="14"/>
  <c r="H413" i="14"/>
  <c r="H414" i="14"/>
  <c r="H415" i="14"/>
  <c r="H416" i="14"/>
  <c r="H417" i="14"/>
  <c r="H418" i="14"/>
  <c r="H419" i="14"/>
  <c r="H420" i="14"/>
  <c r="H421" i="14"/>
  <c r="H422" i="14"/>
  <c r="H423" i="14"/>
  <c r="H424" i="14"/>
  <c r="H425" i="14"/>
  <c r="H426" i="14"/>
  <c r="H427" i="14"/>
  <c r="H428" i="14"/>
  <c r="H429" i="14"/>
  <c r="H430" i="14"/>
  <c r="H431" i="14"/>
  <c r="H432" i="14"/>
  <c r="H433" i="14"/>
  <c r="H434" i="14"/>
  <c r="H435" i="14"/>
  <c r="H436" i="14"/>
  <c r="H437" i="14"/>
  <c r="H438" i="14"/>
  <c r="H439" i="14"/>
  <c r="H440" i="14"/>
  <c r="H441" i="14"/>
  <c r="H442" i="14"/>
  <c r="H443" i="14"/>
  <c r="H444" i="14"/>
  <c r="H445" i="14"/>
  <c r="H446" i="14"/>
  <c r="H447" i="14"/>
  <c r="H448" i="14"/>
  <c r="H449" i="14"/>
  <c r="H450" i="14"/>
  <c r="H451" i="14"/>
  <c r="H452" i="14"/>
  <c r="H453" i="14"/>
  <c r="H454" i="14"/>
  <c r="H455" i="14"/>
  <c r="H456" i="14"/>
  <c r="H457" i="14"/>
  <c r="H458" i="14"/>
  <c r="H459" i="14"/>
  <c r="H460" i="14"/>
  <c r="H461" i="14"/>
  <c r="H462" i="14"/>
  <c r="H463" i="14"/>
  <c r="H464" i="14"/>
  <c r="H465" i="14"/>
  <c r="H466" i="14"/>
  <c r="H467" i="14"/>
  <c r="H468" i="14"/>
  <c r="H469" i="14"/>
  <c r="H470" i="14"/>
  <c r="H471" i="14"/>
  <c r="H472" i="14"/>
  <c r="H473" i="14"/>
  <c r="H474" i="14"/>
  <c r="H475" i="14"/>
  <c r="H476" i="14"/>
  <c r="H477" i="14"/>
  <c r="H478" i="14"/>
  <c r="H479" i="14"/>
  <c r="H480" i="14"/>
  <c r="H481" i="14"/>
  <c r="H482" i="14"/>
  <c r="H483" i="14"/>
  <c r="H484" i="14"/>
  <c r="H485" i="14"/>
  <c r="H486" i="14"/>
  <c r="H487" i="14"/>
  <c r="H488" i="14"/>
  <c r="H489" i="14"/>
  <c r="H490" i="14"/>
  <c r="H491" i="14"/>
  <c r="H492" i="14"/>
  <c r="H493" i="14"/>
  <c r="H494" i="14"/>
  <c r="H495" i="14"/>
  <c r="H496" i="14"/>
  <c r="H497" i="14"/>
  <c r="H498" i="14"/>
  <c r="H499" i="14"/>
  <c r="H500" i="14"/>
  <c r="H501" i="14"/>
  <c r="H502" i="14"/>
  <c r="H503" i="14"/>
  <c r="H504" i="14"/>
  <c r="H505" i="14"/>
  <c r="H506" i="14"/>
  <c r="H507" i="14"/>
  <c r="H508" i="14"/>
  <c r="H509" i="14"/>
  <c r="H510" i="14"/>
  <c r="H511" i="14"/>
  <c r="H512" i="14"/>
  <c r="H513" i="14"/>
  <c r="H514" i="14"/>
  <c r="H515" i="14"/>
  <c r="H516" i="14"/>
  <c r="H517" i="14"/>
  <c r="H518" i="14"/>
  <c r="H519" i="14"/>
  <c r="H520" i="14"/>
  <c r="H521" i="14"/>
  <c r="H522" i="14"/>
  <c r="H523" i="14"/>
  <c r="H524" i="14"/>
  <c r="H525" i="14"/>
  <c r="H526" i="14"/>
  <c r="H527" i="14"/>
  <c r="H528" i="14"/>
  <c r="H529" i="14"/>
  <c r="H530" i="14"/>
  <c r="H531" i="14"/>
  <c r="H532" i="14"/>
  <c r="H533" i="14"/>
  <c r="H534" i="14"/>
  <c r="H535" i="14"/>
  <c r="H536" i="14"/>
  <c r="H537" i="14"/>
  <c r="H538" i="14"/>
  <c r="H539" i="14"/>
  <c r="H540" i="14"/>
  <c r="H541" i="14"/>
  <c r="H542" i="14"/>
  <c r="H543" i="14"/>
  <c r="H544" i="14"/>
  <c r="H545" i="14"/>
  <c r="H546" i="14"/>
  <c r="H547" i="14"/>
  <c r="H548" i="14"/>
  <c r="H549" i="14"/>
  <c r="H550" i="14"/>
  <c r="H551" i="14"/>
  <c r="H552" i="14"/>
  <c r="H553" i="14"/>
  <c r="H554" i="14"/>
  <c r="H555" i="14"/>
  <c r="H556" i="14"/>
  <c r="H557" i="14"/>
  <c r="H558" i="14"/>
  <c r="H559" i="14"/>
  <c r="H560" i="14"/>
  <c r="H561" i="14"/>
  <c r="H562" i="14"/>
  <c r="H563" i="14"/>
  <c r="H564" i="14"/>
  <c r="H565" i="14"/>
  <c r="H566" i="14"/>
  <c r="H567" i="14"/>
  <c r="H568" i="14"/>
  <c r="H569" i="14"/>
  <c r="H570" i="14"/>
  <c r="H571" i="14"/>
  <c r="H572" i="14"/>
  <c r="H573" i="14"/>
  <c r="H574" i="14"/>
  <c r="H575" i="14"/>
  <c r="H576" i="14"/>
  <c r="H577" i="14"/>
  <c r="H578" i="14"/>
  <c r="H579" i="14"/>
  <c r="H580" i="14"/>
  <c r="H581" i="14"/>
  <c r="H582" i="14"/>
  <c r="H583" i="14"/>
  <c r="H584" i="14"/>
  <c r="H585" i="14"/>
  <c r="H586" i="14"/>
  <c r="H587" i="14"/>
  <c r="H588" i="14"/>
  <c r="H589" i="14"/>
  <c r="H590" i="14"/>
  <c r="H591" i="14"/>
  <c r="H592" i="14"/>
  <c r="H593" i="14"/>
  <c r="H594" i="14"/>
  <c r="H595" i="14"/>
  <c r="H596" i="14"/>
  <c r="H597" i="14"/>
  <c r="H598" i="14"/>
  <c r="H599" i="14"/>
  <c r="H600" i="14"/>
  <c r="H601" i="14"/>
  <c r="H602" i="14"/>
  <c r="H603" i="14"/>
  <c r="H604" i="14"/>
  <c r="H605" i="14"/>
  <c r="H606" i="14"/>
  <c r="H607" i="14"/>
  <c r="H608" i="14"/>
  <c r="H609" i="14"/>
  <c r="H610" i="14"/>
  <c r="H611" i="14"/>
  <c r="H612" i="14"/>
  <c r="H613" i="14"/>
  <c r="H614" i="14"/>
  <c r="H615" i="14"/>
  <c r="H616" i="14"/>
  <c r="H617" i="14"/>
  <c r="H618" i="14"/>
  <c r="H619" i="14"/>
  <c r="H620" i="14"/>
  <c r="H621" i="14"/>
  <c r="H622" i="14"/>
  <c r="H623" i="14"/>
  <c r="H624" i="14"/>
  <c r="H625" i="14"/>
  <c r="H626" i="14"/>
  <c r="H627" i="14"/>
  <c r="H628" i="14"/>
  <c r="H629" i="14"/>
  <c r="H630" i="14"/>
  <c r="H631" i="14"/>
  <c r="H632" i="14"/>
  <c r="H633" i="14"/>
  <c r="H634" i="14"/>
  <c r="H635" i="14"/>
  <c r="H636" i="14"/>
  <c r="H637" i="14"/>
  <c r="H638" i="14"/>
  <c r="H639" i="14"/>
  <c r="H640" i="14"/>
  <c r="H641" i="14"/>
  <c r="H642" i="14"/>
  <c r="H643" i="14"/>
  <c r="H644" i="14"/>
  <c r="H645" i="14"/>
  <c r="H646" i="14"/>
  <c r="H647" i="14"/>
  <c r="H648" i="14"/>
  <c r="H649" i="14"/>
  <c r="H650" i="14"/>
  <c r="H651" i="14"/>
  <c r="H652" i="14"/>
  <c r="H653" i="14"/>
  <c r="H654" i="14"/>
  <c r="H655" i="14"/>
  <c r="H656" i="14"/>
  <c r="H657" i="14"/>
  <c r="H658" i="14"/>
  <c r="H659" i="14"/>
  <c r="H660" i="14"/>
  <c r="H661" i="14"/>
  <c r="H662" i="14"/>
  <c r="H663" i="14"/>
  <c r="H664" i="14"/>
  <c r="H665" i="14"/>
  <c r="H666" i="14"/>
  <c r="H667" i="14"/>
  <c r="H668" i="14"/>
  <c r="H669" i="14"/>
  <c r="H670" i="14"/>
  <c r="H671" i="14"/>
  <c r="H672" i="14"/>
  <c r="H673" i="14"/>
  <c r="H674" i="14"/>
  <c r="H675" i="14"/>
  <c r="H676" i="14"/>
  <c r="H677" i="14"/>
  <c r="H678" i="14"/>
  <c r="H679" i="14"/>
  <c r="H680" i="14"/>
  <c r="H681" i="14"/>
  <c r="H682" i="14"/>
  <c r="H683" i="14"/>
  <c r="H684" i="14"/>
  <c r="H685" i="14"/>
  <c r="H686" i="14"/>
  <c r="H687" i="14"/>
  <c r="H688" i="14"/>
  <c r="H689" i="14"/>
  <c r="H690" i="14"/>
  <c r="H691" i="14"/>
  <c r="H692" i="14"/>
  <c r="H693" i="14"/>
  <c r="H694" i="14"/>
  <c r="H695" i="14"/>
  <c r="H696" i="14"/>
  <c r="H697" i="14"/>
  <c r="H698" i="14"/>
  <c r="H699" i="14"/>
  <c r="H700" i="14"/>
  <c r="H701" i="14"/>
  <c r="H702" i="14"/>
  <c r="H703" i="14"/>
  <c r="H704" i="14"/>
  <c r="H705" i="14"/>
  <c r="H706" i="14"/>
  <c r="H707" i="14"/>
  <c r="H708" i="14"/>
  <c r="H709" i="14"/>
  <c r="H710" i="14"/>
  <c r="H711" i="14"/>
  <c r="H712" i="14"/>
  <c r="H713" i="14"/>
  <c r="H714" i="14"/>
  <c r="H715" i="14"/>
  <c r="H716" i="14"/>
  <c r="H717" i="14"/>
  <c r="H718" i="14"/>
  <c r="H719" i="14"/>
  <c r="H720" i="14"/>
  <c r="H721" i="14"/>
  <c r="H722" i="14"/>
  <c r="H723" i="14"/>
  <c r="H724" i="14"/>
  <c r="H725" i="14"/>
  <c r="H726" i="14"/>
  <c r="H727" i="14"/>
  <c r="H728" i="14"/>
  <c r="H729" i="14"/>
  <c r="H730" i="14"/>
  <c r="H731" i="14"/>
  <c r="H732" i="14"/>
  <c r="H733" i="14"/>
  <c r="H734" i="14"/>
  <c r="H735" i="14"/>
  <c r="H736" i="14"/>
  <c r="H737" i="14"/>
  <c r="H738" i="14"/>
  <c r="H739" i="14"/>
  <c r="H740" i="14"/>
  <c r="H741" i="14"/>
  <c r="H742" i="14"/>
  <c r="H743" i="14"/>
  <c r="H744" i="14"/>
  <c r="H745" i="14"/>
  <c r="H746" i="14"/>
  <c r="H747" i="14"/>
  <c r="H748" i="14"/>
  <c r="H749" i="14"/>
  <c r="H750" i="14"/>
  <c r="H751" i="14"/>
  <c r="H752" i="14"/>
  <c r="H753" i="14"/>
  <c r="H754" i="14"/>
  <c r="H755" i="14"/>
  <c r="H756" i="14"/>
  <c r="H757" i="14"/>
  <c r="H758" i="14"/>
  <c r="H759" i="14"/>
  <c r="H760" i="14"/>
  <c r="H761" i="14"/>
  <c r="H762" i="14"/>
  <c r="H763" i="14"/>
  <c r="H764" i="14"/>
  <c r="H765" i="14"/>
  <c r="H766" i="14"/>
  <c r="H767" i="14"/>
  <c r="H768" i="14"/>
  <c r="H769" i="14"/>
  <c r="H770" i="14"/>
  <c r="H771" i="14"/>
  <c r="H772" i="14"/>
  <c r="H773" i="14"/>
  <c r="H774" i="14"/>
  <c r="H775" i="14"/>
  <c r="H776" i="14"/>
  <c r="H777" i="14"/>
  <c r="H778" i="14"/>
  <c r="H779" i="14"/>
  <c r="H780" i="14"/>
  <c r="H781" i="14"/>
  <c r="H782" i="14"/>
  <c r="H783" i="14"/>
  <c r="H784" i="14"/>
  <c r="H785" i="14"/>
  <c r="H786" i="14"/>
  <c r="H787" i="14"/>
  <c r="H788" i="14"/>
  <c r="H789" i="14"/>
  <c r="H790" i="14"/>
  <c r="H791" i="14"/>
  <c r="H792" i="14"/>
  <c r="H793" i="14"/>
  <c r="H794" i="14"/>
  <c r="H795" i="14"/>
  <c r="H796" i="14"/>
  <c r="H797" i="14"/>
  <c r="H798" i="14"/>
  <c r="H799" i="14"/>
  <c r="H800" i="14"/>
  <c r="H801" i="14"/>
  <c r="H802" i="14"/>
  <c r="H803" i="14"/>
  <c r="H804" i="14"/>
  <c r="H805" i="14"/>
  <c r="H806" i="14"/>
  <c r="H807" i="14"/>
  <c r="H808" i="14"/>
  <c r="H809" i="14"/>
  <c r="H810" i="14"/>
  <c r="H811" i="14"/>
  <c r="H812" i="14"/>
  <c r="H813" i="14"/>
  <c r="H814" i="14"/>
  <c r="H815" i="14"/>
  <c r="H816" i="14"/>
  <c r="H817" i="14"/>
  <c r="H818" i="14"/>
  <c r="H819" i="14"/>
  <c r="H820" i="14"/>
  <c r="H821" i="14"/>
  <c r="H822" i="14"/>
  <c r="H823" i="14"/>
  <c r="H824" i="14"/>
  <c r="H825" i="14"/>
  <c r="H826" i="14"/>
  <c r="H827" i="14"/>
  <c r="H828" i="14"/>
  <c r="H829" i="14"/>
  <c r="H830" i="14"/>
  <c r="H831" i="14"/>
  <c r="H832" i="14"/>
  <c r="H833" i="14"/>
  <c r="H834" i="14"/>
  <c r="H835" i="14"/>
  <c r="H836" i="14"/>
  <c r="H837" i="14"/>
  <c r="H838" i="14"/>
  <c r="H839" i="14"/>
  <c r="H840" i="14"/>
  <c r="H841" i="14"/>
  <c r="H842" i="14"/>
  <c r="H843" i="14"/>
  <c r="H844" i="14"/>
  <c r="H845" i="14"/>
  <c r="H846" i="14"/>
  <c r="H847" i="14"/>
  <c r="H848" i="14"/>
  <c r="H849" i="14"/>
  <c r="H850" i="14"/>
  <c r="H851" i="14"/>
  <c r="H852" i="14"/>
  <c r="H853" i="14"/>
  <c r="H854" i="14"/>
  <c r="H855" i="14"/>
  <c r="H856" i="14"/>
  <c r="H857" i="14"/>
  <c r="H858" i="14"/>
  <c r="H859" i="14"/>
  <c r="H860" i="14"/>
  <c r="H861" i="14"/>
  <c r="H862" i="14"/>
  <c r="H863" i="14"/>
  <c r="H864" i="14"/>
  <c r="H865" i="14"/>
  <c r="H866" i="14"/>
  <c r="H867" i="14"/>
  <c r="H868" i="14"/>
  <c r="H869" i="14"/>
  <c r="H870" i="14"/>
  <c r="H871" i="14"/>
  <c r="H872" i="14"/>
  <c r="H873" i="14"/>
  <c r="H874" i="14"/>
  <c r="H875" i="14"/>
  <c r="H876" i="14"/>
  <c r="H877" i="14"/>
  <c r="H878" i="14"/>
  <c r="H879" i="14"/>
  <c r="H880" i="14"/>
  <c r="H881" i="14"/>
  <c r="H882" i="14"/>
  <c r="H883" i="14"/>
  <c r="H884" i="14"/>
  <c r="H885" i="14"/>
  <c r="H886" i="14"/>
  <c r="H887" i="14"/>
  <c r="H888" i="14"/>
  <c r="H889" i="14"/>
  <c r="H890" i="14"/>
  <c r="H891" i="14"/>
  <c r="H892" i="14"/>
  <c r="H893" i="14"/>
  <c r="H894" i="14"/>
  <c r="H895" i="14"/>
  <c r="H896" i="14"/>
  <c r="H897" i="14"/>
  <c r="H898" i="14"/>
  <c r="H899" i="14"/>
  <c r="H900" i="14"/>
  <c r="H901" i="14"/>
  <c r="H902" i="14"/>
  <c r="H903" i="14"/>
  <c r="H904" i="14"/>
  <c r="H905" i="14"/>
  <c r="H906" i="14"/>
  <c r="H907" i="14"/>
  <c r="H908" i="14"/>
  <c r="H909" i="14"/>
  <c r="H910" i="14"/>
  <c r="H911" i="14"/>
  <c r="H912" i="14"/>
  <c r="H913" i="14"/>
  <c r="H914" i="14"/>
  <c r="H915" i="14"/>
  <c r="H916" i="14"/>
  <c r="H917" i="14"/>
  <c r="H918" i="14"/>
  <c r="H919" i="14"/>
  <c r="H920" i="14"/>
  <c r="H921" i="14"/>
  <c r="H922" i="14"/>
  <c r="H923" i="14"/>
  <c r="H924" i="14"/>
  <c r="H925" i="14"/>
  <c r="H926" i="14"/>
  <c r="H927" i="14"/>
  <c r="H928" i="14"/>
  <c r="H929" i="14"/>
  <c r="H930" i="14"/>
  <c r="H931" i="14"/>
  <c r="H932" i="14"/>
  <c r="H933" i="14"/>
  <c r="H934" i="14"/>
  <c r="H935" i="14"/>
  <c r="H936" i="14"/>
  <c r="H937" i="14"/>
  <c r="H938" i="14"/>
  <c r="H939" i="14"/>
  <c r="H940" i="14"/>
  <c r="H941" i="14"/>
  <c r="H942" i="14"/>
  <c r="H943" i="14"/>
  <c r="H944" i="14"/>
  <c r="H945" i="14"/>
  <c r="H946" i="14"/>
  <c r="H947" i="14"/>
  <c r="H948" i="14"/>
  <c r="H949" i="14"/>
  <c r="H950" i="14"/>
  <c r="H951" i="14"/>
  <c r="H952" i="14"/>
  <c r="H953" i="14"/>
  <c r="H954" i="14"/>
  <c r="H955" i="14"/>
  <c r="H956" i="14"/>
  <c r="H957" i="14"/>
  <c r="H958" i="14"/>
  <c r="H959" i="14"/>
  <c r="H960" i="14"/>
  <c r="H961" i="14"/>
  <c r="H962" i="14"/>
  <c r="H963" i="14"/>
  <c r="H964" i="14"/>
  <c r="H965" i="14"/>
  <c r="H966" i="14"/>
  <c r="H967" i="14"/>
  <c r="H968" i="14"/>
  <c r="H969" i="14"/>
  <c r="H970" i="14"/>
  <c r="H971" i="14"/>
  <c r="H972" i="14"/>
  <c r="H973" i="14"/>
  <c r="H974" i="14"/>
  <c r="H975" i="14"/>
  <c r="H976" i="14"/>
  <c r="H977" i="14"/>
  <c r="H978" i="14"/>
  <c r="H979" i="14"/>
  <c r="H980" i="14"/>
  <c r="H981" i="14"/>
  <c r="H982" i="14"/>
  <c r="H983" i="14"/>
  <c r="H984" i="14"/>
  <c r="H985" i="14"/>
  <c r="H986" i="14"/>
  <c r="H987" i="14"/>
  <c r="H988" i="14"/>
  <c r="H989" i="14"/>
  <c r="H990" i="14"/>
  <c r="H991" i="14"/>
  <c r="H992" i="14"/>
  <c r="H993" i="14"/>
  <c r="H994" i="14"/>
  <c r="H995" i="14"/>
  <c r="H996" i="14"/>
  <c r="H997" i="14"/>
  <c r="H998" i="14"/>
  <c r="H999" i="14"/>
  <c r="H1000" i="14"/>
  <c r="H1001" i="14"/>
  <c r="H1002" i="14"/>
  <c r="H1003" i="14"/>
  <c r="H1004" i="14"/>
  <c r="H1005" i="14"/>
  <c r="H1006" i="14"/>
  <c r="H1007" i="14"/>
  <c r="H1008" i="14"/>
  <c r="H1009" i="14"/>
  <c r="H1010" i="14"/>
  <c r="H1011" i="14"/>
  <c r="H1012" i="14"/>
  <c r="H1013" i="14"/>
  <c r="H1014" i="14"/>
  <c r="H1015" i="14"/>
  <c r="H1016" i="14"/>
  <c r="H1017" i="14"/>
  <c r="H1018" i="14"/>
  <c r="H1019" i="14"/>
  <c r="H1020" i="14"/>
  <c r="H1021" i="14"/>
  <c r="H1022" i="14"/>
  <c r="H1023" i="14"/>
  <c r="H1024" i="14"/>
  <c r="H1025" i="14"/>
  <c r="H1026" i="14"/>
  <c r="H1027" i="14"/>
  <c r="H1028" i="14"/>
  <c r="H1029" i="14"/>
  <c r="H1030" i="14"/>
  <c r="H1031" i="14"/>
  <c r="H1032" i="14"/>
  <c r="H1033" i="14"/>
  <c r="H1034" i="14"/>
  <c r="H1035" i="14"/>
  <c r="H1036" i="14"/>
  <c r="H1037" i="14"/>
  <c r="H1038" i="14"/>
  <c r="H1039" i="14"/>
  <c r="H1040" i="14"/>
  <c r="H1041" i="14"/>
  <c r="H1042" i="14"/>
  <c r="H1043" i="14"/>
  <c r="H1044" i="14"/>
  <c r="H1045" i="14"/>
  <c r="H1046" i="14"/>
  <c r="H1047" i="14"/>
  <c r="H1048" i="14"/>
  <c r="H1049" i="14"/>
  <c r="H1050" i="14"/>
  <c r="H1051" i="14"/>
  <c r="H1052" i="14"/>
  <c r="H1053" i="14"/>
  <c r="H1054" i="14"/>
  <c r="H1055" i="14"/>
  <c r="H1056" i="14"/>
  <c r="H1057" i="14"/>
  <c r="H1058" i="14"/>
  <c r="H1059" i="14"/>
  <c r="H1060" i="14"/>
  <c r="H1061" i="14"/>
  <c r="H1062" i="14"/>
  <c r="H1063" i="14"/>
  <c r="H1064" i="14"/>
  <c r="H1065" i="14"/>
  <c r="H1066" i="14"/>
  <c r="H1067" i="14"/>
  <c r="H1068" i="14"/>
  <c r="H1069" i="14"/>
  <c r="H1070" i="14"/>
  <c r="H1071" i="14"/>
  <c r="H1072" i="14"/>
  <c r="H1073" i="14"/>
  <c r="H1074" i="14"/>
  <c r="H1075" i="14"/>
  <c r="H1076" i="14"/>
  <c r="H1077" i="14"/>
  <c r="H1078" i="14"/>
  <c r="H1079" i="14"/>
  <c r="H1080" i="14"/>
  <c r="H1081" i="14"/>
  <c r="H1082" i="14"/>
  <c r="H1083" i="14"/>
  <c r="H1084" i="14"/>
  <c r="H1085" i="14"/>
  <c r="H1086" i="14"/>
  <c r="H1087" i="14"/>
  <c r="H1088" i="14"/>
  <c r="H1089" i="14"/>
  <c r="H1090" i="14"/>
  <c r="H1091" i="14"/>
  <c r="H1092" i="14"/>
  <c r="H1093" i="14"/>
  <c r="H1094" i="14"/>
  <c r="H1095" i="14"/>
  <c r="H1096" i="14"/>
  <c r="H1097" i="14"/>
  <c r="H1098" i="14"/>
  <c r="H1099" i="14"/>
  <c r="H1100" i="14"/>
  <c r="H1101" i="14"/>
  <c r="H1102" i="14"/>
  <c r="H1103" i="14"/>
  <c r="H1104" i="14"/>
  <c r="H1105" i="14"/>
  <c r="H1106" i="14"/>
  <c r="H1107" i="14"/>
  <c r="H1108" i="14"/>
  <c r="H1109" i="14"/>
  <c r="H1110" i="14"/>
  <c r="H1111" i="14"/>
  <c r="H1112" i="14"/>
  <c r="H1113" i="14"/>
  <c r="H1114" i="14"/>
  <c r="H1115" i="14"/>
  <c r="H1116" i="14"/>
  <c r="H1117" i="14"/>
  <c r="H1118" i="14"/>
  <c r="H1119" i="14"/>
  <c r="H1120" i="14"/>
  <c r="H1121" i="14"/>
  <c r="H1122" i="14"/>
  <c r="H1123" i="14"/>
  <c r="H1124" i="14"/>
  <c r="H1125" i="14"/>
  <c r="H1126" i="14"/>
  <c r="H1127" i="14"/>
  <c r="H1128" i="14"/>
  <c r="H1129" i="14"/>
  <c r="H1130" i="14"/>
  <c r="H1131" i="14"/>
  <c r="H1132" i="14"/>
  <c r="H1133" i="14"/>
  <c r="H1134" i="14"/>
  <c r="H1135" i="14"/>
  <c r="H1136" i="14"/>
  <c r="H1137" i="14"/>
  <c r="H1138" i="14"/>
  <c r="H1139" i="14"/>
  <c r="H1140" i="14"/>
  <c r="H1141" i="14"/>
  <c r="H1142" i="14"/>
  <c r="H1143" i="14"/>
  <c r="H1144" i="14"/>
  <c r="H1145" i="14"/>
  <c r="H1146" i="14"/>
  <c r="H1147" i="14"/>
  <c r="H1148" i="14"/>
  <c r="H1149" i="14"/>
  <c r="H1150" i="14"/>
  <c r="H1151" i="14"/>
  <c r="H1152" i="14"/>
  <c r="H1153" i="14"/>
  <c r="H1154" i="14"/>
  <c r="H1155" i="14"/>
  <c r="H1156" i="14"/>
  <c r="H1157" i="14"/>
  <c r="H1158" i="14"/>
  <c r="H1159" i="14"/>
  <c r="H1160" i="14"/>
  <c r="H1161" i="14"/>
  <c r="H1162" i="14"/>
  <c r="H1163" i="14"/>
  <c r="H1164" i="14"/>
  <c r="H1165" i="14"/>
  <c r="H1166" i="14"/>
  <c r="H1167" i="14"/>
  <c r="H1168" i="14"/>
  <c r="H1169" i="14"/>
  <c r="H1170" i="14"/>
  <c r="H1171" i="14"/>
  <c r="H1172" i="14"/>
  <c r="H1173" i="14"/>
  <c r="H1174" i="14"/>
  <c r="H1175" i="14"/>
  <c r="H1176" i="14"/>
  <c r="H1177" i="14"/>
  <c r="H1178" i="14"/>
  <c r="H1179" i="14"/>
  <c r="H1180" i="14"/>
  <c r="H1181" i="14"/>
  <c r="H1182" i="14"/>
  <c r="H1183" i="14"/>
  <c r="H1184" i="14"/>
  <c r="H1185" i="14"/>
  <c r="H1186" i="14"/>
  <c r="H1187" i="14"/>
  <c r="H1188" i="14"/>
  <c r="H1189" i="14"/>
  <c r="H1190" i="14"/>
  <c r="H1191" i="14"/>
  <c r="H1192" i="14"/>
  <c r="H1193" i="14"/>
  <c r="H1194" i="14"/>
  <c r="H1195" i="14"/>
  <c r="H1196" i="14"/>
  <c r="H1197" i="14"/>
  <c r="H1198" i="14"/>
  <c r="H1199" i="14"/>
  <c r="H1200" i="14"/>
  <c r="H1201" i="14"/>
  <c r="H1202" i="14"/>
  <c r="H1203" i="14"/>
  <c r="H1204" i="14"/>
  <c r="H1205" i="14"/>
  <c r="H1206" i="14"/>
  <c r="H1207" i="14"/>
  <c r="H1208" i="14"/>
  <c r="H1209" i="14"/>
  <c r="H1210" i="14"/>
  <c r="H1211" i="14"/>
  <c r="H1212" i="14"/>
  <c r="H1213" i="14"/>
  <c r="H1214" i="14"/>
  <c r="H1215" i="14"/>
  <c r="H1216" i="14"/>
  <c r="H1217" i="14"/>
  <c r="H1218" i="14"/>
  <c r="H1219" i="14"/>
  <c r="H1220" i="14"/>
  <c r="H1221" i="14"/>
  <c r="H1222" i="14"/>
  <c r="H1223" i="14"/>
  <c r="H1224" i="14"/>
  <c r="H1225" i="14"/>
  <c r="H1226" i="14"/>
  <c r="H1227" i="14"/>
  <c r="H1228" i="14"/>
  <c r="H1229" i="14"/>
  <c r="H1230" i="14"/>
  <c r="H1231" i="14"/>
  <c r="H1232" i="14"/>
  <c r="H1233" i="14"/>
  <c r="H1234" i="14"/>
  <c r="H1235" i="14"/>
  <c r="H1236" i="14"/>
  <c r="H1237" i="14"/>
  <c r="H1238" i="14"/>
  <c r="H1239" i="14"/>
  <c r="H1240" i="14"/>
  <c r="H1241" i="14"/>
  <c r="H1242" i="14"/>
  <c r="H1243" i="14"/>
  <c r="H1244" i="14"/>
  <c r="H1245" i="14"/>
  <c r="H1246" i="14"/>
  <c r="H1247" i="14"/>
  <c r="H1248" i="14"/>
  <c r="H1249" i="14"/>
  <c r="H1250" i="14"/>
  <c r="H1251" i="14"/>
  <c r="H1252" i="14"/>
  <c r="H1253" i="14"/>
  <c r="H1254" i="14"/>
  <c r="H1255" i="14"/>
  <c r="H1256" i="14"/>
  <c r="H1257" i="14"/>
  <c r="H1258" i="14"/>
  <c r="H1259" i="14"/>
  <c r="H1260" i="14"/>
  <c r="H1261" i="14"/>
  <c r="H1262" i="14"/>
  <c r="H1263" i="14"/>
  <c r="H1264" i="14"/>
  <c r="H1265" i="14"/>
  <c r="H1266" i="14"/>
  <c r="H1267" i="14"/>
  <c r="H1268" i="14"/>
  <c r="H1269" i="14"/>
  <c r="H1270" i="14"/>
  <c r="H1271" i="14"/>
  <c r="H1272" i="14"/>
  <c r="H1273" i="14"/>
  <c r="H1274" i="14"/>
  <c r="H1275" i="14"/>
  <c r="H1276" i="14"/>
  <c r="H1277" i="14"/>
  <c r="H1278" i="14"/>
  <c r="H1279" i="14"/>
  <c r="H1280" i="14"/>
  <c r="H1281" i="14"/>
  <c r="H1282" i="14"/>
  <c r="H1283" i="14"/>
  <c r="H1284" i="14"/>
  <c r="H1285" i="14"/>
  <c r="H1286" i="14"/>
  <c r="H1287" i="14"/>
  <c r="H1288" i="14"/>
  <c r="H1289" i="14"/>
  <c r="H1290" i="14"/>
  <c r="H1291" i="14"/>
  <c r="H1292" i="14"/>
  <c r="H1293" i="14"/>
  <c r="H1294" i="14"/>
  <c r="H1295" i="14"/>
  <c r="H1296" i="14"/>
  <c r="H1297" i="14"/>
  <c r="H1298" i="14"/>
  <c r="H1299" i="14"/>
  <c r="H1300" i="14"/>
  <c r="H1301" i="14"/>
  <c r="H1302" i="14"/>
  <c r="H1303" i="14"/>
  <c r="H1304" i="14"/>
  <c r="H1305" i="14"/>
  <c r="H1306" i="14"/>
  <c r="H1307" i="14"/>
  <c r="H1308" i="14"/>
  <c r="H1309" i="14"/>
  <c r="H1310" i="14"/>
  <c r="H1311" i="14"/>
  <c r="H1312" i="14"/>
  <c r="H1313" i="14"/>
  <c r="H1314" i="14"/>
  <c r="H1315" i="14"/>
  <c r="H1316" i="14"/>
  <c r="H1317" i="14"/>
  <c r="H1318" i="14"/>
  <c r="H1319" i="14"/>
  <c r="H1320" i="14"/>
  <c r="H1321" i="14"/>
  <c r="H1322" i="14"/>
  <c r="H1323" i="14"/>
  <c r="H1324" i="14"/>
  <c r="H1325" i="14"/>
  <c r="H1326" i="14"/>
  <c r="H1327" i="14"/>
  <c r="H1328" i="14"/>
  <c r="H1329" i="14"/>
  <c r="H1330" i="14"/>
  <c r="H1331" i="14"/>
  <c r="H1332" i="14"/>
  <c r="H1333" i="14"/>
  <c r="H1334" i="14"/>
  <c r="H1335" i="14"/>
  <c r="H1336" i="14"/>
  <c r="H1337" i="14"/>
  <c r="H1338" i="14"/>
  <c r="H1339" i="14"/>
  <c r="H1340" i="14"/>
  <c r="H1341" i="14"/>
  <c r="H1342" i="14"/>
  <c r="H1343" i="14"/>
  <c r="H1344" i="14"/>
  <c r="H1345" i="14"/>
  <c r="H1346" i="14"/>
  <c r="H1347" i="14"/>
  <c r="H1348" i="14"/>
  <c r="H1349" i="14"/>
  <c r="H1350" i="14"/>
  <c r="H1351" i="14"/>
  <c r="H1352" i="14"/>
  <c r="H1353" i="14"/>
  <c r="H1354" i="14"/>
  <c r="H1355" i="14"/>
  <c r="H1356" i="14"/>
  <c r="H1357" i="14"/>
  <c r="H1358" i="14"/>
  <c r="H1359" i="14"/>
  <c r="H1360" i="14"/>
  <c r="H1361" i="14"/>
  <c r="H1362" i="14"/>
  <c r="H1363" i="14"/>
  <c r="H1364" i="14"/>
  <c r="H1365" i="14"/>
  <c r="H1366" i="14"/>
  <c r="H1367" i="14"/>
  <c r="H1368" i="14"/>
  <c r="H1369" i="14"/>
  <c r="H1370" i="14"/>
  <c r="H1371" i="14"/>
  <c r="H1372" i="14"/>
  <c r="H1373" i="14"/>
  <c r="H1374" i="14"/>
  <c r="H1375" i="14"/>
  <c r="H1376" i="14"/>
  <c r="H1377" i="14"/>
  <c r="H1378" i="14"/>
  <c r="H1379" i="14"/>
  <c r="H1380" i="14"/>
  <c r="H1381" i="14"/>
  <c r="H1382" i="14"/>
  <c r="H1383" i="14"/>
  <c r="H1384" i="14"/>
  <c r="H1385" i="14"/>
  <c r="H1386" i="14"/>
  <c r="H1387" i="14"/>
  <c r="H1388" i="14"/>
  <c r="H1389" i="14"/>
  <c r="H1390" i="14"/>
  <c r="H1391" i="14"/>
  <c r="H1392" i="14"/>
  <c r="H1393" i="14"/>
  <c r="H1394" i="14"/>
  <c r="H1395" i="14"/>
  <c r="H1396" i="14"/>
  <c r="H1397" i="14"/>
  <c r="H1398" i="14"/>
  <c r="H1399" i="14"/>
  <c r="H1400" i="14"/>
  <c r="H1401" i="14"/>
  <c r="H1402" i="14"/>
  <c r="H1403" i="14"/>
  <c r="H1404" i="14"/>
  <c r="H1405" i="14"/>
  <c r="H1406" i="14"/>
  <c r="H1407" i="14"/>
  <c r="H1408" i="14"/>
  <c r="H1409" i="14"/>
  <c r="H1410" i="14"/>
  <c r="H1411" i="14"/>
  <c r="H1412" i="14"/>
  <c r="H1413" i="14"/>
  <c r="H1414" i="14"/>
  <c r="H1415" i="14"/>
  <c r="H1416" i="14"/>
  <c r="H1417" i="14"/>
  <c r="H1418" i="14"/>
  <c r="H1419" i="14"/>
  <c r="H1420" i="14"/>
  <c r="H1421" i="14"/>
  <c r="H1422" i="14"/>
  <c r="H1423" i="14"/>
  <c r="H1424" i="14"/>
  <c r="H1425" i="14"/>
  <c r="H1426" i="14"/>
  <c r="H1427" i="14"/>
  <c r="H1428" i="14"/>
  <c r="H1429" i="14"/>
  <c r="H1430" i="14"/>
  <c r="H1431" i="14"/>
  <c r="H1432" i="14"/>
  <c r="H1433" i="14"/>
  <c r="H1434" i="14"/>
  <c r="H1435" i="14"/>
  <c r="H1436" i="14"/>
  <c r="H1437" i="14"/>
  <c r="H1438" i="14"/>
  <c r="H1439" i="14"/>
  <c r="H1440" i="14"/>
  <c r="H1441" i="14"/>
  <c r="H1442" i="14"/>
  <c r="H1443" i="14"/>
  <c r="H1444" i="14"/>
  <c r="H1445" i="14"/>
  <c r="H1446" i="14"/>
  <c r="H1447" i="14"/>
  <c r="H1448" i="14"/>
  <c r="H1449" i="14"/>
  <c r="H1450" i="14"/>
  <c r="H1451" i="14"/>
  <c r="H1452" i="14"/>
  <c r="H1453" i="14"/>
  <c r="H1454" i="14"/>
  <c r="H1455" i="14"/>
  <c r="H1456" i="14"/>
  <c r="H1457" i="14"/>
  <c r="H1458" i="14"/>
  <c r="H1459" i="14"/>
  <c r="H1460" i="14"/>
  <c r="H1461" i="14"/>
  <c r="H1462" i="14"/>
  <c r="H1463" i="14"/>
  <c r="H1464" i="14"/>
  <c r="H1465" i="14"/>
  <c r="H1466" i="14"/>
  <c r="H1467" i="14"/>
  <c r="H1468" i="14"/>
  <c r="H1469" i="14"/>
  <c r="H1470" i="14"/>
  <c r="H1471" i="14"/>
  <c r="H1472" i="14"/>
  <c r="H1473" i="14"/>
  <c r="H1474" i="14"/>
  <c r="H1475" i="14"/>
  <c r="H1476" i="14"/>
  <c r="H1477" i="14"/>
  <c r="H1478" i="14"/>
  <c r="H1479" i="14"/>
  <c r="H1480" i="14"/>
  <c r="H1481" i="14"/>
  <c r="H1482" i="14"/>
  <c r="H1483" i="14"/>
  <c r="H1484" i="14"/>
  <c r="H1485" i="14"/>
  <c r="H1486" i="14"/>
  <c r="H1487" i="14"/>
  <c r="H1488" i="14"/>
  <c r="H1489" i="14"/>
  <c r="H1490" i="14"/>
  <c r="H1491" i="14"/>
  <c r="H1492" i="14"/>
  <c r="H1493" i="14"/>
  <c r="H1494" i="14"/>
  <c r="H1495" i="14"/>
  <c r="H1496" i="14"/>
  <c r="H1497" i="14"/>
  <c r="H1498" i="14"/>
  <c r="H1499" i="14"/>
  <c r="H1500" i="14"/>
  <c r="H1501" i="14"/>
  <c r="H1502" i="14"/>
  <c r="H1503" i="14"/>
  <c r="H1504" i="14"/>
  <c r="H1505" i="14"/>
  <c r="H1506" i="14"/>
  <c r="H1507" i="14"/>
  <c r="H1508" i="14"/>
  <c r="H1509" i="14"/>
  <c r="H1510" i="14"/>
  <c r="H1511" i="14"/>
  <c r="H1512" i="14"/>
  <c r="H1513" i="14"/>
  <c r="H1514" i="14"/>
  <c r="H1515" i="14"/>
  <c r="H1516" i="14"/>
  <c r="H1517" i="14"/>
  <c r="H1518" i="14"/>
  <c r="H1519" i="14"/>
  <c r="H1520" i="14"/>
  <c r="H1521" i="14"/>
  <c r="H1522" i="14"/>
  <c r="H1523" i="14"/>
  <c r="H1524" i="14"/>
  <c r="H1525" i="14"/>
  <c r="H1526" i="14"/>
  <c r="H1527" i="14"/>
  <c r="H1528" i="14"/>
  <c r="H1529" i="14"/>
  <c r="H1530" i="14"/>
  <c r="H1531" i="14"/>
  <c r="H1532" i="14"/>
  <c r="H1533" i="14"/>
  <c r="H1534" i="14"/>
  <c r="H1535" i="14"/>
  <c r="H1536" i="14"/>
  <c r="H1537" i="14"/>
  <c r="H1538" i="14"/>
  <c r="H1539" i="14"/>
  <c r="H1540" i="14"/>
  <c r="H1541" i="14"/>
  <c r="H1542" i="14"/>
  <c r="H1543" i="14"/>
  <c r="H3" i="14"/>
  <c r="H4" i="15"/>
  <c r="H5" i="15"/>
  <c r="H6" i="15"/>
  <c r="H7" i="15"/>
  <c r="H8" i="15"/>
  <c r="H9" i="15"/>
  <c r="H10" i="15"/>
  <c r="H11" i="15"/>
  <c r="H12" i="15"/>
  <c r="H13" i="15"/>
  <c r="H14" i="15"/>
  <c r="H15" i="15"/>
  <c r="H16" i="15"/>
  <c r="H17" i="15"/>
  <c r="H18" i="15"/>
  <c r="H19" i="15"/>
  <c r="H20" i="15"/>
  <c r="H21" i="15"/>
  <c r="H22" i="15"/>
  <c r="H23" i="15"/>
  <c r="H24" i="15"/>
  <c r="H25" i="15"/>
  <c r="H26" i="15"/>
  <c r="H27" i="15"/>
  <c r="H28" i="15"/>
  <c r="H29" i="15"/>
  <c r="H30" i="15"/>
  <c r="H31" i="15"/>
  <c r="H32" i="15"/>
  <c r="H33" i="15"/>
  <c r="H34" i="15"/>
  <c r="H35" i="15"/>
  <c r="H36" i="15"/>
  <c r="H37" i="15"/>
  <c r="H38" i="15"/>
  <c r="H39" i="15"/>
  <c r="H40" i="15"/>
  <c r="H41" i="15"/>
  <c r="H42" i="15"/>
  <c r="H43" i="15"/>
  <c r="H44" i="15"/>
  <c r="H45" i="15"/>
  <c r="H46" i="15"/>
  <c r="H47" i="15"/>
  <c r="H48" i="15"/>
  <c r="H49" i="15"/>
  <c r="H50" i="15"/>
  <c r="H51" i="15"/>
  <c r="H52" i="15"/>
  <c r="H53" i="15"/>
  <c r="H54" i="15"/>
  <c r="H55" i="15"/>
  <c r="H56" i="15"/>
  <c r="H57" i="15"/>
  <c r="H58" i="15"/>
  <c r="H59" i="15"/>
  <c r="H60" i="15"/>
  <c r="H61" i="15"/>
  <c r="H62" i="15"/>
  <c r="H63" i="15"/>
  <c r="H64" i="15"/>
  <c r="H65" i="15"/>
  <c r="H66" i="15"/>
  <c r="H67" i="15"/>
  <c r="H68" i="15"/>
  <c r="H69" i="15"/>
  <c r="H70" i="15"/>
  <c r="H71" i="15"/>
  <c r="H72" i="15"/>
  <c r="H73" i="15"/>
  <c r="H74" i="15"/>
  <c r="H75" i="15"/>
  <c r="H76" i="15"/>
  <c r="H77" i="15"/>
  <c r="H78" i="15"/>
  <c r="H79" i="15"/>
  <c r="H80" i="15"/>
  <c r="H81" i="15"/>
  <c r="H82" i="15"/>
  <c r="H83" i="15"/>
  <c r="H84" i="15"/>
  <c r="H85" i="15"/>
  <c r="H86" i="15"/>
  <c r="H87" i="15"/>
  <c r="H88" i="15"/>
  <c r="H89" i="15"/>
  <c r="H90" i="15"/>
  <c r="H91" i="15"/>
  <c r="H92" i="15"/>
  <c r="H93" i="15"/>
  <c r="H94" i="15"/>
  <c r="H95" i="15"/>
  <c r="H96" i="15"/>
  <c r="H97" i="15"/>
  <c r="H98" i="15"/>
  <c r="H99" i="15"/>
  <c r="H100" i="15"/>
  <c r="H101" i="15"/>
  <c r="H102" i="15"/>
  <c r="H103" i="15"/>
  <c r="H104" i="15"/>
  <c r="H105" i="15"/>
  <c r="H106" i="15"/>
  <c r="H107" i="15"/>
  <c r="H108" i="15"/>
  <c r="H109" i="15"/>
  <c r="H110" i="15"/>
  <c r="H111" i="15"/>
  <c r="H112" i="15"/>
  <c r="H113" i="15"/>
  <c r="H114" i="15"/>
  <c r="H115" i="15"/>
  <c r="H116" i="15"/>
  <c r="H117" i="15"/>
  <c r="H118" i="15"/>
  <c r="H119" i="15"/>
  <c r="H120" i="15"/>
  <c r="H121" i="15"/>
  <c r="H122" i="15"/>
  <c r="H123" i="15"/>
  <c r="H124" i="15"/>
  <c r="H125" i="15"/>
  <c r="H126" i="15"/>
  <c r="H127" i="15"/>
  <c r="H128" i="15"/>
  <c r="H129" i="15"/>
  <c r="H130" i="15"/>
  <c r="H131" i="15"/>
  <c r="H132" i="15"/>
  <c r="H133" i="15"/>
  <c r="H134" i="15"/>
  <c r="H135" i="15"/>
  <c r="H136" i="15"/>
  <c r="H137" i="15"/>
  <c r="H138" i="15"/>
  <c r="H139" i="15"/>
  <c r="H140" i="15"/>
  <c r="H141" i="15"/>
  <c r="H142" i="15"/>
  <c r="H143" i="15"/>
  <c r="H144" i="15"/>
  <c r="H145" i="15"/>
  <c r="H146" i="15"/>
  <c r="H147" i="15"/>
  <c r="H148" i="15"/>
  <c r="H149" i="15"/>
  <c r="H150" i="15"/>
  <c r="H151" i="15"/>
  <c r="H152" i="15"/>
  <c r="H153" i="15"/>
  <c r="H154" i="15"/>
  <c r="H155" i="15"/>
  <c r="H156" i="15"/>
  <c r="H157" i="15"/>
  <c r="H158" i="15"/>
  <c r="H159" i="15"/>
  <c r="H160" i="15"/>
  <c r="H161" i="15"/>
  <c r="H162" i="15"/>
  <c r="H163" i="15"/>
  <c r="H164" i="15"/>
  <c r="H165" i="15"/>
  <c r="H166" i="15"/>
  <c r="H167" i="15"/>
  <c r="H168" i="15"/>
  <c r="H169" i="15"/>
  <c r="H170" i="15"/>
  <c r="H171" i="15"/>
  <c r="H172" i="15"/>
  <c r="H173" i="15"/>
  <c r="H174" i="15"/>
  <c r="H175" i="15"/>
  <c r="H176" i="15"/>
  <c r="H177" i="15"/>
  <c r="H178" i="15"/>
  <c r="H179" i="15"/>
  <c r="H180" i="15"/>
  <c r="H181" i="15"/>
  <c r="H182" i="15"/>
  <c r="H183" i="15"/>
  <c r="H184" i="15"/>
  <c r="H185" i="15"/>
  <c r="H186" i="15"/>
  <c r="H187" i="15"/>
  <c r="H188" i="15"/>
  <c r="H189" i="15"/>
  <c r="H190" i="15"/>
  <c r="H191" i="15"/>
  <c r="H192" i="15"/>
  <c r="H193" i="15"/>
  <c r="H194" i="15"/>
  <c r="H195" i="15"/>
  <c r="H196" i="15"/>
  <c r="H197" i="15"/>
  <c r="H198" i="15"/>
  <c r="H199" i="15"/>
  <c r="H200" i="15"/>
  <c r="H201" i="15"/>
  <c r="H202" i="15"/>
  <c r="H203" i="15"/>
  <c r="H204" i="15"/>
  <c r="H205" i="15"/>
  <c r="H206" i="15"/>
  <c r="H207" i="15"/>
  <c r="H208" i="15"/>
  <c r="H209" i="15"/>
  <c r="H210" i="15"/>
  <c r="H211" i="15"/>
  <c r="H212" i="15"/>
  <c r="H213" i="15"/>
  <c r="H214" i="15"/>
  <c r="H215" i="15"/>
  <c r="H216" i="15"/>
  <c r="H217" i="15"/>
  <c r="H218" i="15"/>
  <c r="H219" i="15"/>
  <c r="H220" i="15"/>
  <c r="H221" i="15"/>
  <c r="H222" i="15"/>
  <c r="H223" i="15"/>
  <c r="H224" i="15"/>
  <c r="H225" i="15"/>
  <c r="H226" i="15"/>
  <c r="H227" i="15"/>
  <c r="H228" i="15"/>
  <c r="H229" i="15"/>
  <c r="H230" i="15"/>
  <c r="H231" i="15"/>
  <c r="H232" i="15"/>
  <c r="H233" i="15"/>
  <c r="H234" i="15"/>
  <c r="H235" i="15"/>
  <c r="H236" i="15"/>
  <c r="H237" i="15"/>
  <c r="H238" i="15"/>
  <c r="H239" i="15"/>
  <c r="H240" i="15"/>
  <c r="H241" i="15"/>
  <c r="H242" i="15"/>
  <c r="H243" i="15"/>
  <c r="H244" i="15"/>
  <c r="H245" i="15"/>
  <c r="H246" i="15"/>
  <c r="H247" i="15"/>
  <c r="H248" i="15"/>
  <c r="H249" i="15"/>
  <c r="H250" i="15"/>
  <c r="H251" i="15"/>
  <c r="H252" i="15"/>
  <c r="H253" i="15"/>
  <c r="H254" i="15"/>
  <c r="H255" i="15"/>
  <c r="H256" i="15"/>
  <c r="H257" i="15"/>
  <c r="H258" i="15"/>
  <c r="H259" i="15"/>
  <c r="H260" i="15"/>
  <c r="H261" i="15"/>
  <c r="H262" i="15"/>
  <c r="H263" i="15"/>
  <c r="H264" i="15"/>
  <c r="H265" i="15"/>
  <c r="H266" i="15"/>
  <c r="H267" i="15"/>
  <c r="H268" i="15"/>
  <c r="H269" i="15"/>
  <c r="H270" i="15"/>
  <c r="H271" i="15"/>
  <c r="H272" i="15"/>
  <c r="H273" i="15"/>
  <c r="H274" i="15"/>
  <c r="H275" i="15"/>
  <c r="H276" i="15"/>
  <c r="H277" i="15"/>
  <c r="H278" i="15"/>
  <c r="H279" i="15"/>
  <c r="H280" i="15"/>
  <c r="H281" i="15"/>
  <c r="H282" i="15"/>
  <c r="H283" i="15"/>
  <c r="H284" i="15"/>
  <c r="H285" i="15"/>
  <c r="H286" i="15"/>
  <c r="H287" i="15"/>
  <c r="H288" i="15"/>
  <c r="H289" i="15"/>
  <c r="H290" i="15"/>
  <c r="H291" i="15"/>
  <c r="H292" i="15"/>
  <c r="H293" i="15"/>
  <c r="H294" i="15"/>
  <c r="H295" i="15"/>
  <c r="H296" i="15"/>
  <c r="H297" i="15"/>
  <c r="H298" i="15"/>
  <c r="H299" i="15"/>
  <c r="H300" i="15"/>
  <c r="H301" i="15"/>
  <c r="H302" i="15"/>
  <c r="H303" i="15"/>
  <c r="H304" i="15"/>
  <c r="H305" i="15"/>
  <c r="H306" i="15"/>
  <c r="H307" i="15"/>
  <c r="H308" i="15"/>
  <c r="H309" i="15"/>
  <c r="H310" i="15"/>
  <c r="H311" i="15"/>
  <c r="H312" i="15"/>
  <c r="H313" i="15"/>
  <c r="H314" i="15"/>
  <c r="H315" i="15"/>
  <c r="H316" i="15"/>
  <c r="H317" i="15"/>
  <c r="H318" i="15"/>
  <c r="H319" i="15"/>
  <c r="H320" i="15"/>
  <c r="H321" i="15"/>
  <c r="H322" i="15"/>
  <c r="H323" i="15"/>
  <c r="H324" i="15"/>
  <c r="H325" i="15"/>
  <c r="H326" i="15"/>
  <c r="H327" i="15"/>
  <c r="H328" i="15"/>
  <c r="H329" i="15"/>
  <c r="H330" i="15"/>
  <c r="H331" i="15"/>
  <c r="H332" i="15"/>
  <c r="H333" i="15"/>
  <c r="H334" i="15"/>
  <c r="H335" i="15"/>
  <c r="H336" i="15"/>
  <c r="H337" i="15"/>
  <c r="H338" i="15"/>
  <c r="H339" i="15"/>
  <c r="H340" i="15"/>
  <c r="H341" i="15"/>
  <c r="H342" i="15"/>
  <c r="H343" i="15"/>
  <c r="H344" i="15"/>
  <c r="H345" i="15"/>
  <c r="H346" i="15"/>
  <c r="H347" i="15"/>
  <c r="H348" i="15"/>
  <c r="H349" i="15"/>
  <c r="H350" i="15"/>
  <c r="H351" i="15"/>
  <c r="H352" i="15"/>
  <c r="H353" i="15"/>
  <c r="H354" i="15"/>
  <c r="H355" i="15"/>
  <c r="H356" i="15"/>
  <c r="H357" i="15"/>
  <c r="H358" i="15"/>
  <c r="H359" i="15"/>
  <c r="H360" i="15"/>
  <c r="H361" i="15"/>
  <c r="H362" i="15"/>
  <c r="H363" i="15"/>
  <c r="H364" i="15"/>
  <c r="H365" i="15"/>
  <c r="H366" i="15"/>
  <c r="H367" i="15"/>
  <c r="H368" i="15"/>
  <c r="H369" i="15"/>
  <c r="H370" i="15"/>
  <c r="H371" i="15"/>
  <c r="H372" i="15"/>
  <c r="H373" i="15"/>
  <c r="H374" i="15"/>
  <c r="H375" i="15"/>
  <c r="H376" i="15"/>
  <c r="H377" i="15"/>
  <c r="H378" i="15"/>
  <c r="H379" i="15"/>
  <c r="H380" i="15"/>
  <c r="H381" i="15"/>
  <c r="H382" i="15"/>
  <c r="H383" i="15"/>
  <c r="H384" i="15"/>
  <c r="H385" i="15"/>
  <c r="H386" i="15"/>
  <c r="H387" i="15"/>
  <c r="H388" i="15"/>
  <c r="H389" i="15"/>
  <c r="H390" i="15"/>
  <c r="H391" i="15"/>
  <c r="H392" i="15"/>
  <c r="H393" i="15"/>
  <c r="H394" i="15"/>
  <c r="H395" i="15"/>
  <c r="H396" i="15"/>
  <c r="H397" i="15"/>
  <c r="H398" i="15"/>
  <c r="H399" i="15"/>
  <c r="H400" i="15"/>
  <c r="H401" i="15"/>
  <c r="H402" i="15"/>
  <c r="H403" i="15"/>
  <c r="H404" i="15"/>
  <c r="H405" i="15"/>
  <c r="H406" i="15"/>
  <c r="H407" i="15"/>
  <c r="H408" i="15"/>
  <c r="H409" i="15"/>
  <c r="H410" i="15"/>
  <c r="H411" i="15"/>
  <c r="H412" i="15"/>
  <c r="H413" i="15"/>
  <c r="H414" i="15"/>
  <c r="H415" i="15"/>
  <c r="H416" i="15"/>
  <c r="H417" i="15"/>
  <c r="H418" i="15"/>
  <c r="H419" i="15"/>
  <c r="H420" i="15"/>
  <c r="H421" i="15"/>
  <c r="H422" i="15"/>
  <c r="H423" i="15"/>
  <c r="H424" i="15"/>
  <c r="H425" i="15"/>
  <c r="H426" i="15"/>
  <c r="H427" i="15"/>
  <c r="H428" i="15"/>
  <c r="H429" i="15"/>
  <c r="H430" i="15"/>
  <c r="H431" i="15"/>
  <c r="H432" i="15"/>
  <c r="H433" i="15"/>
  <c r="H434" i="15"/>
  <c r="H435" i="15"/>
  <c r="H436" i="15"/>
  <c r="H437" i="15"/>
  <c r="H438" i="15"/>
  <c r="H439" i="15"/>
  <c r="H440" i="15"/>
  <c r="H441" i="15"/>
  <c r="H442" i="15"/>
  <c r="H443" i="15"/>
  <c r="H444" i="15"/>
  <c r="H445" i="15"/>
  <c r="H446" i="15"/>
  <c r="H447" i="15"/>
  <c r="H448" i="15"/>
  <c r="H449" i="15"/>
  <c r="H450" i="15"/>
  <c r="H451" i="15"/>
  <c r="H452" i="15"/>
  <c r="H453" i="15"/>
  <c r="H454" i="15"/>
  <c r="H455" i="15"/>
  <c r="H456" i="15"/>
  <c r="H457" i="15"/>
  <c r="H458" i="15"/>
  <c r="H459" i="15"/>
  <c r="H460" i="15"/>
  <c r="H461" i="15"/>
  <c r="H462" i="15"/>
  <c r="H463" i="15"/>
  <c r="H464" i="15"/>
  <c r="H465" i="15"/>
  <c r="H466" i="15"/>
  <c r="H467" i="15"/>
  <c r="H468" i="15"/>
  <c r="H469" i="15"/>
  <c r="H470" i="15"/>
  <c r="H471" i="15"/>
  <c r="H472" i="15"/>
  <c r="H473" i="15"/>
  <c r="H474" i="15"/>
  <c r="H475" i="15"/>
  <c r="H476" i="15"/>
  <c r="H477" i="15"/>
  <c r="H478" i="15"/>
  <c r="H479" i="15"/>
  <c r="H480" i="15"/>
  <c r="H481" i="15"/>
  <c r="H482" i="15"/>
  <c r="H483" i="15"/>
  <c r="H484" i="15"/>
  <c r="H485" i="15"/>
  <c r="H486" i="15"/>
  <c r="H487" i="15"/>
  <c r="H488" i="15"/>
  <c r="H489" i="15"/>
  <c r="H490" i="15"/>
  <c r="H491" i="15"/>
  <c r="H492" i="15"/>
  <c r="H493" i="15"/>
  <c r="H494" i="15"/>
  <c r="H495" i="15"/>
  <c r="H496" i="15"/>
  <c r="H497" i="15"/>
  <c r="H498" i="15"/>
  <c r="H499" i="15"/>
  <c r="H500" i="15"/>
  <c r="H501" i="15"/>
  <c r="H502" i="15"/>
  <c r="H503" i="15"/>
  <c r="H504" i="15"/>
  <c r="H505" i="15"/>
  <c r="H506" i="15"/>
  <c r="H507" i="15"/>
  <c r="H508" i="15"/>
  <c r="H509" i="15"/>
  <c r="H510" i="15"/>
  <c r="H511" i="15"/>
  <c r="H512" i="15"/>
  <c r="H513" i="15"/>
  <c r="H514" i="15"/>
  <c r="H515" i="15"/>
  <c r="H516" i="15"/>
  <c r="H517" i="15"/>
  <c r="H518" i="15"/>
  <c r="H519" i="15"/>
  <c r="H520" i="15"/>
  <c r="H521" i="15"/>
  <c r="H522" i="15"/>
  <c r="H523" i="15"/>
  <c r="H524" i="15"/>
  <c r="H525" i="15"/>
  <c r="H526" i="15"/>
  <c r="H527" i="15"/>
  <c r="H528" i="15"/>
  <c r="H529" i="15"/>
  <c r="H530" i="15"/>
  <c r="H531" i="15"/>
  <c r="H532" i="15"/>
  <c r="H533" i="15"/>
  <c r="H534" i="15"/>
  <c r="H535" i="15"/>
  <c r="H536" i="15"/>
  <c r="H537" i="15"/>
  <c r="H538" i="15"/>
  <c r="H539" i="15"/>
  <c r="H540" i="15"/>
  <c r="H541" i="15"/>
  <c r="H542" i="15"/>
  <c r="H543" i="15"/>
  <c r="H544" i="15"/>
  <c r="H545" i="15"/>
  <c r="H546" i="15"/>
  <c r="H547" i="15"/>
  <c r="H548" i="15"/>
  <c r="H549" i="15"/>
  <c r="H550" i="15"/>
  <c r="H551" i="15"/>
  <c r="H552" i="15"/>
  <c r="H553" i="15"/>
  <c r="H554" i="15"/>
  <c r="H555" i="15"/>
  <c r="H556" i="15"/>
  <c r="H557" i="15"/>
  <c r="H558" i="15"/>
  <c r="H559" i="15"/>
  <c r="H560" i="15"/>
  <c r="H561" i="15"/>
  <c r="H562" i="15"/>
  <c r="H563" i="15"/>
  <c r="H564" i="15"/>
  <c r="H565" i="15"/>
  <c r="H566" i="15"/>
  <c r="H567" i="15"/>
  <c r="H568" i="15"/>
  <c r="H569" i="15"/>
  <c r="H570" i="15"/>
  <c r="H571" i="15"/>
  <c r="H572" i="15"/>
  <c r="H573" i="15"/>
  <c r="H574" i="15"/>
  <c r="H575" i="15"/>
  <c r="H576" i="15"/>
  <c r="H577" i="15"/>
  <c r="H578" i="15"/>
  <c r="H579" i="15"/>
  <c r="H580" i="15"/>
  <c r="H581" i="15"/>
  <c r="H582" i="15"/>
  <c r="H583" i="15"/>
  <c r="H584" i="15"/>
  <c r="H585" i="15"/>
  <c r="H586" i="15"/>
  <c r="H587" i="15"/>
  <c r="H588" i="15"/>
  <c r="H589" i="15"/>
  <c r="H590" i="15"/>
  <c r="H591" i="15"/>
  <c r="H592" i="15"/>
  <c r="H593" i="15"/>
  <c r="H594" i="15"/>
  <c r="H595" i="15"/>
  <c r="H596" i="15"/>
  <c r="H597" i="15"/>
  <c r="H598" i="15"/>
  <c r="H599" i="15"/>
  <c r="H600" i="15"/>
  <c r="H601" i="15"/>
  <c r="H602" i="15"/>
  <c r="H603" i="15"/>
  <c r="H604" i="15"/>
  <c r="H605" i="15"/>
  <c r="H606" i="15"/>
  <c r="H607" i="15"/>
  <c r="H608" i="15"/>
  <c r="H609" i="15"/>
  <c r="H610" i="15"/>
  <c r="H611" i="15"/>
  <c r="H612" i="15"/>
  <c r="H613" i="15"/>
  <c r="H614" i="15"/>
  <c r="H615" i="15"/>
  <c r="H616" i="15"/>
  <c r="H617" i="15"/>
  <c r="H618" i="15"/>
  <c r="H619" i="15"/>
  <c r="H620" i="15"/>
  <c r="H621" i="15"/>
  <c r="H622" i="15"/>
  <c r="H623" i="15"/>
  <c r="H624" i="15"/>
  <c r="H625" i="15"/>
  <c r="H626" i="15"/>
  <c r="H627" i="15"/>
  <c r="H628" i="15"/>
  <c r="H629" i="15"/>
  <c r="H630" i="15"/>
  <c r="H631" i="15"/>
  <c r="H632" i="15"/>
  <c r="H633" i="15"/>
  <c r="H634" i="15"/>
  <c r="H635" i="15"/>
  <c r="H636" i="15"/>
  <c r="H637" i="15"/>
  <c r="H638" i="15"/>
  <c r="H639" i="15"/>
  <c r="H640" i="15"/>
  <c r="H641" i="15"/>
  <c r="H642" i="15"/>
  <c r="H643" i="15"/>
  <c r="H644" i="15"/>
  <c r="H645" i="15"/>
  <c r="H646" i="15"/>
  <c r="H647" i="15"/>
  <c r="H648" i="15"/>
  <c r="H649" i="15"/>
  <c r="H650" i="15"/>
  <c r="H651" i="15"/>
  <c r="H652" i="15"/>
  <c r="H653" i="15"/>
  <c r="H654" i="15"/>
  <c r="H655" i="15"/>
  <c r="H656" i="15"/>
  <c r="H657" i="15"/>
  <c r="H658" i="15"/>
  <c r="H659" i="15"/>
  <c r="H660" i="15"/>
  <c r="H661" i="15"/>
  <c r="H662" i="15"/>
  <c r="H663" i="15"/>
  <c r="H664" i="15"/>
  <c r="H665" i="15"/>
  <c r="H666" i="15"/>
  <c r="H667" i="15"/>
  <c r="H668" i="15"/>
  <c r="H669" i="15"/>
  <c r="H670" i="15"/>
  <c r="H671" i="15"/>
  <c r="H672" i="15"/>
  <c r="H673" i="15"/>
  <c r="H674" i="15"/>
  <c r="H675" i="15"/>
  <c r="H676" i="15"/>
  <c r="H677" i="15"/>
  <c r="H678" i="15"/>
  <c r="H679" i="15"/>
  <c r="H680" i="15"/>
  <c r="H681" i="15"/>
  <c r="H682" i="15"/>
  <c r="H683" i="15"/>
  <c r="H684" i="15"/>
  <c r="H685" i="15"/>
  <c r="H686" i="15"/>
  <c r="H687" i="15"/>
  <c r="H688" i="15"/>
  <c r="H689" i="15"/>
  <c r="H690" i="15"/>
  <c r="H691" i="15"/>
  <c r="H692" i="15"/>
  <c r="H693" i="15"/>
  <c r="H694" i="15"/>
  <c r="H695" i="15"/>
  <c r="H696" i="15"/>
  <c r="H697" i="15"/>
  <c r="H698" i="15"/>
  <c r="H699" i="15"/>
  <c r="H700" i="15"/>
  <c r="H701" i="15"/>
  <c r="H702" i="15"/>
  <c r="H703" i="15"/>
  <c r="H704" i="15"/>
  <c r="H705" i="15"/>
  <c r="H706" i="15"/>
  <c r="H707" i="15"/>
  <c r="H708" i="15"/>
  <c r="H709" i="15"/>
  <c r="H710" i="15"/>
  <c r="H711" i="15"/>
  <c r="H712" i="15"/>
  <c r="H713" i="15"/>
  <c r="H714" i="15"/>
  <c r="H715" i="15"/>
  <c r="H716" i="15"/>
  <c r="H717" i="15"/>
  <c r="H718" i="15"/>
  <c r="H719" i="15"/>
  <c r="H720" i="15"/>
  <c r="H721" i="15"/>
  <c r="H722" i="15"/>
  <c r="H723" i="15"/>
  <c r="H724" i="15"/>
  <c r="H725" i="15"/>
  <c r="H726" i="15"/>
  <c r="H727" i="15"/>
  <c r="H728" i="15"/>
  <c r="H729" i="15"/>
  <c r="H730" i="15"/>
  <c r="H731" i="15"/>
  <c r="H732" i="15"/>
  <c r="H733" i="15"/>
  <c r="H734" i="15"/>
  <c r="H735" i="15"/>
  <c r="H736" i="15"/>
  <c r="H737" i="15"/>
  <c r="H738" i="15"/>
  <c r="H739" i="15"/>
  <c r="H740" i="15"/>
  <c r="H741" i="15"/>
  <c r="H742" i="15"/>
  <c r="H743" i="15"/>
  <c r="H744" i="15"/>
  <c r="H745" i="15"/>
  <c r="H746" i="15"/>
  <c r="H747" i="15"/>
  <c r="H748" i="15"/>
  <c r="H749" i="15"/>
  <c r="H750" i="15"/>
  <c r="H751" i="15"/>
  <c r="H752" i="15"/>
  <c r="H753" i="15"/>
  <c r="H754" i="15"/>
  <c r="H755" i="15"/>
  <c r="H756" i="15"/>
  <c r="H757" i="15"/>
  <c r="H758" i="15"/>
  <c r="H759" i="15"/>
  <c r="H760" i="15"/>
  <c r="H761" i="15"/>
  <c r="H762" i="15"/>
  <c r="H763" i="15"/>
  <c r="H764" i="15"/>
  <c r="H765" i="15"/>
  <c r="H766" i="15"/>
  <c r="H767" i="15"/>
  <c r="H768" i="15"/>
  <c r="H769" i="15"/>
  <c r="H770" i="15"/>
  <c r="H771" i="15"/>
  <c r="H772" i="15"/>
  <c r="H773" i="15"/>
  <c r="H774" i="15"/>
  <c r="H775" i="15"/>
  <c r="H776" i="15"/>
  <c r="H777" i="15"/>
  <c r="H778" i="15"/>
  <c r="H779" i="15"/>
  <c r="H780" i="15"/>
  <c r="H781" i="15"/>
  <c r="H782" i="15"/>
  <c r="H783" i="15"/>
  <c r="H784" i="15"/>
  <c r="H785" i="15"/>
  <c r="H786" i="15"/>
  <c r="H787" i="15"/>
  <c r="H788" i="15"/>
  <c r="H789" i="15"/>
  <c r="H790" i="15"/>
  <c r="H791" i="15"/>
  <c r="H792" i="15"/>
  <c r="H793" i="15"/>
  <c r="H794" i="15"/>
  <c r="H795" i="15"/>
  <c r="H796" i="15"/>
  <c r="H797" i="15"/>
  <c r="H798" i="15"/>
  <c r="H799" i="15"/>
  <c r="H800" i="15"/>
  <c r="H801" i="15"/>
  <c r="H802" i="15"/>
  <c r="H803" i="15"/>
  <c r="H804" i="15"/>
  <c r="H805" i="15"/>
  <c r="H806" i="15"/>
  <c r="H807" i="15"/>
  <c r="H808" i="15"/>
  <c r="H809" i="15"/>
  <c r="H810" i="15"/>
  <c r="H811" i="15"/>
  <c r="H812" i="15"/>
  <c r="H813" i="15"/>
  <c r="H814" i="15"/>
  <c r="H815" i="15"/>
  <c r="H816" i="15"/>
  <c r="H817" i="15"/>
  <c r="H818" i="15"/>
  <c r="H819" i="15"/>
  <c r="H820" i="15"/>
  <c r="H821" i="15"/>
  <c r="H822" i="15"/>
  <c r="H823" i="15"/>
  <c r="H824" i="15"/>
  <c r="H825" i="15"/>
  <c r="H826" i="15"/>
  <c r="H827" i="15"/>
  <c r="H828" i="15"/>
  <c r="H829" i="15"/>
  <c r="H830" i="15"/>
  <c r="H831" i="15"/>
  <c r="H832" i="15"/>
  <c r="H833" i="15"/>
  <c r="H834" i="15"/>
  <c r="H835" i="15"/>
  <c r="H836" i="15"/>
  <c r="H837" i="15"/>
  <c r="H838" i="15"/>
  <c r="H839" i="15"/>
  <c r="H840" i="15"/>
  <c r="H841" i="15"/>
  <c r="H842" i="15"/>
  <c r="H843" i="15"/>
  <c r="H844" i="15"/>
  <c r="H845" i="15"/>
  <c r="H846" i="15"/>
  <c r="H847" i="15"/>
  <c r="H848" i="15"/>
  <c r="H849" i="15"/>
  <c r="H850" i="15"/>
  <c r="H851" i="15"/>
  <c r="H852" i="15"/>
  <c r="H853" i="15"/>
  <c r="H854" i="15"/>
  <c r="H855" i="15"/>
  <c r="H856" i="15"/>
  <c r="H857" i="15"/>
  <c r="H858" i="15"/>
  <c r="H859" i="15"/>
  <c r="H860" i="15"/>
  <c r="H861" i="15"/>
  <c r="H862" i="15"/>
  <c r="H863" i="15"/>
  <c r="H864" i="15"/>
  <c r="H865" i="15"/>
  <c r="H866" i="15"/>
  <c r="H867" i="15"/>
  <c r="H868" i="15"/>
  <c r="H869" i="15"/>
  <c r="H870" i="15"/>
  <c r="H871" i="15"/>
  <c r="H872" i="15"/>
  <c r="H873" i="15"/>
  <c r="H874" i="15"/>
  <c r="H875" i="15"/>
  <c r="H876" i="15"/>
  <c r="H877" i="15"/>
  <c r="H878" i="15"/>
  <c r="H879" i="15"/>
  <c r="H880" i="15"/>
  <c r="H881" i="15"/>
  <c r="H882" i="15"/>
  <c r="H883" i="15"/>
  <c r="H884" i="15"/>
  <c r="H885" i="15"/>
  <c r="H886" i="15"/>
  <c r="H887" i="15"/>
  <c r="H888" i="15"/>
  <c r="H889" i="15"/>
  <c r="H890" i="15"/>
  <c r="H891" i="15"/>
  <c r="H892" i="15"/>
  <c r="H893" i="15"/>
  <c r="H894" i="15"/>
  <c r="H895" i="15"/>
  <c r="H896" i="15"/>
  <c r="H897" i="15"/>
  <c r="H898" i="15"/>
  <c r="H899" i="15"/>
  <c r="H900" i="15"/>
  <c r="H901" i="15"/>
  <c r="H902" i="15"/>
  <c r="H903" i="15"/>
  <c r="H904" i="15"/>
  <c r="H905" i="15"/>
  <c r="H906" i="15"/>
  <c r="H907" i="15"/>
  <c r="H908" i="15"/>
  <c r="H909" i="15"/>
  <c r="H910" i="15"/>
  <c r="H911" i="15"/>
  <c r="H912" i="15"/>
  <c r="H913" i="15"/>
  <c r="H914" i="15"/>
  <c r="H915" i="15"/>
  <c r="H916" i="15"/>
  <c r="H917" i="15"/>
  <c r="H918" i="15"/>
  <c r="H919" i="15"/>
  <c r="H920" i="15"/>
  <c r="H921" i="15"/>
  <c r="H922" i="15"/>
  <c r="H923" i="15"/>
  <c r="H924" i="15"/>
  <c r="H925" i="15"/>
  <c r="H926" i="15"/>
  <c r="H927" i="15"/>
  <c r="H928" i="15"/>
  <c r="H929" i="15"/>
  <c r="H930" i="15"/>
  <c r="H931" i="15"/>
  <c r="H932" i="15"/>
  <c r="H933" i="15"/>
  <c r="H934" i="15"/>
  <c r="H935" i="15"/>
  <c r="H936" i="15"/>
  <c r="H937" i="15"/>
  <c r="H938" i="15"/>
  <c r="H939" i="15"/>
  <c r="H940" i="15"/>
  <c r="H941" i="15"/>
  <c r="H942" i="15"/>
  <c r="H943" i="15"/>
  <c r="H944" i="15"/>
  <c r="H945" i="15"/>
  <c r="H946" i="15"/>
  <c r="H947" i="15"/>
  <c r="H948" i="15"/>
  <c r="H949" i="15"/>
  <c r="H950" i="15"/>
  <c r="H951" i="15"/>
  <c r="H952" i="15"/>
  <c r="H953" i="15"/>
  <c r="H954" i="15"/>
  <c r="H955" i="15"/>
  <c r="H956" i="15"/>
  <c r="H957" i="15"/>
  <c r="H958" i="15"/>
  <c r="H959" i="15"/>
  <c r="H960" i="15"/>
  <c r="H961" i="15"/>
  <c r="H962" i="15"/>
  <c r="H963" i="15"/>
  <c r="H964" i="15"/>
  <c r="H965" i="15"/>
  <c r="H966" i="15"/>
  <c r="H967" i="15"/>
  <c r="H968" i="15"/>
  <c r="H969" i="15"/>
  <c r="H970" i="15"/>
  <c r="H971" i="15"/>
  <c r="H972" i="15"/>
  <c r="H973" i="15"/>
  <c r="H974" i="15"/>
  <c r="H975" i="15"/>
  <c r="H976" i="15"/>
  <c r="H977" i="15"/>
  <c r="H978" i="15"/>
  <c r="H979" i="15"/>
  <c r="H980" i="15"/>
  <c r="H981" i="15"/>
  <c r="H982" i="15"/>
  <c r="H983" i="15"/>
  <c r="H984" i="15"/>
  <c r="H985" i="15"/>
  <c r="H986" i="15"/>
  <c r="H987" i="15"/>
  <c r="H988" i="15"/>
  <c r="H989" i="15"/>
  <c r="H990" i="15"/>
  <c r="H991" i="15"/>
  <c r="H992" i="15"/>
  <c r="H993" i="15"/>
  <c r="H994" i="15"/>
  <c r="H995" i="15"/>
  <c r="H996" i="15"/>
  <c r="H997" i="15"/>
  <c r="H998" i="15"/>
  <c r="H999" i="15"/>
  <c r="H1000" i="15"/>
  <c r="H1001" i="15"/>
  <c r="H1002" i="15"/>
  <c r="H1003" i="15"/>
  <c r="H1004" i="15"/>
  <c r="H1005" i="15"/>
  <c r="H1006" i="15"/>
  <c r="H1007" i="15"/>
  <c r="H1008" i="15"/>
  <c r="H1009" i="15"/>
  <c r="H1010" i="15"/>
  <c r="H1011" i="15"/>
  <c r="H1012" i="15"/>
  <c r="H1013" i="15"/>
  <c r="H1014" i="15"/>
  <c r="H1015" i="15"/>
  <c r="H1016" i="15"/>
  <c r="H1017" i="15"/>
  <c r="H1018" i="15"/>
  <c r="H1019" i="15"/>
  <c r="H1020" i="15"/>
  <c r="H1021" i="15"/>
  <c r="H1022" i="15"/>
  <c r="H1023" i="15"/>
  <c r="H1024" i="15"/>
  <c r="H1025" i="15"/>
  <c r="H1026" i="15"/>
  <c r="H1027" i="15"/>
  <c r="H1028" i="15"/>
  <c r="H1029" i="15"/>
  <c r="H1030" i="15"/>
  <c r="H1031" i="15"/>
  <c r="H1032" i="15"/>
  <c r="H1033" i="15"/>
  <c r="H1034" i="15"/>
  <c r="H1035" i="15"/>
  <c r="H1036" i="15"/>
  <c r="H1037" i="15"/>
  <c r="H1038" i="15"/>
  <c r="H1039" i="15"/>
  <c r="H1040" i="15"/>
  <c r="H1041" i="15"/>
  <c r="H1042" i="15"/>
  <c r="H1043" i="15"/>
  <c r="H1044" i="15"/>
  <c r="H1045" i="15"/>
  <c r="H1046" i="15"/>
  <c r="H1047" i="15"/>
  <c r="H1048" i="15"/>
  <c r="H1049" i="15"/>
  <c r="H1050" i="15"/>
  <c r="H1051" i="15"/>
  <c r="H1052" i="15"/>
  <c r="H1053" i="15"/>
  <c r="H1054" i="15"/>
  <c r="H1055" i="15"/>
  <c r="H1056" i="15"/>
  <c r="H1057" i="15"/>
  <c r="H1058" i="15"/>
  <c r="H1059" i="15"/>
  <c r="H1060" i="15"/>
  <c r="H1061" i="15"/>
  <c r="H1062" i="15"/>
  <c r="H1063" i="15"/>
  <c r="H1064" i="15"/>
  <c r="H1065" i="15"/>
  <c r="H1066" i="15"/>
  <c r="H1067" i="15"/>
  <c r="H1068" i="15"/>
  <c r="H1069" i="15"/>
  <c r="H1070" i="15"/>
  <c r="H1071" i="15"/>
  <c r="H1072" i="15"/>
  <c r="H1073" i="15"/>
  <c r="H1074" i="15"/>
  <c r="H1075" i="15"/>
  <c r="H1076" i="15"/>
  <c r="H1077" i="15"/>
  <c r="H1078" i="15"/>
  <c r="H1079" i="15"/>
  <c r="H1080" i="15"/>
  <c r="H1081" i="15"/>
  <c r="H1082" i="15"/>
  <c r="H1083" i="15"/>
  <c r="H1084" i="15"/>
  <c r="H1085" i="15"/>
  <c r="H1086" i="15"/>
  <c r="H1087" i="15"/>
  <c r="H1088" i="15"/>
  <c r="H1089" i="15"/>
  <c r="H1090" i="15"/>
  <c r="H1091" i="15"/>
  <c r="H1092" i="15"/>
  <c r="H1093" i="15"/>
  <c r="H1094" i="15"/>
  <c r="H1095" i="15"/>
  <c r="H1096" i="15"/>
  <c r="H1097" i="15"/>
  <c r="H1098" i="15"/>
  <c r="H1099" i="15"/>
  <c r="H1100" i="15"/>
  <c r="H1101" i="15"/>
  <c r="H1102" i="15"/>
  <c r="H1103" i="15"/>
  <c r="H1104" i="15"/>
  <c r="H1105" i="15"/>
  <c r="H1106" i="15"/>
  <c r="H1107" i="15"/>
  <c r="H1108" i="15"/>
  <c r="H1109" i="15"/>
  <c r="H1110" i="15"/>
  <c r="H1111" i="15"/>
  <c r="H1112" i="15"/>
  <c r="H1113" i="15"/>
  <c r="H1114" i="15"/>
  <c r="H1115" i="15"/>
  <c r="H1116" i="15"/>
  <c r="H1117" i="15"/>
  <c r="H1118" i="15"/>
  <c r="H1119" i="15"/>
  <c r="H1120" i="15"/>
  <c r="H1121" i="15"/>
  <c r="H1122" i="15"/>
  <c r="H1123" i="15"/>
  <c r="H1124" i="15"/>
  <c r="H1125" i="15"/>
  <c r="H1126" i="15"/>
  <c r="H1127" i="15"/>
  <c r="H1128" i="15"/>
  <c r="H1129" i="15"/>
  <c r="H1130" i="15"/>
  <c r="H1131" i="15"/>
  <c r="H1132" i="15"/>
  <c r="H1133" i="15"/>
  <c r="H1134" i="15"/>
  <c r="H1135" i="15"/>
  <c r="H1136" i="15"/>
  <c r="H1137" i="15"/>
  <c r="H1138" i="15"/>
  <c r="H1139" i="15"/>
  <c r="H1140" i="15"/>
  <c r="H1141" i="15"/>
  <c r="H1142" i="15"/>
  <c r="H1143" i="15"/>
  <c r="H1144" i="15"/>
  <c r="H1145" i="15"/>
  <c r="H1146" i="15"/>
  <c r="H1147" i="15"/>
  <c r="H1148" i="15"/>
  <c r="H1149" i="15"/>
  <c r="H1150" i="15"/>
  <c r="H1151" i="15"/>
  <c r="H1152" i="15"/>
  <c r="H1153" i="15"/>
  <c r="H1154" i="15"/>
  <c r="H1155" i="15"/>
  <c r="H1156" i="15"/>
  <c r="H1157" i="15"/>
  <c r="H1158" i="15"/>
  <c r="H1159" i="15"/>
  <c r="H1160" i="15"/>
  <c r="H1161" i="15"/>
  <c r="H1162" i="15"/>
  <c r="H1163" i="15"/>
  <c r="H1164" i="15"/>
  <c r="H1165" i="15"/>
  <c r="H1166" i="15"/>
  <c r="H1167" i="15"/>
  <c r="H1168" i="15"/>
  <c r="H1169" i="15"/>
  <c r="H1170" i="15"/>
  <c r="H1171" i="15"/>
  <c r="H1172" i="15"/>
  <c r="H1173" i="15"/>
  <c r="H1174" i="15"/>
  <c r="H1175" i="15"/>
  <c r="H1176" i="15"/>
  <c r="H1177" i="15"/>
  <c r="H1178" i="15"/>
  <c r="H1179" i="15"/>
  <c r="H1180" i="15"/>
  <c r="H1181" i="15"/>
  <c r="H1182" i="15"/>
  <c r="H1183" i="15"/>
  <c r="H1184" i="15"/>
  <c r="H1185" i="15"/>
  <c r="H1186" i="15"/>
  <c r="H1187" i="15"/>
  <c r="H1188" i="15"/>
  <c r="H1189" i="15"/>
  <c r="H1190" i="15"/>
  <c r="H1191" i="15"/>
  <c r="H1192" i="15"/>
  <c r="H1193" i="15"/>
  <c r="H1194" i="15"/>
  <c r="H1195" i="15"/>
  <c r="H1196" i="15"/>
  <c r="H1197" i="15"/>
  <c r="H1198" i="15"/>
  <c r="H1199" i="15"/>
  <c r="H1200" i="15"/>
  <c r="H1201" i="15"/>
  <c r="H1202" i="15"/>
  <c r="H1203" i="15"/>
  <c r="H1204" i="15"/>
  <c r="H1205" i="15"/>
  <c r="H1206" i="15"/>
  <c r="H1207" i="15"/>
  <c r="H1208" i="15"/>
  <c r="H1209" i="15"/>
  <c r="H1210" i="15"/>
  <c r="H1211" i="15"/>
  <c r="H1212" i="15"/>
  <c r="H1213" i="15"/>
  <c r="H1214" i="15"/>
  <c r="H1215" i="15"/>
  <c r="H1216" i="15"/>
  <c r="H1217" i="15"/>
  <c r="H1218" i="15"/>
  <c r="H1219" i="15"/>
  <c r="H1220" i="15"/>
  <c r="H1221" i="15"/>
  <c r="H1222" i="15"/>
  <c r="H1223" i="15"/>
  <c r="H1224" i="15"/>
  <c r="H1225" i="15"/>
  <c r="H1226" i="15"/>
  <c r="H1227" i="15"/>
  <c r="H1228" i="15"/>
  <c r="H1229" i="15"/>
  <c r="H1230" i="15"/>
  <c r="H1231" i="15"/>
  <c r="H1232" i="15"/>
  <c r="H1233" i="15"/>
  <c r="H1234" i="15"/>
  <c r="H1235" i="15"/>
  <c r="H1236" i="15"/>
  <c r="H1237" i="15"/>
  <c r="H1238" i="15"/>
  <c r="H1239" i="15"/>
  <c r="H1240" i="15"/>
  <c r="H1241" i="15"/>
  <c r="H1242" i="15"/>
  <c r="H1243" i="15"/>
  <c r="H1244" i="15"/>
  <c r="H1245" i="15"/>
  <c r="H1246" i="15"/>
  <c r="H1247" i="15"/>
  <c r="H1248" i="15"/>
  <c r="H1249" i="15"/>
  <c r="H1250" i="15"/>
  <c r="H1251" i="15"/>
  <c r="H1252" i="15"/>
  <c r="H1253" i="15"/>
  <c r="H1254" i="15"/>
  <c r="H1255" i="15"/>
  <c r="H1256" i="15"/>
  <c r="H1257" i="15"/>
  <c r="H1258" i="15"/>
  <c r="H1259" i="15"/>
  <c r="H1260" i="15"/>
  <c r="H1261" i="15"/>
  <c r="H1262" i="15"/>
  <c r="H1263" i="15"/>
  <c r="H1264" i="15"/>
  <c r="H1265" i="15"/>
  <c r="H1266" i="15"/>
  <c r="H1267" i="15"/>
  <c r="H1268" i="15"/>
  <c r="H1269" i="15"/>
  <c r="H1270" i="15"/>
  <c r="H1271" i="15"/>
  <c r="H1272" i="15"/>
  <c r="H1273" i="15"/>
  <c r="H1274" i="15"/>
  <c r="H1275" i="15"/>
  <c r="H1276" i="15"/>
  <c r="H1277" i="15"/>
  <c r="H1278" i="15"/>
  <c r="H1279" i="15"/>
  <c r="H1280" i="15"/>
  <c r="H1281" i="15"/>
  <c r="H1282" i="15"/>
  <c r="H1283" i="15"/>
  <c r="H1284" i="15"/>
  <c r="H1285" i="15"/>
  <c r="H1286" i="15"/>
  <c r="H1287" i="15"/>
  <c r="H1288" i="15"/>
  <c r="H1289" i="15"/>
  <c r="H1290" i="15"/>
  <c r="H1291" i="15"/>
  <c r="H1292" i="15"/>
  <c r="H1293" i="15"/>
  <c r="H1294" i="15"/>
  <c r="H1295" i="15"/>
  <c r="H1296" i="15"/>
  <c r="H1297" i="15"/>
  <c r="H1298" i="15"/>
  <c r="H1299" i="15"/>
  <c r="H1300" i="15"/>
  <c r="H1301" i="15"/>
  <c r="H1302" i="15"/>
  <c r="H1303" i="15"/>
  <c r="H1304" i="15"/>
  <c r="H1305" i="15"/>
  <c r="H1306" i="15"/>
  <c r="H1307" i="15"/>
  <c r="H1308" i="15"/>
  <c r="H1309" i="15"/>
  <c r="H1310" i="15"/>
  <c r="H1311" i="15"/>
  <c r="H1312" i="15"/>
  <c r="H1313" i="15"/>
  <c r="H1314" i="15"/>
  <c r="H1315" i="15"/>
  <c r="H1316" i="15"/>
  <c r="H1317" i="15"/>
  <c r="H1318" i="15"/>
  <c r="H1319" i="15"/>
  <c r="H1320" i="15"/>
  <c r="H1321" i="15"/>
  <c r="H1322" i="15"/>
  <c r="H1323" i="15"/>
  <c r="H1324" i="15"/>
  <c r="H1325" i="15"/>
  <c r="H1326" i="15"/>
  <c r="H1327" i="15"/>
  <c r="H1328" i="15"/>
  <c r="H1329" i="15"/>
  <c r="H1330" i="15"/>
  <c r="H1331" i="15"/>
  <c r="H1332" i="15"/>
  <c r="H1333" i="15"/>
  <c r="H1334" i="15"/>
  <c r="H1335" i="15"/>
  <c r="H1336" i="15"/>
  <c r="H1337" i="15"/>
  <c r="H1338" i="15"/>
  <c r="H1339" i="15"/>
  <c r="H1340" i="15"/>
  <c r="H1341" i="15"/>
  <c r="H1342" i="15"/>
  <c r="H1343" i="15"/>
  <c r="H1344" i="15"/>
  <c r="H1345" i="15"/>
  <c r="H1346" i="15"/>
  <c r="H1347" i="15"/>
  <c r="H1348" i="15"/>
  <c r="H1349" i="15"/>
  <c r="H1350" i="15"/>
  <c r="H1351" i="15"/>
  <c r="H1352" i="15"/>
  <c r="H1353" i="15"/>
  <c r="H1354" i="15"/>
  <c r="H1355" i="15"/>
  <c r="H1356" i="15"/>
  <c r="H1357" i="15"/>
  <c r="H1358" i="15"/>
  <c r="H1359" i="15"/>
  <c r="H1360" i="15"/>
  <c r="H1361" i="15"/>
  <c r="H1362" i="15"/>
  <c r="H1363" i="15"/>
  <c r="H1364" i="15"/>
  <c r="H1365" i="15"/>
  <c r="H1366" i="15"/>
  <c r="H1367" i="15"/>
  <c r="H1368" i="15"/>
  <c r="H1369" i="15"/>
  <c r="H1370" i="15"/>
  <c r="H1371" i="15"/>
  <c r="H1372" i="15"/>
  <c r="H1373" i="15"/>
  <c r="H1374" i="15"/>
  <c r="H1375" i="15"/>
  <c r="H1376" i="15"/>
  <c r="H1377" i="15"/>
  <c r="H1378" i="15"/>
  <c r="H1379" i="15"/>
  <c r="H1380" i="15"/>
  <c r="H1381" i="15"/>
  <c r="H1382" i="15"/>
  <c r="H1383" i="15"/>
  <c r="H1384" i="15"/>
  <c r="H1385" i="15"/>
  <c r="H1386" i="15"/>
  <c r="H1387" i="15"/>
  <c r="H1388" i="15"/>
  <c r="H1389" i="15"/>
  <c r="H1390" i="15"/>
  <c r="H1391" i="15"/>
  <c r="H1392" i="15"/>
  <c r="H1393" i="15"/>
  <c r="H1394" i="15"/>
  <c r="H1395" i="15"/>
  <c r="H1396" i="15"/>
  <c r="H1397" i="15"/>
  <c r="H1398" i="15"/>
  <c r="H1399" i="15"/>
  <c r="H1400" i="15"/>
  <c r="H1401" i="15"/>
  <c r="H1402" i="15"/>
  <c r="H1403" i="15"/>
  <c r="H1404" i="15"/>
  <c r="H1405" i="15"/>
  <c r="H1406" i="15"/>
  <c r="H1407" i="15"/>
  <c r="H1408" i="15"/>
  <c r="H1409" i="15"/>
  <c r="H1410" i="15"/>
  <c r="H1411" i="15"/>
  <c r="H1412" i="15"/>
  <c r="H1413" i="15"/>
  <c r="H1414" i="15"/>
  <c r="H1415" i="15"/>
  <c r="H1416" i="15"/>
  <c r="H1417" i="15"/>
  <c r="H1418" i="15"/>
  <c r="H1419" i="15"/>
  <c r="H1420" i="15"/>
  <c r="H1421" i="15"/>
  <c r="H1422" i="15"/>
  <c r="H1423" i="15"/>
  <c r="H1424" i="15"/>
  <c r="H1425" i="15"/>
  <c r="H1426" i="15"/>
  <c r="H1427" i="15"/>
  <c r="H1428" i="15"/>
  <c r="H1429" i="15"/>
  <c r="H1430" i="15"/>
  <c r="H1431" i="15"/>
  <c r="H1432" i="15"/>
  <c r="H1433" i="15"/>
  <c r="H1434" i="15"/>
  <c r="H1435" i="15"/>
  <c r="H1436" i="15"/>
  <c r="H1437" i="15"/>
  <c r="H1438" i="15"/>
  <c r="H1439" i="15"/>
  <c r="H1440" i="15"/>
  <c r="H1441" i="15"/>
  <c r="H1442" i="15"/>
  <c r="H1443" i="15"/>
  <c r="H1444" i="15"/>
  <c r="H1445" i="15"/>
  <c r="H1446" i="15"/>
  <c r="H1447" i="15"/>
  <c r="H1448" i="15"/>
  <c r="H1449" i="15"/>
  <c r="H1450" i="15"/>
  <c r="H1451" i="15"/>
  <c r="H1452" i="15"/>
  <c r="H1453" i="15"/>
  <c r="H1454" i="15"/>
  <c r="H1455" i="15"/>
  <c r="H1456" i="15"/>
  <c r="H1457" i="15"/>
  <c r="H1458" i="15"/>
  <c r="H1459" i="15"/>
  <c r="H1460" i="15"/>
  <c r="H1461" i="15"/>
  <c r="H1462" i="15"/>
  <c r="H1463" i="15"/>
  <c r="H1464" i="15"/>
  <c r="H1465" i="15"/>
  <c r="H1466" i="15"/>
  <c r="H1467" i="15"/>
  <c r="H1468" i="15"/>
  <c r="H1469" i="15"/>
  <c r="H1470" i="15"/>
  <c r="H1471" i="15"/>
  <c r="H1472" i="15"/>
  <c r="H1473" i="15"/>
  <c r="H1474" i="15"/>
  <c r="H1475" i="15"/>
  <c r="H1476" i="15"/>
  <c r="H1477" i="15"/>
  <c r="H1478" i="15"/>
  <c r="H1479" i="15"/>
  <c r="H1480" i="15"/>
  <c r="H1481" i="15"/>
  <c r="H1482" i="15"/>
  <c r="H1483" i="15"/>
  <c r="H1484" i="15"/>
  <c r="H1485" i="15"/>
  <c r="H1486" i="15"/>
  <c r="H1487" i="15"/>
  <c r="H1488" i="15"/>
  <c r="H1489" i="15"/>
  <c r="H1490" i="15"/>
  <c r="H1491" i="15"/>
  <c r="H1492" i="15"/>
  <c r="H1493" i="15"/>
  <c r="H1494" i="15"/>
  <c r="H1495" i="15"/>
  <c r="H1496" i="15"/>
  <c r="H1497" i="15"/>
  <c r="H1498" i="15"/>
  <c r="H1499" i="15"/>
  <c r="H1500" i="15"/>
  <c r="H1501" i="15"/>
  <c r="H1502" i="15"/>
  <c r="H1503" i="15"/>
  <c r="H1504" i="15"/>
  <c r="H1505" i="15"/>
  <c r="H1506" i="15"/>
  <c r="H1507" i="15"/>
  <c r="H1508" i="15"/>
  <c r="H1509" i="15"/>
  <c r="H1510" i="15"/>
  <c r="H1511" i="15"/>
  <c r="H1512" i="15"/>
  <c r="H1513" i="15"/>
  <c r="H1514" i="15"/>
  <c r="H1515" i="15"/>
  <c r="H1516" i="15"/>
  <c r="H1517" i="15"/>
  <c r="H1518" i="15"/>
  <c r="H1519" i="15"/>
  <c r="H1520" i="15"/>
  <c r="H1521" i="15"/>
  <c r="H1522" i="15"/>
  <c r="H1523" i="15"/>
  <c r="H1524" i="15"/>
  <c r="H1525" i="15"/>
  <c r="H1526" i="15"/>
  <c r="H1527" i="15"/>
  <c r="H1528" i="15"/>
  <c r="H1529" i="15"/>
  <c r="H1530" i="15"/>
  <c r="H1531" i="15"/>
  <c r="H1532" i="15"/>
  <c r="H1533" i="15"/>
  <c r="H1534" i="15"/>
  <c r="H1535" i="15"/>
  <c r="H1536" i="15"/>
  <c r="H1537" i="15"/>
  <c r="H1538" i="15"/>
  <c r="H1539" i="15"/>
  <c r="H1540" i="15"/>
  <c r="H1541" i="15"/>
  <c r="H1542" i="15"/>
  <c r="H1543" i="15"/>
  <c r="H3" i="15"/>
  <c r="H4" i="16"/>
  <c r="H5" i="16"/>
  <c r="H6" i="16"/>
  <c r="H7" i="16"/>
  <c r="H8" i="16"/>
  <c r="H9" i="16"/>
  <c r="H10" i="16"/>
  <c r="H11" i="16"/>
  <c r="H12" i="16"/>
  <c r="H13" i="16"/>
  <c r="H14" i="16"/>
  <c r="H15" i="16"/>
  <c r="H16" i="16"/>
  <c r="H17" i="16"/>
  <c r="H18" i="16"/>
  <c r="H19" i="16"/>
  <c r="H20" i="16"/>
  <c r="H21" i="16"/>
  <c r="H22" i="16"/>
  <c r="H3" i="16"/>
  <c r="B11" i="20"/>
  <c r="B10" i="20"/>
  <c r="B9" i="20"/>
  <c r="B8" i="20"/>
  <c r="B7" i="20"/>
  <c r="B6" i="20"/>
  <c r="B5" i="20"/>
  <c r="B4" i="20"/>
  <c r="B3" i="20"/>
  <c r="B14" i="21"/>
  <c r="B15" i="21"/>
  <c r="B13" i="21"/>
  <c r="B12" i="21"/>
  <c r="B11" i="21"/>
  <c r="B10" i="21"/>
  <c r="B9" i="21"/>
  <c r="B8" i="21"/>
  <c r="B7" i="21"/>
  <c r="B6" i="21"/>
  <c r="B5" i="21"/>
  <c r="B4" i="21"/>
  <c r="B3" i="21"/>
  <c r="B13" i="23"/>
  <c r="B12" i="23"/>
  <c r="B11" i="23"/>
  <c r="B10" i="23"/>
  <c r="B9" i="23"/>
  <c r="B8" i="23"/>
  <c r="B7" i="23"/>
  <c r="B6" i="23"/>
  <c r="B5" i="23"/>
  <c r="B4" i="23"/>
  <c r="B3" i="23"/>
  <c r="B6" i="24"/>
  <c r="B7" i="24"/>
  <c r="B8" i="24"/>
  <c r="B5" i="24"/>
  <c r="B4" i="24"/>
  <c r="B3" i="24"/>
  <c r="B5" i="25"/>
  <c r="B4" i="25"/>
  <c r="B3" i="25"/>
  <c r="B4" i="26"/>
  <c r="B5" i="26"/>
  <c r="B6" i="26"/>
  <c r="B7" i="26"/>
  <c r="B8" i="26"/>
  <c r="B9" i="26"/>
  <c r="B10" i="26"/>
  <c r="B11" i="26"/>
  <c r="B12" i="26"/>
  <c r="B13" i="26"/>
  <c r="B14" i="26"/>
  <c r="B15" i="26"/>
  <c r="B16" i="26"/>
  <c r="B17" i="26"/>
  <c r="B18" i="26"/>
  <c r="B3" i="26"/>
  <c r="K4" i="28"/>
  <c r="K5" i="28"/>
  <c r="K6" i="28"/>
  <c r="K3" i="28"/>
  <c r="I10" i="29"/>
  <c r="I9" i="29"/>
  <c r="I8" i="29"/>
  <c r="I7" i="29"/>
  <c r="I6" i="29"/>
  <c r="I5" i="29"/>
  <c r="I4" i="29"/>
  <c r="I3" i="29"/>
  <c r="I4" i="31"/>
  <c r="I5" i="31"/>
  <c r="I6" i="31"/>
  <c r="I7" i="31"/>
  <c r="I8" i="31"/>
  <c r="I9" i="31"/>
  <c r="I10" i="31"/>
  <c r="I11" i="31"/>
  <c r="I12" i="31"/>
  <c r="I13" i="31"/>
  <c r="I14" i="31"/>
  <c r="I15" i="31"/>
  <c r="I16" i="31"/>
  <c r="I17" i="31"/>
  <c r="I18" i="31"/>
  <c r="I19" i="31"/>
  <c r="I20" i="31"/>
  <c r="I21" i="31"/>
  <c r="I22" i="31"/>
  <c r="I23" i="31"/>
  <c r="I24" i="31"/>
  <c r="I25" i="31"/>
  <c r="I3" i="31"/>
  <c r="F31" i="33"/>
  <c r="F30" i="33"/>
  <c r="F29" i="33"/>
  <c r="F28" i="33"/>
  <c r="F27" i="33"/>
  <c r="F26" i="33"/>
  <c r="F25" i="33"/>
  <c r="F24" i="33"/>
  <c r="F23" i="33"/>
  <c r="F22" i="33"/>
  <c r="F21" i="33"/>
  <c r="F20" i="33"/>
  <c r="F19" i="33"/>
  <c r="F18" i="33"/>
  <c r="F17" i="33"/>
  <c r="F16" i="33"/>
  <c r="F15" i="33"/>
  <c r="F14" i="33"/>
  <c r="F13" i="33"/>
  <c r="F12" i="33"/>
  <c r="F11" i="33"/>
  <c r="F10" i="33"/>
  <c r="F9" i="33"/>
  <c r="F8" i="33"/>
  <c r="F7" i="33"/>
  <c r="F6" i="33"/>
  <c r="F5" i="33"/>
  <c r="F4" i="33"/>
  <c r="F3" i="33"/>
  <c r="F4" i="35"/>
  <c r="F5" i="35"/>
  <c r="F6" i="35"/>
  <c r="F7" i="35"/>
  <c r="F8" i="35"/>
  <c r="F9" i="35"/>
  <c r="F10" i="35"/>
  <c r="F11" i="35"/>
  <c r="F12" i="35"/>
  <c r="F13" i="35"/>
  <c r="F14" i="35"/>
  <c r="F15" i="35"/>
  <c r="F16" i="35"/>
  <c r="F17" i="35"/>
  <c r="F18" i="35"/>
  <c r="F19" i="35"/>
  <c r="F20" i="35"/>
  <c r="F21" i="35"/>
  <c r="F22" i="35"/>
  <c r="F23" i="35"/>
  <c r="F24" i="35"/>
  <c r="F25" i="35"/>
  <c r="F26" i="35"/>
  <c r="F27" i="35"/>
  <c r="F28" i="35"/>
  <c r="F29" i="35"/>
  <c r="F30" i="35"/>
  <c r="F31" i="35"/>
  <c r="F32" i="35"/>
  <c r="F33" i="35"/>
  <c r="F34" i="35"/>
  <c r="F35" i="35"/>
  <c r="F36" i="35"/>
  <c r="F37" i="35"/>
  <c r="F38" i="35"/>
  <c r="F39" i="35"/>
  <c r="F40" i="35"/>
  <c r="F41" i="35"/>
  <c r="F3" i="35"/>
  <c r="E4" i="45"/>
  <c r="E5" i="45"/>
  <c r="E6" i="45"/>
  <c r="E7" i="45"/>
  <c r="E8" i="45"/>
  <c r="E9" i="45"/>
  <c r="E10" i="45"/>
  <c r="E11" i="45"/>
  <c r="E12" i="45"/>
  <c r="E13" i="45"/>
  <c r="E14" i="45"/>
  <c r="E15" i="45"/>
  <c r="E16" i="45"/>
  <c r="E17" i="45"/>
  <c r="E18" i="45"/>
  <c r="E19" i="45"/>
  <c r="E20" i="45"/>
  <c r="E21" i="45"/>
  <c r="E22" i="45"/>
  <c r="E23" i="45"/>
  <c r="E24" i="45"/>
  <c r="E25" i="45"/>
  <c r="E26" i="45"/>
  <c r="E27" i="45"/>
  <c r="E28" i="45"/>
  <c r="E29" i="45"/>
  <c r="E30" i="45"/>
  <c r="E31" i="45"/>
  <c r="E32" i="45"/>
  <c r="E33" i="45"/>
  <c r="E34" i="45"/>
  <c r="E35" i="45"/>
  <c r="E36" i="45"/>
  <c r="E3" i="45"/>
  <c r="D36" i="44"/>
  <c r="D35" i="44"/>
  <c r="D34" i="44"/>
  <c r="D33" i="44"/>
  <c r="D32" i="44"/>
  <c r="D31" i="44"/>
  <c r="D30" i="44"/>
  <c r="D29" i="44"/>
  <c r="D28" i="44"/>
  <c r="D27" i="44"/>
  <c r="D26" i="44"/>
  <c r="D25" i="44"/>
  <c r="D24" i="44"/>
  <c r="D23" i="44"/>
  <c r="D22" i="44"/>
  <c r="D21" i="44"/>
  <c r="D20" i="44"/>
  <c r="D19" i="44"/>
  <c r="D18" i="44"/>
  <c r="D17" i="44"/>
  <c r="D16" i="44"/>
  <c r="D15" i="44"/>
  <c r="D14" i="44"/>
  <c r="D13" i="44"/>
  <c r="D12" i="44"/>
  <c r="D11" i="44"/>
  <c r="D10" i="44"/>
  <c r="D9" i="44"/>
  <c r="D8" i="44"/>
  <c r="D7" i="44"/>
  <c r="D6" i="44"/>
  <c r="D5" i="44"/>
  <c r="D4" i="44"/>
  <c r="D3" i="44"/>
  <c r="C4" i="43"/>
  <c r="C5" i="43"/>
  <c r="C6" i="43"/>
  <c r="C7" i="43"/>
  <c r="C8" i="43"/>
  <c r="C9" i="43"/>
  <c r="C10" i="43"/>
  <c r="C11" i="43"/>
  <c r="C12" i="43"/>
  <c r="C13" i="43"/>
  <c r="C14" i="43"/>
  <c r="C15" i="43"/>
  <c r="C16" i="43"/>
  <c r="C17" i="43"/>
  <c r="C18" i="43"/>
  <c r="C19" i="43"/>
  <c r="C20" i="43"/>
  <c r="C21" i="43"/>
  <c r="C22" i="43"/>
  <c r="C23" i="43"/>
  <c r="C24" i="43"/>
  <c r="C25" i="43"/>
  <c r="C26" i="43"/>
  <c r="C27" i="43"/>
  <c r="C28" i="43"/>
  <c r="C29" i="43"/>
  <c r="C30" i="43"/>
  <c r="C31" i="43"/>
  <c r="C32" i="43"/>
  <c r="C33" i="43"/>
  <c r="C34" i="43"/>
  <c r="C35" i="43"/>
  <c r="C36" i="43"/>
  <c r="C3" i="43"/>
  <c r="D89" i="41"/>
  <c r="D88" i="41"/>
  <c r="D87" i="41"/>
  <c r="D86" i="41"/>
  <c r="D85" i="41"/>
  <c r="D84" i="41"/>
  <c r="D83" i="41"/>
  <c r="D82" i="41"/>
  <c r="D81" i="41"/>
  <c r="D80" i="41"/>
  <c r="D79" i="41"/>
  <c r="D78" i="41"/>
  <c r="D77" i="41"/>
  <c r="D76" i="41"/>
  <c r="D75" i="41"/>
  <c r="D74" i="41"/>
  <c r="D73" i="41"/>
  <c r="D72" i="41"/>
  <c r="D71" i="41"/>
  <c r="D70" i="41"/>
  <c r="D69" i="41"/>
  <c r="D68" i="41"/>
  <c r="D67" i="41"/>
  <c r="D66" i="41"/>
  <c r="D65" i="41"/>
  <c r="D64" i="41"/>
  <c r="D63" i="41"/>
  <c r="D62" i="41"/>
  <c r="D61" i="41"/>
  <c r="D60" i="41"/>
  <c r="D59" i="41"/>
  <c r="D58" i="41"/>
  <c r="D57" i="41"/>
  <c r="D56" i="41"/>
  <c r="D55" i="41"/>
  <c r="D54" i="41"/>
  <c r="D53" i="41"/>
  <c r="D52" i="41"/>
  <c r="D51" i="41"/>
  <c r="D50" i="41"/>
  <c r="D49" i="41"/>
  <c r="D48" i="41"/>
  <c r="D47" i="41"/>
  <c r="D46" i="41"/>
  <c r="D45" i="41"/>
  <c r="D44" i="41"/>
  <c r="D43" i="41"/>
  <c r="D42" i="41"/>
  <c r="D41" i="41"/>
  <c r="D40" i="41"/>
  <c r="D39" i="41"/>
  <c r="D38" i="41"/>
  <c r="D37" i="41"/>
  <c r="D36" i="41"/>
  <c r="D35" i="41"/>
  <c r="D34" i="41"/>
  <c r="D33" i="41"/>
  <c r="D32" i="41"/>
  <c r="D31" i="41"/>
  <c r="D30" i="41"/>
  <c r="D29" i="41"/>
  <c r="D28" i="41"/>
  <c r="D27" i="41"/>
  <c r="D26" i="41"/>
  <c r="D25" i="41"/>
  <c r="D24" i="41"/>
  <c r="D23" i="41"/>
  <c r="D22" i="41"/>
  <c r="D21" i="41"/>
  <c r="D20" i="41"/>
  <c r="D19" i="41"/>
  <c r="D18" i="41"/>
  <c r="D17" i="41"/>
  <c r="D16" i="41"/>
  <c r="D15" i="41"/>
  <c r="D14" i="41"/>
  <c r="D13" i="41"/>
  <c r="D12" i="41"/>
  <c r="D11" i="41"/>
  <c r="D10" i="41"/>
  <c r="D9" i="41"/>
  <c r="D8" i="41"/>
  <c r="D7" i="41"/>
  <c r="D6" i="41"/>
  <c r="D5" i="41"/>
  <c r="D4" i="41"/>
  <c r="D3" i="41"/>
  <c r="D4" i="40"/>
  <c r="D5" i="40"/>
  <c r="D6" i="40"/>
  <c r="D7" i="40"/>
  <c r="D8" i="40"/>
  <c r="D9" i="40"/>
  <c r="D10" i="40"/>
  <c r="D11" i="40"/>
  <c r="D12" i="40"/>
  <c r="D13" i="40"/>
  <c r="D14" i="40"/>
  <c r="D15" i="40"/>
  <c r="D16" i="40"/>
  <c r="D17" i="40"/>
  <c r="D18" i="40"/>
  <c r="D19" i="40"/>
  <c r="D20" i="40"/>
  <c r="D21" i="40"/>
  <c r="D22" i="40"/>
  <c r="D23" i="40"/>
  <c r="D24" i="40"/>
  <c r="D25" i="40"/>
  <c r="D26" i="40"/>
  <c r="D27" i="40"/>
  <c r="D28" i="40"/>
  <c r="D29" i="40"/>
  <c r="D30" i="40"/>
  <c r="D31" i="40"/>
  <c r="D32" i="40"/>
  <c r="D33" i="40"/>
  <c r="D34" i="40"/>
  <c r="D35" i="40"/>
  <c r="D36" i="40"/>
  <c r="D37" i="40"/>
  <c r="D38" i="40"/>
  <c r="D39" i="40"/>
  <c r="D40" i="40"/>
  <c r="D41" i="40"/>
  <c r="D42" i="40"/>
  <c r="D43" i="40"/>
  <c r="D44" i="40"/>
  <c r="D45" i="40"/>
  <c r="D46" i="40"/>
  <c r="D47" i="40"/>
  <c r="D48" i="40"/>
  <c r="D49" i="40"/>
  <c r="D50" i="40"/>
  <c r="D51" i="40"/>
  <c r="D52" i="40"/>
  <c r="D53" i="40"/>
  <c r="D54" i="40"/>
  <c r="D55" i="40"/>
  <c r="D56" i="40"/>
  <c r="D57" i="40"/>
  <c r="D58" i="40"/>
  <c r="D59" i="40"/>
  <c r="D60" i="40"/>
  <c r="D61" i="40"/>
  <c r="D62" i="40"/>
  <c r="D63" i="40"/>
  <c r="D64" i="40"/>
  <c r="D65" i="40"/>
  <c r="D66" i="40"/>
  <c r="D67" i="40"/>
  <c r="D68" i="40"/>
  <c r="D69" i="40"/>
  <c r="D70" i="40"/>
  <c r="D71" i="40"/>
  <c r="D72" i="40"/>
  <c r="D73" i="40"/>
  <c r="D74" i="40"/>
  <c r="D75" i="40"/>
  <c r="D76" i="40"/>
  <c r="D77" i="40"/>
  <c r="D78" i="40"/>
  <c r="D79" i="40"/>
  <c r="D80" i="40"/>
  <c r="D81" i="40"/>
  <c r="D82" i="40"/>
  <c r="D83" i="40"/>
  <c r="D84" i="40"/>
  <c r="D85" i="40"/>
  <c r="D86" i="40"/>
  <c r="D87" i="40"/>
  <c r="D88" i="40"/>
  <c r="D89" i="40"/>
  <c r="D90" i="40"/>
  <c r="D91" i="40"/>
  <c r="D92" i="40"/>
  <c r="D93" i="40"/>
  <c r="D94" i="40"/>
  <c r="D95" i="40"/>
  <c r="D96" i="40"/>
  <c r="D97" i="40"/>
  <c r="D98" i="40"/>
  <c r="D99" i="40"/>
  <c r="D100" i="40"/>
  <c r="D101" i="40"/>
  <c r="D102" i="40"/>
  <c r="D103" i="40"/>
  <c r="D104" i="40"/>
  <c r="D105" i="40"/>
  <c r="D106" i="40"/>
  <c r="D107" i="40"/>
  <c r="D108" i="40"/>
  <c r="D109" i="40"/>
  <c r="D110" i="40"/>
  <c r="D111" i="40"/>
  <c r="D112" i="40"/>
  <c r="D113" i="40"/>
  <c r="D114" i="40"/>
  <c r="D115" i="40"/>
  <c r="D116" i="40"/>
  <c r="D117" i="40"/>
  <c r="D118" i="40"/>
  <c r="D119" i="40"/>
  <c r="D120" i="40"/>
  <c r="D121" i="40"/>
  <c r="D122" i="40"/>
  <c r="D123" i="40"/>
  <c r="D124" i="40"/>
  <c r="D125" i="40"/>
  <c r="D126" i="40"/>
  <c r="D127" i="40"/>
  <c r="D128" i="40"/>
  <c r="D129" i="40"/>
  <c r="D130" i="40"/>
  <c r="D131" i="40"/>
  <c r="D132" i="40"/>
  <c r="D133" i="40"/>
  <c r="D134" i="40"/>
  <c r="D135" i="40"/>
  <c r="D136" i="40"/>
  <c r="D137" i="40"/>
  <c r="D138" i="40"/>
  <c r="D139" i="40"/>
  <c r="D140" i="40"/>
  <c r="D141" i="40"/>
  <c r="D142" i="40"/>
  <c r="D143" i="40"/>
  <c r="D144" i="40"/>
  <c r="D145" i="40"/>
  <c r="D146" i="40"/>
  <c r="D147" i="40"/>
  <c r="D148" i="40"/>
  <c r="D149" i="40"/>
  <c r="D150" i="40"/>
  <c r="D151" i="40"/>
  <c r="D152" i="40"/>
  <c r="D153" i="40"/>
  <c r="D154" i="40"/>
  <c r="D155" i="40"/>
  <c r="D156" i="40"/>
  <c r="D157" i="40"/>
  <c r="D3" i="40"/>
  <c r="G4" i="42"/>
  <c r="G5" i="42"/>
  <c r="G6" i="42"/>
  <c r="G7" i="42"/>
  <c r="G8" i="42"/>
  <c r="G9" i="42"/>
  <c r="G10" i="42"/>
  <c r="G11" i="42"/>
  <c r="G12" i="42"/>
  <c r="G13" i="42"/>
  <c r="G14" i="42"/>
  <c r="G15" i="42"/>
  <c r="G16" i="42"/>
  <c r="G17" i="42"/>
  <c r="G18" i="42"/>
  <c r="G19" i="42"/>
  <c r="G20" i="42"/>
  <c r="G21" i="42"/>
  <c r="G22" i="42"/>
  <c r="G23" i="42"/>
  <c r="G24" i="42"/>
  <c r="G3" i="42"/>
</calcChain>
</file>

<file path=xl/connections.xml><?xml version="1.0" encoding="utf-8"?>
<connections xmlns="http://schemas.openxmlformats.org/spreadsheetml/2006/main">
  <connection id="1" name="Algerian_Hydrocarbon_Pipelines_Integrated" type="6" refreshedVersion="5" background="1" saveData="1">
    <textPr codePage="65001" sourceFile="C:\Users\PC\Downloads\Algerian_Hydrocarbon_Pipelines_Integrated.csv" decimal="," thousands="." tab="0" comma="1">
      <textFields count="9">
        <textField/>
        <textField/>
        <textField/>
        <textField/>
        <textField/>
        <textField/>
        <textField/>
        <textField/>
        <textField/>
      </textFields>
    </textPr>
  </connection>
  <connection id="2" keepAlive="1" name="Requête - t_01_01_01 (1)" description="Connexion à la requête « t_01_01_01 (1) » dans le classeur." type="5" refreshedVersion="0" background="1">
    <dbPr connection="Provider=Microsoft.Mashup.OleDb.1;Data Source=$Workbook$;Location=&quot;t_01_01_01 (1)&quot;;Extended Properties=&quot;&quot;" command="SELECT * FROM [t_01_01_01 (1)]"/>
  </connection>
  <connection id="3" keepAlive="1" name="Requête - t_01_02_01" description="Connexion à la requête « t_01_02_01 » dans le classeur." type="5" refreshedVersion="0" background="1">
    <dbPr connection="Provider=Microsoft.Mashup.OleDb.1;Data Source=$Workbook$;Location=t_01_02_01;Extended Properties=&quot;&quot;" command="SELECT * FROM [t_01_02_01]"/>
  </connection>
  <connection id="4" keepAlive="1" name="Requête - t_01_02_02" description="Connexion à la requête « t_01_02_02 » dans le classeur." type="5" refreshedVersion="0" background="1">
    <dbPr connection="Provider=Microsoft.Mashup.OleDb.1;Data Source=$Workbook$;Location=t_01_02_02;Extended Properties=&quot;&quot;" command="SELECT * FROM [t_01_02_02]"/>
  </connection>
  <connection id="5" keepAlive="1" name="Requête - t_01_02_03" description="Connexion à la requête « t_01_02_03 » dans le classeur." type="5" refreshedVersion="0" background="1">
    <dbPr connection="Provider=Microsoft.Mashup.OleDb.1;Data Source=$Workbook$;Location=t_01_02_03;Extended Properties=&quot;&quot;" command="SELECT * FROM [t_01_02_03]"/>
  </connection>
  <connection id="6" keepAlive="1" name="Requête - t_01_03_01" description="Connexion à la requête « t_01_03_01 » dans le classeur." type="5" refreshedVersion="0" background="1">
    <dbPr connection="Provider=Microsoft.Mashup.OleDb.1;Data Source=$Workbook$;Location=t_01_03_01;Extended Properties=&quot;&quot;" command="SELECT * FROM [t_01_03_01]"/>
  </connection>
  <connection id="7" keepAlive="1" name="Requête - t_02_01_01" description="Connexion à la requête « t_02_01_01 » dans le classeur." type="5" refreshedVersion="0" background="1">
    <dbPr connection="Provider=Microsoft.Mashup.OleDb.1;Data Source=$Workbook$;Location=t_02_01_01;Extended Properties=&quot;&quot;" command="SELECT * FROM [t_02_01_01]"/>
  </connection>
  <connection id="8" keepAlive="1" name="Requête - t_02_02_01 (1)" description="Connexion à la requête « t_02_02_01 (1) » dans le classeur." type="5" refreshedVersion="0" background="1">
    <dbPr connection="Provider=Microsoft.Mashup.OleDb.1;Data Source=$Workbook$;Location=&quot;t_02_02_01 (1)&quot;;Extended Properties=&quot;&quot;" command="SELECT * FROM [t_02_02_01 (1)]"/>
  </connection>
  <connection id="9" keepAlive="1" name="Requête - t_02_02_02" description="Connexion à la requête « t_02_02_02 » dans le classeur." type="5" refreshedVersion="0" background="1">
    <dbPr connection="Provider=Microsoft.Mashup.OleDb.1;Data Source=$Workbook$;Location=t_02_02_02;Extended Properties=&quot;&quot;" command="SELECT * FROM [t_02_02_02]"/>
  </connection>
  <connection id="10" keepAlive="1" name="Requête - t_02_02_03" description="Connexion à la requête « t_02_02_03 » dans le classeur." type="5" refreshedVersion="0" background="1">
    <dbPr connection="Provider=Microsoft.Mashup.OleDb.1;Data Source=$Workbook$;Location=t_02_02_03;Extended Properties=&quot;&quot;" command="SELECT * FROM [t_02_02_03]"/>
  </connection>
  <connection id="11" keepAlive="1" name="Requête - t_02_02_04" description="Connexion à la requête « t_02_02_04 » dans le classeur." type="5" refreshedVersion="0" background="1">
    <dbPr connection="Provider=Microsoft.Mashup.OleDb.1;Data Source=$Workbook$;Location=t_02_02_04;Extended Properties=&quot;&quot;" command="SELECT * FROM [t_02_02_04]"/>
  </connection>
  <connection id="12" keepAlive="1" name="Requête - t_02_02_05" description="Connexion à la requête « t_02_02_05 » dans le classeur." type="5" refreshedVersion="0" background="1">
    <dbPr connection="Provider=Microsoft.Mashup.OleDb.1;Data Source=$Workbook$;Location=t_02_02_05;Extended Properties=&quot;&quot;" command="SELECT * FROM [t_02_02_05]"/>
  </connection>
  <connection id="13" keepAlive="1" name="Requête - t_03_01_01 (1)" description="Connexion à la requête « t_03_01_01 (1) » dans le classeur." type="5" refreshedVersion="0" background="1">
    <dbPr connection="Provider=Microsoft.Mashup.OleDb.1;Data Source=$Workbook$;Location=&quot;t_03_01_01 (1)&quot;;Extended Properties=&quot;&quot;" command="SELECT * FROM [t_03_01_01 (1)]"/>
  </connection>
  <connection id="14" keepAlive="1" name="Requête - t_03_01_02 (2)" description="Connexion à la requête « t_03_01_02 (2) » dans le classeur." type="5" refreshedVersion="0" background="1">
    <dbPr connection="Provider=Microsoft.Mashup.OleDb.1;Data Source=$Workbook$;Location=&quot;t_03_01_02 (2)&quot;;Extended Properties=&quot;&quot;" command="SELECT * FROM [t_03_01_02 (2)]"/>
  </connection>
  <connection id="15" keepAlive="1" name="Requête - t_03_02_01" description="Connexion à la requête « t_03_02_01 » dans le classeur." type="5" refreshedVersion="0" background="1">
    <dbPr connection="Provider=Microsoft.Mashup.OleDb.1;Data Source=$Workbook$;Location=t_03_02_01;Extended Properties=&quot;&quot;" command="SELECT * FROM [t_03_02_01]"/>
  </connection>
  <connection id="16" keepAlive="1" name="Requête - t_03_02_02" description="Connexion à la requête « t_03_02_02 » dans le classeur." type="5" refreshedVersion="0" background="1">
    <dbPr connection="Provider=Microsoft.Mashup.OleDb.1;Data Source=$Workbook$;Location=t_03_02_02;Extended Properties=&quot;&quot;" command="SELECT * FROM [t_03_02_02]"/>
  </connection>
  <connection id="17" keepAlive="1" name="Requête - t_03_02_03" description="Connexion à la requête « t_03_02_03 » dans le classeur." type="5" refreshedVersion="0" background="1">
    <dbPr connection="Provider=Microsoft.Mashup.OleDb.1;Data Source=$Workbook$;Location=t_03_02_03;Extended Properties=&quot;&quot;" command="SELECT * FROM [t_03_02_03]"/>
  </connection>
  <connection id="18" keepAlive="1" name="Requête - t_03_02_04" description="Connexion à la requête « t_03_02_04 » dans le classeur." type="5" refreshedVersion="0" background="1">
    <dbPr connection="Provider=Microsoft.Mashup.OleDb.1;Data Source=$Workbook$;Location=t_03_02_04;Extended Properties=&quot;&quot;" command="SELECT * FROM [t_03_02_04]"/>
  </connection>
  <connection id="19" keepAlive="1" name="Requête - t_03_02_05" description="Connexion à la requête « t_03_02_05 » dans le classeur." type="5" refreshedVersion="0" background="1">
    <dbPr connection="Provider=Microsoft.Mashup.OleDb.1;Data Source=$Workbook$;Location=t_03_02_05;Extended Properties=&quot;&quot;" command="SELECT * FROM [t_03_02_05]"/>
  </connection>
  <connection id="20" keepAlive="1" name="Requête - t_03_02_06" description="Connexion à la requête « t_03_02_06 » dans le classeur." type="5" refreshedVersion="0" background="1">
    <dbPr connection="Provider=Microsoft.Mashup.OleDb.1;Data Source=$Workbook$;Location=t_03_02_06;Extended Properties=&quot;&quot;" command="SELECT * FROM [t_03_02_06]"/>
  </connection>
</connections>
</file>

<file path=xl/sharedStrings.xml><?xml version="1.0" encoding="utf-8"?>
<sst xmlns="http://schemas.openxmlformats.org/spreadsheetml/2006/main" count="13978" uniqueCount="6865">
  <si>
    <t>مديرية عامة</t>
  </si>
  <si>
    <t>General Directorate</t>
  </si>
  <si>
    <t>Direction Générale</t>
  </si>
  <si>
    <t>نشاط</t>
  </si>
  <si>
    <t>Activity</t>
  </si>
  <si>
    <t>Activité</t>
  </si>
  <si>
    <t>قسم</t>
  </si>
  <si>
    <t>Division</t>
  </si>
  <si>
    <t>مديرية</t>
  </si>
  <si>
    <t>Directorate</t>
  </si>
  <si>
    <t>Direction</t>
  </si>
  <si>
    <t>مديرية عمليات</t>
  </si>
  <si>
    <t>Operations Directorate</t>
  </si>
  <si>
    <t>Direction Opérationnelle</t>
  </si>
  <si>
    <t>مديرية جهوية</t>
  </si>
  <si>
    <t>Regional Directorate</t>
  </si>
  <si>
    <t>Direction Regionale</t>
  </si>
  <si>
    <t>مديرية فرعية</t>
  </si>
  <si>
    <t>Sub-directorate</t>
  </si>
  <si>
    <t>Sous Direction</t>
  </si>
  <si>
    <t>دائرة</t>
  </si>
  <si>
    <t>Department</t>
  </si>
  <si>
    <t>Département</t>
  </si>
  <si>
    <t>دائرة جهوية</t>
  </si>
  <si>
    <t>Regional Department</t>
  </si>
  <si>
    <t>Départment Régional</t>
  </si>
  <si>
    <t>مركز وطني</t>
  </si>
  <si>
    <t>National Center</t>
  </si>
  <si>
    <t>Centre National</t>
  </si>
  <si>
    <t>مصلحة</t>
  </si>
  <si>
    <t>Service</t>
  </si>
  <si>
    <t>مصلحة جهوية</t>
  </si>
  <si>
    <t>Regional Service</t>
  </si>
  <si>
    <t>Service Regional</t>
  </si>
  <si>
    <t>مركز</t>
  </si>
  <si>
    <t>Center</t>
  </si>
  <si>
    <t>Centre</t>
  </si>
  <si>
    <t>Id</t>
  </si>
  <si>
    <t>DesignationAr</t>
  </si>
  <si>
    <t>DesignationEn</t>
  </si>
  <si>
    <t>DesignationFr</t>
  </si>
  <si>
    <t>F_01</t>
  </si>
  <si>
    <t>F_02</t>
  </si>
  <si>
    <t>F_03</t>
  </si>
  <si>
    <t>F_00</t>
  </si>
  <si>
    <t>الجنوب</t>
  </si>
  <si>
    <t>South</t>
  </si>
  <si>
    <t>Sud</t>
  </si>
  <si>
    <t>الشمال</t>
  </si>
  <si>
    <t>North</t>
  </si>
  <si>
    <t>Nord</t>
  </si>
  <si>
    <t>S</t>
  </si>
  <si>
    <t>N</t>
  </si>
  <si>
    <t>F_04</t>
  </si>
  <si>
    <t>Code</t>
  </si>
  <si>
    <t>AF</t>
  </si>
  <si>
    <t>أفغانستان</t>
  </si>
  <si>
    <t>Afghanistan</t>
  </si>
  <si>
    <t>AX</t>
  </si>
  <si>
    <t>جزر آلاند</t>
  </si>
  <si>
    <t>Åland Islands</t>
  </si>
  <si>
    <t>Îles Åland</t>
  </si>
  <si>
    <t>AL</t>
  </si>
  <si>
    <t>ألبانيا</t>
  </si>
  <si>
    <t>Albania</t>
  </si>
  <si>
    <t>Albanie</t>
  </si>
  <si>
    <t>DZ</t>
  </si>
  <si>
    <t>الجزائر</t>
  </si>
  <si>
    <t>Algeria</t>
  </si>
  <si>
    <t>Algérie</t>
  </si>
  <si>
    <t>AS</t>
  </si>
  <si>
    <t>ساموا الأمريكية</t>
  </si>
  <si>
    <t>American Samoa</t>
  </si>
  <si>
    <t>Samoa Américaines</t>
  </si>
  <si>
    <t>AD</t>
  </si>
  <si>
    <t>أندورا</t>
  </si>
  <si>
    <t>Andorra</t>
  </si>
  <si>
    <t>Andorre</t>
  </si>
  <si>
    <t>AO</t>
  </si>
  <si>
    <t>أنغولا</t>
  </si>
  <si>
    <t>Angola</t>
  </si>
  <si>
    <t>AI</t>
  </si>
  <si>
    <t>أنغيلا</t>
  </si>
  <si>
    <t>Anguilla</t>
  </si>
  <si>
    <t>AQ</t>
  </si>
  <si>
    <t>القطب الجنوبي</t>
  </si>
  <si>
    <t>Antarctica</t>
  </si>
  <si>
    <t>Antarctique</t>
  </si>
  <si>
    <t>AG</t>
  </si>
  <si>
    <t>أنتيغوا وباربودا</t>
  </si>
  <si>
    <t>Antigua and Barbuda</t>
  </si>
  <si>
    <t>Antigua-et-Barbuda</t>
  </si>
  <si>
    <t>AR</t>
  </si>
  <si>
    <t>الأرجنتين</t>
  </si>
  <si>
    <t>Argentina</t>
  </si>
  <si>
    <t>Argentine</t>
  </si>
  <si>
    <t>AM</t>
  </si>
  <si>
    <t>أرمينيا</t>
  </si>
  <si>
    <t>Armenia</t>
  </si>
  <si>
    <t>Arménie</t>
  </si>
  <si>
    <t>AW</t>
  </si>
  <si>
    <t>أروبا</t>
  </si>
  <si>
    <t>Aruba</t>
  </si>
  <si>
    <t>AU</t>
  </si>
  <si>
    <t>أستراليا</t>
  </si>
  <si>
    <t>Australia</t>
  </si>
  <si>
    <t>Australie</t>
  </si>
  <si>
    <t>AT</t>
  </si>
  <si>
    <t>النمسا</t>
  </si>
  <si>
    <t>Austria</t>
  </si>
  <si>
    <t>Autriche</t>
  </si>
  <si>
    <t>AZ</t>
  </si>
  <si>
    <t>أذربيجان</t>
  </si>
  <si>
    <t>Azerbaijan</t>
  </si>
  <si>
    <t>Azerbaïdjan</t>
  </si>
  <si>
    <t>BS</t>
  </si>
  <si>
    <t>البهاما</t>
  </si>
  <si>
    <t>Bahamas</t>
  </si>
  <si>
    <t>BH</t>
  </si>
  <si>
    <t>البحرين</t>
  </si>
  <si>
    <t>Bahrain</t>
  </si>
  <si>
    <t>Bahreïn</t>
  </si>
  <si>
    <t>BD</t>
  </si>
  <si>
    <t>بنغلاديش</t>
  </si>
  <si>
    <t>Bangladesh</t>
  </si>
  <si>
    <t>BB</t>
  </si>
  <si>
    <t>باربادوس</t>
  </si>
  <si>
    <t>Barbados</t>
  </si>
  <si>
    <t>Barbade</t>
  </si>
  <si>
    <t>BY</t>
  </si>
  <si>
    <t>بيلاروسيا</t>
  </si>
  <si>
    <t>Belarus</t>
  </si>
  <si>
    <t>Bélarus</t>
  </si>
  <si>
    <t>BE</t>
  </si>
  <si>
    <t>بلجيكا</t>
  </si>
  <si>
    <t>Belgium</t>
  </si>
  <si>
    <t>Belgique</t>
  </si>
  <si>
    <t>BZ</t>
  </si>
  <si>
    <t>بليز</t>
  </si>
  <si>
    <t>Belize</t>
  </si>
  <si>
    <t>BJ</t>
  </si>
  <si>
    <t>بنين</t>
  </si>
  <si>
    <t>Benin</t>
  </si>
  <si>
    <t>Bénin</t>
  </si>
  <si>
    <t>BM</t>
  </si>
  <si>
    <t>برمودا</t>
  </si>
  <si>
    <t>Bermuda</t>
  </si>
  <si>
    <t>Bermudes</t>
  </si>
  <si>
    <t>BT</t>
  </si>
  <si>
    <t>بوتان</t>
  </si>
  <si>
    <t>Bhutan</t>
  </si>
  <si>
    <t>Bhoutan</t>
  </si>
  <si>
    <t>BO</t>
  </si>
  <si>
    <t>بوليفيا</t>
  </si>
  <si>
    <t>Bolivia</t>
  </si>
  <si>
    <t>Bolivie</t>
  </si>
  <si>
    <t>BQ</t>
  </si>
  <si>
    <t>بونير وسينت أوستاتيوس وسابا</t>
  </si>
  <si>
    <t>Bonaire, Sint Eustatius and Saba</t>
  </si>
  <si>
    <t>Bonaire, Saint-Eustache et Saba</t>
  </si>
  <si>
    <t>BA</t>
  </si>
  <si>
    <t>البوسنة والهرسك</t>
  </si>
  <si>
    <t>Bosnia and Herzegovina</t>
  </si>
  <si>
    <t>Bosnie-Herzégovine</t>
  </si>
  <si>
    <t>BW</t>
  </si>
  <si>
    <t>بوتسوانا</t>
  </si>
  <si>
    <t>Botswana</t>
  </si>
  <si>
    <t>BV</t>
  </si>
  <si>
    <t>جزيرة بوفيه</t>
  </si>
  <si>
    <t>Bouvet Island</t>
  </si>
  <si>
    <t>Île Bouvet</t>
  </si>
  <si>
    <t>BR</t>
  </si>
  <si>
    <t>البرازيل</t>
  </si>
  <si>
    <t>Brazil</t>
  </si>
  <si>
    <t>Brésil</t>
  </si>
  <si>
    <t>IO</t>
  </si>
  <si>
    <t>إقليم المحيط الهندي البريطاني</t>
  </si>
  <si>
    <t>British Indian Ocean Territory</t>
  </si>
  <si>
    <t>Territoire Britannique de l'Océan Indien</t>
  </si>
  <si>
    <t>BN</t>
  </si>
  <si>
    <t>بروناي</t>
  </si>
  <si>
    <t>Brunei Darussalam</t>
  </si>
  <si>
    <t>Brunéi Darussalam</t>
  </si>
  <si>
    <t>BG</t>
  </si>
  <si>
    <t>بلغاريا</t>
  </si>
  <si>
    <t>Bulgaria</t>
  </si>
  <si>
    <t>Bulgarie</t>
  </si>
  <si>
    <t>BF</t>
  </si>
  <si>
    <t>بوركينا فاسو</t>
  </si>
  <si>
    <t>Burkina Faso</t>
  </si>
  <si>
    <t>BI</t>
  </si>
  <si>
    <t>بوروندي</t>
  </si>
  <si>
    <t>Burundi</t>
  </si>
  <si>
    <t>CV</t>
  </si>
  <si>
    <t>الرأس الأخضر</t>
  </si>
  <si>
    <t>Cabo Verde</t>
  </si>
  <si>
    <t>KH</t>
  </si>
  <si>
    <t>كمبوديا</t>
  </si>
  <si>
    <t>Cambodia</t>
  </si>
  <si>
    <t>Cambodge</t>
  </si>
  <si>
    <t>CM</t>
  </si>
  <si>
    <t>الكاميرون</t>
  </si>
  <si>
    <t>Cameroon</t>
  </si>
  <si>
    <t>Cameroun</t>
  </si>
  <si>
    <t>CA</t>
  </si>
  <si>
    <t>كندا</t>
  </si>
  <si>
    <t>Canada</t>
  </si>
  <si>
    <t>KY</t>
  </si>
  <si>
    <t>جزر كايمان</t>
  </si>
  <si>
    <t>Cayman Islands</t>
  </si>
  <si>
    <t>Îles Caïmans</t>
  </si>
  <si>
    <t>CF</t>
  </si>
  <si>
    <t>جمهورية أفريقيا الوسطى</t>
  </si>
  <si>
    <t>Central African Republic</t>
  </si>
  <si>
    <t>République Centrafricaine</t>
  </si>
  <si>
    <t>TD</t>
  </si>
  <si>
    <t>تشاد</t>
  </si>
  <si>
    <t>Chad</t>
  </si>
  <si>
    <t>Tchad</t>
  </si>
  <si>
    <t>CL</t>
  </si>
  <si>
    <t>تشيلي</t>
  </si>
  <si>
    <t>Chile</t>
  </si>
  <si>
    <t>Chili</t>
  </si>
  <si>
    <t>CN</t>
  </si>
  <si>
    <t>الصين</t>
  </si>
  <si>
    <t>China</t>
  </si>
  <si>
    <t>Chine</t>
  </si>
  <si>
    <t>CX</t>
  </si>
  <si>
    <t>جزيرة كريسماس</t>
  </si>
  <si>
    <t>Christmas Island</t>
  </si>
  <si>
    <t>Île Christmas</t>
  </si>
  <si>
    <t>CC</t>
  </si>
  <si>
    <t>جزر كوكوس</t>
  </si>
  <si>
    <t>Cocos (Keeling) Islands</t>
  </si>
  <si>
    <t>Îles Cocos</t>
  </si>
  <si>
    <t>CO</t>
  </si>
  <si>
    <t>كولومبيا</t>
  </si>
  <si>
    <t>Colombia</t>
  </si>
  <si>
    <t>Colombie</t>
  </si>
  <si>
    <t>KM</t>
  </si>
  <si>
    <t>جزر القمر</t>
  </si>
  <si>
    <t>Comoros</t>
  </si>
  <si>
    <t>Comores</t>
  </si>
  <si>
    <t>CD</t>
  </si>
  <si>
    <t>جمهورية الكونغو الديمقراطية</t>
  </si>
  <si>
    <t>Congo (Democratic Republic)</t>
  </si>
  <si>
    <t>Congo (République Démocratique)</t>
  </si>
  <si>
    <t>CG</t>
  </si>
  <si>
    <t>جمهورية الكونغو</t>
  </si>
  <si>
    <t>Congo</t>
  </si>
  <si>
    <t>CK</t>
  </si>
  <si>
    <t>جزر كوك</t>
  </si>
  <si>
    <t>Cook Islands</t>
  </si>
  <si>
    <t>Îles Cook</t>
  </si>
  <si>
    <t>CR</t>
  </si>
  <si>
    <t>كوستاريكا</t>
  </si>
  <si>
    <t>Costa Rica</t>
  </si>
  <si>
    <t>CI</t>
  </si>
  <si>
    <t>ساحل العاج</t>
  </si>
  <si>
    <t>Côte d'Ivoire</t>
  </si>
  <si>
    <t>HR</t>
  </si>
  <si>
    <t>كرواتيا</t>
  </si>
  <si>
    <t>Croatia</t>
  </si>
  <si>
    <t>Croatie</t>
  </si>
  <si>
    <t>CU</t>
  </si>
  <si>
    <t>كوبا</t>
  </si>
  <si>
    <t>Cuba</t>
  </si>
  <si>
    <t>CW</t>
  </si>
  <si>
    <t>كوراساو</t>
  </si>
  <si>
    <t>Curaçao</t>
  </si>
  <si>
    <t>CY</t>
  </si>
  <si>
    <t>قبرص</t>
  </si>
  <si>
    <t>Cyprus</t>
  </si>
  <si>
    <t>Chypre</t>
  </si>
  <si>
    <t>CZ</t>
  </si>
  <si>
    <t>التشيك</t>
  </si>
  <si>
    <t>Czechia</t>
  </si>
  <si>
    <t>République Tchèque</t>
  </si>
  <si>
    <t>DK</t>
  </si>
  <si>
    <t>الدنمارك</t>
  </si>
  <si>
    <t>Denmark</t>
  </si>
  <si>
    <t>Danemark</t>
  </si>
  <si>
    <t>DJ</t>
  </si>
  <si>
    <t>جيبوتي</t>
  </si>
  <si>
    <t>Djibouti</t>
  </si>
  <si>
    <t>DM</t>
  </si>
  <si>
    <t>دومينيكا</t>
  </si>
  <si>
    <t>Dominica</t>
  </si>
  <si>
    <t>Dominique</t>
  </si>
  <si>
    <t>DO</t>
  </si>
  <si>
    <t>جمهورية الدومينيكان</t>
  </si>
  <si>
    <t>Dominican Republic</t>
  </si>
  <si>
    <t>République Dominicaine</t>
  </si>
  <si>
    <t>EC</t>
  </si>
  <si>
    <t>الإكوادور</t>
  </si>
  <si>
    <t>Ecuador</t>
  </si>
  <si>
    <t>Équateur</t>
  </si>
  <si>
    <t>EG</t>
  </si>
  <si>
    <t>مصر</t>
  </si>
  <si>
    <t>Egypt</t>
  </si>
  <si>
    <t>Égypte</t>
  </si>
  <si>
    <t>SV</t>
  </si>
  <si>
    <t>السلفادور</t>
  </si>
  <si>
    <t>El Salvador</t>
  </si>
  <si>
    <t>GQ</t>
  </si>
  <si>
    <t>غينيا الاستوائية</t>
  </si>
  <si>
    <t>Equatorial Guinea</t>
  </si>
  <si>
    <t>Guinée Équatoriale</t>
  </si>
  <si>
    <t>ER</t>
  </si>
  <si>
    <t>إريتريا</t>
  </si>
  <si>
    <t>Eritrea</t>
  </si>
  <si>
    <t>Érythrée</t>
  </si>
  <si>
    <t>EE</t>
  </si>
  <si>
    <t>إستونيا</t>
  </si>
  <si>
    <t>Estonia</t>
  </si>
  <si>
    <t>Estonie</t>
  </si>
  <si>
    <t>SZ</t>
  </si>
  <si>
    <t>إسواتيني</t>
  </si>
  <si>
    <t>Eswatini</t>
  </si>
  <si>
    <t>ET</t>
  </si>
  <si>
    <t>إثيوبيا</t>
  </si>
  <si>
    <t>Ethiopia</t>
  </si>
  <si>
    <t>Éthiopie</t>
  </si>
  <si>
    <t>FK</t>
  </si>
  <si>
    <t>جزر فوكلاند</t>
  </si>
  <si>
    <t>Falkland Islands</t>
  </si>
  <si>
    <t>Îles Malouines</t>
  </si>
  <si>
    <t>FO</t>
  </si>
  <si>
    <t>جزر فارو</t>
  </si>
  <si>
    <t>Faroe Islands</t>
  </si>
  <si>
    <t>Îles Féroé</t>
  </si>
  <si>
    <t>FJ</t>
  </si>
  <si>
    <t>فيجي</t>
  </si>
  <si>
    <t>Fiji</t>
  </si>
  <si>
    <t>Fidji</t>
  </si>
  <si>
    <t>FI</t>
  </si>
  <si>
    <t>فنلندا</t>
  </si>
  <si>
    <t>Finland</t>
  </si>
  <si>
    <t>Finlande</t>
  </si>
  <si>
    <t>FR</t>
  </si>
  <si>
    <t>فرنسا</t>
  </si>
  <si>
    <t>France</t>
  </si>
  <si>
    <t>GF</t>
  </si>
  <si>
    <t>غويانا الفرنسية</t>
  </si>
  <si>
    <t>French Guiana</t>
  </si>
  <si>
    <t>Guyane Française</t>
  </si>
  <si>
    <t>PF</t>
  </si>
  <si>
    <t>بولينيزيا الفرنسية</t>
  </si>
  <si>
    <t>French Polynesia</t>
  </si>
  <si>
    <t>Polynésie Française</t>
  </si>
  <si>
    <t>TF</t>
  </si>
  <si>
    <t>الأقاليم الجنوبية الفرنسية</t>
  </si>
  <si>
    <t>French Southern Territories</t>
  </si>
  <si>
    <t>Terres Australes Françaises</t>
  </si>
  <si>
    <t>GA</t>
  </si>
  <si>
    <t>الغابون</t>
  </si>
  <si>
    <t>Gabon</t>
  </si>
  <si>
    <t>GM</t>
  </si>
  <si>
    <t>غامبيا</t>
  </si>
  <si>
    <t>Gambia</t>
  </si>
  <si>
    <t>Gambie</t>
  </si>
  <si>
    <t>GE</t>
  </si>
  <si>
    <t>جورجيا</t>
  </si>
  <si>
    <t>Georgia</t>
  </si>
  <si>
    <t>Géorgie</t>
  </si>
  <si>
    <t>DE</t>
  </si>
  <si>
    <t>ألمانيا</t>
  </si>
  <si>
    <t>Germany</t>
  </si>
  <si>
    <t>Allemagne</t>
  </si>
  <si>
    <t>GH</t>
  </si>
  <si>
    <t>غانا</t>
  </si>
  <si>
    <t>Ghana</t>
  </si>
  <si>
    <t>GI</t>
  </si>
  <si>
    <t>جبل طارق</t>
  </si>
  <si>
    <t>Gibraltar</t>
  </si>
  <si>
    <t>GR</t>
  </si>
  <si>
    <t>اليونان</t>
  </si>
  <si>
    <t>Greece</t>
  </si>
  <si>
    <t>Grèce</t>
  </si>
  <si>
    <t>GL</t>
  </si>
  <si>
    <t>جرينلاند</t>
  </si>
  <si>
    <t>Greenland</t>
  </si>
  <si>
    <t>Groenland</t>
  </si>
  <si>
    <t>GD</t>
  </si>
  <si>
    <t>جرينادا</t>
  </si>
  <si>
    <t>Grenada</t>
  </si>
  <si>
    <t>Grenade</t>
  </si>
  <si>
    <t>GP</t>
  </si>
  <si>
    <t>جوادلوب</t>
  </si>
  <si>
    <t>Guadeloupe</t>
  </si>
  <si>
    <t>GU</t>
  </si>
  <si>
    <t>غوام</t>
  </si>
  <si>
    <t>Guam</t>
  </si>
  <si>
    <t>GT</t>
  </si>
  <si>
    <t>غواتيمالا</t>
  </si>
  <si>
    <t>Guatemala</t>
  </si>
  <si>
    <t>GG</t>
  </si>
  <si>
    <t>غيرنزي</t>
  </si>
  <si>
    <t>Guernsey</t>
  </si>
  <si>
    <t>Guernesey</t>
  </si>
  <si>
    <t>GN</t>
  </si>
  <si>
    <t>غينيا</t>
  </si>
  <si>
    <t>Guinea</t>
  </si>
  <si>
    <t>Guinée</t>
  </si>
  <si>
    <t>GW</t>
  </si>
  <si>
    <t>غينيا بيساو</t>
  </si>
  <si>
    <t>Guinea-Bissau</t>
  </si>
  <si>
    <t>Guinée-Bissau</t>
  </si>
  <si>
    <t>GY</t>
  </si>
  <si>
    <t>غويانا</t>
  </si>
  <si>
    <t>Guyana</t>
  </si>
  <si>
    <t>HT</t>
  </si>
  <si>
    <t>هايتي</t>
  </si>
  <si>
    <t>Haiti</t>
  </si>
  <si>
    <t>Haïti</t>
  </si>
  <si>
    <t>HM</t>
  </si>
  <si>
    <t>جزيرة هيرد وجزر ماكدونالد</t>
  </si>
  <si>
    <t>Heard Island and McDonald Islands</t>
  </si>
  <si>
    <t>Île Heard-et-Îles MacDonald</t>
  </si>
  <si>
    <t>VA</t>
  </si>
  <si>
    <t>الفاتيكان</t>
  </si>
  <si>
    <t>Holy See</t>
  </si>
  <si>
    <t>Saint-Siège</t>
  </si>
  <si>
    <t>HN</t>
  </si>
  <si>
    <t>هندوراس</t>
  </si>
  <si>
    <t>Honduras</t>
  </si>
  <si>
    <t>HK</t>
  </si>
  <si>
    <t>هونغ كونغ</t>
  </si>
  <si>
    <t>Hong Kong</t>
  </si>
  <si>
    <t>HU</t>
  </si>
  <si>
    <t>المجر</t>
  </si>
  <si>
    <t>Hungary</t>
  </si>
  <si>
    <t>Hongrie</t>
  </si>
  <si>
    <t>IS</t>
  </si>
  <si>
    <t>آيسلندا</t>
  </si>
  <si>
    <t>Iceland</t>
  </si>
  <si>
    <t>Islande</t>
  </si>
  <si>
    <t>IN</t>
  </si>
  <si>
    <t>الهند</t>
  </si>
  <si>
    <t>India</t>
  </si>
  <si>
    <t>Inde</t>
  </si>
  <si>
    <t>ID</t>
  </si>
  <si>
    <t>إندونيسيا</t>
  </si>
  <si>
    <t>Indonesia</t>
  </si>
  <si>
    <t>Indonésie</t>
  </si>
  <si>
    <t>IR</t>
  </si>
  <si>
    <t>إيران</t>
  </si>
  <si>
    <t>Iran</t>
  </si>
  <si>
    <t>IQ</t>
  </si>
  <si>
    <t>العراق</t>
  </si>
  <si>
    <t>Iraq</t>
  </si>
  <si>
    <t>Irak</t>
  </si>
  <si>
    <t>IE</t>
  </si>
  <si>
    <t>أيرلندا</t>
  </si>
  <si>
    <t>Ireland</t>
  </si>
  <si>
    <t>Irlande</t>
  </si>
  <si>
    <t>IM</t>
  </si>
  <si>
    <t>جزيرة مان</t>
  </si>
  <si>
    <t>Isle of Man</t>
  </si>
  <si>
    <t>Île de Man</t>
  </si>
  <si>
    <t>IL</t>
  </si>
  <si>
    <t>إسرائيل</t>
  </si>
  <si>
    <t>Israel</t>
  </si>
  <si>
    <t>Israël</t>
  </si>
  <si>
    <t>IT</t>
  </si>
  <si>
    <t>إيطاليا</t>
  </si>
  <si>
    <t>Italy</t>
  </si>
  <si>
    <t>Italie</t>
  </si>
  <si>
    <t>JM</t>
  </si>
  <si>
    <t>جامايكا</t>
  </si>
  <si>
    <t>Jamaica</t>
  </si>
  <si>
    <t>Jamaïque</t>
  </si>
  <si>
    <t>JP</t>
  </si>
  <si>
    <t>اليابان</t>
  </si>
  <si>
    <t>Japan</t>
  </si>
  <si>
    <t>Japon</t>
  </si>
  <si>
    <t>JE</t>
  </si>
  <si>
    <t>جيرزي</t>
  </si>
  <si>
    <t>Jersey</t>
  </si>
  <si>
    <t>JO</t>
  </si>
  <si>
    <t>الأردن</t>
  </si>
  <si>
    <t>Jordan</t>
  </si>
  <si>
    <t>Jordanie</t>
  </si>
  <si>
    <t>KZ</t>
  </si>
  <si>
    <t>كازاخستان</t>
  </si>
  <si>
    <t>Kazakhstan</t>
  </si>
  <si>
    <t>KE</t>
  </si>
  <si>
    <t>كينيا</t>
  </si>
  <si>
    <t>Kenya</t>
  </si>
  <si>
    <t>KI</t>
  </si>
  <si>
    <t>كيريباتي</t>
  </si>
  <si>
    <t>Kiribati</t>
  </si>
  <si>
    <t>KP</t>
  </si>
  <si>
    <t>كوريا الشمالية</t>
  </si>
  <si>
    <t>Korea (North)</t>
  </si>
  <si>
    <t>Corée du Nord</t>
  </si>
  <si>
    <t>KR</t>
  </si>
  <si>
    <t>كوريا الجنوبية</t>
  </si>
  <si>
    <t>Korea (South)</t>
  </si>
  <si>
    <t>Corée du Sud</t>
  </si>
  <si>
    <t>KW</t>
  </si>
  <si>
    <t>الكويت</t>
  </si>
  <si>
    <t>Kuwait</t>
  </si>
  <si>
    <t>Koweït</t>
  </si>
  <si>
    <t>KG</t>
  </si>
  <si>
    <t>قيرغيزستان</t>
  </si>
  <si>
    <t>Kyrgyzstan</t>
  </si>
  <si>
    <t>Kirghizistan</t>
  </si>
  <si>
    <t>LA</t>
  </si>
  <si>
    <t>لاوس</t>
  </si>
  <si>
    <t>Laos</t>
  </si>
  <si>
    <t>LV</t>
  </si>
  <si>
    <t>لاتفيا</t>
  </si>
  <si>
    <t>Latvia</t>
  </si>
  <si>
    <t>Lettonie</t>
  </si>
  <si>
    <t>LB</t>
  </si>
  <si>
    <t>لبنان</t>
  </si>
  <si>
    <t>Lebanon</t>
  </si>
  <si>
    <t>Liban</t>
  </si>
  <si>
    <t>LS</t>
  </si>
  <si>
    <t>ليسوتو</t>
  </si>
  <si>
    <t>Lesotho</t>
  </si>
  <si>
    <t>LR</t>
  </si>
  <si>
    <t>ليبيريا</t>
  </si>
  <si>
    <t>Liberia</t>
  </si>
  <si>
    <t>Libéria</t>
  </si>
  <si>
    <t>LY</t>
  </si>
  <si>
    <t>ليبيا</t>
  </si>
  <si>
    <t>Libya</t>
  </si>
  <si>
    <t>Libye</t>
  </si>
  <si>
    <t>LI</t>
  </si>
  <si>
    <t>ليختنشتاين</t>
  </si>
  <si>
    <t>Liechtenstein</t>
  </si>
  <si>
    <t>LT</t>
  </si>
  <si>
    <t>ليتوانيا</t>
  </si>
  <si>
    <t>Lithuania</t>
  </si>
  <si>
    <t>Lituanie</t>
  </si>
  <si>
    <t>LU</t>
  </si>
  <si>
    <t>لوكسمبورغ</t>
  </si>
  <si>
    <t>Luxembourg</t>
  </si>
  <si>
    <t>MO</t>
  </si>
  <si>
    <t>ماكاو</t>
  </si>
  <si>
    <t>Macao</t>
  </si>
  <si>
    <t>MG</t>
  </si>
  <si>
    <t>مدغشقر</t>
  </si>
  <si>
    <t>Madagascar</t>
  </si>
  <si>
    <t>MW</t>
  </si>
  <si>
    <t>مالاوي</t>
  </si>
  <si>
    <t>Malawi</t>
  </si>
  <si>
    <t>MY</t>
  </si>
  <si>
    <t>ماليزيا</t>
  </si>
  <si>
    <t>Malaysia</t>
  </si>
  <si>
    <t>Malaisie</t>
  </si>
  <si>
    <t>MV</t>
  </si>
  <si>
    <t>جزر المالديف</t>
  </si>
  <si>
    <t>Maldives</t>
  </si>
  <si>
    <t>ML</t>
  </si>
  <si>
    <t>مالي</t>
  </si>
  <si>
    <t>Mali</t>
  </si>
  <si>
    <t>MT</t>
  </si>
  <si>
    <t>مالطا</t>
  </si>
  <si>
    <t>Malta</t>
  </si>
  <si>
    <t>Malte</t>
  </si>
  <si>
    <t>MH</t>
  </si>
  <si>
    <t>جزر مارشال</t>
  </si>
  <si>
    <t>Marshall Islands</t>
  </si>
  <si>
    <t>Îles Marshall</t>
  </si>
  <si>
    <t>MQ</t>
  </si>
  <si>
    <t>مارتينيك</t>
  </si>
  <si>
    <t>Martinique</t>
  </si>
  <si>
    <t>MR</t>
  </si>
  <si>
    <t>موريتانيا</t>
  </si>
  <si>
    <t>Mauritania</t>
  </si>
  <si>
    <t>Mauritanie</t>
  </si>
  <si>
    <t>MU</t>
  </si>
  <si>
    <t>موريشيوس</t>
  </si>
  <si>
    <t>Mauritius</t>
  </si>
  <si>
    <t>Maurice</t>
  </si>
  <si>
    <t>YT</t>
  </si>
  <si>
    <t>مايوت</t>
  </si>
  <si>
    <t>Mayotte</t>
  </si>
  <si>
    <t>MX</t>
  </si>
  <si>
    <t>المكسيك</t>
  </si>
  <si>
    <t>Mexico</t>
  </si>
  <si>
    <t>Mexique</t>
  </si>
  <si>
    <t>FM</t>
  </si>
  <si>
    <t>ميكرونيزيا</t>
  </si>
  <si>
    <t>Micronesia</t>
  </si>
  <si>
    <t>Micronésie</t>
  </si>
  <si>
    <t>MD</t>
  </si>
  <si>
    <t>مولدوفا</t>
  </si>
  <si>
    <t>Moldova</t>
  </si>
  <si>
    <t>Moldavie</t>
  </si>
  <si>
    <t>MC</t>
  </si>
  <si>
    <t>موناكو</t>
  </si>
  <si>
    <t>Monaco</t>
  </si>
  <si>
    <t>MN</t>
  </si>
  <si>
    <t>منغوليا</t>
  </si>
  <si>
    <t>Mongolia</t>
  </si>
  <si>
    <t>Mongolie</t>
  </si>
  <si>
    <t>ME</t>
  </si>
  <si>
    <t>الجبل الأسود</t>
  </si>
  <si>
    <t>Montenegro</t>
  </si>
  <si>
    <t>Monténégro</t>
  </si>
  <si>
    <t>MS</t>
  </si>
  <si>
    <t>مونتسرات</t>
  </si>
  <si>
    <t>Montserrat</t>
  </si>
  <si>
    <t>MA</t>
  </si>
  <si>
    <t>المغرب</t>
  </si>
  <si>
    <t>Morocco</t>
  </si>
  <si>
    <t>Maroc</t>
  </si>
  <si>
    <t>MZ</t>
  </si>
  <si>
    <t>موزمبيق</t>
  </si>
  <si>
    <t>Mozambique</t>
  </si>
  <si>
    <t>MM</t>
  </si>
  <si>
    <t>ميانمار</t>
  </si>
  <si>
    <t>Myanmar</t>
  </si>
  <si>
    <t>NA</t>
  </si>
  <si>
    <t>ناميبيا</t>
  </si>
  <si>
    <t>Namibia</t>
  </si>
  <si>
    <t>Namibie</t>
  </si>
  <si>
    <t>NR</t>
  </si>
  <si>
    <t>ناورو</t>
  </si>
  <si>
    <t>Nauru</t>
  </si>
  <si>
    <t>NP</t>
  </si>
  <si>
    <t>نيبال</t>
  </si>
  <si>
    <t>Nepal</t>
  </si>
  <si>
    <t>Népal</t>
  </si>
  <si>
    <t>NL</t>
  </si>
  <si>
    <t>هولندا</t>
  </si>
  <si>
    <t>Netherlands</t>
  </si>
  <si>
    <t>Pays-Bas</t>
  </si>
  <si>
    <t>NC</t>
  </si>
  <si>
    <t>كاليدونيا الجديدة</t>
  </si>
  <si>
    <t>New Caledonia</t>
  </si>
  <si>
    <t>Nouvelle-Calédonie</t>
  </si>
  <si>
    <t>NZ</t>
  </si>
  <si>
    <t>نيوزيلندا</t>
  </si>
  <si>
    <t>New Zealand</t>
  </si>
  <si>
    <t>Nouvelle-Zélande</t>
  </si>
  <si>
    <t>NI</t>
  </si>
  <si>
    <t>نيكاراغوا</t>
  </si>
  <si>
    <t>Nicaragua</t>
  </si>
  <si>
    <t>NE</t>
  </si>
  <si>
    <t>النيجر</t>
  </si>
  <si>
    <t>Niger</t>
  </si>
  <si>
    <t>NG</t>
  </si>
  <si>
    <t>نيجيريا</t>
  </si>
  <si>
    <t>Nigeria</t>
  </si>
  <si>
    <t>Nigéria</t>
  </si>
  <si>
    <t>NU</t>
  </si>
  <si>
    <t>نيوي</t>
  </si>
  <si>
    <t>Niue</t>
  </si>
  <si>
    <t>NF</t>
  </si>
  <si>
    <t>جزيرة نورفولك</t>
  </si>
  <si>
    <t>Norfolk Island</t>
  </si>
  <si>
    <t>Île Norfolk</t>
  </si>
  <si>
    <t>MK</t>
  </si>
  <si>
    <t>مقدونيا الشمالية</t>
  </si>
  <si>
    <t>North Macedonia</t>
  </si>
  <si>
    <t>Macédoine du Nord</t>
  </si>
  <si>
    <t>MP</t>
  </si>
  <si>
    <t>جزر ماريانا الشمالية</t>
  </si>
  <si>
    <t>Northern Mariana Islands</t>
  </si>
  <si>
    <t>Îles Mariannes du Nord</t>
  </si>
  <si>
    <t>NO</t>
  </si>
  <si>
    <t>النرويج</t>
  </si>
  <si>
    <t>Norway</t>
  </si>
  <si>
    <t>Norvège</t>
  </si>
  <si>
    <t>OM</t>
  </si>
  <si>
    <t>عمان</t>
  </si>
  <si>
    <t>Oman</t>
  </si>
  <si>
    <t>PK</t>
  </si>
  <si>
    <t>باكستان</t>
  </si>
  <si>
    <t>Pakistan</t>
  </si>
  <si>
    <t>PW</t>
  </si>
  <si>
    <t>بالاو</t>
  </si>
  <si>
    <t>Palau</t>
  </si>
  <si>
    <t>Palaos</t>
  </si>
  <si>
    <t>PS</t>
  </si>
  <si>
    <t>فلسطين</t>
  </si>
  <si>
    <t>Palestine</t>
  </si>
  <si>
    <t>PA</t>
  </si>
  <si>
    <t>بنما</t>
  </si>
  <si>
    <t>Panama</t>
  </si>
  <si>
    <t>PG</t>
  </si>
  <si>
    <t>بابوا غينيا الجديدة</t>
  </si>
  <si>
    <t>Papua New Guinea</t>
  </si>
  <si>
    <t>Papouasie-Nouvelle-Guinée</t>
  </si>
  <si>
    <t>PY</t>
  </si>
  <si>
    <t>باراغواي</t>
  </si>
  <si>
    <t>Paraguay</t>
  </si>
  <si>
    <t>PE</t>
  </si>
  <si>
    <t>بيرو</t>
  </si>
  <si>
    <t>Peru</t>
  </si>
  <si>
    <t>Pérou</t>
  </si>
  <si>
    <t>PH</t>
  </si>
  <si>
    <t>الفلبين</t>
  </si>
  <si>
    <t>Philippines</t>
  </si>
  <si>
    <t>PN</t>
  </si>
  <si>
    <t>جزر بيتكيرن</t>
  </si>
  <si>
    <t>Pitcairn</t>
  </si>
  <si>
    <t>PL</t>
  </si>
  <si>
    <t>بولندا</t>
  </si>
  <si>
    <t>Poland</t>
  </si>
  <si>
    <t>Pologne</t>
  </si>
  <si>
    <t>PT</t>
  </si>
  <si>
    <t>البرتغال</t>
  </si>
  <si>
    <t>Portugal</t>
  </si>
  <si>
    <t>PR</t>
  </si>
  <si>
    <t>بورتوريكو</t>
  </si>
  <si>
    <t>Puerto Rico</t>
  </si>
  <si>
    <t>Porto Rico</t>
  </si>
  <si>
    <t>QA</t>
  </si>
  <si>
    <t>قطر</t>
  </si>
  <si>
    <t>Qatar</t>
  </si>
  <si>
    <t>RE</t>
  </si>
  <si>
    <t>ريونيون</t>
  </si>
  <si>
    <t>Réunion</t>
  </si>
  <si>
    <t>RO</t>
  </si>
  <si>
    <t>رومانيا</t>
  </si>
  <si>
    <t>Romania</t>
  </si>
  <si>
    <t>Roumanie</t>
  </si>
  <si>
    <t>RU</t>
  </si>
  <si>
    <t>روسيا</t>
  </si>
  <si>
    <t>Russia</t>
  </si>
  <si>
    <t>Russie</t>
  </si>
  <si>
    <t>RW</t>
  </si>
  <si>
    <t>رواندا</t>
  </si>
  <si>
    <t>Rwanda</t>
  </si>
  <si>
    <t>BL</t>
  </si>
  <si>
    <t>سان بارتيلمي</t>
  </si>
  <si>
    <t>Saint Barthélemy</t>
  </si>
  <si>
    <t>Saint-Barthélemy</t>
  </si>
  <si>
    <t>SH</t>
  </si>
  <si>
    <t>سانت هيلينا وأسنسيون وتريستان دا كونا</t>
  </si>
  <si>
    <t>Saint Helena</t>
  </si>
  <si>
    <t>Sainte-Hélène</t>
  </si>
  <si>
    <t>KN</t>
  </si>
  <si>
    <t>سانت كيتس ونيفيس</t>
  </si>
  <si>
    <t>Saint Kitts and Nevis</t>
  </si>
  <si>
    <t>Saint-Kitts-et-Nevis</t>
  </si>
  <si>
    <t>LC</t>
  </si>
  <si>
    <t>سانت لوسيا</t>
  </si>
  <si>
    <t>Saint Lucia</t>
  </si>
  <si>
    <t>Sainte-Lucie</t>
  </si>
  <si>
    <t>MF</t>
  </si>
  <si>
    <t>سانت مارتن</t>
  </si>
  <si>
    <t>Saint Martin.</t>
  </si>
  <si>
    <t>Saint-Martin.</t>
  </si>
  <si>
    <t>PM</t>
  </si>
  <si>
    <t>سان بيير وميكلون</t>
  </si>
  <si>
    <t>Saint Pierre and Miquelon</t>
  </si>
  <si>
    <t>Saint-Pierre-et-Miquelon</t>
  </si>
  <si>
    <t>VC</t>
  </si>
  <si>
    <t>سانت فينسنت والغرينادين</t>
  </si>
  <si>
    <t>Saint Vincent and the Grenadines</t>
  </si>
  <si>
    <t>Saint-Vincent-et-les-Grenadines</t>
  </si>
  <si>
    <t>WS</t>
  </si>
  <si>
    <t>ساموا</t>
  </si>
  <si>
    <t>Samoa</t>
  </si>
  <si>
    <t>SM</t>
  </si>
  <si>
    <t>سان مارينو</t>
  </si>
  <si>
    <t>San Marino</t>
  </si>
  <si>
    <t>Saint-Marin</t>
  </si>
  <si>
    <t>ST</t>
  </si>
  <si>
    <t>ساو تومي وبرينسيب</t>
  </si>
  <si>
    <t>Sao Tome and Principe</t>
  </si>
  <si>
    <t>Sao Tomé-et-Principe</t>
  </si>
  <si>
    <t>SA</t>
  </si>
  <si>
    <t>السعودية</t>
  </si>
  <si>
    <t>Saudi Arabia</t>
  </si>
  <si>
    <t>Arabie Saoudite</t>
  </si>
  <si>
    <t>SN</t>
  </si>
  <si>
    <t>السنغال</t>
  </si>
  <si>
    <t>Senegal</t>
  </si>
  <si>
    <t>Sénégal</t>
  </si>
  <si>
    <t>RS</t>
  </si>
  <si>
    <t>صربيا</t>
  </si>
  <si>
    <t>Serbia</t>
  </si>
  <si>
    <t>Serbie</t>
  </si>
  <si>
    <t>SC</t>
  </si>
  <si>
    <t>سيشل</t>
  </si>
  <si>
    <t>Seychelles</t>
  </si>
  <si>
    <t>SL</t>
  </si>
  <si>
    <t>سيراليون</t>
  </si>
  <si>
    <t>Sierra Leone</t>
  </si>
  <si>
    <t>SG</t>
  </si>
  <si>
    <t>سنغافورة</t>
  </si>
  <si>
    <t>Singapore</t>
  </si>
  <si>
    <t>Singapour</t>
  </si>
  <si>
    <t>SX</t>
  </si>
  <si>
    <t>سينت مارتن</t>
  </si>
  <si>
    <t>Sint Maarten</t>
  </si>
  <si>
    <t>Saint-Martin</t>
  </si>
  <si>
    <t>SK</t>
  </si>
  <si>
    <t>سلوفاكيا</t>
  </si>
  <si>
    <t>Slovakia</t>
  </si>
  <si>
    <t>Slovaquie</t>
  </si>
  <si>
    <t>SI</t>
  </si>
  <si>
    <t>سلوفينيا</t>
  </si>
  <si>
    <t>Slovenia</t>
  </si>
  <si>
    <t>Slovénie</t>
  </si>
  <si>
    <t>SB</t>
  </si>
  <si>
    <t>جزر سليمان</t>
  </si>
  <si>
    <t>Solomon Islands</t>
  </si>
  <si>
    <t>Îles Salomon</t>
  </si>
  <si>
    <t>SO</t>
  </si>
  <si>
    <t>الصومال</t>
  </si>
  <si>
    <t>Somalia</t>
  </si>
  <si>
    <t>Somalie</t>
  </si>
  <si>
    <t>ZA</t>
  </si>
  <si>
    <t>جنوب أفريقيا</t>
  </si>
  <si>
    <t>South Africa</t>
  </si>
  <si>
    <t>Afrique du Sud</t>
  </si>
  <si>
    <t>GS</t>
  </si>
  <si>
    <t>جورجيا الجنوبية وجزر ساندويتش الجنوبية</t>
  </si>
  <si>
    <t>South Georgia and South Sandwich Islands</t>
  </si>
  <si>
    <t>Géorgie du Sud-et-les Îles Sandwich du Sud</t>
  </si>
  <si>
    <t>SS</t>
  </si>
  <si>
    <t>جنوب السودان</t>
  </si>
  <si>
    <t>South Sudan</t>
  </si>
  <si>
    <t>Soudan du Sud</t>
  </si>
  <si>
    <t>ES</t>
  </si>
  <si>
    <t>إسبانيا</t>
  </si>
  <si>
    <t>Spain</t>
  </si>
  <si>
    <t>Espagne</t>
  </si>
  <si>
    <t>LK</t>
  </si>
  <si>
    <t>سريلانكا</t>
  </si>
  <si>
    <t>Sri Lanka</t>
  </si>
  <si>
    <t>SD</t>
  </si>
  <si>
    <t>السودان</t>
  </si>
  <si>
    <t>Sudan</t>
  </si>
  <si>
    <t>Soudan</t>
  </si>
  <si>
    <t>SR</t>
  </si>
  <si>
    <t>سورينام</t>
  </si>
  <si>
    <t>Suriname</t>
  </si>
  <si>
    <t>SJ</t>
  </si>
  <si>
    <t>سفالبارد ويان ماين</t>
  </si>
  <si>
    <t>Svalbard and Jan Mayen</t>
  </si>
  <si>
    <t>Svalbard et Jan Mayen</t>
  </si>
  <si>
    <t>SE</t>
  </si>
  <si>
    <t>السويد</t>
  </si>
  <si>
    <t>Sweden</t>
  </si>
  <si>
    <t>Suède</t>
  </si>
  <si>
    <t>CH</t>
  </si>
  <si>
    <t>سويسرا</t>
  </si>
  <si>
    <t>Switzerland</t>
  </si>
  <si>
    <t>Suisse</t>
  </si>
  <si>
    <t>SY</t>
  </si>
  <si>
    <t>سوريا</t>
  </si>
  <si>
    <t>Syria</t>
  </si>
  <si>
    <t>Syrie</t>
  </si>
  <si>
    <t>TW</t>
  </si>
  <si>
    <t>تايوان</t>
  </si>
  <si>
    <t>Taiwan</t>
  </si>
  <si>
    <t>Taïwan</t>
  </si>
  <si>
    <t>TJ</t>
  </si>
  <si>
    <t>طاجيكستان</t>
  </si>
  <si>
    <t>Tajikistan</t>
  </si>
  <si>
    <t>Tadjikistan</t>
  </si>
  <si>
    <t>TZ</t>
  </si>
  <si>
    <t>تنزانيا</t>
  </si>
  <si>
    <t>Tanzania</t>
  </si>
  <si>
    <t>Tanzanie</t>
  </si>
  <si>
    <t>TH</t>
  </si>
  <si>
    <t>تايلاند</t>
  </si>
  <si>
    <t>Thailand</t>
  </si>
  <si>
    <t>Thaïlande</t>
  </si>
  <si>
    <t>TL</t>
  </si>
  <si>
    <t>تيمور الشرقية</t>
  </si>
  <si>
    <t>Timor-Leste</t>
  </si>
  <si>
    <t>TG</t>
  </si>
  <si>
    <t>توغو</t>
  </si>
  <si>
    <t>Togo</t>
  </si>
  <si>
    <t>TK</t>
  </si>
  <si>
    <t>توكيلاو</t>
  </si>
  <si>
    <t>Tokelau</t>
  </si>
  <si>
    <t>TO</t>
  </si>
  <si>
    <t>تونغا</t>
  </si>
  <si>
    <t>Tonga</t>
  </si>
  <si>
    <t>TT</t>
  </si>
  <si>
    <t>ترينيداد وتوباغو</t>
  </si>
  <si>
    <t>Trinidad and Tobago</t>
  </si>
  <si>
    <t>Trinité-et-Tobago</t>
  </si>
  <si>
    <t>TN</t>
  </si>
  <si>
    <t>تونس</t>
  </si>
  <si>
    <t>Tunisia</t>
  </si>
  <si>
    <t>Tunisie</t>
  </si>
  <si>
    <t>TR</t>
  </si>
  <si>
    <t>تركيا</t>
  </si>
  <si>
    <t>Türkiye</t>
  </si>
  <si>
    <t>Turquie</t>
  </si>
  <si>
    <t>TM</t>
  </si>
  <si>
    <t>تركمانستان</t>
  </si>
  <si>
    <t>Turkmenistan</t>
  </si>
  <si>
    <t>Turkménistan</t>
  </si>
  <si>
    <t>TC</t>
  </si>
  <si>
    <t>جزر توركس وكايكوس</t>
  </si>
  <si>
    <t>Turks and Caicos Islands</t>
  </si>
  <si>
    <t>Îles Turques-et-Caïques</t>
  </si>
  <si>
    <t>TV</t>
  </si>
  <si>
    <t>توفالو</t>
  </si>
  <si>
    <t>Tuvalu</t>
  </si>
  <si>
    <t>UG</t>
  </si>
  <si>
    <t>أوغندا</t>
  </si>
  <si>
    <t>Uganda</t>
  </si>
  <si>
    <t>Ouganda</t>
  </si>
  <si>
    <t>UA</t>
  </si>
  <si>
    <t>أوكرانيا</t>
  </si>
  <si>
    <t>Ukraine</t>
  </si>
  <si>
    <t>AE</t>
  </si>
  <si>
    <t>الإمارات العربية المتحدة</t>
  </si>
  <si>
    <t>United Arab Emirates</t>
  </si>
  <si>
    <t>Émirats Arabes Unis</t>
  </si>
  <si>
    <t>GB</t>
  </si>
  <si>
    <t>المملكة المتحدة</t>
  </si>
  <si>
    <t>United Kingdom</t>
  </si>
  <si>
    <t>Royaume-Uni</t>
  </si>
  <si>
    <t>UM</t>
  </si>
  <si>
    <t>جزر الولايات المتحدة البعيدة الصغيرة</t>
  </si>
  <si>
    <t>United States Minor Outlying Islands</t>
  </si>
  <si>
    <t>Îles Mineures Éloignées des États-Unis</t>
  </si>
  <si>
    <t>US</t>
  </si>
  <si>
    <t>الولايات المتحدة</t>
  </si>
  <si>
    <t>United States</t>
  </si>
  <si>
    <t>États-Unis</t>
  </si>
  <si>
    <t>UY</t>
  </si>
  <si>
    <t>أوروغواي</t>
  </si>
  <si>
    <t>Uruguay</t>
  </si>
  <si>
    <t>UZ</t>
  </si>
  <si>
    <t>أوزبكستان</t>
  </si>
  <si>
    <t>Uzbekistan</t>
  </si>
  <si>
    <t>Ouzbékistan</t>
  </si>
  <si>
    <t>VU</t>
  </si>
  <si>
    <t>فانواتو</t>
  </si>
  <si>
    <t>Vanuatu</t>
  </si>
  <si>
    <t>VE</t>
  </si>
  <si>
    <t>فنزويلا</t>
  </si>
  <si>
    <t>Venezuela</t>
  </si>
  <si>
    <t>VN</t>
  </si>
  <si>
    <t>فيتنام</t>
  </si>
  <si>
    <t>Vietnam</t>
  </si>
  <si>
    <t>Viêt Nam</t>
  </si>
  <si>
    <t>VG</t>
  </si>
  <si>
    <t>جزر العذراء البريطانية</t>
  </si>
  <si>
    <t>Virgin Islands (British)</t>
  </si>
  <si>
    <t>Îles Vierges Britanniques</t>
  </si>
  <si>
    <t>VI</t>
  </si>
  <si>
    <t>جزر العذراء الأمريكية</t>
  </si>
  <si>
    <t>Virgin Islands (U.S.)</t>
  </si>
  <si>
    <t>Îles Vierges des États-Unis</t>
  </si>
  <si>
    <t>WF</t>
  </si>
  <si>
    <t>والس وفوتونا</t>
  </si>
  <si>
    <t>Wallis and Futuna</t>
  </si>
  <si>
    <t>Wallis-et-Futuna</t>
  </si>
  <si>
    <t>EH</t>
  </si>
  <si>
    <t>الصحراء الغربية</t>
  </si>
  <si>
    <t>Western Sahara</t>
  </si>
  <si>
    <t>Sahara Occidental</t>
  </si>
  <si>
    <t>YE</t>
  </si>
  <si>
    <t>اليمن</t>
  </si>
  <si>
    <t>Yemen</t>
  </si>
  <si>
    <t>Yémen</t>
  </si>
  <si>
    <t>ZM</t>
  </si>
  <si>
    <t>زامبيا</t>
  </si>
  <si>
    <t>Zambia</t>
  </si>
  <si>
    <t>Zambie</t>
  </si>
  <si>
    <t>ZW</t>
  </si>
  <si>
    <t>زيمبابوي</t>
  </si>
  <si>
    <t>Zimbabwe</t>
  </si>
  <si>
    <t>أدرار</t>
  </si>
  <si>
    <t>NULL</t>
  </si>
  <si>
    <t>Adrar</t>
  </si>
  <si>
    <t>الشلف</t>
  </si>
  <si>
    <t>Chlef</t>
  </si>
  <si>
    <t>الأغواط</t>
  </si>
  <si>
    <t>Laghouat</t>
  </si>
  <si>
    <t>أم البواقي</t>
  </si>
  <si>
    <t>Oum El Bouaghi</t>
  </si>
  <si>
    <t>باتنة</t>
  </si>
  <si>
    <t>Batna</t>
  </si>
  <si>
    <t>بجاية</t>
  </si>
  <si>
    <t>Béjaïa</t>
  </si>
  <si>
    <t>بسكرة</t>
  </si>
  <si>
    <t>Biskra</t>
  </si>
  <si>
    <t>بشار</t>
  </si>
  <si>
    <t>Béchar</t>
  </si>
  <si>
    <t>البليدة</t>
  </si>
  <si>
    <t>Blida</t>
  </si>
  <si>
    <t>البويرة</t>
  </si>
  <si>
    <t>Bouïra</t>
  </si>
  <si>
    <t>تمنراست</t>
  </si>
  <si>
    <t>Tamanrasset</t>
  </si>
  <si>
    <t>تبسة</t>
  </si>
  <si>
    <t>Tébessa</t>
  </si>
  <si>
    <t>تلمسان</t>
  </si>
  <si>
    <t>Tlemcen</t>
  </si>
  <si>
    <t>تيارت</t>
  </si>
  <si>
    <t>Tiaret</t>
  </si>
  <si>
    <t>تيزي وزو</t>
  </si>
  <si>
    <t>Tizi Ouzou</t>
  </si>
  <si>
    <t>Alger</t>
  </si>
  <si>
    <t>الجلفة</t>
  </si>
  <si>
    <t>Djelfa</t>
  </si>
  <si>
    <t>جيجل</t>
  </si>
  <si>
    <t>Jijel</t>
  </si>
  <si>
    <t>سطيف</t>
  </si>
  <si>
    <t>Sétif</t>
  </si>
  <si>
    <t>سعيدة</t>
  </si>
  <si>
    <t>Saïda</t>
  </si>
  <si>
    <t>سكيكدة</t>
  </si>
  <si>
    <t>Skikda</t>
  </si>
  <si>
    <t>سيدي بلعباس</t>
  </si>
  <si>
    <t>Sidi Bel Abbès</t>
  </si>
  <si>
    <t>عنابة</t>
  </si>
  <si>
    <t>Annaba</t>
  </si>
  <si>
    <t>قالمة</t>
  </si>
  <si>
    <t>Guelma</t>
  </si>
  <si>
    <t>قسنطينة</t>
  </si>
  <si>
    <t>Constantine</t>
  </si>
  <si>
    <t>المدية</t>
  </si>
  <si>
    <t>Médéa</t>
  </si>
  <si>
    <t>مستغانم</t>
  </si>
  <si>
    <t>Mostaganem</t>
  </si>
  <si>
    <t>المسيلة</t>
  </si>
  <si>
    <t>M'Sila</t>
  </si>
  <si>
    <t>معسكر</t>
  </si>
  <si>
    <t>Mascara</t>
  </si>
  <si>
    <t>ورقلة</t>
  </si>
  <si>
    <t>Ouargla</t>
  </si>
  <si>
    <t>وهران</t>
  </si>
  <si>
    <t>Oran</t>
  </si>
  <si>
    <t>البيض</t>
  </si>
  <si>
    <t>El Bayadh</t>
  </si>
  <si>
    <t>إليزي</t>
  </si>
  <si>
    <t>Illizi</t>
  </si>
  <si>
    <t>برج بوعريريج</t>
  </si>
  <si>
    <t>Bordj Bou Arréridj</t>
  </si>
  <si>
    <t>بومرداس</t>
  </si>
  <si>
    <t>Boumerdès</t>
  </si>
  <si>
    <t>الطارف</t>
  </si>
  <si>
    <t>El Tarf</t>
  </si>
  <si>
    <t>تندوف</t>
  </si>
  <si>
    <t>Tindouf</t>
  </si>
  <si>
    <t>تيسمسيلت</t>
  </si>
  <si>
    <t>Tissemsilt</t>
  </si>
  <si>
    <t>الوادي</t>
  </si>
  <si>
    <t>El Oued</t>
  </si>
  <si>
    <t>خنشلة</t>
  </si>
  <si>
    <t>Khenchela</t>
  </si>
  <si>
    <t>سوق أهراس</t>
  </si>
  <si>
    <t>Souk Ahras</t>
  </si>
  <si>
    <t>تيبازة</t>
  </si>
  <si>
    <t>Tipaza</t>
  </si>
  <si>
    <t>ميلة</t>
  </si>
  <si>
    <t>Mila</t>
  </si>
  <si>
    <t>عين الدفلى</t>
  </si>
  <si>
    <t>Aïn Defla</t>
  </si>
  <si>
    <t>النعامة</t>
  </si>
  <si>
    <t>Naâma</t>
  </si>
  <si>
    <t>عين تموشنت</t>
  </si>
  <si>
    <t>Aïn Témouchent</t>
  </si>
  <si>
    <t>غرداية</t>
  </si>
  <si>
    <t>Ghardaïa</t>
  </si>
  <si>
    <t>غليزان</t>
  </si>
  <si>
    <t>Relizane</t>
  </si>
  <si>
    <t>تيميمون</t>
  </si>
  <si>
    <t>Timimoun</t>
  </si>
  <si>
    <t>برج باجي مختار</t>
  </si>
  <si>
    <t>Bordj Baji Mokhtar</t>
  </si>
  <si>
    <t>أولاد جلال</t>
  </si>
  <si>
    <t>Ouled Djellal</t>
  </si>
  <si>
    <t>بني عباس</t>
  </si>
  <si>
    <t>Béni Abbès</t>
  </si>
  <si>
    <t>إن صالح</t>
  </si>
  <si>
    <t>In Salah</t>
  </si>
  <si>
    <t>إن قزام</t>
  </si>
  <si>
    <t>In Guezzam</t>
  </si>
  <si>
    <t>تقرت</t>
  </si>
  <si>
    <t>Touggourt</t>
  </si>
  <si>
    <t>جانت</t>
  </si>
  <si>
    <t>Djanet</t>
  </si>
  <si>
    <t>المغير</t>
  </si>
  <si>
    <t>El M'Ghair</t>
  </si>
  <si>
    <t>المنيعة</t>
  </si>
  <si>
    <t>El Menia</t>
  </si>
  <si>
    <t>Ghardaia</t>
  </si>
  <si>
    <t>Bouira</t>
  </si>
  <si>
    <t>Saida</t>
  </si>
  <si>
    <t>Ain Defla</t>
  </si>
  <si>
    <t>Bejaia</t>
  </si>
  <si>
    <t>Bechar</t>
  </si>
  <si>
    <t>Tebessa</t>
  </si>
  <si>
    <t>Setif</t>
  </si>
  <si>
    <t>Medea</t>
  </si>
  <si>
    <t>Bordj Bou Arreridj</t>
  </si>
  <si>
    <t>Ain Temouchent</t>
  </si>
  <si>
    <t>Beni Abbes</t>
  </si>
  <si>
    <t>Sidi Bel Abbes</t>
  </si>
  <si>
    <t>Boumerdes</t>
  </si>
  <si>
    <t>01</t>
  </si>
  <si>
    <t>02</t>
  </si>
  <si>
    <t>03</t>
  </si>
  <si>
    <t>04</t>
  </si>
  <si>
    <t>05</t>
  </si>
  <si>
    <t>06</t>
  </si>
  <si>
    <t>07</t>
  </si>
  <si>
    <t>08</t>
  </si>
  <si>
    <t>09</t>
  </si>
  <si>
    <t>Aoulef</t>
  </si>
  <si>
    <t>أولف</t>
  </si>
  <si>
    <t>Aougrout</t>
  </si>
  <si>
    <t>أوقروت</t>
  </si>
  <si>
    <t>Bordj Badji Mokhtar</t>
  </si>
  <si>
    <t>Charouine</t>
  </si>
  <si>
    <t>شروين</t>
  </si>
  <si>
    <t>Fenoughil</t>
  </si>
  <si>
    <t>فنوغيل</t>
  </si>
  <si>
    <t>Zaouiat Kounta</t>
  </si>
  <si>
    <t>زاوية كنتة</t>
  </si>
  <si>
    <t>Tinerkouk</t>
  </si>
  <si>
    <t>تنركوك</t>
  </si>
  <si>
    <t>Reggane</t>
  </si>
  <si>
    <t>رقان</t>
  </si>
  <si>
    <t>Tsabit</t>
  </si>
  <si>
    <t>تسابيت</t>
  </si>
  <si>
    <t>Abou El Hassane</t>
  </si>
  <si>
    <t>أبو الحسن</t>
  </si>
  <si>
    <t>Ain Merane</t>
  </si>
  <si>
    <t>عين مران</t>
  </si>
  <si>
    <t>Zeboudja</t>
  </si>
  <si>
    <t>الزبوجة</t>
  </si>
  <si>
    <t>El Karimia</t>
  </si>
  <si>
    <t>الكريمية</t>
  </si>
  <si>
    <t>Beni Haoua</t>
  </si>
  <si>
    <t>بني حواء</t>
  </si>
  <si>
    <t>Oued Fodda</t>
  </si>
  <si>
    <t>وادي الفضة</t>
  </si>
  <si>
    <t>Boukadir</t>
  </si>
  <si>
    <t>بوقادير</t>
  </si>
  <si>
    <t>Ouled Fares</t>
  </si>
  <si>
    <t>أولاد فارس</t>
  </si>
  <si>
    <t>Taougrit</t>
  </si>
  <si>
    <t>تاوقريت</t>
  </si>
  <si>
    <t>Ouled Ben Abdelkader</t>
  </si>
  <si>
    <t>أولاد بن عبد القادر</t>
  </si>
  <si>
    <t>El Marsa</t>
  </si>
  <si>
    <t>المرسى</t>
  </si>
  <si>
    <t>Tenes</t>
  </si>
  <si>
    <t>تنس</t>
  </si>
  <si>
    <t>Aflou</t>
  </si>
  <si>
    <t>أفلو</t>
  </si>
  <si>
    <t>Ain Madhi</t>
  </si>
  <si>
    <t>عين ماضي</t>
  </si>
  <si>
    <t>Gueltat Sidi Saad</t>
  </si>
  <si>
    <t>قتلة سيدي سعيد</t>
  </si>
  <si>
    <t>Ksar El Hirane</t>
  </si>
  <si>
    <t>قصر الحيران</t>
  </si>
  <si>
    <t>Brida</t>
  </si>
  <si>
    <t>بريدة</t>
  </si>
  <si>
    <t>Sidi Makhlouf</t>
  </si>
  <si>
    <t>سيدي مخلوف</t>
  </si>
  <si>
    <t>El Ghicha</t>
  </si>
  <si>
    <t>الغيشة</t>
  </si>
  <si>
    <t>Hassi R'mel</t>
  </si>
  <si>
    <t>حاسي الرمل</t>
  </si>
  <si>
    <t>Oued Morra</t>
  </si>
  <si>
    <t>وادي مرة</t>
  </si>
  <si>
    <t>Ain Babouche</t>
  </si>
  <si>
    <t>عين ببوش</t>
  </si>
  <si>
    <t>Ain Beida</t>
  </si>
  <si>
    <t>عين البيضاء</t>
  </si>
  <si>
    <t>Ain Fekroun</t>
  </si>
  <si>
    <t>عين فكرون</t>
  </si>
  <si>
    <t>Ain Kercha</t>
  </si>
  <si>
    <t>عين كرشة</t>
  </si>
  <si>
    <t>Ain M'lila</t>
  </si>
  <si>
    <t>عين مليلة</t>
  </si>
  <si>
    <t>Meskiana</t>
  </si>
  <si>
    <t>مسكيانة</t>
  </si>
  <si>
    <t>Souk Naamane</t>
  </si>
  <si>
    <t>سوق نعمان</t>
  </si>
  <si>
    <t>Dhalaa</t>
  </si>
  <si>
    <t>الضلعة</t>
  </si>
  <si>
    <t>Sigus</t>
  </si>
  <si>
    <t>سيقوس</t>
  </si>
  <si>
    <t>F'kirina</t>
  </si>
  <si>
    <t>فكيرينة</t>
  </si>
  <si>
    <t>Ksar Sbahi</t>
  </si>
  <si>
    <t>قصر الصباحي</t>
  </si>
  <si>
    <t>Ain Djasser</t>
  </si>
  <si>
    <t>عين جاسر</t>
  </si>
  <si>
    <t>Ain Touta</t>
  </si>
  <si>
    <t>عين التوتة</t>
  </si>
  <si>
    <t>El Madher</t>
  </si>
  <si>
    <t>المعذر</t>
  </si>
  <si>
    <t>Arris</t>
  </si>
  <si>
    <t>أريس</t>
  </si>
  <si>
    <t>Djezzar</t>
  </si>
  <si>
    <t>الجزار</t>
  </si>
  <si>
    <t>Barika</t>
  </si>
  <si>
    <t>بريكة</t>
  </si>
  <si>
    <t>Chemora</t>
  </si>
  <si>
    <t>الشمرة</t>
  </si>
  <si>
    <t>N'gaous</t>
  </si>
  <si>
    <t>نقاوس</t>
  </si>
  <si>
    <t>Bouzina</t>
  </si>
  <si>
    <t>بوزينة</t>
  </si>
  <si>
    <t>Theniet El Abed</t>
  </si>
  <si>
    <t>ثنية العابد</t>
  </si>
  <si>
    <t>Ichemoul</t>
  </si>
  <si>
    <t>إشمول</t>
  </si>
  <si>
    <t>Tkout</t>
  </si>
  <si>
    <t>تكوت</t>
  </si>
  <si>
    <t>Ras El Aioun</t>
  </si>
  <si>
    <t>رأس العيون</t>
  </si>
  <si>
    <t>Merouana</t>
  </si>
  <si>
    <t>مروانة</t>
  </si>
  <si>
    <t>Seriana</t>
  </si>
  <si>
    <t>سريانة</t>
  </si>
  <si>
    <t>Ouled Si Slimane</t>
  </si>
  <si>
    <t>أولاد سي سليمان</t>
  </si>
  <si>
    <t>Menaa</t>
  </si>
  <si>
    <t>منعة</t>
  </si>
  <si>
    <t>Timgad</t>
  </si>
  <si>
    <t>تيمقاد</t>
  </si>
  <si>
    <t>Tazoult</t>
  </si>
  <si>
    <t>تازولت</t>
  </si>
  <si>
    <t>Seggana</t>
  </si>
  <si>
    <t>سقانة</t>
  </si>
  <si>
    <t>Adekar</t>
  </si>
  <si>
    <t>أدكار</t>
  </si>
  <si>
    <t>Ighil Ali</t>
  </si>
  <si>
    <t>إغيل علي</t>
  </si>
  <si>
    <t>Darguina</t>
  </si>
  <si>
    <t>درقينة</t>
  </si>
  <si>
    <t>Akbou</t>
  </si>
  <si>
    <t>أقبو</t>
  </si>
  <si>
    <t>Chemini</t>
  </si>
  <si>
    <t>شميني</t>
  </si>
  <si>
    <t>Seddouk</t>
  </si>
  <si>
    <t>صدوق</t>
  </si>
  <si>
    <t>Amizour</t>
  </si>
  <si>
    <t>أميزور</t>
  </si>
  <si>
    <t>Aokas</t>
  </si>
  <si>
    <t>أوقاس</t>
  </si>
  <si>
    <t>Barbacha</t>
  </si>
  <si>
    <t>برباشة</t>
  </si>
  <si>
    <t>Tazmalt</t>
  </si>
  <si>
    <t>تازملت</t>
  </si>
  <si>
    <t>Beni Maouche</t>
  </si>
  <si>
    <t>بني معوش</t>
  </si>
  <si>
    <t>Tichy</t>
  </si>
  <si>
    <t>تيشي</t>
  </si>
  <si>
    <t>Kherrata</t>
  </si>
  <si>
    <t>خراطة</t>
  </si>
  <si>
    <t>Sidi Aich</t>
  </si>
  <si>
    <t>سيدي عيش</t>
  </si>
  <si>
    <t>El Kseur</t>
  </si>
  <si>
    <t>القصر</t>
  </si>
  <si>
    <t>Ifri Ouzellaguene</t>
  </si>
  <si>
    <t>إفري أوزلاقن</t>
  </si>
  <si>
    <t>Souk El Tenine</t>
  </si>
  <si>
    <t>سوق الإثنين</t>
  </si>
  <si>
    <t>Timezrit</t>
  </si>
  <si>
    <t>تيمزريت</t>
  </si>
  <si>
    <t>Sidi Okba</t>
  </si>
  <si>
    <t>سيدي عقبة</t>
  </si>
  <si>
    <t>El Kantara</t>
  </si>
  <si>
    <t>القنطرة</t>
  </si>
  <si>
    <t>Sidi Khaled</t>
  </si>
  <si>
    <t>سيدي  خالد</t>
  </si>
  <si>
    <t>Tolga</t>
  </si>
  <si>
    <t>طولقة</t>
  </si>
  <si>
    <t>Djemorah</t>
  </si>
  <si>
    <t>جمورة</t>
  </si>
  <si>
    <t>Zeribet El Oued</t>
  </si>
  <si>
    <t>زريبة الوادي</t>
  </si>
  <si>
    <t>Foughala</t>
  </si>
  <si>
    <t>فوغالة</t>
  </si>
  <si>
    <t>El Outaya</t>
  </si>
  <si>
    <t>الوطاية</t>
  </si>
  <si>
    <t>Ourlal</t>
  </si>
  <si>
    <t>أورلال</t>
  </si>
  <si>
    <t>Mechouneche</t>
  </si>
  <si>
    <t>مشونش</t>
  </si>
  <si>
    <t>Abadla</t>
  </si>
  <si>
    <t>العبادلة</t>
  </si>
  <si>
    <t>Kerzaz</t>
  </si>
  <si>
    <t>كرزاز</t>
  </si>
  <si>
    <t>Beni Ounif</t>
  </si>
  <si>
    <t>بني ونيف</t>
  </si>
  <si>
    <t>Lahmar</t>
  </si>
  <si>
    <t>لحمر</t>
  </si>
  <si>
    <t>El Ouata</t>
  </si>
  <si>
    <t>الواتة</t>
  </si>
  <si>
    <t>Igli</t>
  </si>
  <si>
    <t>إقلي</t>
  </si>
  <si>
    <t>Kenadsa</t>
  </si>
  <si>
    <t>القنادسة</t>
  </si>
  <si>
    <t>Ouled Khodeir</t>
  </si>
  <si>
    <t>أولاد خضير</t>
  </si>
  <si>
    <t>Tabelbala</t>
  </si>
  <si>
    <t>تبلبالة</t>
  </si>
  <si>
    <t>Taghit</t>
  </si>
  <si>
    <t>تاغيت</t>
  </si>
  <si>
    <t>Mouzaia</t>
  </si>
  <si>
    <t>موزاية</t>
  </si>
  <si>
    <t>Ouled Yaich</t>
  </si>
  <si>
    <t>أولاد يعيش</t>
  </si>
  <si>
    <t>Oued El Alleug</t>
  </si>
  <si>
    <t>وادي العلايق</t>
  </si>
  <si>
    <t>Boufarik</t>
  </si>
  <si>
    <t>بوفاريك</t>
  </si>
  <si>
    <t>Bougara</t>
  </si>
  <si>
    <t>بوقرة</t>
  </si>
  <si>
    <t>Bouinan</t>
  </si>
  <si>
    <t>بوعينان</t>
  </si>
  <si>
    <t>Meftah</t>
  </si>
  <si>
    <t>مفتاح</t>
  </si>
  <si>
    <t>El Affroun</t>
  </si>
  <si>
    <t>العفرون</t>
  </si>
  <si>
    <t>Larbaa</t>
  </si>
  <si>
    <t>الأربعاء</t>
  </si>
  <si>
    <t>M'chedallah</t>
  </si>
  <si>
    <t>مشد الله</t>
  </si>
  <si>
    <t>Bechloul</t>
  </si>
  <si>
    <t>بشلول</t>
  </si>
  <si>
    <t>Ain Bessem</t>
  </si>
  <si>
    <t>عين بسام</t>
  </si>
  <si>
    <t>Kadiria</t>
  </si>
  <si>
    <t>القادرية</t>
  </si>
  <si>
    <t>Bir Ghbalou</t>
  </si>
  <si>
    <t>بئر غبالو</t>
  </si>
  <si>
    <t>Bordj Okhriss</t>
  </si>
  <si>
    <t>برج أوخريص</t>
  </si>
  <si>
    <t>Lakhdaria</t>
  </si>
  <si>
    <t>الأخضرية</t>
  </si>
  <si>
    <t>Sour El Ghozlane</t>
  </si>
  <si>
    <t>سور الغزلان</t>
  </si>
  <si>
    <t>El Hachimia</t>
  </si>
  <si>
    <t>الهاشمية</t>
  </si>
  <si>
    <t>Souk El Khemis</t>
  </si>
  <si>
    <t>سوق الخميس</t>
  </si>
  <si>
    <t>Haizer</t>
  </si>
  <si>
    <t>الحيزر</t>
  </si>
  <si>
    <t>Silet</t>
  </si>
  <si>
    <t>سيلت</t>
  </si>
  <si>
    <t>عين قزام</t>
  </si>
  <si>
    <t>عين صالح</t>
  </si>
  <si>
    <t>Tazrouk</t>
  </si>
  <si>
    <t>تاظروك</t>
  </si>
  <si>
    <t>In Ghar</t>
  </si>
  <si>
    <t>إينغر</t>
  </si>
  <si>
    <t>Tin Zouatine</t>
  </si>
  <si>
    <t>تين زواتين</t>
  </si>
  <si>
    <t>Ouenza</t>
  </si>
  <si>
    <t>الونزة</t>
  </si>
  <si>
    <t>El Ogla</t>
  </si>
  <si>
    <t>العقلة</t>
  </si>
  <si>
    <t>El Kouif</t>
  </si>
  <si>
    <t>الكويف</t>
  </si>
  <si>
    <t>Morsott</t>
  </si>
  <si>
    <t>مرسط</t>
  </si>
  <si>
    <t>Bir Mokadem</t>
  </si>
  <si>
    <t>بئر مقدم</t>
  </si>
  <si>
    <t>Bir El Ater</t>
  </si>
  <si>
    <t>بئر العاتر</t>
  </si>
  <si>
    <t>El Aouinet</t>
  </si>
  <si>
    <t>العوينات</t>
  </si>
  <si>
    <t>Cheria</t>
  </si>
  <si>
    <t>الشريعة</t>
  </si>
  <si>
    <t>El Malabiod</t>
  </si>
  <si>
    <t>الماء الابيض</t>
  </si>
  <si>
    <t>Negrine</t>
  </si>
  <si>
    <t>نقرين</t>
  </si>
  <si>
    <t>Oum Ali</t>
  </si>
  <si>
    <t>أم علي</t>
  </si>
  <si>
    <t>Fellaoucene</t>
  </si>
  <si>
    <t>فلاوسن</t>
  </si>
  <si>
    <t>Chetouane</t>
  </si>
  <si>
    <t>شتوان</t>
  </si>
  <si>
    <t>Mansourah</t>
  </si>
  <si>
    <t>منصورة</t>
  </si>
  <si>
    <t>Ain Tellout</t>
  </si>
  <si>
    <t>عين تالوت</t>
  </si>
  <si>
    <t>Remchi</t>
  </si>
  <si>
    <t>الرمشي</t>
  </si>
  <si>
    <t>Bab El Assa</t>
  </si>
  <si>
    <t>باب العسة</t>
  </si>
  <si>
    <t>Beni Snous</t>
  </si>
  <si>
    <t>بني سنوس</t>
  </si>
  <si>
    <t>Beni Boussaid</t>
  </si>
  <si>
    <t>بني بوسعيد</t>
  </si>
  <si>
    <t>Honnaine</t>
  </si>
  <si>
    <t>هنين</t>
  </si>
  <si>
    <t>Ouled Mimoun</t>
  </si>
  <si>
    <t>أولاد ميمون</t>
  </si>
  <si>
    <t>Bensekrane</t>
  </si>
  <si>
    <t>بن سكران</t>
  </si>
  <si>
    <t>Sabra</t>
  </si>
  <si>
    <t>صبرة</t>
  </si>
  <si>
    <t>Sidi Djillali</t>
  </si>
  <si>
    <t>سيدي الجيلالي</t>
  </si>
  <si>
    <t>Ghazaouet</t>
  </si>
  <si>
    <t>الغزوات</t>
  </si>
  <si>
    <t>Nedroma</t>
  </si>
  <si>
    <t>ندرومة</t>
  </si>
  <si>
    <t>Sebdou</t>
  </si>
  <si>
    <t>سبدو</t>
  </si>
  <si>
    <t>Maghnia</t>
  </si>
  <si>
    <t>مغنية</t>
  </si>
  <si>
    <t>Hennaya</t>
  </si>
  <si>
    <t>الحناية</t>
  </si>
  <si>
    <t>Marsa Ben Mehdi</t>
  </si>
  <si>
    <t>مرسى بن مهيدي</t>
  </si>
  <si>
    <t>Dahmouni</t>
  </si>
  <si>
    <t>دحموني</t>
  </si>
  <si>
    <t>Ain Deheb</t>
  </si>
  <si>
    <t>عين الذهب</t>
  </si>
  <si>
    <t>Mahdia</t>
  </si>
  <si>
    <t>مهدية</t>
  </si>
  <si>
    <t>Frenda</t>
  </si>
  <si>
    <t>فرندة</t>
  </si>
  <si>
    <t>Ain Kermes</t>
  </si>
  <si>
    <t>عين كرمس</t>
  </si>
  <si>
    <t>Hamadia</t>
  </si>
  <si>
    <t>حمادية</t>
  </si>
  <si>
    <t>Mechraa Sfa</t>
  </si>
  <si>
    <t>مشرع الصفا</t>
  </si>
  <si>
    <t>Sougueur</t>
  </si>
  <si>
    <t>السوقر</t>
  </si>
  <si>
    <t>Rahouia</t>
  </si>
  <si>
    <t>رحوية</t>
  </si>
  <si>
    <t>Ksar Chellala</t>
  </si>
  <si>
    <t>قصر الشلالة</t>
  </si>
  <si>
    <t>Medroussa</t>
  </si>
  <si>
    <t>مدروسة</t>
  </si>
  <si>
    <t>Meghila</t>
  </si>
  <si>
    <t>مغيلة</t>
  </si>
  <si>
    <t>Oued Lili</t>
  </si>
  <si>
    <t>وادي ليلي</t>
  </si>
  <si>
    <t>Ain El Hammam</t>
  </si>
  <si>
    <t>عين الحمام</t>
  </si>
  <si>
    <t>Azeffoun</t>
  </si>
  <si>
    <t>أزفون</t>
  </si>
  <si>
    <t>Ouadhias</t>
  </si>
  <si>
    <t>واضية</t>
  </si>
  <si>
    <t>Draa El Mizan</t>
  </si>
  <si>
    <t>ذراع الميزان</t>
  </si>
  <si>
    <t>Larbaa Nath Iraten</t>
  </si>
  <si>
    <t>الأربعاء ناث إيراثن</t>
  </si>
  <si>
    <t>Ouacif</t>
  </si>
  <si>
    <t>واسيف</t>
  </si>
  <si>
    <t>Mekla</t>
  </si>
  <si>
    <t>مقلع</t>
  </si>
  <si>
    <t>Ouaguenoun</t>
  </si>
  <si>
    <t>واقنون</t>
  </si>
  <si>
    <t>Beni Douala</t>
  </si>
  <si>
    <t>بني دوالة</t>
  </si>
  <si>
    <t>Tizi Rached</t>
  </si>
  <si>
    <t>تيزي راشد</t>
  </si>
  <si>
    <t>Boghni</t>
  </si>
  <si>
    <t>بوغني</t>
  </si>
  <si>
    <t>Azazga</t>
  </si>
  <si>
    <t>عزازقة</t>
  </si>
  <si>
    <t>Benni Yenni</t>
  </si>
  <si>
    <t>بني يني</t>
  </si>
  <si>
    <t>Bouzeguene</t>
  </si>
  <si>
    <t>بوزقن</t>
  </si>
  <si>
    <t>Makouda</t>
  </si>
  <si>
    <t>ماكودة</t>
  </si>
  <si>
    <t>Draa Ben Khedda</t>
  </si>
  <si>
    <t>ذراع بن خدة</t>
  </si>
  <si>
    <t>Iferhounene</t>
  </si>
  <si>
    <t>إفرحونان</t>
  </si>
  <si>
    <t>Tigzirt</t>
  </si>
  <si>
    <t>تيقزيرت</t>
  </si>
  <si>
    <t>Maatkas</t>
  </si>
  <si>
    <t>معاتقة</t>
  </si>
  <si>
    <t>Tizi-Ghenif</t>
  </si>
  <si>
    <t>تيزي غنيف</t>
  </si>
  <si>
    <t>Cheraga</t>
  </si>
  <si>
    <t>الشراقة</t>
  </si>
  <si>
    <t>Dar El Beida</t>
  </si>
  <si>
    <t>الدار البيضاء</t>
  </si>
  <si>
    <t>Sidi M'hamed</t>
  </si>
  <si>
    <t>سيدي امحمد</t>
  </si>
  <si>
    <t>Bab El Oued</t>
  </si>
  <si>
    <t>باب الوادي</t>
  </si>
  <si>
    <t>Draria</t>
  </si>
  <si>
    <t>الدرارية</t>
  </si>
  <si>
    <t>El Harrach</t>
  </si>
  <si>
    <t>الحراش</t>
  </si>
  <si>
    <t>Baraki</t>
  </si>
  <si>
    <t>براقي</t>
  </si>
  <si>
    <t>Bouzareah</t>
  </si>
  <si>
    <t>بوزريعة</t>
  </si>
  <si>
    <t>Bir Mourad Rais</t>
  </si>
  <si>
    <t>بئر مراد رايس</t>
  </si>
  <si>
    <t>Birtouta</t>
  </si>
  <si>
    <t>بئر توتة</t>
  </si>
  <si>
    <t>Hussein Dey</t>
  </si>
  <si>
    <t>حسين داي</t>
  </si>
  <si>
    <t>Rouiba</t>
  </si>
  <si>
    <t>الرويبة</t>
  </si>
  <si>
    <t>Zeralda</t>
  </si>
  <si>
    <t>زرالدة</t>
  </si>
  <si>
    <t>El Idrissia</t>
  </si>
  <si>
    <t>الادريسية</t>
  </si>
  <si>
    <t>Ain El Ibel</t>
  </si>
  <si>
    <t>عين الإبل</t>
  </si>
  <si>
    <t>Had Sahary</t>
  </si>
  <si>
    <t>حد الصحاري</t>
  </si>
  <si>
    <t>Hassi Bahbah</t>
  </si>
  <si>
    <t>حاسي بحبح</t>
  </si>
  <si>
    <t>Ain Oussera</t>
  </si>
  <si>
    <t>عين وسارة</t>
  </si>
  <si>
    <t>Faidh El Botma</t>
  </si>
  <si>
    <t>فيض البطمة</t>
  </si>
  <si>
    <t>Birine</t>
  </si>
  <si>
    <t>بيرين</t>
  </si>
  <si>
    <t>Charef</t>
  </si>
  <si>
    <t>الشارف</t>
  </si>
  <si>
    <t>Dar Chioukh</t>
  </si>
  <si>
    <t>دار الشيوخ</t>
  </si>
  <si>
    <t>Messaad</t>
  </si>
  <si>
    <t>مسعد</t>
  </si>
  <si>
    <t>Sidi Laadjel</t>
  </si>
  <si>
    <t>سيدي لعجال</t>
  </si>
  <si>
    <t>Chekfa</t>
  </si>
  <si>
    <t>الشقفة</t>
  </si>
  <si>
    <t>Djimla</t>
  </si>
  <si>
    <t>جيملة</t>
  </si>
  <si>
    <t>El Ancer</t>
  </si>
  <si>
    <t>العنصر</t>
  </si>
  <si>
    <t>Taher</t>
  </si>
  <si>
    <t>الطاهير</t>
  </si>
  <si>
    <t>El Aouana</t>
  </si>
  <si>
    <t>العوانة</t>
  </si>
  <si>
    <t>El Milia</t>
  </si>
  <si>
    <t>الميلية</t>
  </si>
  <si>
    <t>Ziamah Mansouriah</t>
  </si>
  <si>
    <t>زيامة منصورية</t>
  </si>
  <si>
    <t>Settara</t>
  </si>
  <si>
    <t>السطارة</t>
  </si>
  <si>
    <t>Texenna</t>
  </si>
  <si>
    <t>تاكسنة</t>
  </si>
  <si>
    <t>Sidi Marouf</t>
  </si>
  <si>
    <t>سيدي معروف</t>
  </si>
  <si>
    <t>Ain Arnat</t>
  </si>
  <si>
    <t>عين أرنات</t>
  </si>
  <si>
    <t>Ain Azel</t>
  </si>
  <si>
    <t>عين أزال</t>
  </si>
  <si>
    <t>Ain El Kebira</t>
  </si>
  <si>
    <t>عين الكبيرة</t>
  </si>
  <si>
    <t>Ain Oulmene</t>
  </si>
  <si>
    <t>عين ولمان</t>
  </si>
  <si>
    <t>Beni Ourtilane</t>
  </si>
  <si>
    <t>بني ورتيلان</t>
  </si>
  <si>
    <t>Bougaa</t>
  </si>
  <si>
    <t>بوقاعة</t>
  </si>
  <si>
    <t>Beni Aziz</t>
  </si>
  <si>
    <t>بني عزيز</t>
  </si>
  <si>
    <t>Bouandas</t>
  </si>
  <si>
    <t>بوعنداس</t>
  </si>
  <si>
    <t>Amoucha</t>
  </si>
  <si>
    <t>عموشة</t>
  </si>
  <si>
    <t>Babor</t>
  </si>
  <si>
    <t>بابور</t>
  </si>
  <si>
    <t>El Eulma</t>
  </si>
  <si>
    <t>العلمة</t>
  </si>
  <si>
    <t>Bir El Arch</t>
  </si>
  <si>
    <t>بئر العرش</t>
  </si>
  <si>
    <t>Djemila</t>
  </si>
  <si>
    <t>جميلة</t>
  </si>
  <si>
    <t>Salah Bey</t>
  </si>
  <si>
    <t>صالح باي</t>
  </si>
  <si>
    <t>Hammam Guergour</t>
  </si>
  <si>
    <t>حمام قرقور</t>
  </si>
  <si>
    <t>Guenzet</t>
  </si>
  <si>
    <t>قنزات</t>
  </si>
  <si>
    <t>Guidjel</t>
  </si>
  <si>
    <t>قجال</t>
  </si>
  <si>
    <t>Hammam Sokhna</t>
  </si>
  <si>
    <t>حمام السخنة</t>
  </si>
  <si>
    <t>Maoklane</t>
  </si>
  <si>
    <t>ماوكلان</t>
  </si>
  <si>
    <t>Ain El Hadjar</t>
  </si>
  <si>
    <t>عين الحجر</t>
  </si>
  <si>
    <t>El Hassasna</t>
  </si>
  <si>
    <t>الحساسنة</t>
  </si>
  <si>
    <t>Ouled Brahim</t>
  </si>
  <si>
    <t>أولاد ابراهيم</t>
  </si>
  <si>
    <t>Youb</t>
  </si>
  <si>
    <t>يوب</t>
  </si>
  <si>
    <t>Sidi Boubekeur</t>
  </si>
  <si>
    <t>سيدي بوبكر</t>
  </si>
  <si>
    <t>Sidi Mezghiche</t>
  </si>
  <si>
    <t>سيدي مزغيش</t>
  </si>
  <si>
    <t>Azzaba</t>
  </si>
  <si>
    <t>عزابة</t>
  </si>
  <si>
    <t>Ain Kechra</t>
  </si>
  <si>
    <t>عين قشرة</t>
  </si>
  <si>
    <t>El Hadaiek</t>
  </si>
  <si>
    <t>الحدائق</t>
  </si>
  <si>
    <t>Ben Azzouz</t>
  </si>
  <si>
    <t>بن عزوز</t>
  </si>
  <si>
    <t>Ramdane Djamel</t>
  </si>
  <si>
    <t>رمضان جمال</t>
  </si>
  <si>
    <t>Collo</t>
  </si>
  <si>
    <t>القل</t>
  </si>
  <si>
    <t>Tamalous</t>
  </si>
  <si>
    <t>تمالوس</t>
  </si>
  <si>
    <t>El Harrouch</t>
  </si>
  <si>
    <t>الحروش</t>
  </si>
  <si>
    <t>Zitouna</t>
  </si>
  <si>
    <t>الزيتونة</t>
  </si>
  <si>
    <t>Ouled Attia</t>
  </si>
  <si>
    <t>أولاد عطية</t>
  </si>
  <si>
    <t>Oum Toub</t>
  </si>
  <si>
    <t>أم الطوب</t>
  </si>
  <si>
    <t>Ain El Berd</t>
  </si>
  <si>
    <t>عين البرد</t>
  </si>
  <si>
    <t>Sidi Ali Boussidi</t>
  </si>
  <si>
    <t>سيدي علي بوسيدي</t>
  </si>
  <si>
    <t>Tessala</t>
  </si>
  <si>
    <t>تسالة</t>
  </si>
  <si>
    <t>Moulay Slissen</t>
  </si>
  <si>
    <t>مولاي سليسن</t>
  </si>
  <si>
    <t>Sfisef</t>
  </si>
  <si>
    <t>سفيزف</t>
  </si>
  <si>
    <t>Sidi Lahcene</t>
  </si>
  <si>
    <t>سيدي لحسن</t>
  </si>
  <si>
    <t>Ben Badis</t>
  </si>
  <si>
    <t>بن باديس</t>
  </si>
  <si>
    <t>Mostefa  Ben Brahim</t>
  </si>
  <si>
    <t>مصطفى بن ابراهيم</t>
  </si>
  <si>
    <t>Tenira</t>
  </si>
  <si>
    <t>تنيرة</t>
  </si>
  <si>
    <t>Marhoum</t>
  </si>
  <si>
    <t>مرحوم</t>
  </si>
  <si>
    <t>Sidi Ali Ben Youb</t>
  </si>
  <si>
    <t>سيدي علي بن يوب</t>
  </si>
  <si>
    <t>Telagh</t>
  </si>
  <si>
    <t>تلاغ</t>
  </si>
  <si>
    <t>Merine</t>
  </si>
  <si>
    <t>مرين</t>
  </si>
  <si>
    <t>Ras El Ma</t>
  </si>
  <si>
    <t>راس الماء</t>
  </si>
  <si>
    <t>Ain El Berda</t>
  </si>
  <si>
    <t>عين الباردة</t>
  </si>
  <si>
    <t>Berrahal</t>
  </si>
  <si>
    <t>برحال</t>
  </si>
  <si>
    <t>Chetaibi</t>
  </si>
  <si>
    <t>شطايبي</t>
  </si>
  <si>
    <t>El Bouni</t>
  </si>
  <si>
    <t>البوني</t>
  </si>
  <si>
    <t>El Hadjar</t>
  </si>
  <si>
    <t>الحجار</t>
  </si>
  <si>
    <t>Bouchegouf</t>
  </si>
  <si>
    <t>بوشقوف</t>
  </si>
  <si>
    <t>Ain Makhlouf</t>
  </si>
  <si>
    <t>عين مخلوف</t>
  </si>
  <si>
    <t>Oued Zenati</t>
  </si>
  <si>
    <t>وادي الزناتي</t>
  </si>
  <si>
    <t>Khezaras</t>
  </si>
  <si>
    <t>خزارة</t>
  </si>
  <si>
    <t>Guelaat Bousbaa</t>
  </si>
  <si>
    <t>قلعة بوصبع</t>
  </si>
  <si>
    <t>Hammam Debagh</t>
  </si>
  <si>
    <t>حمام دباغ</t>
  </si>
  <si>
    <t>Heliopolis</t>
  </si>
  <si>
    <t>هيليوبوليس</t>
  </si>
  <si>
    <t>Hammam N'bails</t>
  </si>
  <si>
    <t>حمام النبايل</t>
  </si>
  <si>
    <t>Ain Hessainia</t>
  </si>
  <si>
    <t>عين حساينية</t>
  </si>
  <si>
    <t>Ain Abid</t>
  </si>
  <si>
    <t>عين عبيد</t>
  </si>
  <si>
    <t>El Khroub</t>
  </si>
  <si>
    <t>الخروب</t>
  </si>
  <si>
    <t>Zighoud Youcef</t>
  </si>
  <si>
    <t>زيغود يوسف</t>
  </si>
  <si>
    <t>Hamma Bouziane</t>
  </si>
  <si>
    <t>حامة بوزيان</t>
  </si>
  <si>
    <t>Ibn Ziad</t>
  </si>
  <si>
    <t>ابن زياد</t>
  </si>
  <si>
    <t>Ain Boucif</t>
  </si>
  <si>
    <t>عين بوسيف</t>
  </si>
  <si>
    <t>Chellalat El Adhaoura</t>
  </si>
  <si>
    <t>شلالة العذاورة</t>
  </si>
  <si>
    <t>Tablat</t>
  </si>
  <si>
    <t>تابلاط</t>
  </si>
  <si>
    <t>Aziz</t>
  </si>
  <si>
    <t>عزيز</t>
  </si>
  <si>
    <t>El Omaria</t>
  </si>
  <si>
    <t>العمارية</t>
  </si>
  <si>
    <t>Ouzera</t>
  </si>
  <si>
    <t>وزرة</t>
  </si>
  <si>
    <t>Beni Slimane</t>
  </si>
  <si>
    <t>بني سليمان</t>
  </si>
  <si>
    <t>Berrouaghia</t>
  </si>
  <si>
    <t>البرواقية</t>
  </si>
  <si>
    <t>Guelb El Kebir</t>
  </si>
  <si>
    <t>القلب الكبير</t>
  </si>
  <si>
    <t>Ouled Antar</t>
  </si>
  <si>
    <t>أولاد عنتر</t>
  </si>
  <si>
    <t>Chahbounia</t>
  </si>
  <si>
    <t>الشهبونية</t>
  </si>
  <si>
    <t>Si Mahdjoub</t>
  </si>
  <si>
    <t>سي المحجوب</t>
  </si>
  <si>
    <t>Sidi Naamane</t>
  </si>
  <si>
    <t>سيدي نعمان</t>
  </si>
  <si>
    <t>Souaghi</t>
  </si>
  <si>
    <t>السواقي</t>
  </si>
  <si>
    <t>El Azizia</t>
  </si>
  <si>
    <t>العزيزية</t>
  </si>
  <si>
    <t>Ouamri</t>
  </si>
  <si>
    <t>عوامري</t>
  </si>
  <si>
    <t>Ksar El Boukhari</t>
  </si>
  <si>
    <t>قصر البخاري</t>
  </si>
  <si>
    <t>Seghouane</t>
  </si>
  <si>
    <t>سغوان</t>
  </si>
  <si>
    <t>Achaacha</t>
  </si>
  <si>
    <t>عشعاشة</t>
  </si>
  <si>
    <t>Kheir Eddine</t>
  </si>
  <si>
    <t>خير الدين</t>
  </si>
  <si>
    <t>Ain Nouicy</t>
  </si>
  <si>
    <t>عين نويسي</t>
  </si>
  <si>
    <t>Mesra</t>
  </si>
  <si>
    <t>ماسرة</t>
  </si>
  <si>
    <t>Ain Tedeles</t>
  </si>
  <si>
    <t>عين تادلس</t>
  </si>
  <si>
    <t>Sidi Lakhdar</t>
  </si>
  <si>
    <t>سيدي لخضر</t>
  </si>
  <si>
    <t>Bouguirat</t>
  </si>
  <si>
    <t>بوقيراط</t>
  </si>
  <si>
    <t>Hassi Mameche</t>
  </si>
  <si>
    <t>حاسي ماماش</t>
  </si>
  <si>
    <t>Sidi Ali</t>
  </si>
  <si>
    <t>سيدي علي</t>
  </si>
  <si>
    <t>Ain El Hadjel</t>
  </si>
  <si>
    <t>عين الحجل</t>
  </si>
  <si>
    <t>Ain El Melh</t>
  </si>
  <si>
    <t>عين الملح</t>
  </si>
  <si>
    <t>Magra</t>
  </si>
  <si>
    <t>مقرة</t>
  </si>
  <si>
    <t>Ben Srour</t>
  </si>
  <si>
    <t>بن سرور</t>
  </si>
  <si>
    <t>Sidi Aissa</t>
  </si>
  <si>
    <t>سيدي عيسى</t>
  </si>
  <si>
    <t>Ouled Sidi Brahim</t>
  </si>
  <si>
    <t>أولاد سيدي ابراهيم</t>
  </si>
  <si>
    <t>Bousaada</t>
  </si>
  <si>
    <t>بوسعادة</t>
  </si>
  <si>
    <t>Chellal</t>
  </si>
  <si>
    <t>شلال</t>
  </si>
  <si>
    <t>Djebel Messaad</t>
  </si>
  <si>
    <t>جبل مساعد</t>
  </si>
  <si>
    <t>Khoubana</t>
  </si>
  <si>
    <t>خبانة</t>
  </si>
  <si>
    <t>Hammam Dalaa</t>
  </si>
  <si>
    <t>حمام الضلعة</t>
  </si>
  <si>
    <t>Ouled Derradj</t>
  </si>
  <si>
    <t>أولاد دراج</t>
  </si>
  <si>
    <t>Medjedel</t>
  </si>
  <si>
    <t>امجدل</t>
  </si>
  <si>
    <t>M'sila</t>
  </si>
  <si>
    <t>Sidi Ameur</t>
  </si>
  <si>
    <t>سيدي عامر</t>
  </si>
  <si>
    <t>Ain Fares</t>
  </si>
  <si>
    <t>عين فارس</t>
  </si>
  <si>
    <t>Ain Fekan</t>
  </si>
  <si>
    <t>عين فكان</t>
  </si>
  <si>
    <t>Oued El Abtal</t>
  </si>
  <si>
    <t>وادي الأبطال</t>
  </si>
  <si>
    <t>Oggaz</t>
  </si>
  <si>
    <t>عقاز</t>
  </si>
  <si>
    <t>Aouf</t>
  </si>
  <si>
    <t>عوف</t>
  </si>
  <si>
    <t>Sig</t>
  </si>
  <si>
    <t>سيق</t>
  </si>
  <si>
    <t>Bouhanifia</t>
  </si>
  <si>
    <t>بوحنيفية</t>
  </si>
  <si>
    <t>El Bordj</t>
  </si>
  <si>
    <t>البرج</t>
  </si>
  <si>
    <t>Zahana</t>
  </si>
  <si>
    <t>زهانة</t>
  </si>
  <si>
    <t>Mohammadia</t>
  </si>
  <si>
    <t>المحمدية</t>
  </si>
  <si>
    <t>Hachem</t>
  </si>
  <si>
    <t>الحشم</t>
  </si>
  <si>
    <t>Tizi</t>
  </si>
  <si>
    <t>تيزي</t>
  </si>
  <si>
    <t>Ghriss</t>
  </si>
  <si>
    <t>غريس</t>
  </si>
  <si>
    <t>Oued Taria</t>
  </si>
  <si>
    <t>وادي التاغية</t>
  </si>
  <si>
    <t>Tighennif</t>
  </si>
  <si>
    <t>تيغنيف</t>
  </si>
  <si>
    <t>Sidi Khouiled</t>
  </si>
  <si>
    <t>سيدي خويلد</t>
  </si>
  <si>
    <t>Taibet</t>
  </si>
  <si>
    <t>الطيبات</t>
  </si>
  <si>
    <t>Temacine</t>
  </si>
  <si>
    <t>تماسين</t>
  </si>
  <si>
    <t>El-Hadjira</t>
  </si>
  <si>
    <t>الحجيرة</t>
  </si>
  <si>
    <t>El Borma</t>
  </si>
  <si>
    <t>البرمة</t>
  </si>
  <si>
    <t>Hassi Messaoud</t>
  </si>
  <si>
    <t>حاسي مسعود</t>
  </si>
  <si>
    <t>Megarine</t>
  </si>
  <si>
    <t>المقارين</t>
  </si>
  <si>
    <t>N'goussa</t>
  </si>
  <si>
    <t>انقوسة</t>
  </si>
  <si>
    <t>Bethioua</t>
  </si>
  <si>
    <t>بطيوة</t>
  </si>
  <si>
    <t>Boutlelis</t>
  </si>
  <si>
    <t>بوتليليس</t>
  </si>
  <si>
    <t>Ain Turk</t>
  </si>
  <si>
    <t>عين الترك</t>
  </si>
  <si>
    <t>Arzew</t>
  </si>
  <si>
    <t>أرزيو</t>
  </si>
  <si>
    <t>Gdyel</t>
  </si>
  <si>
    <t>قديل</t>
  </si>
  <si>
    <t>Bir El Djir</t>
  </si>
  <si>
    <t>بئر الجير</t>
  </si>
  <si>
    <t>Oued Tlelat</t>
  </si>
  <si>
    <t>وادي تليلات</t>
  </si>
  <si>
    <t>Es Senia</t>
  </si>
  <si>
    <t>السانية</t>
  </si>
  <si>
    <t>Labiodh Sidi Cheikh</t>
  </si>
  <si>
    <t>الأبيض سيدي الشيخ</t>
  </si>
  <si>
    <t>Boualem</t>
  </si>
  <si>
    <t>بوعلام</t>
  </si>
  <si>
    <t>Bougtoub</t>
  </si>
  <si>
    <t>بوقطب</t>
  </si>
  <si>
    <t>Boussemghoun</t>
  </si>
  <si>
    <t>بوسمغون</t>
  </si>
  <si>
    <t>Brezina</t>
  </si>
  <si>
    <t>بريزينة</t>
  </si>
  <si>
    <t>Rogassa</t>
  </si>
  <si>
    <t>رقاصة</t>
  </si>
  <si>
    <t>Chellala</t>
  </si>
  <si>
    <t>شلالة</t>
  </si>
  <si>
    <t>In Amenas</t>
  </si>
  <si>
    <t>إن أمناس</t>
  </si>
  <si>
    <t>إيليزي</t>
  </si>
  <si>
    <t>Ain Taghrout</t>
  </si>
  <si>
    <t>عين تاغروت</t>
  </si>
  <si>
    <t>Ras El Oued</t>
  </si>
  <si>
    <t>رأس الوادي</t>
  </si>
  <si>
    <t>Bordj Ghedir</t>
  </si>
  <si>
    <t>برج الغدير</t>
  </si>
  <si>
    <t>المنصورة</t>
  </si>
  <si>
    <t>Bir Kasdali</t>
  </si>
  <si>
    <t>بئر قاصد علي</t>
  </si>
  <si>
    <t>Bordj Zemmoura</t>
  </si>
  <si>
    <t>برج زمورة</t>
  </si>
  <si>
    <t>Djaafra</t>
  </si>
  <si>
    <t>جعافرة</t>
  </si>
  <si>
    <t>El Hamadia</t>
  </si>
  <si>
    <t>الحمادية</t>
  </si>
  <si>
    <t>Medjana</t>
  </si>
  <si>
    <t>مجانة</t>
  </si>
  <si>
    <t>Dellys</t>
  </si>
  <si>
    <t>دلس</t>
  </si>
  <si>
    <t>Thenia</t>
  </si>
  <si>
    <t>الثنية</t>
  </si>
  <si>
    <t>Baghlia</t>
  </si>
  <si>
    <t>بغلية</t>
  </si>
  <si>
    <t>Bordj Menaiel</t>
  </si>
  <si>
    <t>برج منايل</t>
  </si>
  <si>
    <t>Boudouaou</t>
  </si>
  <si>
    <t>بودواو</t>
  </si>
  <si>
    <t>Isser</t>
  </si>
  <si>
    <t>يسر</t>
  </si>
  <si>
    <t>Khemis El Khechna</t>
  </si>
  <si>
    <t>خميس الخشنة</t>
  </si>
  <si>
    <t>Naciria</t>
  </si>
  <si>
    <t>الناصرية</t>
  </si>
  <si>
    <t>Bouhadjar</t>
  </si>
  <si>
    <t>بوحجار</t>
  </si>
  <si>
    <t>Besbes</t>
  </si>
  <si>
    <t>البسباس</t>
  </si>
  <si>
    <t>Ben M'hidi</t>
  </si>
  <si>
    <t>بن مهيدي</t>
  </si>
  <si>
    <t>Bouteldja</t>
  </si>
  <si>
    <t>بوثلجة</t>
  </si>
  <si>
    <t>Drean</t>
  </si>
  <si>
    <t>الذرعان</t>
  </si>
  <si>
    <t>El Kala</t>
  </si>
  <si>
    <t>القالة</t>
  </si>
  <si>
    <t>Ammari</t>
  </si>
  <si>
    <t>عماري</t>
  </si>
  <si>
    <t>Bordj Bounaama</t>
  </si>
  <si>
    <t>برج بونعامة</t>
  </si>
  <si>
    <t>Bordj Emir Abdelkader</t>
  </si>
  <si>
    <t>برج الأمير عبد القادر</t>
  </si>
  <si>
    <t>Lazharia</t>
  </si>
  <si>
    <t>الأزهرية</t>
  </si>
  <si>
    <t>Khemisti</t>
  </si>
  <si>
    <t>خميستي</t>
  </si>
  <si>
    <t>Lardjem</t>
  </si>
  <si>
    <t>لرجام</t>
  </si>
  <si>
    <t>Theniet El Had</t>
  </si>
  <si>
    <t>ثنية الاحد</t>
  </si>
  <si>
    <t>Bayadha</t>
  </si>
  <si>
    <t>البياضة</t>
  </si>
  <si>
    <t>Taleb Larbi</t>
  </si>
  <si>
    <t>الطالب العربي</t>
  </si>
  <si>
    <t>Debila</t>
  </si>
  <si>
    <t>الدبيلة</t>
  </si>
  <si>
    <t>Djamaa</t>
  </si>
  <si>
    <t>جامعة</t>
  </si>
  <si>
    <t>Robbah</t>
  </si>
  <si>
    <t>الرباح</t>
  </si>
  <si>
    <t>El Meghaier</t>
  </si>
  <si>
    <t>Guemar</t>
  </si>
  <si>
    <t>قمار</t>
  </si>
  <si>
    <t>Reguiba</t>
  </si>
  <si>
    <t>الرقيبة</t>
  </si>
  <si>
    <t>Hassi Khalifa</t>
  </si>
  <si>
    <t>حاسي خليفة</t>
  </si>
  <si>
    <t>Magrane</t>
  </si>
  <si>
    <t>المقرن</t>
  </si>
  <si>
    <t>Mih Ouensa</t>
  </si>
  <si>
    <t>اميه وانسة</t>
  </si>
  <si>
    <t>Ain Touila</t>
  </si>
  <si>
    <t>عين الطويلة</t>
  </si>
  <si>
    <t>Babar</t>
  </si>
  <si>
    <t>بابار</t>
  </si>
  <si>
    <t>El Hamma</t>
  </si>
  <si>
    <t>الحامة</t>
  </si>
  <si>
    <t>Bouhmama</t>
  </si>
  <si>
    <t>بوحمامة</t>
  </si>
  <si>
    <t>Chechar</t>
  </si>
  <si>
    <t>ششار</t>
  </si>
  <si>
    <t>Ouled Rechache</t>
  </si>
  <si>
    <t>أولاد رشاش</t>
  </si>
  <si>
    <t>Kais</t>
  </si>
  <si>
    <t>قايس</t>
  </si>
  <si>
    <t>Sedrata</t>
  </si>
  <si>
    <t>سدراتة</t>
  </si>
  <si>
    <t>Ouled Driss</t>
  </si>
  <si>
    <t>أولاد إدريس</t>
  </si>
  <si>
    <t>Bir Bouhouche</t>
  </si>
  <si>
    <t>بئر بوحوش</t>
  </si>
  <si>
    <t>Taoura</t>
  </si>
  <si>
    <t>تاورة</t>
  </si>
  <si>
    <t>Haddada</t>
  </si>
  <si>
    <t>الحدادة</t>
  </si>
  <si>
    <t>Mechroha</t>
  </si>
  <si>
    <t>المشروحة</t>
  </si>
  <si>
    <t>M'daourouche</t>
  </si>
  <si>
    <t>مداوروش</t>
  </si>
  <si>
    <t>Merahna</t>
  </si>
  <si>
    <t>المراهنة</t>
  </si>
  <si>
    <t>Oum El Adhaim</t>
  </si>
  <si>
    <t>أم العظايم</t>
  </si>
  <si>
    <t>Gouraya</t>
  </si>
  <si>
    <t>قوراية</t>
  </si>
  <si>
    <t>Ahmar El Ain</t>
  </si>
  <si>
    <t>أحمر العين</t>
  </si>
  <si>
    <t>Bou Ismail</t>
  </si>
  <si>
    <t>بواسماعيل</t>
  </si>
  <si>
    <t>Kolea</t>
  </si>
  <si>
    <t>القليعة</t>
  </si>
  <si>
    <t>Damous</t>
  </si>
  <si>
    <t>الداموس</t>
  </si>
  <si>
    <t>Cherchell</t>
  </si>
  <si>
    <t>شرشال</t>
  </si>
  <si>
    <t>Fouka</t>
  </si>
  <si>
    <t>فوكة</t>
  </si>
  <si>
    <t>Hadjout</t>
  </si>
  <si>
    <t>حجوط</t>
  </si>
  <si>
    <t>Sidi Amar</t>
  </si>
  <si>
    <t>سيدي أعمر</t>
  </si>
  <si>
    <t>Oued Endja</t>
  </si>
  <si>
    <t>وادي النجاء</t>
  </si>
  <si>
    <t>Ain Beida Harriche</t>
  </si>
  <si>
    <t>عين البيضاء أحريش</t>
  </si>
  <si>
    <t>Chelghoum Laid</t>
  </si>
  <si>
    <t>شلغوم العيد</t>
  </si>
  <si>
    <t>Terrai Bainen</t>
  </si>
  <si>
    <t>ترعي باينان</t>
  </si>
  <si>
    <t>Tadjenanet</t>
  </si>
  <si>
    <t>تاجنانت</t>
  </si>
  <si>
    <t>Bouhatem</t>
  </si>
  <si>
    <t>بوحاتم</t>
  </si>
  <si>
    <t>Sidi Merouane</t>
  </si>
  <si>
    <t>سيدي مروان</t>
  </si>
  <si>
    <t>Teleghma</t>
  </si>
  <si>
    <t>التلاغمة</t>
  </si>
  <si>
    <t>Ferdjioua</t>
  </si>
  <si>
    <t>فرجيوة</t>
  </si>
  <si>
    <t>Grarem Gouga</t>
  </si>
  <si>
    <t>القرارم قوقة</t>
  </si>
  <si>
    <t>Tassadane Haddada</t>
  </si>
  <si>
    <t>تسدان حدادة</t>
  </si>
  <si>
    <t>Rouached</t>
  </si>
  <si>
    <t>الرواشد</t>
  </si>
  <si>
    <t>Hammam Righa</t>
  </si>
  <si>
    <t>حمام ريغة</t>
  </si>
  <si>
    <t>El Abadia</t>
  </si>
  <si>
    <t>العبادية</t>
  </si>
  <si>
    <t>Ain Lechiakh</t>
  </si>
  <si>
    <t>عين الاشياخ</t>
  </si>
  <si>
    <t>El Amra</t>
  </si>
  <si>
    <t>العامرة</t>
  </si>
  <si>
    <t>Djendel</t>
  </si>
  <si>
    <t>جندل</t>
  </si>
  <si>
    <t>Bathia</t>
  </si>
  <si>
    <t>بطحية</t>
  </si>
  <si>
    <t>Miliana</t>
  </si>
  <si>
    <t>مليانة</t>
  </si>
  <si>
    <t>Bordj El Emir Khaled</t>
  </si>
  <si>
    <t>برج الأمير خالد</t>
  </si>
  <si>
    <t>Boumedfaa</t>
  </si>
  <si>
    <t>بومدفع</t>
  </si>
  <si>
    <t>Djelida</t>
  </si>
  <si>
    <t>جليدة</t>
  </si>
  <si>
    <t>El Attaf</t>
  </si>
  <si>
    <t>العطاف</t>
  </si>
  <si>
    <t>Rouina</t>
  </si>
  <si>
    <t>الروينة</t>
  </si>
  <si>
    <t>Khemis</t>
  </si>
  <si>
    <t>خميس</t>
  </si>
  <si>
    <t>Mecheria</t>
  </si>
  <si>
    <t>المشرية</t>
  </si>
  <si>
    <t>Ain Sefra</t>
  </si>
  <si>
    <t>عين الصفراء</t>
  </si>
  <si>
    <t>Asla</t>
  </si>
  <si>
    <t>عسلة</t>
  </si>
  <si>
    <t>Moghrar</t>
  </si>
  <si>
    <t>مغرار</t>
  </si>
  <si>
    <t>Mekmen Ben Amar</t>
  </si>
  <si>
    <t>مكمن بن عمار</t>
  </si>
  <si>
    <t>Naama</t>
  </si>
  <si>
    <t>Sfissifa</t>
  </si>
  <si>
    <t>سفيسيفة</t>
  </si>
  <si>
    <t>Ain Kihel</t>
  </si>
  <si>
    <t>عين الكيحل</t>
  </si>
  <si>
    <t>Ain Larbaa</t>
  </si>
  <si>
    <t>عين الأربعاء</t>
  </si>
  <si>
    <t>Beni Saf</t>
  </si>
  <si>
    <t>بني صاف</t>
  </si>
  <si>
    <t>El Amria</t>
  </si>
  <si>
    <t>العامرية</t>
  </si>
  <si>
    <t>El Maleh</t>
  </si>
  <si>
    <t>المالح</t>
  </si>
  <si>
    <t>Hammam Bou Hadjar</t>
  </si>
  <si>
    <t>حمام بوحجر</t>
  </si>
  <si>
    <t>Oulhassa Gheraba</t>
  </si>
  <si>
    <t>ولهاصة الغرابة</t>
  </si>
  <si>
    <t>Berriane</t>
  </si>
  <si>
    <t>بريان</t>
  </si>
  <si>
    <t>Bounoura</t>
  </si>
  <si>
    <t>بونورة</t>
  </si>
  <si>
    <t>Dhayet Ben Dhahoua</t>
  </si>
  <si>
    <t>ضاية بن ضحوة</t>
  </si>
  <si>
    <t>El Guerrara</t>
  </si>
  <si>
    <t>القرارة</t>
  </si>
  <si>
    <t>Metlili</t>
  </si>
  <si>
    <t>متليلي</t>
  </si>
  <si>
    <t>Zelfana</t>
  </si>
  <si>
    <t>زلفانة</t>
  </si>
  <si>
    <t>Yellel</t>
  </si>
  <si>
    <t>يلل</t>
  </si>
  <si>
    <t>Ain Tarek</t>
  </si>
  <si>
    <t>عين طارق</t>
  </si>
  <si>
    <t>Ammi Moussa</t>
  </si>
  <si>
    <t>عمي موسى</t>
  </si>
  <si>
    <t>El Matmar</t>
  </si>
  <si>
    <t>المطمر</t>
  </si>
  <si>
    <t>Zemmoura</t>
  </si>
  <si>
    <t>زمورة</t>
  </si>
  <si>
    <t>Sidi M'hamed Ben Ali</t>
  </si>
  <si>
    <t>سيدي أمحمد بن علي</t>
  </si>
  <si>
    <t>Djidiouia</t>
  </si>
  <si>
    <t>جديوية</t>
  </si>
  <si>
    <t>El H'madna</t>
  </si>
  <si>
    <t>الحمادنة</t>
  </si>
  <si>
    <t>Mazouna</t>
  </si>
  <si>
    <t>مازونة</t>
  </si>
  <si>
    <t>Oued Rhiou</t>
  </si>
  <si>
    <t>وادي رهيو</t>
  </si>
  <si>
    <t>Mendes</t>
  </si>
  <si>
    <t>منداس</t>
  </si>
  <si>
    <t>Ramka</t>
  </si>
  <si>
    <t>الرمكة</t>
  </si>
  <si>
    <t>F_05</t>
  </si>
  <si>
    <t>District</t>
  </si>
  <si>
    <t>بودة</t>
  </si>
  <si>
    <t>Bouda</t>
  </si>
  <si>
    <t>أولاد أحمد تيمي</t>
  </si>
  <si>
    <t>Ouled Ahmed Timmi</t>
  </si>
  <si>
    <t>سالي</t>
  </si>
  <si>
    <t>Sali</t>
  </si>
  <si>
    <t>السبع</t>
  </si>
  <si>
    <t>Sebaa</t>
  </si>
  <si>
    <t>إن زغمير</t>
  </si>
  <si>
    <t>In Zghmir</t>
  </si>
  <si>
    <t>Zaouiet Kounta</t>
  </si>
  <si>
    <t>اقبلي</t>
  </si>
  <si>
    <t>Akabli</t>
  </si>
  <si>
    <t>تيمقتن</t>
  </si>
  <si>
    <t>Timekten</t>
  </si>
  <si>
    <t>تيت</t>
  </si>
  <si>
    <t>Tit</t>
  </si>
  <si>
    <t>تامنطيط</t>
  </si>
  <si>
    <t>Tamantit</t>
  </si>
  <si>
    <t>تامست</t>
  </si>
  <si>
    <t>Tamest</t>
  </si>
  <si>
    <t>أم الدروع</t>
  </si>
  <si>
    <t>Oum Drou</t>
  </si>
  <si>
    <t>سنجاس</t>
  </si>
  <si>
    <t>Sendjas</t>
  </si>
  <si>
    <t>سيدي عبد الرحمن</t>
  </si>
  <si>
    <t>Sidi Abderrahmane</t>
  </si>
  <si>
    <t>سيدي عكاشة</t>
  </si>
  <si>
    <t>Sidi Akkacha</t>
  </si>
  <si>
    <t>بني بوعتاب</t>
  </si>
  <si>
    <t>Beni  Bouattab</t>
  </si>
  <si>
    <t>حرشون</t>
  </si>
  <si>
    <t>Harchoun</t>
  </si>
  <si>
    <t>الظهرة</t>
  </si>
  <si>
    <t>Dahra</t>
  </si>
  <si>
    <t>بريرة</t>
  </si>
  <si>
    <t>Breira</t>
  </si>
  <si>
    <t>وادي قوسين</t>
  </si>
  <si>
    <t>Oued Goussine</t>
  </si>
  <si>
    <t>الشطية</t>
  </si>
  <si>
    <t>Chettia</t>
  </si>
  <si>
    <t>الأبيض مجاجة</t>
  </si>
  <si>
    <t>Labiod Medjadja</t>
  </si>
  <si>
    <t>وادي سلي</t>
  </si>
  <si>
    <t>Oued Sly</t>
  </si>
  <si>
    <t>الصبحة</t>
  </si>
  <si>
    <t>Sobha</t>
  </si>
  <si>
    <t>بنايرية</t>
  </si>
  <si>
    <t>Benairia</t>
  </si>
  <si>
    <t>بوزغاية</t>
  </si>
  <si>
    <t>Bouzeghaia</t>
  </si>
  <si>
    <t>تاجنة</t>
  </si>
  <si>
    <t>Tadjena</t>
  </si>
  <si>
    <t>تلعصة</t>
  </si>
  <si>
    <t>Talassa</t>
  </si>
  <si>
    <t>مصدق</t>
  </si>
  <si>
    <t>Moussadek</t>
  </si>
  <si>
    <t>بني راشد</t>
  </si>
  <si>
    <t>Beni Rached</t>
  </si>
  <si>
    <t>أولاد عباس</t>
  </si>
  <si>
    <t>Ouled Abbes</t>
  </si>
  <si>
    <t>الحجاج</t>
  </si>
  <si>
    <t>El Hadjadj</t>
  </si>
  <si>
    <t>الهرانفة</t>
  </si>
  <si>
    <t>Herenfa</t>
  </si>
  <si>
    <t>بن ناصر بن شهرة</t>
  </si>
  <si>
    <t>Benacer Benchohra</t>
  </si>
  <si>
    <t>العسافية</t>
  </si>
  <si>
    <t>El Assafia</t>
  </si>
  <si>
    <t>حاسي الدلاعة</t>
  </si>
  <si>
    <t>Hassi Delaa</t>
  </si>
  <si>
    <t>الحويطة</t>
  </si>
  <si>
    <t>El Haouaita</t>
  </si>
  <si>
    <t>الخنق</t>
  </si>
  <si>
    <t>Kheneg</t>
  </si>
  <si>
    <t>تاجموت</t>
  </si>
  <si>
    <t>Tadjemout</t>
  </si>
  <si>
    <t>تاجرونة</t>
  </si>
  <si>
    <t>Tadjrouna</t>
  </si>
  <si>
    <t>عين سيدي علي</t>
  </si>
  <si>
    <t>Ain Sidi Ali</t>
  </si>
  <si>
    <t>البيضاء</t>
  </si>
  <si>
    <t>El Beidha</t>
  </si>
  <si>
    <t>قلتة سيدي سعد</t>
  </si>
  <si>
    <t>الحاج مشري</t>
  </si>
  <si>
    <t>Hadj Mechri</t>
  </si>
  <si>
    <t>تاويالة</t>
  </si>
  <si>
    <t>Taouiala</t>
  </si>
  <si>
    <t>سبقاق</t>
  </si>
  <si>
    <t>Sebgag</t>
  </si>
  <si>
    <t>سيدي بوزيد</t>
  </si>
  <si>
    <t>Sidi Bouzid</t>
  </si>
  <si>
    <t>وادي مزي</t>
  </si>
  <si>
    <t>عين الزيتون</t>
  </si>
  <si>
    <t>Ain Zitoun</t>
  </si>
  <si>
    <t>بريش</t>
  </si>
  <si>
    <t>Berriche</t>
  </si>
  <si>
    <t>الزرق</t>
  </si>
  <si>
    <t>Zorg</t>
  </si>
  <si>
    <t>أولاد قاسم</t>
  </si>
  <si>
    <t>Ouled Gacem</t>
  </si>
  <si>
    <t>أولاد حملة</t>
  </si>
  <si>
    <t>Ouled Hamla</t>
  </si>
  <si>
    <t>El Amiria</t>
  </si>
  <si>
    <t>عين الديس</t>
  </si>
  <si>
    <t>Ain Diss</t>
  </si>
  <si>
    <t>الجازية</t>
  </si>
  <si>
    <t>El Djazia</t>
  </si>
  <si>
    <t>الحرملية</t>
  </si>
  <si>
    <t>El Harmilia</t>
  </si>
  <si>
    <t>هنشير تومغني</t>
  </si>
  <si>
    <t>Hanchir Toumghani</t>
  </si>
  <si>
    <t>Fkirina</t>
  </si>
  <si>
    <t>وادي نيني</t>
  </si>
  <si>
    <t>Oued Nini</t>
  </si>
  <si>
    <t>بئر الشهداء</t>
  </si>
  <si>
    <t>Bir Chouhada</t>
  </si>
  <si>
    <t>أولاد زواي</t>
  </si>
  <si>
    <t>Ouled Zouai</t>
  </si>
  <si>
    <t>بحير الشرقي</t>
  </si>
  <si>
    <t>Behir Chergui</t>
  </si>
  <si>
    <t>البلالة</t>
  </si>
  <si>
    <t>El Belala</t>
  </si>
  <si>
    <t>الرحية</t>
  </si>
  <si>
    <t>Rahia</t>
  </si>
  <si>
    <t>الفجوج بوغرارة سعودي</t>
  </si>
  <si>
    <t>El Fedjoudj Boughrara Sa</t>
  </si>
  <si>
    <t>فسديس</t>
  </si>
  <si>
    <t>Fesdis</t>
  </si>
  <si>
    <t>وادي الشعبة</t>
  </si>
  <si>
    <t>Oued Chaaba</t>
  </si>
  <si>
    <t>حيدوسة</t>
  </si>
  <si>
    <t>Hidoussa</t>
  </si>
  <si>
    <t>قصر بلزمة</t>
  </si>
  <si>
    <t>Ksar Bellezma</t>
  </si>
  <si>
    <t>وادي الماء</t>
  </si>
  <si>
    <t>Oued El Ma</t>
  </si>
  <si>
    <t>لازرو</t>
  </si>
  <si>
    <t>Lazrou</t>
  </si>
  <si>
    <t>زانة البيضاء</t>
  </si>
  <si>
    <t>Zanet El Beida</t>
  </si>
  <si>
    <t>تغرغار</t>
  </si>
  <si>
    <t>Tigharghar</t>
  </si>
  <si>
    <t>عين ياقوت</t>
  </si>
  <si>
    <t>Ain Yagout</t>
  </si>
  <si>
    <t>بومية</t>
  </si>
  <si>
    <t>Boumia</t>
  </si>
  <si>
    <t>جرمة</t>
  </si>
  <si>
    <t>Djerma</t>
  </si>
  <si>
    <t>عيون العصافير</t>
  </si>
  <si>
    <t>Ouyoun El Assafir</t>
  </si>
  <si>
    <t>بومقر</t>
  </si>
  <si>
    <t>Boumagueur</t>
  </si>
  <si>
    <t>N Gaous</t>
  </si>
  <si>
    <t>سفيان</t>
  </si>
  <si>
    <t>Sefiane</t>
  </si>
  <si>
    <t>تيغانمين</t>
  </si>
  <si>
    <t>Tighanimine</t>
  </si>
  <si>
    <t>الحاسي</t>
  </si>
  <si>
    <t>El Hassi</t>
  </si>
  <si>
    <t>تيلاطو</t>
  </si>
  <si>
    <t>Tilatou</t>
  </si>
  <si>
    <t>فم الطوب</t>
  </si>
  <si>
    <t>Foum Toub</t>
  </si>
  <si>
    <t>إينوغيسن</t>
  </si>
  <si>
    <t>Inoughissen</t>
  </si>
  <si>
    <t>لارباع</t>
  </si>
  <si>
    <t>بولهيلات</t>
  </si>
  <si>
    <t>Boulhilat</t>
  </si>
  <si>
    <t>بيطام</t>
  </si>
  <si>
    <t>Bitam</t>
  </si>
  <si>
    <t>إمدوكل</t>
  </si>
  <si>
    <t>M Doukal</t>
  </si>
  <si>
    <t>عزيل عبد القادر</t>
  </si>
  <si>
    <t>Azil Abedelkader</t>
  </si>
  <si>
    <t>أولاد عمار</t>
  </si>
  <si>
    <t>Ouled Ammar</t>
  </si>
  <si>
    <t>غسيرة</t>
  </si>
  <si>
    <t>Ghassira</t>
  </si>
  <si>
    <t>كيمل</t>
  </si>
  <si>
    <t>Kimmel</t>
  </si>
  <si>
    <t>T Kout</t>
  </si>
  <si>
    <t>بني فضالة الحقانية</t>
  </si>
  <si>
    <t>Beni Foudhala El Hakania</t>
  </si>
  <si>
    <t>معافة</t>
  </si>
  <si>
    <t>Maafa</t>
  </si>
  <si>
    <t>أولاد عوف</t>
  </si>
  <si>
    <t>Ouled Aouf</t>
  </si>
  <si>
    <t>شير</t>
  </si>
  <si>
    <t>Chir</t>
  </si>
  <si>
    <t>وادي الطاقة</t>
  </si>
  <si>
    <t>Oued Taga</t>
  </si>
  <si>
    <t>Teniet El Abed</t>
  </si>
  <si>
    <t>أولاد فاضل</t>
  </si>
  <si>
    <t>Ouled Fadel</t>
  </si>
  <si>
    <t>القصبات</t>
  </si>
  <si>
    <t>Gosbat</t>
  </si>
  <si>
    <t>القيقبة</t>
  </si>
  <si>
    <t>Guigba</t>
  </si>
  <si>
    <t>أولاد سلام</t>
  </si>
  <si>
    <t>Ouled Sellem</t>
  </si>
  <si>
    <t>الرحبات</t>
  </si>
  <si>
    <t>Rahbat</t>
  </si>
  <si>
    <t>تالخمت</t>
  </si>
  <si>
    <t>Talkhamt</t>
  </si>
  <si>
    <t>لمسان</t>
  </si>
  <si>
    <t>Lemcene</t>
  </si>
  <si>
    <t>تاكسلانت</t>
  </si>
  <si>
    <t>Taxlent</t>
  </si>
  <si>
    <t>وادي غير</t>
  </si>
  <si>
    <t>Oued Ghir</t>
  </si>
  <si>
    <t>بني جليل</t>
  </si>
  <si>
    <t>Beni Djellil</t>
  </si>
  <si>
    <t>فرعون</t>
  </si>
  <si>
    <t>Feraoun</t>
  </si>
  <si>
    <t>سمعون</t>
  </si>
  <si>
    <t>Smaoun</t>
  </si>
  <si>
    <t>مالبو</t>
  </si>
  <si>
    <t>Melbou</t>
  </si>
  <si>
    <t>سوق لإثنين</t>
  </si>
  <si>
    <t>تامريجت</t>
  </si>
  <si>
    <t>Tamridjet</t>
  </si>
  <si>
    <t>بوخليفة</t>
  </si>
  <si>
    <t>Boukhelifa</t>
  </si>
  <si>
    <t>تالة حمزة</t>
  </si>
  <si>
    <t>Tala Hamza</t>
  </si>
  <si>
    <t>أيت رزين</t>
  </si>
  <si>
    <t>Ighil-Ali</t>
  </si>
  <si>
    <t>أيت إسماعيل</t>
  </si>
  <si>
    <t>Ait-Smail</t>
  </si>
  <si>
    <t>تاسكريوت</t>
  </si>
  <si>
    <t>Taskriout</t>
  </si>
  <si>
    <t>تيزي نبربر</t>
  </si>
  <si>
    <t>بني كسيلة</t>
  </si>
  <si>
    <t>تاوريرت إغيل</t>
  </si>
  <si>
    <t>Taourit Ighil</t>
  </si>
  <si>
    <t>شلاطة</t>
  </si>
  <si>
    <t>Chellata</t>
  </si>
  <si>
    <t>اغرم</t>
  </si>
  <si>
    <t>Ighram</t>
  </si>
  <si>
    <t>تامقرة</t>
  </si>
  <si>
    <t>Tamokra</t>
  </si>
  <si>
    <t>أمالو</t>
  </si>
  <si>
    <t>Amalou</t>
  </si>
  <si>
    <t>بوحمزة</t>
  </si>
  <si>
    <t>Bouhamza</t>
  </si>
  <si>
    <t>مسيسنة</t>
  </si>
  <si>
    <t>بني مليكش</t>
  </si>
  <si>
    <t>Beni-Mallikeche</t>
  </si>
  <si>
    <t>بو جليل</t>
  </si>
  <si>
    <t>Boudjellil</t>
  </si>
  <si>
    <t>تازمالت</t>
  </si>
  <si>
    <t>أكفادو</t>
  </si>
  <si>
    <t>Akfadou</t>
  </si>
  <si>
    <t>سوق اوفلا</t>
  </si>
  <si>
    <t>Souk Oufella</t>
  </si>
  <si>
    <t>طيبان</t>
  </si>
  <si>
    <t>Tibane</t>
  </si>
  <si>
    <t>كنديرة</t>
  </si>
  <si>
    <t>Kendira</t>
  </si>
  <si>
    <t>أوزلاقن</t>
  </si>
  <si>
    <t>Ouzellaguen</t>
  </si>
  <si>
    <t>الفلاي</t>
  </si>
  <si>
    <t>Leflaye</t>
  </si>
  <si>
    <t>سيدي عياد</t>
  </si>
  <si>
    <t>Sidi Ayad</t>
  </si>
  <si>
    <t>Sidi-Aich</t>
  </si>
  <si>
    <t>تيفرة</t>
  </si>
  <si>
    <t>Tifra</t>
  </si>
  <si>
    <t>تينبدار</t>
  </si>
  <si>
    <t>Tinebdar</t>
  </si>
  <si>
    <t>فناية الماثن</t>
  </si>
  <si>
    <t>Fenaia Il Maten</t>
  </si>
  <si>
    <t>توجة</t>
  </si>
  <si>
    <t>Toudja</t>
  </si>
  <si>
    <t>ذراع القايد</t>
  </si>
  <si>
    <t>Dra El Caid</t>
  </si>
  <si>
    <t>Benimaouche</t>
  </si>
  <si>
    <t>الحاجب</t>
  </si>
  <si>
    <t>El Hadjab</t>
  </si>
  <si>
    <t>عين الناقة</t>
  </si>
  <si>
    <t>Ain Naga</t>
  </si>
  <si>
    <t>شتمة</t>
  </si>
  <si>
    <t>Chetma</t>
  </si>
  <si>
    <t>الحوش</t>
  </si>
  <si>
    <t>El Haouch</t>
  </si>
  <si>
    <t>الفيض</t>
  </si>
  <si>
    <t>El Feidh</t>
  </si>
  <si>
    <t>خنقة سيدي ناجي</t>
  </si>
  <si>
    <t>Khenguet Sidi Nadji</t>
  </si>
  <si>
    <t>المزيرعة</t>
  </si>
  <si>
    <t>Meziraa</t>
  </si>
  <si>
    <t>عين زعطوط</t>
  </si>
  <si>
    <t>Ain Zaatout</t>
  </si>
  <si>
    <t>برانيس</t>
  </si>
  <si>
    <t>Branis</t>
  </si>
  <si>
    <t>برج بن عزوز</t>
  </si>
  <si>
    <t>Bordj Ben Azzouz</t>
  </si>
  <si>
    <t>بوشقرون</t>
  </si>
  <si>
    <t>Bouchakroun</t>
  </si>
  <si>
    <t>ليشانة</t>
  </si>
  <si>
    <t>Lichana</t>
  </si>
  <si>
    <t>ليوة</t>
  </si>
  <si>
    <t>Lioua</t>
  </si>
  <si>
    <t>مخادمة</t>
  </si>
  <si>
    <t>Mekhadma</t>
  </si>
  <si>
    <t>مليلي</t>
  </si>
  <si>
    <t>أوماش</t>
  </si>
  <si>
    <t>Oumache</t>
  </si>
  <si>
    <t>الغروس</t>
  </si>
  <si>
    <t>El Ghrous</t>
  </si>
  <si>
    <t>بوكايس</t>
  </si>
  <si>
    <t>Boukais</t>
  </si>
  <si>
    <t>موغل</t>
  </si>
  <si>
    <t>Mogheul</t>
  </si>
  <si>
    <t>المريجة</t>
  </si>
  <si>
    <t>Meridja</t>
  </si>
  <si>
    <t>عرق فراج</t>
  </si>
  <si>
    <t>Erg-Ferradj</t>
  </si>
  <si>
    <t>مشرع هواري بومدين</t>
  </si>
  <si>
    <t>Machraa-Houari-Boumediene</t>
  </si>
  <si>
    <t>Beni-Ounif</t>
  </si>
  <si>
    <t>بوعرفة</t>
  </si>
  <si>
    <t>Bouarfa</t>
  </si>
  <si>
    <t>الشبلي</t>
  </si>
  <si>
    <t>Chebli</t>
  </si>
  <si>
    <t>بني تامو</t>
  </si>
  <si>
    <t>Beni-Tamou</t>
  </si>
  <si>
    <t>بن خليل</t>
  </si>
  <si>
    <t>Benkhelil</t>
  </si>
  <si>
    <t>بني مراد</t>
  </si>
  <si>
    <t>Beni Mered</t>
  </si>
  <si>
    <t>Chrea</t>
  </si>
  <si>
    <t>El-Affroun</t>
  </si>
  <si>
    <t>وادي جر</t>
  </si>
  <si>
    <t>Oued  Djer</t>
  </si>
  <si>
    <t>عين الرمانة</t>
  </si>
  <si>
    <t>Ain Romana</t>
  </si>
  <si>
    <t>الشفة</t>
  </si>
  <si>
    <t>Chiffa</t>
  </si>
  <si>
    <t>جبابرة</t>
  </si>
  <si>
    <t>Djebabra</t>
  </si>
  <si>
    <t>قرواو</t>
  </si>
  <si>
    <t>Guerrouaou</t>
  </si>
  <si>
    <t>الصومعة</t>
  </si>
  <si>
    <t>Soumaa</t>
  </si>
  <si>
    <t>صوحان</t>
  </si>
  <si>
    <t>Souhane</t>
  </si>
  <si>
    <t>حمام ملوان</t>
  </si>
  <si>
    <t>Hammam Elouane</t>
  </si>
  <si>
    <t>اولاد سلامة</t>
  </si>
  <si>
    <t>Ouled Slama</t>
  </si>
  <si>
    <t>أيت لعزيز</t>
  </si>
  <si>
    <t>Ait Laaziz</t>
  </si>
  <si>
    <t>المقراني</t>
  </si>
  <si>
    <t>El-Mokrani</t>
  </si>
  <si>
    <t>أعمر</t>
  </si>
  <si>
    <t>Aomar</t>
  </si>
  <si>
    <t>جباحية</t>
  </si>
  <si>
    <t>Djebahia</t>
  </si>
  <si>
    <t>قادرية</t>
  </si>
  <si>
    <t>حيزر</t>
  </si>
  <si>
    <t>تاغزوت</t>
  </si>
  <si>
    <t>Taghzout</t>
  </si>
  <si>
    <t>بودربالة</t>
  </si>
  <si>
    <t>Bouderbala</t>
  </si>
  <si>
    <t>بوكرم</t>
  </si>
  <si>
    <t>Boukram</t>
  </si>
  <si>
    <t>قرومة</t>
  </si>
  <si>
    <t>Guerrouma</t>
  </si>
  <si>
    <t>معلة</t>
  </si>
  <si>
    <t>Maala</t>
  </si>
  <si>
    <t>زبربر</t>
  </si>
  <si>
    <t>وادي البردي</t>
  </si>
  <si>
    <t>Oued El Berdi</t>
  </si>
  <si>
    <t>الحجرة الزرقاء</t>
  </si>
  <si>
    <t>Hadjera Zerga</t>
  </si>
  <si>
    <t>مزدور</t>
  </si>
  <si>
    <t>Mezdour</t>
  </si>
  <si>
    <t>تاقديت</t>
  </si>
  <si>
    <t>Taguedite</t>
  </si>
  <si>
    <t>أهل القصر</t>
  </si>
  <si>
    <t>Ahl El Ksar</t>
  </si>
  <si>
    <t>العجيبة</t>
  </si>
  <si>
    <t>El Adjiba</t>
  </si>
  <si>
    <t>الأسنام</t>
  </si>
  <si>
    <t>El Asnam</t>
  </si>
  <si>
    <t>أولاد راشد</t>
  </si>
  <si>
    <t>Ouled Rached</t>
  </si>
  <si>
    <t>عين العلوي</t>
  </si>
  <si>
    <t>Ain Laloui</t>
  </si>
  <si>
    <t>Ain-Bessem</t>
  </si>
  <si>
    <t>الخبوزية</t>
  </si>
  <si>
    <t>El Khabouzia</t>
  </si>
  <si>
    <t>روراوة</t>
  </si>
  <si>
    <t>Raouraoua</t>
  </si>
  <si>
    <t>أغبالو</t>
  </si>
  <si>
    <t>Aghbalou</t>
  </si>
  <si>
    <t>شرفة</t>
  </si>
  <si>
    <t>Chorfa</t>
  </si>
  <si>
    <t>حنيف</t>
  </si>
  <si>
    <t>Hanif</t>
  </si>
  <si>
    <t>أمشدالة</t>
  </si>
  <si>
    <t>M Chedallah</t>
  </si>
  <si>
    <t>سحاريج</t>
  </si>
  <si>
    <t>Saharidj</t>
  </si>
  <si>
    <t>آث  منصور</t>
  </si>
  <si>
    <t>Ath Mansour</t>
  </si>
  <si>
    <t>الدشمية</t>
  </si>
  <si>
    <t>Dechmia</t>
  </si>
  <si>
    <t>ديرة</t>
  </si>
  <si>
    <t>Dirah</t>
  </si>
  <si>
    <t>الحاكمية</t>
  </si>
  <si>
    <t>El-Hakimia</t>
  </si>
  <si>
    <t>المعمورة</t>
  </si>
  <si>
    <t>Maamora</t>
  </si>
  <si>
    <t>ريدان</t>
  </si>
  <si>
    <t>Ridane</t>
  </si>
  <si>
    <t>عين امقل</t>
  </si>
  <si>
    <t>Ain Amguel</t>
  </si>
  <si>
    <t>ابلسة</t>
  </si>
  <si>
    <t>Abelsa</t>
  </si>
  <si>
    <t>أدلس</t>
  </si>
  <si>
    <t>Idles</t>
  </si>
  <si>
    <t>Bir-El-Ater</t>
  </si>
  <si>
    <t>العقلة المالحة</t>
  </si>
  <si>
    <t>El Ogla El Malha</t>
  </si>
  <si>
    <t>ثليجان</t>
  </si>
  <si>
    <t>Telidjen</t>
  </si>
  <si>
    <t>بوخضرة</t>
  </si>
  <si>
    <t>Boukhadra</t>
  </si>
  <si>
    <t>El-Aouinet</t>
  </si>
  <si>
    <t>فركان</t>
  </si>
  <si>
    <t>Ferkane</t>
  </si>
  <si>
    <t>Bir Mokkadem</t>
  </si>
  <si>
    <t>قريقر</t>
  </si>
  <si>
    <t>Guorriguer</t>
  </si>
  <si>
    <t>الحمامات</t>
  </si>
  <si>
    <t>Hammamet</t>
  </si>
  <si>
    <t>بكارية</t>
  </si>
  <si>
    <t>Bekkaria</t>
  </si>
  <si>
    <t>بولحاف الدير</t>
  </si>
  <si>
    <t>Boulhaf Dyr</t>
  </si>
  <si>
    <t>بئر الذهب</t>
  </si>
  <si>
    <t>Bir Dheheb</t>
  </si>
  <si>
    <t>بجن</t>
  </si>
  <si>
    <t>Bedjene</t>
  </si>
  <si>
    <t>المزرعة</t>
  </si>
  <si>
    <t>El Mezeraa</t>
  </si>
  <si>
    <t>سطح قنطيس</t>
  </si>
  <si>
    <t>Stah Guentis</t>
  </si>
  <si>
    <t>عين الزرقاء</t>
  </si>
  <si>
    <t>Ain Zerga</t>
  </si>
  <si>
    <t>المريج</t>
  </si>
  <si>
    <t>El Meridj</t>
  </si>
  <si>
    <t>الحويجبات</t>
  </si>
  <si>
    <t>El-Houidjbet</t>
  </si>
  <si>
    <t>صفصاف الوسرى</t>
  </si>
  <si>
    <t>Saf Saf El Ouesra</t>
  </si>
  <si>
    <t>عين النحالة</t>
  </si>
  <si>
    <t>Ain Nehala</t>
  </si>
  <si>
    <t>عين يوسف</t>
  </si>
  <si>
    <t>Ain Youcef</t>
  </si>
  <si>
    <t>بني وارسوس</t>
  </si>
  <si>
    <t>Beni Ouarsous</t>
  </si>
  <si>
    <t>الفحول</t>
  </si>
  <si>
    <t>El Fehoul</t>
  </si>
  <si>
    <t>سبعة شيوخ</t>
  </si>
  <si>
    <t>Sebbaa Chioukh</t>
  </si>
  <si>
    <t>بوحلو</t>
  </si>
  <si>
    <t>Bouhlou</t>
  </si>
  <si>
    <t>دار يغمراسن</t>
  </si>
  <si>
    <t>Dar Yaghmoracen</t>
  </si>
  <si>
    <t>السواحلية</t>
  </si>
  <si>
    <t>Souahlia</t>
  </si>
  <si>
    <t>تيانت</t>
  </si>
  <si>
    <t>Tianet</t>
  </si>
  <si>
    <t>بني صميل</t>
  </si>
  <si>
    <t>Beni Smiel</t>
  </si>
  <si>
    <t>وادي الخضر</t>
  </si>
  <si>
    <t>Oued Lakhdar</t>
  </si>
  <si>
    <t>بني بهدل</t>
  </si>
  <si>
    <t>Beni Bahdel</t>
  </si>
  <si>
    <t>العزايل</t>
  </si>
  <si>
    <t>Azail</t>
  </si>
  <si>
    <t>السواني</t>
  </si>
  <si>
    <t>Souani</t>
  </si>
  <si>
    <t>سوق الثلاثاء</t>
  </si>
  <si>
    <t>Souk Tleta</t>
  </si>
  <si>
    <t>عين فتاح</t>
  </si>
  <si>
    <t>Ain Fetah</t>
  </si>
  <si>
    <t>Ain Kebira</t>
  </si>
  <si>
    <t>سيدي العبدلي</t>
  </si>
  <si>
    <t>Sidi Abdelli</t>
  </si>
  <si>
    <t>أولاد رياح</t>
  </si>
  <si>
    <t>Ouled Riyah</t>
  </si>
  <si>
    <t>زناتة</t>
  </si>
  <si>
    <t>Zenata</t>
  </si>
  <si>
    <t>حمام بوغرارة</t>
  </si>
  <si>
    <t>Hammam Boughrara</t>
  </si>
  <si>
    <t>العريشة</t>
  </si>
  <si>
    <t>El Aricha</t>
  </si>
  <si>
    <t>القور</t>
  </si>
  <si>
    <t>El Gor</t>
  </si>
  <si>
    <t>سيدي مجاهد</t>
  </si>
  <si>
    <t>Sidi Medjahed</t>
  </si>
  <si>
    <t>مسيردة الفواقة</t>
  </si>
  <si>
    <t>جبالة</t>
  </si>
  <si>
    <t>Djebala</t>
  </si>
  <si>
    <t>البويهي</t>
  </si>
  <si>
    <t>Bouihi</t>
  </si>
  <si>
    <t>بني خلاد</t>
  </si>
  <si>
    <t>Beni Khellad</t>
  </si>
  <si>
    <t>عين فزة</t>
  </si>
  <si>
    <t>Ain Fezza</t>
  </si>
  <si>
    <t>عمير</t>
  </si>
  <si>
    <t>Amieur</t>
  </si>
  <si>
    <t>عين غرابة</t>
  </si>
  <si>
    <t>Ain Ghoraba</t>
  </si>
  <si>
    <t>بني مستر</t>
  </si>
  <si>
    <t>Beni Mester</t>
  </si>
  <si>
    <t>تيرني بني هديل</t>
  </si>
  <si>
    <t>Terny Beni Hediel</t>
  </si>
  <si>
    <t>ملاكو</t>
  </si>
  <si>
    <t>Mellakou</t>
  </si>
  <si>
    <t>سيدي بختي</t>
  </si>
  <si>
    <t>Sidi Bakhti</t>
  </si>
  <si>
    <t>شحيمة</t>
  </si>
  <si>
    <t>Chehaima</t>
  </si>
  <si>
    <t>النعيمة</t>
  </si>
  <si>
    <t>Naima</t>
  </si>
  <si>
    <t>عين بوشقيف</t>
  </si>
  <si>
    <t>Ain Bouchekif</t>
  </si>
  <si>
    <t>قرطوفة</t>
  </si>
  <si>
    <t>Guertoufa</t>
  </si>
  <si>
    <t>الرحوية</t>
  </si>
  <si>
    <t>عين دزاريت</t>
  </si>
  <si>
    <t>Ain Dzarit</t>
  </si>
  <si>
    <t>الناظورة</t>
  </si>
  <si>
    <t>Nadorah</t>
  </si>
  <si>
    <t>السبعين</t>
  </si>
  <si>
    <t>Sebaine</t>
  </si>
  <si>
    <t>الفايجة</t>
  </si>
  <si>
    <t>Faidja</t>
  </si>
  <si>
    <t>سي عبد الغني</t>
  </si>
  <si>
    <t>Si Abdelghani</t>
  </si>
  <si>
    <t>توسنينة</t>
  </si>
  <si>
    <t>Tousnina</t>
  </si>
  <si>
    <t>السبت</t>
  </si>
  <si>
    <t>Sebt</t>
  </si>
  <si>
    <t>سيدي حسني</t>
  </si>
  <si>
    <t>Sidi Hosni</t>
  </si>
  <si>
    <t>عين الحديد</t>
  </si>
  <si>
    <t>Ain El Hadid</t>
  </si>
  <si>
    <t>تخمرت</t>
  </si>
  <si>
    <t>Takhemaret</t>
  </si>
  <si>
    <t>جبيلات الرصفاء</t>
  </si>
  <si>
    <t>Djebilet Rosfa</t>
  </si>
  <si>
    <t>مادنة</t>
  </si>
  <si>
    <t>Madna</t>
  </si>
  <si>
    <t>مدريسة</t>
  </si>
  <si>
    <t>Medrissa</t>
  </si>
  <si>
    <t>سرغين</t>
  </si>
  <si>
    <t>Serghine</t>
  </si>
  <si>
    <t>زمالة  الأمير عبد القادر</t>
  </si>
  <si>
    <t>Zmalet El Emir Abdelkade</t>
  </si>
  <si>
    <t>Oued Lilli</t>
  </si>
  <si>
    <t>سيدي علي ملال</t>
  </si>
  <si>
    <t>Sidi Ali Mellal</t>
  </si>
  <si>
    <t>تيدة</t>
  </si>
  <si>
    <t>Tidda</t>
  </si>
  <si>
    <t>جيلالي بن عمار</t>
  </si>
  <si>
    <t>Djillali Ben Amar</t>
  </si>
  <si>
    <t>Mechraa Safa</t>
  </si>
  <si>
    <t>تاقدمت</t>
  </si>
  <si>
    <t>Tagdempt</t>
  </si>
  <si>
    <t>الرشايقة</t>
  </si>
  <si>
    <t>Rechaiga</t>
  </si>
  <si>
    <t>Tizi-Ouzou</t>
  </si>
  <si>
    <t>أبي يوسف</t>
  </si>
  <si>
    <t>Abi-Youcef</t>
  </si>
  <si>
    <t>Ain-El-Hammam</t>
  </si>
  <si>
    <t>أيت يحيى</t>
  </si>
  <si>
    <t>Ait-Yahia</t>
  </si>
  <si>
    <t>اقبيل</t>
  </si>
  <si>
    <t>Akbil</t>
  </si>
  <si>
    <t>بوجيمة</t>
  </si>
  <si>
    <t>Boudjima</t>
  </si>
  <si>
    <t>عين الزاوية</t>
  </si>
  <si>
    <t>Ain-Zaouia</t>
  </si>
  <si>
    <t>أيت يحي موسى</t>
  </si>
  <si>
    <t>Ait Yahia Moussa</t>
  </si>
  <si>
    <t>Draa-El-Mizan</t>
  </si>
  <si>
    <t>فريقات</t>
  </si>
  <si>
    <t>Frikat</t>
  </si>
  <si>
    <t>مكيرة</t>
  </si>
  <si>
    <t>Tizi-Gheniff</t>
  </si>
  <si>
    <t>إفــرحــونان</t>
  </si>
  <si>
    <t>إيلـيــلتـن</t>
  </si>
  <si>
    <t>Illilten</t>
  </si>
  <si>
    <t>إمســوحال</t>
  </si>
  <si>
    <t>Imsouhal</t>
  </si>
  <si>
    <t>فريحة</t>
  </si>
  <si>
    <t>Freha</t>
  </si>
  <si>
    <t>إيفيغاء</t>
  </si>
  <si>
    <t>Ifigha</t>
  </si>
  <si>
    <t>إعــكورن</t>
  </si>
  <si>
    <t>Yakourene</t>
  </si>
  <si>
    <t>زكري</t>
  </si>
  <si>
    <t>Zekri</t>
  </si>
  <si>
    <t>أيت عقـواشة</t>
  </si>
  <si>
    <t>Ait Aggouacha</t>
  </si>
  <si>
    <t>إيرجـــن</t>
  </si>
  <si>
    <t>Irdjen</t>
  </si>
  <si>
    <t>الأربعــاء ناث إيراثن</t>
  </si>
  <si>
    <t>Larbaa Nath Irathen</t>
  </si>
  <si>
    <t>أيت  أومالو</t>
  </si>
  <si>
    <t>Ait-Oumalou</t>
  </si>
  <si>
    <t>Tizi-Rached</t>
  </si>
  <si>
    <t>أيت عيسى ميمون</t>
  </si>
  <si>
    <t>Ait-Aissa-Mimoun</t>
  </si>
  <si>
    <t>تيمـيزار</t>
  </si>
  <si>
    <t>Timizart</t>
  </si>
  <si>
    <t>معـــاتقة</t>
  </si>
  <si>
    <t>Souk-El-Tenine</t>
  </si>
  <si>
    <t>أيت محمود</t>
  </si>
  <si>
    <t>Ait-Mahmoud</t>
  </si>
  <si>
    <t>بنــــي زمنزار</t>
  </si>
  <si>
    <t>Beni Zmenzer</t>
  </si>
  <si>
    <t>بني عيسي</t>
  </si>
  <si>
    <t>Beni-Aissi</t>
  </si>
  <si>
    <t>Beni-Douala</t>
  </si>
  <si>
    <t>بني زيكــي</t>
  </si>
  <si>
    <t>Beni-Zikki</t>
  </si>
  <si>
    <t>بوزقــن</t>
  </si>
  <si>
    <t>إيجــار</t>
  </si>
  <si>
    <t>Idjeur</t>
  </si>
  <si>
    <t>إيلولة أومـــالو</t>
  </si>
  <si>
    <t>Illoula Oumalou</t>
  </si>
  <si>
    <t>أقني قغران</t>
  </si>
  <si>
    <t>Agouni-Gueghrane</t>
  </si>
  <si>
    <t>أيت بــوادو</t>
  </si>
  <si>
    <t>Ait Bouaddou</t>
  </si>
  <si>
    <t>تيزي نثلاثة</t>
  </si>
  <si>
    <t>أغريب</t>
  </si>
  <si>
    <t>Aghribs</t>
  </si>
  <si>
    <t>أيت شافع</t>
  </si>
  <si>
    <t>Ait-Chafaa</t>
  </si>
  <si>
    <t>أقرو</t>
  </si>
  <si>
    <t>Akerrou</t>
  </si>
  <si>
    <t>إفليـــسن</t>
  </si>
  <si>
    <t>Iflissen</t>
  </si>
  <si>
    <t>ميزرانـــة</t>
  </si>
  <si>
    <t>Mizrana</t>
  </si>
  <si>
    <t>تيقـزيرت</t>
  </si>
  <si>
    <t>أسي يوسف</t>
  </si>
  <si>
    <t>Assi-Youcef</t>
  </si>
  <si>
    <t>بونوح</t>
  </si>
  <si>
    <t>Bounouh</t>
  </si>
  <si>
    <t>مشطراس</t>
  </si>
  <si>
    <t>Mechtras</t>
  </si>
  <si>
    <t>Draa-Ben-Khedda</t>
  </si>
  <si>
    <t>Sidi Namane</t>
  </si>
  <si>
    <t>تادمايت</t>
  </si>
  <si>
    <t>Tadmait</t>
  </si>
  <si>
    <t>تيرمتين</t>
  </si>
  <si>
    <t>Tirmitine</t>
  </si>
  <si>
    <t>أيت بومهدي</t>
  </si>
  <si>
    <t>Ait Boumahdi</t>
  </si>
  <si>
    <t>أيت تودرت</t>
  </si>
  <si>
    <t>Ait-Toudert</t>
  </si>
  <si>
    <t>أيت خليلي</t>
  </si>
  <si>
    <t>Ait Khellili</t>
  </si>
  <si>
    <t>مقــلع</t>
  </si>
  <si>
    <t>صوامـــع</t>
  </si>
  <si>
    <t>Souama</t>
  </si>
  <si>
    <t>Beni-Yenni</t>
  </si>
  <si>
    <t>إبودرارن</t>
  </si>
  <si>
    <t>Iboudrarene</t>
  </si>
  <si>
    <t>يطــافن</t>
  </si>
  <si>
    <t>Yatafene</t>
  </si>
  <si>
    <t>الجزائر الوسطى</t>
  </si>
  <si>
    <t>Alger Centre</t>
  </si>
  <si>
    <t>المدنية</t>
  </si>
  <si>
    <t>El Madania</t>
  </si>
  <si>
    <t>المرادية</t>
  </si>
  <si>
    <t>El Mouradia</t>
  </si>
  <si>
    <t>بولوغين بن زيري</t>
  </si>
  <si>
    <t>Bologhine Ibnou Ziri</t>
  </si>
  <si>
    <t>القصبة</t>
  </si>
  <si>
    <t>Casbah</t>
  </si>
  <si>
    <t>وادي قريش</t>
  </si>
  <si>
    <t>Oued Koriche</t>
  </si>
  <si>
    <t>الرايس حميدو</t>
  </si>
  <si>
    <t>Rais Hamidou</t>
  </si>
  <si>
    <t>بئر خادم</t>
  </si>
  <si>
    <t>Birkhadem</t>
  </si>
  <si>
    <t>جسر قسنطينة</t>
  </si>
  <si>
    <t>Djasr Kasentina</t>
  </si>
  <si>
    <t>حيدرة</t>
  </si>
  <si>
    <t>Hydra</t>
  </si>
  <si>
    <t>السحاولة</t>
  </si>
  <si>
    <t>Sehaoula</t>
  </si>
  <si>
    <t>ابن عكنون</t>
  </si>
  <si>
    <t>Ben Aknoun</t>
  </si>
  <si>
    <t>بني مسوس</t>
  </si>
  <si>
    <t>Beni Messous</t>
  </si>
  <si>
    <t>الابيار</t>
  </si>
  <si>
    <t>El Biar</t>
  </si>
  <si>
    <t>باش جراح</t>
  </si>
  <si>
    <t>Bachedjerah</t>
  </si>
  <si>
    <t>بوروبة</t>
  </si>
  <si>
    <t>Bourouba</t>
  </si>
  <si>
    <t>وادي السمار</t>
  </si>
  <si>
    <t>Oued Smar</t>
  </si>
  <si>
    <t>الكاليتوس</t>
  </si>
  <si>
    <t>Les Eucalyptus</t>
  </si>
  <si>
    <t>سيدي موسى</t>
  </si>
  <si>
    <t>Sidi Moussa</t>
  </si>
  <si>
    <t>المغارية</t>
  </si>
  <si>
    <t>El Magharia</t>
  </si>
  <si>
    <t>القبة</t>
  </si>
  <si>
    <t>Kouba</t>
  </si>
  <si>
    <t>محمد بلوزداد</t>
  </si>
  <si>
    <t>Mohamed Belouzdad</t>
  </si>
  <si>
    <t>عين طاية</t>
  </si>
  <si>
    <t>Ain Taya</t>
  </si>
  <si>
    <t>باب الزوار</t>
  </si>
  <si>
    <t>Bab Ezzouar</t>
  </si>
  <si>
    <t>برج البحري</t>
  </si>
  <si>
    <t>Bordj El Bahri</t>
  </si>
  <si>
    <t>برج الكيفان</t>
  </si>
  <si>
    <t>Bordj El Kiffan</t>
  </si>
  <si>
    <t>Bir Touta</t>
  </si>
  <si>
    <t>اولاد شبل</t>
  </si>
  <si>
    <t>Ouled Chebel</t>
  </si>
  <si>
    <t>تسالة المرجة</t>
  </si>
  <si>
    <t>Tessala El Merdja</t>
  </si>
  <si>
    <t>هراوة</t>
  </si>
  <si>
    <t>Herraoua</t>
  </si>
  <si>
    <t>رغاية</t>
  </si>
  <si>
    <t>Reghaia</t>
  </si>
  <si>
    <t>المعالمة</t>
  </si>
  <si>
    <t>Maalma</t>
  </si>
  <si>
    <t>الرحمانية</t>
  </si>
  <si>
    <t>Rahmania</t>
  </si>
  <si>
    <t>سويدانية</t>
  </si>
  <si>
    <t>Souidania</t>
  </si>
  <si>
    <t>سطاوالي</t>
  </si>
  <si>
    <t>Staoueli</t>
  </si>
  <si>
    <t>بابا حسن</t>
  </si>
  <si>
    <t>Baba Hassen</t>
  </si>
  <si>
    <t>الدويرة</t>
  </si>
  <si>
    <t>Douira</t>
  </si>
  <si>
    <t>العاشور</t>
  </si>
  <si>
    <t>El Achour</t>
  </si>
  <si>
    <t>الخرايسية</t>
  </si>
  <si>
    <t>Khraissia</t>
  </si>
  <si>
    <t>عين بنيان</t>
  </si>
  <si>
    <t>Ain Benian</t>
  </si>
  <si>
    <t>دالي ابراهيم</t>
  </si>
  <si>
    <t>Dely Ibrahim</t>
  </si>
  <si>
    <t>اولاد فايت</t>
  </si>
  <si>
    <t>Ouled Fayet</t>
  </si>
  <si>
    <t>عين معبد</t>
  </si>
  <si>
    <t>Ain Maabed</t>
  </si>
  <si>
    <t>حاسي العش</t>
  </si>
  <si>
    <t>Hassi El Euch</t>
  </si>
  <si>
    <t>زعفران</t>
  </si>
  <si>
    <t>Zaafrane</t>
  </si>
  <si>
    <t>عمورة</t>
  </si>
  <si>
    <t>Amourah</t>
  </si>
  <si>
    <t>أم العظام</t>
  </si>
  <si>
    <t>Oum Laadham</t>
  </si>
  <si>
    <t>بنهار</t>
  </si>
  <si>
    <t>Benhar</t>
  </si>
  <si>
    <t>عين الشهداء</t>
  </si>
  <si>
    <t>Ain Chouhada</t>
  </si>
  <si>
    <t>دويس</t>
  </si>
  <si>
    <t>Douis</t>
  </si>
  <si>
    <t>دلدول</t>
  </si>
  <si>
    <t>Deldoul</t>
  </si>
  <si>
    <t>قطارة</t>
  </si>
  <si>
    <t>Guettara</t>
  </si>
  <si>
    <t>سد الرحال</t>
  </si>
  <si>
    <t>Sed Rahal</t>
  </si>
  <si>
    <t>سلمانة</t>
  </si>
  <si>
    <t>Selmana</t>
  </si>
  <si>
    <t>الخميس</t>
  </si>
  <si>
    <t>El Khemis</t>
  </si>
  <si>
    <t>حاسي فدول</t>
  </si>
  <si>
    <t>Hassi Fedoul</t>
  </si>
  <si>
    <t>عين فقه</t>
  </si>
  <si>
    <t>Ain Fekka</t>
  </si>
  <si>
    <t>بويرة الأحداب</t>
  </si>
  <si>
    <t>Bouira Lahdab</t>
  </si>
  <si>
    <t>مليليحة</t>
  </si>
  <si>
    <t>سيدي بايزيد</t>
  </si>
  <si>
    <t>Sidi Baizid</t>
  </si>
  <si>
    <t>بن يعقوب</t>
  </si>
  <si>
    <t>Benyagoub</t>
  </si>
  <si>
    <t>القديد</t>
  </si>
  <si>
    <t>El Guedid</t>
  </si>
  <si>
    <t>مجبارة</t>
  </si>
  <si>
    <t>Moudjebara</t>
  </si>
  <si>
    <t>تعظميت</t>
  </si>
  <si>
    <t>Taadmit</t>
  </si>
  <si>
    <t>زكار</t>
  </si>
  <si>
    <t>Zaccar</t>
  </si>
  <si>
    <t>قرنيني</t>
  </si>
  <si>
    <t>Guernini</t>
  </si>
  <si>
    <t>سلمى بن زيادة</t>
  </si>
  <si>
    <t>Selma Benziada</t>
  </si>
  <si>
    <t>أراقن سويسي</t>
  </si>
  <si>
    <t>Erraguene Souissi</t>
  </si>
  <si>
    <t>Ziama Mansouriah</t>
  </si>
  <si>
    <t>بوسيف أولاد عسكر</t>
  </si>
  <si>
    <t>Boussif Ouled Askeur</t>
  </si>
  <si>
    <t>الشحنة</t>
  </si>
  <si>
    <t>Chahna</t>
  </si>
  <si>
    <t>الامير عبد القادر</t>
  </si>
  <si>
    <t>Emir Abdelkader</t>
  </si>
  <si>
    <t>وجانة</t>
  </si>
  <si>
    <t>Oudjana</t>
  </si>
  <si>
    <t>برج الطهر</t>
  </si>
  <si>
    <t>القنار نشفي</t>
  </si>
  <si>
    <t>El Kennar Nouchfi</t>
  </si>
  <si>
    <t>سيدي عبد العزيز</t>
  </si>
  <si>
    <t>Sidi Abdelaziz</t>
  </si>
  <si>
    <t>أولاد يحيى خدروش</t>
  </si>
  <si>
    <t>Ouled Yahia Khadrouch</t>
  </si>
  <si>
    <t>أولاد رابح</t>
  </si>
  <si>
    <t>Ouled Rabah</t>
  </si>
  <si>
    <t>غبالة</t>
  </si>
  <si>
    <t>Ghebala</t>
  </si>
  <si>
    <t>بوراوي بلهادف</t>
  </si>
  <si>
    <t>Bouraoui Belhadef</t>
  </si>
  <si>
    <t>الجمعة بني حبيبي</t>
  </si>
  <si>
    <t>Djemaa Beni Habibi</t>
  </si>
  <si>
    <t>خيري واد عجول</t>
  </si>
  <si>
    <t>Khiri Oued Adjoul</t>
  </si>
  <si>
    <t>بودريعة بني  ياجيس</t>
  </si>
  <si>
    <t>Boudria Beniyadjis</t>
  </si>
  <si>
    <t>قاوس</t>
  </si>
  <si>
    <t>Kaous</t>
  </si>
  <si>
    <t>الدهامشة</t>
  </si>
  <si>
    <t>Dehamcha</t>
  </si>
  <si>
    <t>أولاد عدوان</t>
  </si>
  <si>
    <t>Ouled Addouane</t>
  </si>
  <si>
    <t>عين السبت</t>
  </si>
  <si>
    <t>Ain-Sebt</t>
  </si>
  <si>
    <t>Beni-Aziz</t>
  </si>
  <si>
    <t>معاوية</t>
  </si>
  <si>
    <t>Maaouia</t>
  </si>
  <si>
    <t>بلاعة</t>
  </si>
  <si>
    <t>Bellaa</t>
  </si>
  <si>
    <t>Bir-El-Arch</t>
  </si>
  <si>
    <t>الولجة</t>
  </si>
  <si>
    <t>El-Ouldja</t>
  </si>
  <si>
    <t>تاشودة</t>
  </si>
  <si>
    <t>Tachouda</t>
  </si>
  <si>
    <t>سرج الغول</t>
  </si>
  <si>
    <t>Serdj-El-Ghoul</t>
  </si>
  <si>
    <t>أولاد صابر</t>
  </si>
  <si>
    <t>Ouled Sabor</t>
  </si>
  <si>
    <t>بازر سكرة</t>
  </si>
  <si>
    <t>Bazer-Sakra</t>
  </si>
  <si>
    <t>قلتة زرقاء</t>
  </si>
  <si>
    <t>Guelta Zerka</t>
  </si>
  <si>
    <t>بني فودة</t>
  </si>
  <si>
    <t>Beni Fouda</t>
  </si>
  <si>
    <t>عين لقراج</t>
  </si>
  <si>
    <t>Ain-Legradj</t>
  </si>
  <si>
    <t>بني شبانة</t>
  </si>
  <si>
    <t>Beni Chebana</t>
  </si>
  <si>
    <t>بني موحلي</t>
  </si>
  <si>
    <t>Beni-Mouhli</t>
  </si>
  <si>
    <t>عين عباسة</t>
  </si>
  <si>
    <t>Ain Abessa</t>
  </si>
  <si>
    <t>أوريسيا</t>
  </si>
  <si>
    <t>El Ouricia</t>
  </si>
  <si>
    <t>مزلوق</t>
  </si>
  <si>
    <t>Mezloug</t>
  </si>
  <si>
    <t>واد البارد</t>
  </si>
  <si>
    <t>Oued El Bared</t>
  </si>
  <si>
    <t>تيزي نبشار</t>
  </si>
  <si>
    <t>قلال</t>
  </si>
  <si>
    <t>Guellal</t>
  </si>
  <si>
    <t>قصر الابطال</t>
  </si>
  <si>
    <t>Kasr El Abtal</t>
  </si>
  <si>
    <t>أولاد سي أحمد</t>
  </si>
  <si>
    <t>Ouled Si Ahmed</t>
  </si>
  <si>
    <t>أيت نوال مزادة</t>
  </si>
  <si>
    <t>Ait Naoual Mezada</t>
  </si>
  <si>
    <t>ايت تيزي</t>
  </si>
  <si>
    <t>Ait-Tizi</t>
  </si>
  <si>
    <t>بوسلام</t>
  </si>
  <si>
    <t>Bousselam</t>
  </si>
  <si>
    <t>Hamam Soukhna</t>
  </si>
  <si>
    <t>الطاية</t>
  </si>
  <si>
    <t>Taya</t>
  </si>
  <si>
    <t>التلة</t>
  </si>
  <si>
    <t>Tella</t>
  </si>
  <si>
    <t>بوطالب</t>
  </si>
  <si>
    <t>Boutaleb</t>
  </si>
  <si>
    <t>Hamma</t>
  </si>
  <si>
    <t>أولاد تبان</t>
  </si>
  <si>
    <t>Ouled Tebben</t>
  </si>
  <si>
    <t>الرصفة</t>
  </si>
  <si>
    <t>Rosfa</t>
  </si>
  <si>
    <t>Ain Lahdjar</t>
  </si>
  <si>
    <t>بيضاء برج</t>
  </si>
  <si>
    <t>Beidha Bordj</t>
  </si>
  <si>
    <t>بئر حدادة</t>
  </si>
  <si>
    <t>Bir Haddada</t>
  </si>
  <si>
    <t>حربيل</t>
  </si>
  <si>
    <t>Harbil</t>
  </si>
  <si>
    <t>عين الروى</t>
  </si>
  <si>
    <t>Ain-Roua</t>
  </si>
  <si>
    <t>بني وسين</t>
  </si>
  <si>
    <t>Beni Oussine</t>
  </si>
  <si>
    <t>ذراع قبيلة</t>
  </si>
  <si>
    <t>Draa-Kebila</t>
  </si>
  <si>
    <t>Maouaklane</t>
  </si>
  <si>
    <t>تالة إيفاسن</t>
  </si>
  <si>
    <t>Tala-Ifacene</t>
  </si>
  <si>
    <t>مولاي العربي</t>
  </si>
  <si>
    <t>Moulay Larbi</t>
  </si>
  <si>
    <t>سيدي احمد</t>
  </si>
  <si>
    <t>Sidi Ahmed</t>
  </si>
  <si>
    <t>دوي ثابت</t>
  </si>
  <si>
    <t>Doui Thabet</t>
  </si>
  <si>
    <t>هونت</t>
  </si>
  <si>
    <t>Hounet</t>
  </si>
  <si>
    <t>أولاد خالد</t>
  </si>
  <si>
    <t>Ouled Khaled</t>
  </si>
  <si>
    <t>سيدي عمر</t>
  </si>
  <si>
    <t>عين السخونة</t>
  </si>
  <si>
    <t>Ain Sekhouna</t>
  </si>
  <si>
    <t>عين السلطان</t>
  </si>
  <si>
    <t>Ain Soltane</t>
  </si>
  <si>
    <t>أولاد إبراهيم</t>
  </si>
  <si>
    <t>تيرسين</t>
  </si>
  <si>
    <t>Tircine</t>
  </si>
  <si>
    <t>فلفلة</t>
  </si>
  <si>
    <t>Filfila</t>
  </si>
  <si>
    <t>حمادي كرومة</t>
  </si>
  <si>
    <t>Hammadi Krouma</t>
  </si>
  <si>
    <t>عين زويت</t>
  </si>
  <si>
    <t>Ain Zouit</t>
  </si>
  <si>
    <t>بوشطاطة</t>
  </si>
  <si>
    <t>Bouchetata</t>
  </si>
  <si>
    <t>عين شرشار</t>
  </si>
  <si>
    <t>Ain Charchar</t>
  </si>
  <si>
    <t>جندل سعدي محمد</t>
  </si>
  <si>
    <t>Djendel Saadi Mohamed</t>
  </si>
  <si>
    <t>الغدير</t>
  </si>
  <si>
    <t>El Ghedir</t>
  </si>
  <si>
    <t>Es Sebt</t>
  </si>
  <si>
    <t>بكوش لخضر</t>
  </si>
  <si>
    <t>Bekkouche Lakhdar</t>
  </si>
  <si>
    <t>بني زيد</t>
  </si>
  <si>
    <t>Beni Zid</t>
  </si>
  <si>
    <t>الشرايع</t>
  </si>
  <si>
    <t>Cheraia</t>
  </si>
  <si>
    <t>خناق مايو</t>
  </si>
  <si>
    <t>Khenag Maoune</t>
  </si>
  <si>
    <t>وادي الزهور</t>
  </si>
  <si>
    <t>Oued Zhour</t>
  </si>
  <si>
    <t>قنواع</t>
  </si>
  <si>
    <t>Kanoua</t>
  </si>
  <si>
    <t>El Arrouch</t>
  </si>
  <si>
    <t>مجاز الدشيش</t>
  </si>
  <si>
    <t>Emjez Edchich</t>
  </si>
  <si>
    <t>أولاد حبابة</t>
  </si>
  <si>
    <t>Ouled Habbaba</t>
  </si>
  <si>
    <t>صالح بو الشعور</t>
  </si>
  <si>
    <t>Salah Bouchaour</t>
  </si>
  <si>
    <t>زردازة</t>
  </si>
  <si>
    <t>Zerdezas</t>
  </si>
  <si>
    <t>عين بوزيان</t>
  </si>
  <si>
    <t>Ain Bouziane</t>
  </si>
  <si>
    <t>بني ولبان</t>
  </si>
  <si>
    <t>Beni Oulbane</t>
  </si>
  <si>
    <t>بني بشير</t>
  </si>
  <si>
    <t>Beni Bechir</t>
  </si>
  <si>
    <t>بين الويدان</t>
  </si>
  <si>
    <t>Bin El Ouiden</t>
  </si>
  <si>
    <t>الكركرة</t>
  </si>
  <si>
    <t>Kerkara</t>
  </si>
  <si>
    <t>الولجة بولبلوط</t>
  </si>
  <si>
    <t>Ouldja Boulbalout</t>
  </si>
  <si>
    <t>Sidi Bel-Abbes</t>
  </si>
  <si>
    <t>عين الثريد</t>
  </si>
  <si>
    <t>Ain Thrid</t>
  </si>
  <si>
    <t>السهالة الثورة</t>
  </si>
  <si>
    <t>Sehala Thaoura</t>
  </si>
  <si>
    <t>بلعربي</t>
  </si>
  <si>
    <t>Belarbi</t>
  </si>
  <si>
    <t>تلموني</t>
  </si>
  <si>
    <t>Tilmouni</t>
  </si>
  <si>
    <t>زروالة</t>
  </si>
  <si>
    <t>Zerouala</t>
  </si>
  <si>
    <t>الضاية</t>
  </si>
  <si>
    <t>Dhaya</t>
  </si>
  <si>
    <t>مزاورو</t>
  </si>
  <si>
    <t>Mezaourou</t>
  </si>
  <si>
    <t>تغاليمت</t>
  </si>
  <si>
    <t>Teghalimet</t>
  </si>
  <si>
    <t>عين قادة</t>
  </si>
  <si>
    <t>Ain Kada</t>
  </si>
  <si>
    <t>لمطار</t>
  </si>
  <si>
    <t>Lamtar</t>
  </si>
  <si>
    <t>سيدي دحو الزاير</t>
  </si>
  <si>
    <t>Sidi Dahou Zairs</t>
  </si>
  <si>
    <t>بئر الحمام</t>
  </si>
  <si>
    <t>Bir El Hammam</t>
  </si>
  <si>
    <t>سيدي شعيب</t>
  </si>
  <si>
    <t>Sidi Chaib</t>
  </si>
  <si>
    <t>العمارنة</t>
  </si>
  <si>
    <t>Amarnas</t>
  </si>
  <si>
    <t>سيدي خالد</t>
  </si>
  <si>
    <t>سيدي يعقوب</t>
  </si>
  <si>
    <t>Sidi Yacoub</t>
  </si>
  <si>
    <t>بن عشيبة شلية</t>
  </si>
  <si>
    <t>Benachiba Chelia</t>
  </si>
  <si>
    <t>حاسي دحو</t>
  </si>
  <si>
    <t>Hassi Dahou</t>
  </si>
  <si>
    <t>وادي سفيون</t>
  </si>
  <si>
    <t>Oued Sefioun</t>
  </si>
  <si>
    <t>عين تندمين</t>
  </si>
  <si>
    <t>Ain Tindamine</t>
  </si>
  <si>
    <t>الحصيبة</t>
  </si>
  <si>
    <t>El Hacaiba</t>
  </si>
  <si>
    <t>وادي تاوريرة</t>
  </si>
  <si>
    <t>Oued Taourira</t>
  </si>
  <si>
    <t>تاودموت</t>
  </si>
  <si>
    <t>Taoudmout</t>
  </si>
  <si>
    <t>تفسور</t>
  </si>
  <si>
    <t>Tefessour</t>
  </si>
  <si>
    <t>وادي السبع</t>
  </si>
  <si>
    <t>Oued Sebaa</t>
  </si>
  <si>
    <t>رجم دموش</t>
  </si>
  <si>
    <t>Redjem Demouche</t>
  </si>
  <si>
    <t>مكدرة</t>
  </si>
  <si>
    <t>Makedra</t>
  </si>
  <si>
    <t>سيدي ابراهيم</t>
  </si>
  <si>
    <t>Sidi Brahim</t>
  </si>
  <si>
    <t>سيدي حمادوش</t>
  </si>
  <si>
    <t>Sidi Hamadouche</t>
  </si>
  <si>
    <t>عين أدن</t>
  </si>
  <si>
    <t>Ain- Adden</t>
  </si>
  <si>
    <t>بوجبهة البرج</t>
  </si>
  <si>
    <t>Boudjebaa El Bordj</t>
  </si>
  <si>
    <t>مسيد</t>
  </si>
  <si>
    <t>بضرابين المقراني</t>
  </si>
  <si>
    <t>Bedrabine El Mokrani</t>
  </si>
  <si>
    <t>شيطوان البلايلة</t>
  </si>
  <si>
    <t>Chetouane Belaila</t>
  </si>
  <si>
    <t>حاسي زهانة</t>
  </si>
  <si>
    <t>Hassi Zahana</t>
  </si>
  <si>
    <t>بوخنفيس</t>
  </si>
  <si>
    <t>Boukhanefis</t>
  </si>
  <si>
    <t>Sidi Ali Benyoub</t>
  </si>
  <si>
    <t>طابية</t>
  </si>
  <si>
    <t>Tabia</t>
  </si>
  <si>
    <t>سرايدي</t>
  </si>
  <si>
    <t>Seraidi</t>
  </si>
  <si>
    <t>واد العنب</t>
  </si>
  <si>
    <t>Oued El Aneb</t>
  </si>
  <si>
    <t>التريعات</t>
  </si>
  <si>
    <t>Treat</t>
  </si>
  <si>
    <t>سيدي عمار</t>
  </si>
  <si>
    <t>الشرفة</t>
  </si>
  <si>
    <t>Cheurfa</t>
  </si>
  <si>
    <t>بن جراح</t>
  </si>
  <si>
    <t>Bendjarah</t>
  </si>
  <si>
    <t>عين رقادة</t>
  </si>
  <si>
    <t>Ain Regada</t>
  </si>
  <si>
    <t>برج صباط</t>
  </si>
  <si>
    <t>Bordj Sabath</t>
  </si>
  <si>
    <t>عين العربي</t>
  </si>
  <si>
    <t>Ain Larbi</t>
  </si>
  <si>
    <t>تاملوكة</t>
  </si>
  <si>
    <t>Tamlouka</t>
  </si>
  <si>
    <t>عين صندل</t>
  </si>
  <si>
    <t>Ain Sandel</t>
  </si>
  <si>
    <t>بوحشانة</t>
  </si>
  <si>
    <t>Bou Hachana</t>
  </si>
  <si>
    <t>لخزارة</t>
  </si>
  <si>
    <t>بلخير</t>
  </si>
  <si>
    <t>Belkheir</t>
  </si>
  <si>
    <t>بني مزلين</t>
  </si>
  <si>
    <t>Beni Mezline</t>
  </si>
  <si>
    <t>بومهرة أحمد</t>
  </si>
  <si>
    <t>Boumahra Ahmed</t>
  </si>
  <si>
    <t>جبالة الخميسي</t>
  </si>
  <si>
    <t>Djeballah Khemissi</t>
  </si>
  <si>
    <t>Guelaat Bou Sbaa</t>
  </si>
  <si>
    <t>نشماية</t>
  </si>
  <si>
    <t>Nechmaya</t>
  </si>
  <si>
    <t>بوحمدان</t>
  </si>
  <si>
    <t>Bou Hamdane</t>
  </si>
  <si>
    <t>الركنية</t>
  </si>
  <si>
    <t>Roknia</t>
  </si>
  <si>
    <t>الدهوارة</t>
  </si>
  <si>
    <t>Dahouara</t>
  </si>
  <si>
    <t>وادي الشحم</t>
  </si>
  <si>
    <t>Oued Cheham</t>
  </si>
  <si>
    <t>عين بن بيضاء</t>
  </si>
  <si>
    <t>Ain Ben Beida</t>
  </si>
  <si>
    <t>مجاز الصفاء</t>
  </si>
  <si>
    <t>Medjez Sfa</t>
  </si>
  <si>
    <t>وادي فراغة</t>
  </si>
  <si>
    <t>Oued Ferragha</t>
  </si>
  <si>
    <t>بوعاتي محمود</t>
  </si>
  <si>
    <t>Bouati Mahmoud</t>
  </si>
  <si>
    <t>الفجوج</t>
  </si>
  <si>
    <t>El Fedjoudj</t>
  </si>
  <si>
    <t>مجاز عمار</t>
  </si>
  <si>
    <t>Medjez Amar</t>
  </si>
  <si>
    <t>هواري بومدين</t>
  </si>
  <si>
    <t>Houari Boumedienne</t>
  </si>
  <si>
    <t>رأس العقبة</t>
  </si>
  <si>
    <t>Ras El Agba</t>
  </si>
  <si>
    <t>سلاوة عنونة</t>
  </si>
  <si>
    <t>Sellaoua Announa</t>
  </si>
  <si>
    <t>ديدوش مراد</t>
  </si>
  <si>
    <t>Didouche Mourad</t>
  </si>
  <si>
    <t>بني حميدان</t>
  </si>
  <si>
    <t>Beni Hamidane</t>
  </si>
  <si>
    <t>عين السمارة</t>
  </si>
  <si>
    <t>Ain Smara</t>
  </si>
  <si>
    <t>أولاد رحمون</t>
  </si>
  <si>
    <t>Ouled Rahmoun</t>
  </si>
  <si>
    <t>أبن باديس الهرية</t>
  </si>
  <si>
    <t>بوجريو مسعود</t>
  </si>
  <si>
    <t>Messaoud Boudjeriou</t>
  </si>
  <si>
    <t>ذراع السمار</t>
  </si>
  <si>
    <t>Draa Esmar</t>
  </si>
  <si>
    <t>تمسقيدة</t>
  </si>
  <si>
    <t>Tamesguida</t>
  </si>
  <si>
    <t>بن شكاو</t>
  </si>
  <si>
    <t>Ben Chicao</t>
  </si>
  <si>
    <t>الحمدانية</t>
  </si>
  <si>
    <t>El Hamdania</t>
  </si>
  <si>
    <t>تيزي مهدي</t>
  </si>
  <si>
    <t>Tizi Mahdi</t>
  </si>
  <si>
    <t>El Ouinet</t>
  </si>
  <si>
    <t>الكاف الاخضر</t>
  </si>
  <si>
    <t>Kef Lakhdar</t>
  </si>
  <si>
    <t>أولاد امعرف</t>
  </si>
  <si>
    <t>Ouled Emaaraf</t>
  </si>
  <si>
    <t>سيدي دامد</t>
  </si>
  <si>
    <t>Sidi Demed</t>
  </si>
  <si>
    <t>بعطة</t>
  </si>
  <si>
    <t>Baata</t>
  </si>
  <si>
    <t>بئر بن عابد</t>
  </si>
  <si>
    <t>Bir Ben Laabed</t>
  </si>
  <si>
    <t>El Guelbelkebir</t>
  </si>
  <si>
    <t>سدراية</t>
  </si>
  <si>
    <t>Sedraya</t>
  </si>
  <si>
    <t>عين اقصير</t>
  </si>
  <si>
    <t>Ain Ouksir</t>
  </si>
  <si>
    <t>Chelalet El Adhaoura</t>
  </si>
  <si>
    <t>شنيقل</t>
  </si>
  <si>
    <t>Cheniguel</t>
  </si>
  <si>
    <t>تفراوت</t>
  </si>
  <si>
    <t>Tafraout</t>
  </si>
  <si>
    <t>بوشراحيل</t>
  </si>
  <si>
    <t>Bouchrahil</t>
  </si>
  <si>
    <t>خمس جوامع</t>
  </si>
  <si>
    <t>Khams Djouamaa</t>
  </si>
  <si>
    <t>دراق</t>
  </si>
  <si>
    <t>Derrag</t>
  </si>
  <si>
    <t>أم الجليل</t>
  </si>
  <si>
    <t>Oum El Djellil</t>
  </si>
  <si>
    <t>جواب</t>
  </si>
  <si>
    <t>Djouab</t>
  </si>
  <si>
    <t>سيدي زهار</t>
  </si>
  <si>
    <t>Sidi Zahar</t>
  </si>
  <si>
    <t>سيدي زيان</t>
  </si>
  <si>
    <t>Sidi Ziane</t>
  </si>
  <si>
    <t>Souagui</t>
  </si>
  <si>
    <t>مفاتحة</t>
  </si>
  <si>
    <t>السانق</t>
  </si>
  <si>
    <t>Saneg</t>
  </si>
  <si>
    <t>مغراوة</t>
  </si>
  <si>
    <t>Maghraoua</t>
  </si>
  <si>
    <t>ميهوب</t>
  </si>
  <si>
    <t>Mihoub</t>
  </si>
  <si>
    <t>بوعيش</t>
  </si>
  <si>
    <t>Bouaiche</t>
  </si>
  <si>
    <t>بوغزول</t>
  </si>
  <si>
    <t>Boughzoul</t>
  </si>
  <si>
    <t>Chabounia</t>
  </si>
  <si>
    <t>حناشة</t>
  </si>
  <si>
    <t>Hannacha</t>
  </si>
  <si>
    <t>وادي حربيل</t>
  </si>
  <si>
    <t>Oued Harbil</t>
  </si>
  <si>
    <t>بوعيشون</t>
  </si>
  <si>
    <t>Bouaichoune</t>
  </si>
  <si>
    <t>أولاد بوعشرة</t>
  </si>
  <si>
    <t>Ouled Bouachra</t>
  </si>
  <si>
    <t>بوسكن</t>
  </si>
  <si>
    <t>Bouskene</t>
  </si>
  <si>
    <t>سيدي الربيع</t>
  </si>
  <si>
    <t>Sidi Rabie</t>
  </si>
  <si>
    <t>أولاد دايد</t>
  </si>
  <si>
    <t>Ouled Deid</t>
  </si>
  <si>
    <t>الربعية</t>
  </si>
  <si>
    <t>Rebaia</t>
  </si>
  <si>
    <t>مجبر</t>
  </si>
  <si>
    <t>Medjebar</t>
  </si>
  <si>
    <t>ثلاث دوائر</t>
  </si>
  <si>
    <t>Tletat Ed Douair</t>
  </si>
  <si>
    <t>الزبيرية</t>
  </si>
  <si>
    <t>Zoubiria</t>
  </si>
  <si>
    <t>العيساوية</t>
  </si>
  <si>
    <t>Aissaouia</t>
  </si>
  <si>
    <t>الحوضان</t>
  </si>
  <si>
    <t>El Haoudane</t>
  </si>
  <si>
    <t>مزغنة</t>
  </si>
  <si>
    <t>Mezerana</t>
  </si>
  <si>
    <t>بوغار</t>
  </si>
  <si>
    <t>Boghar</t>
  </si>
  <si>
    <t>أولاد هلال</t>
  </si>
  <si>
    <t>Ouled Hellal</t>
  </si>
  <si>
    <t>Ain-Nouissy</t>
  </si>
  <si>
    <t>فرناقة</t>
  </si>
  <si>
    <t>Fornaka</t>
  </si>
  <si>
    <t>الحسيان (بني ياحي</t>
  </si>
  <si>
    <t>Hassiane</t>
  </si>
  <si>
    <t>مزغران</t>
  </si>
  <si>
    <t>Mazagran</t>
  </si>
  <si>
    <t>ستيدية</t>
  </si>
  <si>
    <t>Stidia</t>
  </si>
  <si>
    <t>Ain-Tedles</t>
  </si>
  <si>
    <t>وادي الخير</t>
  </si>
  <si>
    <t>Oued El Kheir</t>
  </si>
  <si>
    <t>سيدي بلعطار</t>
  </si>
  <si>
    <t>Sidi Belaattar</t>
  </si>
  <si>
    <t>سور</t>
  </si>
  <si>
    <t>Sour</t>
  </si>
  <si>
    <t>عين بودينار</t>
  </si>
  <si>
    <t>Ain-Boudinar</t>
  </si>
  <si>
    <t>Kheir-Eddine</t>
  </si>
  <si>
    <t>صيادة</t>
  </si>
  <si>
    <t>Sayada</t>
  </si>
  <si>
    <t>أولاد مع الله</t>
  </si>
  <si>
    <t>Ouled-Maalah</t>
  </si>
  <si>
    <t>تزقايت</t>
  </si>
  <si>
    <t>Tazgait</t>
  </si>
  <si>
    <t>بن عبد المالك رمضان</t>
  </si>
  <si>
    <t>Benabdelmalek Ramdane</t>
  </si>
  <si>
    <t>حجاج</t>
  </si>
  <si>
    <t>Hadjadj</t>
  </si>
  <si>
    <t>Sidi-Lakhdar</t>
  </si>
  <si>
    <t>خضرة</t>
  </si>
  <si>
    <t>Khadra</t>
  </si>
  <si>
    <t>نكمارية</t>
  </si>
  <si>
    <t>Nekmaria</t>
  </si>
  <si>
    <t>أولاد بوغالم</t>
  </si>
  <si>
    <t>Ouled Boughalem</t>
  </si>
  <si>
    <t>صفصاف</t>
  </si>
  <si>
    <t>Safsaf</t>
  </si>
  <si>
    <t>سيرات</t>
  </si>
  <si>
    <t>Sirat</t>
  </si>
  <si>
    <t>السوافلية</t>
  </si>
  <si>
    <t>Souaflia</t>
  </si>
  <si>
    <t>عين سيدي الشريف</t>
  </si>
  <si>
    <t>Ain-Sidi Cherif</t>
  </si>
  <si>
    <t>الطواهرية</t>
  </si>
  <si>
    <t>Touahria</t>
  </si>
  <si>
    <t>ونوغة</t>
  </si>
  <si>
    <t>Ouanougha</t>
  </si>
  <si>
    <t>أولاد منصور</t>
  </si>
  <si>
    <t>Ouled Mansour</t>
  </si>
  <si>
    <t>تارمونت</t>
  </si>
  <si>
    <t>Tarmount</t>
  </si>
  <si>
    <t>المعاضيد</t>
  </si>
  <si>
    <t>Maadid</t>
  </si>
  <si>
    <t>المطارفة</t>
  </si>
  <si>
    <t>أولاد عدي لقبالة</t>
  </si>
  <si>
    <t>Ouled Addi Guebala</t>
  </si>
  <si>
    <t>السوامع</t>
  </si>
  <si>
    <t>Souamaa</t>
  </si>
  <si>
    <t>الحوامد</t>
  </si>
  <si>
    <t>El Houamed</t>
  </si>
  <si>
    <t>مسيف</t>
  </si>
  <si>
    <t>خطوطي سد الجير</t>
  </si>
  <si>
    <t>Khettouti Sed-El-Jir</t>
  </si>
  <si>
    <t>معاريف</t>
  </si>
  <si>
    <t>Maarif</t>
  </si>
  <si>
    <t>أولاد ماضي</t>
  </si>
  <si>
    <t>Ouled Madhi</t>
  </si>
  <si>
    <t>عين الخضراء</t>
  </si>
  <si>
    <t>Ain Khadra</t>
  </si>
  <si>
    <t>بلعايبة</t>
  </si>
  <si>
    <t>Belaiba</t>
  </si>
  <si>
    <t>برهوم</t>
  </si>
  <si>
    <t>Berhoum</t>
  </si>
  <si>
    <t>دهاهنة</t>
  </si>
  <si>
    <t>Dehahna</t>
  </si>
  <si>
    <t>بني يلمان</t>
  </si>
  <si>
    <t>Beni Ilmane</t>
  </si>
  <si>
    <t>بوطي السايح</t>
  </si>
  <si>
    <t>Bouti Sayeh</t>
  </si>
  <si>
    <t>سيدي هجرس</t>
  </si>
  <si>
    <t>Sidi Hadjeres</t>
  </si>
  <si>
    <t>Bou Saada</t>
  </si>
  <si>
    <t>الهامل</t>
  </si>
  <si>
    <t>El Hamel</t>
  </si>
  <si>
    <t>ولتام</t>
  </si>
  <si>
    <t>Oulteme</t>
  </si>
  <si>
    <t>بن زوه</t>
  </si>
  <si>
    <t>Benzouh</t>
  </si>
  <si>
    <t>تامسة</t>
  </si>
  <si>
    <t>Tamsa</t>
  </si>
  <si>
    <t>محمد بوضياف</t>
  </si>
  <si>
    <t>Mohamed Boudiaf</t>
  </si>
  <si>
    <t>أولاد سليمان</t>
  </si>
  <si>
    <t>Ouled Slimane</t>
  </si>
  <si>
    <t>زرزور</t>
  </si>
  <si>
    <t>Zarzour</t>
  </si>
  <si>
    <t>عين الريش</t>
  </si>
  <si>
    <t>Ain Rich</t>
  </si>
  <si>
    <t>بئر فضة</t>
  </si>
  <si>
    <t>Bir Foda</t>
  </si>
  <si>
    <t>مناعة</t>
  </si>
  <si>
    <t>سليم</t>
  </si>
  <si>
    <t>Slim</t>
  </si>
  <si>
    <t>القطنة</t>
  </si>
  <si>
    <t>El Gueitena</t>
  </si>
  <si>
    <t>حسين</t>
  </si>
  <si>
    <t>Hacine</t>
  </si>
  <si>
    <t>القرط</t>
  </si>
  <si>
    <t>El Keurt</t>
  </si>
  <si>
    <t>فروحة</t>
  </si>
  <si>
    <t>Froha</t>
  </si>
  <si>
    <t>السهايلية</t>
  </si>
  <si>
    <t>Sehailia</t>
  </si>
  <si>
    <t>سيدي قادة</t>
  </si>
  <si>
    <t>Sidi Kada</t>
  </si>
  <si>
    <t>El Hachem</t>
  </si>
  <si>
    <t>نسمط</t>
  </si>
  <si>
    <t>Nesmot</t>
  </si>
  <si>
    <t>زلامطة</t>
  </si>
  <si>
    <t>Zelamta</t>
  </si>
  <si>
    <t>عين فراح</t>
  </si>
  <si>
    <t>Ain Ferah</t>
  </si>
  <si>
    <t>سيدي عبد الجبار</t>
  </si>
  <si>
    <t>Sidi Abdeldjebar</t>
  </si>
  <si>
    <t>ماقضة</t>
  </si>
  <si>
    <t>Makhda</t>
  </si>
  <si>
    <t>ماوسة</t>
  </si>
  <si>
    <t>Maoussa</t>
  </si>
  <si>
    <t>المطمور</t>
  </si>
  <si>
    <t>Matemore</t>
  </si>
  <si>
    <t>سيدي بوسعيد</t>
  </si>
  <si>
    <t>Sidi Boussaid</t>
  </si>
  <si>
    <t>المنور</t>
  </si>
  <si>
    <t>El Menaouer</t>
  </si>
  <si>
    <t>خلوية</t>
  </si>
  <si>
    <t>Khalouia</t>
  </si>
  <si>
    <t>عين أفرص</t>
  </si>
  <si>
    <t>Ain Frass</t>
  </si>
  <si>
    <t>قرجوم</t>
  </si>
  <si>
    <t>Guerdjoum</t>
  </si>
  <si>
    <t>بنيان</t>
  </si>
  <si>
    <t>Benian</t>
  </si>
  <si>
    <t>غروس</t>
  </si>
  <si>
    <t>Gharrous</t>
  </si>
  <si>
    <t>المأمونية</t>
  </si>
  <si>
    <t>El Mamounia</t>
  </si>
  <si>
    <t>بوهني</t>
  </si>
  <si>
    <t>Bou Henni</t>
  </si>
  <si>
    <t>الشرفاء</t>
  </si>
  <si>
    <t>العلايمية</t>
  </si>
  <si>
    <t>Alaimia</t>
  </si>
  <si>
    <t>رأس عين عميروش</t>
  </si>
  <si>
    <t>Ras El Ain Amirouche</t>
  </si>
  <si>
    <t>القعدة</t>
  </si>
  <si>
    <t>El Gaada</t>
  </si>
  <si>
    <t>الغمري</t>
  </si>
  <si>
    <t>El Ghomri</t>
  </si>
  <si>
    <t>فراقيق</t>
  </si>
  <si>
    <t>Ferraguig</t>
  </si>
  <si>
    <t>مقطع الدوز</t>
  </si>
  <si>
    <t>Mocta-Douz</t>
  </si>
  <si>
    <t>سجرارة</t>
  </si>
  <si>
    <t>Sedjerara</t>
  </si>
  <si>
    <t>سيدي عبد المومن</t>
  </si>
  <si>
    <t>Sidi Abdelmoumene</t>
  </si>
  <si>
    <t>الرويسات</t>
  </si>
  <si>
    <t>Rouissat</t>
  </si>
  <si>
    <t>حاسي بن عبد الله</t>
  </si>
  <si>
    <t>Hassi Ben Abdellah</t>
  </si>
  <si>
    <t>بن فريحة</t>
  </si>
  <si>
    <t>Ben Freha</t>
  </si>
  <si>
    <t>حاسي مفسوخ</t>
  </si>
  <si>
    <t>Hassi Mefsoukh</t>
  </si>
  <si>
    <t>حاسي بن عقبة</t>
  </si>
  <si>
    <t>Hassi Ben Okba</t>
  </si>
  <si>
    <t>حاسي بونيف</t>
  </si>
  <si>
    <t>Hassi Bounif</t>
  </si>
  <si>
    <t>الكرمة</t>
  </si>
  <si>
    <t>El Kerma</t>
  </si>
  <si>
    <t>سيدي الشحمي</t>
  </si>
  <si>
    <t>Sidi Chami</t>
  </si>
  <si>
    <t>سيدي بن يبقى</t>
  </si>
  <si>
    <t>Sidi Ben Yebka</t>
  </si>
  <si>
    <t>عين البية</t>
  </si>
  <si>
    <t>Ain Biya</t>
  </si>
  <si>
    <t>مرسى الحجاج</t>
  </si>
  <si>
    <t>Marsat El Hadjadj</t>
  </si>
  <si>
    <t>بوسفر</t>
  </si>
  <si>
    <t>Bousfer</t>
  </si>
  <si>
    <t>El Ancor</t>
  </si>
  <si>
    <t>المرسى الكبير</t>
  </si>
  <si>
    <t>Mers El Kebir</t>
  </si>
  <si>
    <t>بوفاتيس</t>
  </si>
  <si>
    <t>Boufatis</t>
  </si>
  <si>
    <t>البراية</t>
  </si>
  <si>
    <t>El Braya</t>
  </si>
  <si>
    <t>طفراوي</t>
  </si>
  <si>
    <t>Tafraoui</t>
  </si>
  <si>
    <t>عين الكرمة</t>
  </si>
  <si>
    <t>Ain Kerma</t>
  </si>
  <si>
    <t>مسرغين</t>
  </si>
  <si>
    <t>Messerghin</t>
  </si>
  <si>
    <t>الشقيق</t>
  </si>
  <si>
    <t>Cheguig</t>
  </si>
  <si>
    <t>الكاف الأحمر</t>
  </si>
  <si>
    <t>Kef El Ahmar</t>
  </si>
  <si>
    <t>الغاسول</t>
  </si>
  <si>
    <t>Ghassoul</t>
  </si>
  <si>
    <t>كراكدة</t>
  </si>
  <si>
    <t>Krakda</t>
  </si>
  <si>
    <t>سيدي سليمان</t>
  </si>
  <si>
    <t>Sidi Slimane</t>
  </si>
  <si>
    <t>سيدي طيفور</t>
  </si>
  <si>
    <t>Sidi Tiffour</t>
  </si>
  <si>
    <t>ستيتن</t>
  </si>
  <si>
    <t>Stitten</t>
  </si>
  <si>
    <t>عين العراك</t>
  </si>
  <si>
    <t>Ain El Orak</t>
  </si>
  <si>
    <t>اربوات</t>
  </si>
  <si>
    <t>Arbaouat</t>
  </si>
  <si>
    <t>البنود</t>
  </si>
  <si>
    <t>El Bnoud</t>
  </si>
  <si>
    <t>الخيثر</t>
  </si>
  <si>
    <t>El Kheiter</t>
  </si>
  <si>
    <t>توسمولين</t>
  </si>
  <si>
    <t>Tousmouline</t>
  </si>
  <si>
    <t>المحرة</t>
  </si>
  <si>
    <t>El Mehara</t>
  </si>
  <si>
    <t>برج عمر إدريس</t>
  </si>
  <si>
    <t>Bordj Omar Driss</t>
  </si>
  <si>
    <t>دبداب</t>
  </si>
  <si>
    <t>Debdeb</t>
  </si>
  <si>
    <t>برج بوعريرج</t>
  </si>
  <si>
    <t>B. B. Arreridj</t>
  </si>
  <si>
    <t>عين تسرة</t>
  </si>
  <si>
    <t>Ain Tesra</t>
  </si>
  <si>
    <t>أولاد أبراهم</t>
  </si>
  <si>
    <t>Ouled Brahem</t>
  </si>
  <si>
    <t>أولاد دحمان</t>
  </si>
  <si>
    <t>Ouled Dahmane</t>
  </si>
  <si>
    <t>تسامرت</t>
  </si>
  <si>
    <t>Tassamert</t>
  </si>
  <si>
    <t>بن داود</t>
  </si>
  <si>
    <t>Ben Daoud</t>
  </si>
  <si>
    <t>المهير</t>
  </si>
  <si>
    <t>حرازة</t>
  </si>
  <si>
    <t>Haraza</t>
  </si>
  <si>
    <t>Mansoura</t>
  </si>
  <si>
    <t>Ouled Sidi-Brahim</t>
  </si>
  <si>
    <t>تيكستار</t>
  </si>
  <si>
    <t>Tixter</t>
  </si>
  <si>
    <t>بليمور</t>
  </si>
  <si>
    <t>Belimour</t>
  </si>
  <si>
    <t>العناصر</t>
  </si>
  <si>
    <t>El Annasseur</t>
  </si>
  <si>
    <t>غيلاسة</t>
  </si>
  <si>
    <t>Ghailasa</t>
  </si>
  <si>
    <t>تقلعيت</t>
  </si>
  <si>
    <t>Taglait</t>
  </si>
  <si>
    <t>العش</t>
  </si>
  <si>
    <t>El Euch</t>
  </si>
  <si>
    <t>Elhammadia</t>
  </si>
  <si>
    <t>القصور</t>
  </si>
  <si>
    <t>Ksour</t>
  </si>
  <si>
    <t>الرابطة</t>
  </si>
  <si>
    <t>Rabta</t>
  </si>
  <si>
    <t>الياشير</t>
  </si>
  <si>
    <t>El Achir</t>
  </si>
  <si>
    <t>حسناوة</t>
  </si>
  <si>
    <t>Hasnaoua</t>
  </si>
  <si>
    <t>ثنية النصر</t>
  </si>
  <si>
    <t>Teniet En Nasr</t>
  </si>
  <si>
    <t>القلة</t>
  </si>
  <si>
    <t>Colla</t>
  </si>
  <si>
    <t>الماين</t>
  </si>
  <si>
    <t>El Main</t>
  </si>
  <si>
    <t>تفرق</t>
  </si>
  <si>
    <t>Tefreg</t>
  </si>
  <si>
    <t>خليل</t>
  </si>
  <si>
    <t>Khelil</t>
  </si>
  <si>
    <t>سيدي أمبارك</t>
  </si>
  <si>
    <t>Sidi-Embarek</t>
  </si>
  <si>
    <t>قورصو</t>
  </si>
  <si>
    <t>Corso</t>
  </si>
  <si>
    <t>تيجلابين</t>
  </si>
  <si>
    <t>Tidjelabine</t>
  </si>
  <si>
    <t>بودواو البحري</t>
  </si>
  <si>
    <t>Boudouaou El Bahri</t>
  </si>
  <si>
    <t>بوزقزة قدارة</t>
  </si>
  <si>
    <t>Bouzegza Keddara</t>
  </si>
  <si>
    <t>الخروبة</t>
  </si>
  <si>
    <t>El Kharrouba</t>
  </si>
  <si>
    <t>أولاد هداج</t>
  </si>
  <si>
    <t>Ouled Hedadj</t>
  </si>
  <si>
    <t>جنات</t>
  </si>
  <si>
    <t>Djinet</t>
  </si>
  <si>
    <t>لقاطة</t>
  </si>
  <si>
    <t>Leghata</t>
  </si>
  <si>
    <t>زموري</t>
  </si>
  <si>
    <t>Zemmouri</t>
  </si>
  <si>
    <t>سيدي داود</t>
  </si>
  <si>
    <t>Sidi Daoud</t>
  </si>
  <si>
    <t>تاورقة</t>
  </si>
  <si>
    <t>Taourga</t>
  </si>
  <si>
    <t>أولاد عيسى</t>
  </si>
  <si>
    <t>Ouled Aissa</t>
  </si>
  <si>
    <t>شعبة العامر</t>
  </si>
  <si>
    <t>Chabet El Ameur</t>
  </si>
  <si>
    <t>سي مصطفى</t>
  </si>
  <si>
    <t>Si Mustapha</t>
  </si>
  <si>
    <t>عمال</t>
  </si>
  <si>
    <t>Ammal</t>
  </si>
  <si>
    <t>بني عمران</t>
  </si>
  <si>
    <t>Beni Amrane</t>
  </si>
  <si>
    <t>سوق الحد</t>
  </si>
  <si>
    <t>Souk El Had</t>
  </si>
  <si>
    <t>أعفير</t>
  </si>
  <si>
    <t>Afir</t>
  </si>
  <si>
    <t>بن شود</t>
  </si>
  <si>
    <t>Ben Choud</t>
  </si>
  <si>
    <t>حمادي</t>
  </si>
  <si>
    <t>Hammedi</t>
  </si>
  <si>
    <t>الاربعطاش</t>
  </si>
  <si>
    <t>Larbatache</t>
  </si>
  <si>
    <t>أولاد موسى</t>
  </si>
  <si>
    <t>Ouled Moussa</t>
  </si>
  <si>
    <t>عين العسل</t>
  </si>
  <si>
    <t>Ain El Assel</t>
  </si>
  <si>
    <t>بوقوس</t>
  </si>
  <si>
    <t>Bougous</t>
  </si>
  <si>
    <t>حمام بني صالح</t>
  </si>
  <si>
    <t>Hammam Beni Salah</t>
  </si>
  <si>
    <t>وادي الزيتون</t>
  </si>
  <si>
    <t>Oued Zitoun</t>
  </si>
  <si>
    <t>Ben M Hidi</t>
  </si>
  <si>
    <t>بريحان</t>
  </si>
  <si>
    <t>Berrihane</t>
  </si>
  <si>
    <t>الشط</t>
  </si>
  <si>
    <t>Echatt</t>
  </si>
  <si>
    <t>العيون</t>
  </si>
  <si>
    <t>El Aioun</t>
  </si>
  <si>
    <t>رمل السوق</t>
  </si>
  <si>
    <t>Raml Souk</t>
  </si>
  <si>
    <t>السوارخ</t>
  </si>
  <si>
    <t>Souarekh</t>
  </si>
  <si>
    <t>الشافية</t>
  </si>
  <si>
    <t>Chefia</t>
  </si>
  <si>
    <t>بحيرة الطيور</t>
  </si>
  <si>
    <t>Lac Des Oiseaux</t>
  </si>
  <si>
    <t>شبيطة مختار</t>
  </si>
  <si>
    <t>Chebaita Mokhtar</t>
  </si>
  <si>
    <t>شحاني</t>
  </si>
  <si>
    <t>Chihani</t>
  </si>
  <si>
    <t>الذرعـان</t>
  </si>
  <si>
    <t>عصفور</t>
  </si>
  <si>
    <t>Asfour</t>
  </si>
  <si>
    <t>زريزر</t>
  </si>
  <si>
    <t>Zerizer</t>
  </si>
  <si>
    <t>أم العسل</t>
  </si>
  <si>
    <t>Oum El Assel</t>
  </si>
  <si>
    <t>أولاد بسام</t>
  </si>
  <si>
    <t>Ouled Bessam</t>
  </si>
  <si>
    <t>بني شعيب</t>
  </si>
  <si>
    <t>Beni Chaib</t>
  </si>
  <si>
    <t>بني لحسن</t>
  </si>
  <si>
    <t>Beni Lahcene</t>
  </si>
  <si>
    <t>سيدي بوتوشنت</t>
  </si>
  <si>
    <t>Sidi Boutouchent</t>
  </si>
  <si>
    <t>بوقائد</t>
  </si>
  <si>
    <t>Boucaid</t>
  </si>
  <si>
    <t>الملعب</t>
  </si>
  <si>
    <t>Melaab</t>
  </si>
  <si>
    <t>سيدي العنتري</t>
  </si>
  <si>
    <t>Sidi Lantri</t>
  </si>
  <si>
    <t>تملاحت</t>
  </si>
  <si>
    <t>Tamellahet</t>
  </si>
  <si>
    <t>Bordj El Emir Abdelkader</t>
  </si>
  <si>
    <t>اليوسفية</t>
  </si>
  <si>
    <t>Youssoufia</t>
  </si>
  <si>
    <t>Layoune</t>
  </si>
  <si>
    <t>المعاصم</t>
  </si>
  <si>
    <t>Maacem</t>
  </si>
  <si>
    <t>سيدي عابد</t>
  </si>
  <si>
    <t>Sidi Abed</t>
  </si>
  <si>
    <t>El-Oued</t>
  </si>
  <si>
    <t>كوينين</t>
  </si>
  <si>
    <t>Kouinine</t>
  </si>
  <si>
    <t>النخلة</t>
  </si>
  <si>
    <t>Nakhla</t>
  </si>
  <si>
    <t>ورماس</t>
  </si>
  <si>
    <t>Ourmes</t>
  </si>
  <si>
    <t>تغزوت</t>
  </si>
  <si>
    <t>الحمراية</t>
  </si>
  <si>
    <t>Hamraia</t>
  </si>
  <si>
    <t>حساني عبد الكريم</t>
  </si>
  <si>
    <t>Hassani Abdelkrim</t>
  </si>
  <si>
    <t>الطريفاوي</t>
  </si>
  <si>
    <t>Trifaoui</t>
  </si>
  <si>
    <t>بن  قشة</t>
  </si>
  <si>
    <t>Ben Guecha</t>
  </si>
  <si>
    <t>دوار الماء</t>
  </si>
  <si>
    <t>Douar El Maa</t>
  </si>
  <si>
    <t>سيدي عون</t>
  </si>
  <si>
    <t>Sidi Aoun</t>
  </si>
  <si>
    <t>Mih Ouansa</t>
  </si>
  <si>
    <t>وادي العلندة</t>
  </si>
  <si>
    <t>Oued El Alenda</t>
  </si>
  <si>
    <t>الرميلة</t>
  </si>
  <si>
    <t>Remila</t>
  </si>
  <si>
    <t>تاوزيانت</t>
  </si>
  <si>
    <t>Taouzianat</t>
  </si>
  <si>
    <t>بغاي</t>
  </si>
  <si>
    <t>Baghai</t>
  </si>
  <si>
    <t>انسيغة</t>
  </si>
  <si>
    <t>Ensigha</t>
  </si>
  <si>
    <t>طامزة</t>
  </si>
  <si>
    <t>Tamza</t>
  </si>
  <si>
    <t>متوسة</t>
  </si>
  <si>
    <t>شلية</t>
  </si>
  <si>
    <t>Chelia</t>
  </si>
  <si>
    <t>مصارة</t>
  </si>
  <si>
    <t>يابوس</t>
  </si>
  <si>
    <t>Yabous</t>
  </si>
  <si>
    <t>جلال</t>
  </si>
  <si>
    <t>Djellal</t>
  </si>
  <si>
    <t>El Oueldja</t>
  </si>
  <si>
    <t>خيران</t>
  </si>
  <si>
    <t>Khirane</t>
  </si>
  <si>
    <t>المحمل</t>
  </si>
  <si>
    <t>El Mahmal</t>
  </si>
  <si>
    <t>عين سلطان</t>
  </si>
  <si>
    <t>خميسة</t>
  </si>
  <si>
    <t>Khemissa</t>
  </si>
  <si>
    <t>الحنانشة</t>
  </si>
  <si>
    <t>Hanencha</t>
  </si>
  <si>
    <t>Machroha</t>
  </si>
  <si>
    <t>عين الزانة</t>
  </si>
  <si>
    <t>Ain Zana</t>
  </si>
  <si>
    <t>الدريعة</t>
  </si>
  <si>
    <t>Drea</t>
  </si>
  <si>
    <t>الزعرورية</t>
  </si>
  <si>
    <t>Zaarouria</t>
  </si>
  <si>
    <t>الخضارة</t>
  </si>
  <si>
    <t>Khedara</t>
  </si>
  <si>
    <t>أولاد مومن</t>
  </si>
  <si>
    <t>Ouled Moumen</t>
  </si>
  <si>
    <t>ويلان</t>
  </si>
  <si>
    <t>Ouillen</t>
  </si>
  <si>
    <t>سيدي فرج</t>
  </si>
  <si>
    <t>Sidi Fredj</t>
  </si>
  <si>
    <t>سافل الويدان</t>
  </si>
  <si>
    <t>Safel El Ouiden</t>
  </si>
  <si>
    <t>الزوابي</t>
  </si>
  <si>
    <t>Zouabi</t>
  </si>
  <si>
    <t>الراقوبة</t>
  </si>
  <si>
    <t>Ragouba</t>
  </si>
  <si>
    <t>تيفاش</t>
  </si>
  <si>
    <t>Tiffech</t>
  </si>
  <si>
    <t>وادي الكبريت</t>
  </si>
  <si>
    <t>Oued Kebrit</t>
  </si>
  <si>
    <t>ترقالت</t>
  </si>
  <si>
    <t>Terraguelt</t>
  </si>
  <si>
    <t>مراد</t>
  </si>
  <si>
    <t>Merad</t>
  </si>
  <si>
    <t>مناصر</t>
  </si>
  <si>
    <t>Menaceur</t>
  </si>
  <si>
    <t>الناظور</t>
  </si>
  <si>
    <t>Nador</t>
  </si>
  <si>
    <t>Sidi-Amar</t>
  </si>
  <si>
    <t>أغبال</t>
  </si>
  <si>
    <t>Aghbal</t>
  </si>
  <si>
    <t>مسلمون</t>
  </si>
  <si>
    <t>Messelmoun</t>
  </si>
  <si>
    <t>حجرة النص</t>
  </si>
  <si>
    <t>Hadjret Ennous</t>
  </si>
  <si>
    <t>سيدي غيلاس</t>
  </si>
  <si>
    <t>Sidi Ghiles</t>
  </si>
  <si>
    <t>سيدي سميان</t>
  </si>
  <si>
    <t>Sidi Semiane</t>
  </si>
  <si>
    <t>بني ميلك</t>
  </si>
  <si>
    <t>Beni Mileuk</t>
  </si>
  <si>
    <t>الأرهاط</t>
  </si>
  <si>
    <t>Larhat</t>
  </si>
  <si>
    <t>دواودة</t>
  </si>
  <si>
    <t>Douaouda</t>
  </si>
  <si>
    <t>عين تاقورايت</t>
  </si>
  <si>
    <t>Ain Tagourait</t>
  </si>
  <si>
    <t>بوهارون</t>
  </si>
  <si>
    <t>Bou Haroun</t>
  </si>
  <si>
    <t>Ahmer El Ain</t>
  </si>
  <si>
    <t>بورقيقة</t>
  </si>
  <si>
    <t>Bourkika</t>
  </si>
  <si>
    <t>سيدي راشد</t>
  </si>
  <si>
    <t>Sidi Rached</t>
  </si>
  <si>
    <t>الحطاطبة</t>
  </si>
  <si>
    <t>Attatba</t>
  </si>
  <si>
    <t>الشعيبة</t>
  </si>
  <si>
    <t>Chaiba</t>
  </si>
  <si>
    <t>عين التين</t>
  </si>
  <si>
    <t>Ain Tine</t>
  </si>
  <si>
    <t>سيدي خليفة</t>
  </si>
  <si>
    <t>Sidi Khelifa</t>
  </si>
  <si>
    <t>يحي بني قشة</t>
  </si>
  <si>
    <t>Yahia Beniguecha</t>
  </si>
  <si>
    <t>عين الملوك</t>
  </si>
  <si>
    <t>Ain Mellouk</t>
  </si>
  <si>
    <t>وادي العثمانية</t>
  </si>
  <si>
    <t>Oued Athmenia</t>
  </si>
  <si>
    <t>مشيرة</t>
  </si>
  <si>
    <t>El Mechira</t>
  </si>
  <si>
    <t>وادي سقان</t>
  </si>
  <si>
    <t>Oued Seguen</t>
  </si>
  <si>
    <t>بن يحي عبد الرحمن</t>
  </si>
  <si>
    <t>Benyahia Abderrahmane</t>
  </si>
  <si>
    <t>أولاد اخلوف</t>
  </si>
  <si>
    <t>Ouled Khalouf</t>
  </si>
  <si>
    <t>أحمد راشدي</t>
  </si>
  <si>
    <t>Ahmed Rachedi</t>
  </si>
  <si>
    <t>زغاية</t>
  </si>
  <si>
    <t>Zeghaia</t>
  </si>
  <si>
    <t>دراحي بوصلاح</t>
  </si>
  <si>
    <t>Derrahi Bousselah</t>
  </si>
  <si>
    <t>تيبرقنت</t>
  </si>
  <si>
    <t>Tiberguent</t>
  </si>
  <si>
    <t>حمالة</t>
  </si>
  <si>
    <t>Hamala</t>
  </si>
  <si>
    <t>الشيقارة</t>
  </si>
  <si>
    <t>Chigara</t>
  </si>
  <si>
    <t>مينار زارزة</t>
  </si>
  <si>
    <t>Minar Zarza</t>
  </si>
  <si>
    <t>اعميرة اراس</t>
  </si>
  <si>
    <t>Amira Arres</t>
  </si>
  <si>
    <t>تسالة لمطاعي</t>
  </si>
  <si>
    <t>Tassala Lematai</t>
  </si>
  <si>
    <t xml:space="preserve"> عين البيضاء أحريش</t>
  </si>
  <si>
    <t>العياضي برباس</t>
  </si>
  <si>
    <t>El Ayadi Barbes</t>
  </si>
  <si>
    <t>Ain-Defla</t>
  </si>
  <si>
    <t>بن علال</t>
  </si>
  <si>
    <t>Ben Allal</t>
  </si>
  <si>
    <t>الحسينية</t>
  </si>
  <si>
    <t>Hoceinia</t>
  </si>
  <si>
    <t>خميس مليانة</t>
  </si>
  <si>
    <t>Khemis-Miliana</t>
  </si>
  <si>
    <t>سيدي الأخضر</t>
  </si>
  <si>
    <t>عين البنيان</t>
  </si>
  <si>
    <t>Ain-Benian</t>
  </si>
  <si>
    <t>عين التركي</t>
  </si>
  <si>
    <t>Ain-Torki</t>
  </si>
  <si>
    <t>Hammam-Righa</t>
  </si>
  <si>
    <t>بوراشد</t>
  </si>
  <si>
    <t>Bourached</t>
  </si>
  <si>
    <t>جمعة أولاد الشيخ</t>
  </si>
  <si>
    <t>Djemaa Ouled Cheikh</t>
  </si>
  <si>
    <t>عريب</t>
  </si>
  <si>
    <t>Arib</t>
  </si>
  <si>
    <t>El-Amra</t>
  </si>
  <si>
    <t>المخاطرية</t>
  </si>
  <si>
    <t>Mekhatria</t>
  </si>
  <si>
    <t>El-Attaf</t>
  </si>
  <si>
    <t>تبركانين</t>
  </si>
  <si>
    <t>Tiberkanine</t>
  </si>
  <si>
    <t>عين بويحيى</t>
  </si>
  <si>
    <t>Ain-Bouyahia</t>
  </si>
  <si>
    <t>El-Abadia</t>
  </si>
  <si>
    <t>تاشتة زقاغة</t>
  </si>
  <si>
    <t>Tacheta Zegagha</t>
  </si>
  <si>
    <t>بربوش</t>
  </si>
  <si>
    <t>Birbouche</t>
  </si>
  <si>
    <t>وادي الشرفاء</t>
  </si>
  <si>
    <t>Oued Chorfa</t>
  </si>
  <si>
    <t>Ain-Lechiakh</t>
  </si>
  <si>
    <t>Ain-Soltane</t>
  </si>
  <si>
    <t>واد الجمعة</t>
  </si>
  <si>
    <t>Oued Djemaa</t>
  </si>
  <si>
    <t>El-Maine</t>
  </si>
  <si>
    <t>زدين</t>
  </si>
  <si>
    <t>Zeddine</t>
  </si>
  <si>
    <t>بئر ولد خليفة</t>
  </si>
  <si>
    <t>Bir-Ould-Khelifa</t>
  </si>
  <si>
    <t>Bordj-Emir-Khaled</t>
  </si>
  <si>
    <t>طارق بن زياد</t>
  </si>
  <si>
    <t>Tarik-Ibn-Ziad</t>
  </si>
  <si>
    <t>بلعاص</t>
  </si>
  <si>
    <t>Belaas</t>
  </si>
  <si>
    <t>الحسانية</t>
  </si>
  <si>
    <t>Hassania</t>
  </si>
  <si>
    <t>عين بن خليل</t>
  </si>
  <si>
    <t>Ain Ben Khelil</t>
  </si>
  <si>
    <t>البيوض</t>
  </si>
  <si>
    <t>El Biodh</t>
  </si>
  <si>
    <t>تيوت</t>
  </si>
  <si>
    <t>Tiout</t>
  </si>
  <si>
    <t>جنين بورزق</t>
  </si>
  <si>
    <t>Djenienne Bourezg</t>
  </si>
  <si>
    <t>القصدير</t>
  </si>
  <si>
    <t>Kasdir</t>
  </si>
  <si>
    <t>Makmen Ben Amar</t>
  </si>
  <si>
    <t>سيدي بن عدة</t>
  </si>
  <si>
    <t>Sidi Ben Adda</t>
  </si>
  <si>
    <t>شنتوف</t>
  </si>
  <si>
    <t>Chentouf</t>
  </si>
  <si>
    <t>Hassasna</t>
  </si>
  <si>
    <t>وادي برقش</t>
  </si>
  <si>
    <t>Oued Berkeche</t>
  </si>
  <si>
    <t>Ain El Arbaa</t>
  </si>
  <si>
    <t>وادي الصباح</t>
  </si>
  <si>
    <t>Oued Sebbah</t>
  </si>
  <si>
    <t>سيدي بومدين</t>
  </si>
  <si>
    <t>Sidi Boumediene</t>
  </si>
  <si>
    <t>تامزورة</t>
  </si>
  <si>
    <t>Tamzoura</t>
  </si>
  <si>
    <t>شعبة اللحم</t>
  </si>
  <si>
    <t>Chaabat El Ham</t>
  </si>
  <si>
    <t>أولاد الكيحل</t>
  </si>
  <si>
    <t>Ouled Kihal</t>
  </si>
  <si>
    <t>تارقة</t>
  </si>
  <si>
    <t>Terga</t>
  </si>
  <si>
    <t>بوزجار</t>
  </si>
  <si>
    <t>Bouzedjar</t>
  </si>
  <si>
    <t>المساعيد</t>
  </si>
  <si>
    <t>El Messaid</t>
  </si>
  <si>
    <t>حاسي الغلة</t>
  </si>
  <si>
    <t>Hassi El Ghella</t>
  </si>
  <si>
    <t>أولاد بوجمعة</t>
  </si>
  <si>
    <t>Ouled Boudjemaa</t>
  </si>
  <si>
    <t>أغلال</t>
  </si>
  <si>
    <t>Aghlal</t>
  </si>
  <si>
    <t>Ain Kihal</t>
  </si>
  <si>
    <t>عين الطلبة</t>
  </si>
  <si>
    <t>Ain Tolba</t>
  </si>
  <si>
    <t>عقب الليل</t>
  </si>
  <si>
    <t>Aoubellil</t>
  </si>
  <si>
    <t>الأمير عبد القادر</t>
  </si>
  <si>
    <t>سيدي صافي</t>
  </si>
  <si>
    <t>Sidi Safi</t>
  </si>
  <si>
    <t>Oulhaca El Gheraba</t>
  </si>
  <si>
    <t>سيدي ورياش</t>
  </si>
  <si>
    <t>Sidi Ouriache</t>
  </si>
  <si>
    <t>Dhayet Bendhahoua</t>
  </si>
  <si>
    <t>سبسب</t>
  </si>
  <si>
    <t>Sebseb</t>
  </si>
  <si>
    <t>العطف</t>
  </si>
  <si>
    <t>El Atteuf</t>
  </si>
  <si>
    <t>Bendaoud</t>
  </si>
  <si>
    <t>لحلاف</t>
  </si>
  <si>
    <t>Lahlef</t>
  </si>
  <si>
    <t>مرجة سيدي عابد</t>
  </si>
  <si>
    <t>Merdja Sidi Abed</t>
  </si>
  <si>
    <t>واريزان</t>
  </si>
  <si>
    <t>Ouarizane</t>
  </si>
  <si>
    <t>Oued-Rhiou</t>
  </si>
  <si>
    <t>وادي الجمعة</t>
  </si>
  <si>
    <t>Oued El Djemaa</t>
  </si>
  <si>
    <t>بني زنطيس</t>
  </si>
  <si>
    <t>Beni Zentis</t>
  </si>
  <si>
    <t>مديونة</t>
  </si>
  <si>
    <t>Mediouna</t>
  </si>
  <si>
    <t>El Ouldja</t>
  </si>
  <si>
    <t>Ouled Aiche</t>
  </si>
  <si>
    <t>بني درقن</t>
  </si>
  <si>
    <t>Beni Dergoun</t>
  </si>
  <si>
    <t>دار بن عبد الله</t>
  </si>
  <si>
    <t>Dar Ben Abdelah</t>
  </si>
  <si>
    <t>حمري</t>
  </si>
  <si>
    <t>Hamri</t>
  </si>
  <si>
    <t>أولاد سيدي الميهوب</t>
  </si>
  <si>
    <t>Ouled Sidi Mihoub</t>
  </si>
  <si>
    <t>بلعسل بوزقزة</t>
  </si>
  <si>
    <t>Belaassel Bouzagza</t>
  </si>
  <si>
    <t>El-Matmar</t>
  </si>
  <si>
    <t>سيدي  خطاب</t>
  </si>
  <si>
    <t>Sidi Khettab</t>
  </si>
  <si>
    <t>سيدي امحمد بن عودة</t>
  </si>
  <si>
    <t>Ain-Tarek</t>
  </si>
  <si>
    <t>حد الشكالة</t>
  </si>
  <si>
    <t>Had Echkalla</t>
  </si>
  <si>
    <t>القطار</t>
  </si>
  <si>
    <t>El-Guettar</t>
  </si>
  <si>
    <t>عين الرحمة</t>
  </si>
  <si>
    <t>Ain Rahma</t>
  </si>
  <si>
    <t>القلعة</t>
  </si>
  <si>
    <t>Kalaa</t>
  </si>
  <si>
    <t>سيدي سعادة</t>
  </si>
  <si>
    <t>Sidi Saada</t>
  </si>
  <si>
    <t>وادي السلام</t>
  </si>
  <si>
    <t>Oued Essalem</t>
  </si>
  <si>
    <t>سيدي لزرق</t>
  </si>
  <si>
    <t>Sidi Lazreg</t>
  </si>
  <si>
    <t>طالمين</t>
  </si>
  <si>
    <t>Talmine</t>
  </si>
  <si>
    <t>أولاد السعيد</t>
  </si>
  <si>
    <t>Ouled Said</t>
  </si>
  <si>
    <t>قصر قدور</t>
  </si>
  <si>
    <t>Ksar Kaddour</t>
  </si>
  <si>
    <t>Metarfa</t>
  </si>
  <si>
    <t>تيمياوين</t>
  </si>
  <si>
    <t>Timiaouine</t>
  </si>
  <si>
    <t>الدوسن</t>
  </si>
  <si>
    <t>Doucen</t>
  </si>
  <si>
    <t>بسباس</t>
  </si>
  <si>
    <t>رأس الميعاد</t>
  </si>
  <si>
    <t>Ras El Miad</t>
  </si>
  <si>
    <t>القصابي</t>
  </si>
  <si>
    <t>Ksabi</t>
  </si>
  <si>
    <t>Ouled-Khodeir</t>
  </si>
  <si>
    <t>Beni-Abbes</t>
  </si>
  <si>
    <t>تامترت</t>
  </si>
  <si>
    <t>Tamtert</t>
  </si>
  <si>
    <t>بن يخلف</t>
  </si>
  <si>
    <t>Beni-Ikhlef</t>
  </si>
  <si>
    <t>تيمودي</t>
  </si>
  <si>
    <t>Timoudi</t>
  </si>
  <si>
    <t>Inghar</t>
  </si>
  <si>
    <t>Ain Salah</t>
  </si>
  <si>
    <t>فقارة الزوى</t>
  </si>
  <si>
    <t>Foggaret Ezzoua</t>
  </si>
  <si>
    <t>Ain Guezzam</t>
  </si>
  <si>
    <t>النزلة</t>
  </si>
  <si>
    <t>Nezla</t>
  </si>
  <si>
    <t>تبسبست</t>
  </si>
  <si>
    <t>Tebesbest</t>
  </si>
  <si>
    <t>الزاوية العابدية</t>
  </si>
  <si>
    <t>Zaouia El Abidia</t>
  </si>
  <si>
    <t>العالية</t>
  </si>
  <si>
    <t>El Alia</t>
  </si>
  <si>
    <t>بن ناصر</t>
  </si>
  <si>
    <t>Benaceur</t>
  </si>
  <si>
    <t>المنقر</t>
  </si>
  <si>
    <t>بلدة اعمر</t>
  </si>
  <si>
    <t>Blidet Amor</t>
  </si>
  <si>
    <t>برج الحواس</t>
  </si>
  <si>
    <t>Bordj El Haouass</t>
  </si>
  <si>
    <t>أم الطيور</t>
  </si>
  <si>
    <t>Oum Touyour</t>
  </si>
  <si>
    <t>سيدي خليل</t>
  </si>
  <si>
    <t>Sidi Khelil</t>
  </si>
  <si>
    <t>سطيل</t>
  </si>
  <si>
    <t>Still</t>
  </si>
  <si>
    <t>المرارة</t>
  </si>
  <si>
    <t>سيدي عمران</t>
  </si>
  <si>
    <t>Sidi Amrane</t>
  </si>
  <si>
    <t>تندلة</t>
  </si>
  <si>
    <t>Tenedla</t>
  </si>
  <si>
    <t>El Meniaa</t>
  </si>
  <si>
    <t>حاسي القارة</t>
  </si>
  <si>
    <t>Hassi Gara</t>
  </si>
  <si>
    <t>حاسي الفحل</t>
  </si>
  <si>
    <t>Hassi Fehal</t>
  </si>
  <si>
    <t>State</t>
  </si>
  <si>
    <t>F_05 Bis</t>
  </si>
  <si>
    <t>Locality</t>
  </si>
  <si>
    <t>F_06</t>
  </si>
  <si>
    <t>Elevation</t>
  </si>
  <si>
    <t>Longitude</t>
  </si>
  <si>
    <t>Latitude</t>
  </si>
  <si>
    <t>Place Name</t>
  </si>
  <si>
    <t>Sequence</t>
  </si>
  <si>
    <t>Type</t>
  </si>
  <si>
    <t>Parent</t>
  </si>
  <si>
    <t>DG</t>
  </si>
  <si>
    <t>المديرية العامة سوناطراك</t>
  </si>
  <si>
    <t>General Directorate - SONATRACH</t>
  </si>
  <si>
    <t>Direction Générale SONATRACH</t>
  </si>
  <si>
    <t>EP</t>
  </si>
  <si>
    <t>الاستكشاف والإنتاج</t>
  </si>
  <si>
    <t>Exploration &amp; Production</t>
  </si>
  <si>
    <t>Exploration et Production</t>
  </si>
  <si>
    <t>TRC</t>
  </si>
  <si>
    <t>النقل عبر الأنابيب</t>
  </si>
  <si>
    <t>Transport by Pipelines</t>
  </si>
  <si>
    <t>Transport par Canalisations</t>
  </si>
  <si>
    <t>LQS</t>
  </si>
  <si>
    <t>التسييل والفصل</t>
  </si>
  <si>
    <t>Liquefaction &amp; Separation</t>
  </si>
  <si>
    <t>Liquéfaction et Séparation</t>
  </si>
  <si>
    <t>RPC</t>
  </si>
  <si>
    <t>التكرير والبتروكيماويات</t>
  </si>
  <si>
    <t>Refining &amp; Petrochemicals</t>
  </si>
  <si>
    <t>Raffinage et Pétrochimie</t>
  </si>
  <si>
    <t>COM</t>
  </si>
  <si>
    <t>التسويق</t>
  </si>
  <si>
    <t>Commercialization</t>
  </si>
  <si>
    <t>Commercialisation</t>
  </si>
  <si>
    <t>EXP</t>
  </si>
  <si>
    <t>قسم الاستغلال</t>
  </si>
  <si>
    <t>Operations Division</t>
  </si>
  <si>
    <t>Division Exploitation</t>
  </si>
  <si>
    <t>MNT</t>
  </si>
  <si>
    <t>قسم الصيانة</t>
  </si>
  <si>
    <t>Maintenance Division</t>
  </si>
  <si>
    <t>Division Maintenance</t>
  </si>
  <si>
    <t>ESR</t>
  </si>
  <si>
    <t>قسم الدراسات ومتابعة الإنجازات</t>
  </si>
  <si>
    <t>Studies and Works Monitoring Division</t>
  </si>
  <si>
    <t>Division Étude et Suivi des Réalisations</t>
  </si>
  <si>
    <t>GFG</t>
  </si>
  <si>
    <t>مديرية تسيير تدفق الغاز</t>
  </si>
  <si>
    <t>Gas Flow Management Directorate</t>
  </si>
  <si>
    <t>Direction Gestion Flux Gaz</t>
  </si>
  <si>
    <t>RTO</t>
  </si>
  <si>
    <t>المديرية الجهوية للنقل غرب</t>
  </si>
  <si>
    <t>Western Regional Transport Directorate</t>
  </si>
  <si>
    <t>Direction Regionale de Transport Ouest</t>
  </si>
  <si>
    <t>HEH</t>
  </si>
  <si>
    <t>المديرية الجهوية للنقل حوض الحمرة</t>
  </si>
  <si>
    <t>Haoud El Hamra Regional Transport Directorate</t>
  </si>
  <si>
    <t>Direction Regionale de Transport Haoud El Hamra</t>
  </si>
  <si>
    <t>RTE</t>
  </si>
  <si>
    <t>المديرية الجهوية للنقل الشرق</t>
  </si>
  <si>
    <t>Eastern Regional Transport Directorate</t>
  </si>
  <si>
    <t>Direction Regionale de Transport Est</t>
  </si>
  <si>
    <t>RTI</t>
  </si>
  <si>
    <t>المديرية الجهوية للنقل إليزي</t>
  </si>
  <si>
    <t>Illizi Regional Transport Directorate</t>
  </si>
  <si>
    <t>Direction Regionale de Transport Illizi</t>
  </si>
  <si>
    <t>RTC</t>
  </si>
  <si>
    <t>المديرية الجهوية للنقل الوسط</t>
  </si>
  <si>
    <t>Central Regional Transport Directorate</t>
  </si>
  <si>
    <t>Direction Regionale de Transport Centre</t>
  </si>
  <si>
    <t>HRM</t>
  </si>
  <si>
    <t>المديرية الجهوية للنقل حاسي الرمل</t>
  </si>
  <si>
    <t>Hassi R’Mel Regional Transport Directorate</t>
  </si>
  <si>
    <t>Direction Regionale de Transport Hassi R’Mel</t>
  </si>
  <si>
    <t>GEM</t>
  </si>
  <si>
    <t>مديرية عمليات خط أنابيب الغاز إنريكو ماتّي</t>
  </si>
  <si>
    <t>Enrico Mattei Gas Pipeline Operational Directorate</t>
  </si>
  <si>
    <t>Direction Opérationnelle du Gazoducs Enrico Mattei</t>
  </si>
  <si>
    <t>GPDF</t>
  </si>
  <si>
    <t>مديرية عمليات خط أنابيب الغاز بيدرو دوران فاريل</t>
  </si>
  <si>
    <t>Pedro Duran Farell Gas Pipeline Operational Directorate</t>
  </si>
  <si>
    <t>Direction Opérationnelle du Gazoduc Pedro Duran Farell</t>
  </si>
  <si>
    <t>DGFG</t>
  </si>
  <si>
    <t>إدارة تسيير التدفق</t>
  </si>
  <si>
    <t>Flow Management Department</t>
  </si>
  <si>
    <t>DOG</t>
  </si>
  <si>
    <t>إدارة عمليات خط أنابيب الغاز</t>
  </si>
  <si>
    <t>Gas Pipeline Operations Department</t>
  </si>
  <si>
    <t>Département Opérations Gasoduc</t>
  </si>
  <si>
    <t>Département Getion Flux</t>
  </si>
  <si>
    <t>مشغل عام وطني</t>
  </si>
  <si>
    <t>National Public Operator</t>
  </si>
  <si>
    <t>Opérateur Public National</t>
  </si>
  <si>
    <t>مشغل خاص وطني</t>
  </si>
  <si>
    <t>National Private Operator</t>
  </si>
  <si>
    <t>Opérateur Privé National</t>
  </si>
  <si>
    <t>مشغل دولي</t>
  </si>
  <si>
    <t>International Operator</t>
  </si>
  <si>
    <t>Opérateur International</t>
  </si>
  <si>
    <t>مشروع مشترك</t>
  </si>
  <si>
    <t>Joint Venture</t>
  </si>
  <si>
    <t>Coentreprise</t>
  </si>
  <si>
    <t>شركة نقل</t>
  </si>
  <si>
    <t>Transport Company</t>
  </si>
  <si>
    <t>Société de Transport</t>
  </si>
  <si>
    <t>شركة تكرير</t>
  </si>
  <si>
    <t>Refining Company</t>
  </si>
  <si>
    <t>Société de Raffinage</t>
  </si>
  <si>
    <t>شركة توزيع</t>
  </si>
  <si>
    <t>Distribution Company</t>
  </si>
  <si>
    <t>Société de Distribution</t>
  </si>
  <si>
    <t>شركة هندسية</t>
  </si>
  <si>
    <t>Engineering Company</t>
  </si>
  <si>
    <t>Société d'Ingénierie</t>
  </si>
  <si>
    <t>مالك البنية التحتية</t>
  </si>
  <si>
    <t>Infrastructure Owner</t>
  </si>
  <si>
    <t>Propriétaire d'Infrastructure</t>
  </si>
  <si>
    <t>مقاول EPC</t>
  </si>
  <si>
    <t>EPC Contractor</t>
  </si>
  <si>
    <t>Entrepreneur EPC</t>
  </si>
  <si>
    <t>مقاول بناء</t>
  </si>
  <si>
    <t>Construction Contractor</t>
  </si>
  <si>
    <t>Entrepreneur de Construction</t>
  </si>
  <si>
    <t>مستشار هندسي</t>
  </si>
  <si>
    <t>Engineering Consultant</t>
  </si>
  <si>
    <t>Consultant en Ingénierie</t>
  </si>
  <si>
    <t>إدارة مشاريع</t>
  </si>
  <si>
    <t>Project Management</t>
  </si>
  <si>
    <t>Gestion de Projet</t>
  </si>
  <si>
    <t>مصنع معدات</t>
  </si>
  <si>
    <t>Equipment Manufacturer</t>
  </si>
  <si>
    <t>Fabricant d'Équipements</t>
  </si>
  <si>
    <t>مصنع أنابيب</t>
  </si>
  <si>
    <t>Pipe Manufacturer</t>
  </si>
  <si>
    <t>Fabricant de Tubes</t>
  </si>
  <si>
    <t>مورد أنظمة أتمتة</t>
  </si>
  <si>
    <t>Automation Vendor</t>
  </si>
  <si>
    <t>Fournisseur d'Automatisation</t>
  </si>
  <si>
    <t>مورد أجهزة قياس</t>
  </si>
  <si>
    <t>Instrumentation Vendor</t>
  </si>
  <si>
    <t>Fournisseur d'Instrumentation</t>
  </si>
  <si>
    <t>شركة فحص</t>
  </si>
  <si>
    <t>Inspection Company</t>
  </si>
  <si>
    <t>Société d'Inspection</t>
  </si>
  <si>
    <t>هيئة اعتماد</t>
  </si>
  <si>
    <t>Certification Body</t>
  </si>
  <si>
    <t>Organisme de Certification</t>
  </si>
  <si>
    <t>مزود خدمة صيانة</t>
  </si>
  <si>
    <t>Maintenance Service</t>
  </si>
  <si>
    <t>Service de Maintenance</t>
  </si>
  <si>
    <t>مزود خدمات لوجستية</t>
  </si>
  <si>
    <t>Logistics Provider</t>
  </si>
  <si>
    <t>Prestataire Logistique</t>
  </si>
  <si>
    <t>مقاول محلي</t>
  </si>
  <si>
    <t>Local Subcontractor</t>
  </si>
  <si>
    <t>Sous-Traitant Local</t>
  </si>
  <si>
    <t>ONET</t>
  </si>
  <si>
    <t>نهائي تصدير بري</t>
  </si>
  <si>
    <t>Onshore Export Terminal</t>
  </si>
  <si>
    <t>OFET</t>
  </si>
  <si>
    <t>نهائي تصدير بحري</t>
  </si>
  <si>
    <t>Offshore Export Terminal</t>
  </si>
  <si>
    <t>DT</t>
  </si>
  <si>
    <t>نهائي توزيع</t>
  </si>
  <si>
    <t>Distribution Terminal</t>
  </si>
  <si>
    <t>Terminal de Distribution</t>
  </si>
  <si>
    <t>نهائي تحويل</t>
  </si>
  <si>
    <t>Transfer Terminal</t>
  </si>
  <si>
    <t>Terminal de Transfert</t>
  </si>
  <si>
    <t>نهائي أنابيب</t>
  </si>
  <si>
    <t>Pipeline Terminal</t>
  </si>
  <si>
    <t>Terminal de Pipeline</t>
  </si>
  <si>
    <t>نهائي تخزين</t>
  </si>
  <si>
    <t>Storage Terminal</t>
  </si>
  <si>
    <t>Terminal de Stockage</t>
  </si>
  <si>
    <t>محطة ضخ</t>
  </si>
  <si>
    <t>Pumping Station</t>
  </si>
  <si>
    <t>Station de Pompage</t>
  </si>
  <si>
    <t>CS</t>
  </si>
  <si>
    <t>محطة ضغط</t>
  </si>
  <si>
    <t>Compression Station</t>
  </si>
  <si>
    <t>Station de Compression</t>
  </si>
  <si>
    <t>محطة تنظيم</t>
  </si>
  <si>
    <t>Regulator Station</t>
  </si>
  <si>
    <t>Station de Régulation</t>
  </si>
  <si>
    <t>CLS</t>
  </si>
  <si>
    <t>محطة تجميع</t>
  </si>
  <si>
    <t>Collect Station</t>
  </si>
  <si>
    <t>Station de Collecte</t>
  </si>
  <si>
    <t>محطة قياس</t>
  </si>
  <si>
    <t>Metering Station</t>
  </si>
  <si>
    <t>Station de Comptage</t>
  </si>
  <si>
    <t>DS</t>
  </si>
  <si>
    <t>محطة تسليم</t>
  </si>
  <si>
    <t>Delivery Station</t>
  </si>
  <si>
    <t>Station de Livraison</t>
  </si>
  <si>
    <t>محطة حقن</t>
  </si>
  <si>
    <t>Injection Station</t>
  </si>
  <si>
    <t>محطة كاشطات</t>
  </si>
  <si>
    <t>Scraper Station</t>
  </si>
  <si>
    <t>Station de Raclage</t>
  </si>
  <si>
    <t>COS</t>
  </si>
  <si>
    <t>محطة قطع</t>
  </si>
  <si>
    <t>Cut-Off Station</t>
  </si>
  <si>
    <t>Poste de Coupure</t>
  </si>
  <si>
    <t>SZS</t>
  </si>
  <si>
    <t>محطة تقسيم</t>
  </si>
  <si>
    <t>Sectionalizing Station</t>
  </si>
  <si>
    <t>Poste de Sectionnement</t>
  </si>
  <si>
    <t>PGS</t>
  </si>
  <si>
    <t>محطة تطهير</t>
  </si>
  <si>
    <t>Purge Station</t>
  </si>
  <si>
    <t>Poste de Purge</t>
  </si>
  <si>
    <t>OF</t>
  </si>
  <si>
    <t>حقل نفط</t>
  </si>
  <si>
    <t>Oil Field</t>
  </si>
  <si>
    <t>Champ Pétrolier</t>
  </si>
  <si>
    <t>حقل غاز</t>
  </si>
  <si>
    <t>Gas Field</t>
  </si>
  <si>
    <t>Champ Gazier</t>
  </si>
  <si>
    <t>حقل مكثفات</t>
  </si>
  <si>
    <t>Condensate Field</t>
  </si>
  <si>
    <t>Champ de Condensats</t>
  </si>
  <si>
    <t>LNGC</t>
  </si>
  <si>
    <t>مجمع الغاز الطبيعي المسال</t>
  </si>
  <si>
    <t>LNG Complex</t>
  </si>
  <si>
    <t>Complexe GNL</t>
  </si>
  <si>
    <t>LPGP</t>
  </si>
  <si>
    <t>مصنع الغاز البترولي المسال</t>
  </si>
  <si>
    <t>LPG Plant</t>
  </si>
  <si>
    <t>Usine GPL</t>
  </si>
  <si>
    <t>RAF</t>
  </si>
  <si>
    <t>مصفاة</t>
  </si>
  <si>
    <t>Refinery</t>
  </si>
  <si>
    <t>Raffinerie</t>
  </si>
  <si>
    <t>CNDP</t>
  </si>
  <si>
    <t>مصنع المكثفات</t>
  </si>
  <si>
    <t>Condensate Plant</t>
  </si>
  <si>
    <t>Usine de Condensats</t>
  </si>
  <si>
    <t>PC</t>
  </si>
  <si>
    <t>مجمع بتروكيماوي</t>
  </si>
  <si>
    <t>Petrochemical Complex</t>
  </si>
  <si>
    <t>Complexe Pétrochimique</t>
  </si>
  <si>
    <t>0.7</t>
  </si>
  <si>
    <t>الغاز الطبيعي</t>
  </si>
  <si>
    <t>Natural Gas</t>
  </si>
  <si>
    <t>Gaz naturel</t>
  </si>
  <si>
    <t>0.01</t>
  </si>
  <si>
    <t>PB</t>
  </si>
  <si>
    <t>0.85</t>
  </si>
  <si>
    <t>النفط الخام</t>
  </si>
  <si>
    <t>Crude Oil</t>
  </si>
  <si>
    <t>Pétrole brut</t>
  </si>
  <si>
    <t>1.5</t>
  </si>
  <si>
    <t>10.5</t>
  </si>
  <si>
    <t>COND</t>
  </si>
  <si>
    <t>0.75</t>
  </si>
  <si>
    <t>المكثفات</t>
  </si>
  <si>
    <t>Condensate</t>
  </si>
  <si>
    <t>Condensat</t>
  </si>
  <si>
    <t>0.05</t>
  </si>
  <si>
    <t>0.8</t>
  </si>
  <si>
    <t>GPL</t>
  </si>
  <si>
    <t>0.55</t>
  </si>
  <si>
    <t>غاز البترول المسال</t>
  </si>
  <si>
    <t>Liquefied Petroleum Gas</t>
  </si>
  <si>
    <t>Gaz de Pétrole Liquéfié (GPL)</t>
  </si>
  <si>
    <t>0.02</t>
  </si>
  <si>
    <t>0.15</t>
  </si>
  <si>
    <t>Density</t>
  </si>
  <si>
    <t>Viscosity</t>
  </si>
  <si>
    <t>Flash Point</t>
  </si>
  <si>
    <t>Sulfur</t>
  </si>
  <si>
    <t>Hazardous</t>
  </si>
  <si>
    <t>F_07</t>
  </si>
  <si>
    <t>F_08</t>
  </si>
  <si>
    <t>F_09</t>
  </si>
  <si>
    <t>DescriptionAr</t>
  </si>
  <si>
    <t>DescriptionEn</t>
  </si>
  <si>
    <t>DescriptionFr</t>
  </si>
  <si>
    <t>INSERVICE</t>
  </si>
  <si>
    <t>العمليات العادية</t>
  </si>
  <si>
    <t>Normal operations</t>
  </si>
  <si>
    <t>Opérations normales</t>
  </si>
  <si>
    <t>قيد الخدمة</t>
  </si>
  <si>
    <t>In Service</t>
  </si>
  <si>
    <t>En Service</t>
  </si>
  <si>
    <t>STOPPED</t>
  </si>
  <si>
    <t>ظروف السوق، المرونة التشغيلية</t>
  </si>
  <si>
    <t>Market conditions, operational flexibility</t>
  </si>
  <si>
    <t>Conditions du marché, flexibilité opérationnelle</t>
  </si>
  <si>
    <t>متوقف مؤقتا</t>
  </si>
  <si>
    <t>Stopped</t>
  </si>
  <si>
    <t>À l'Arrêt</t>
  </si>
  <si>
    <t>SHUTDOWN</t>
  </si>
  <si>
    <t>صيانة مخططة أو حادث غير متوقع</t>
  </si>
  <si>
    <t>Planned maintenance or unexpected incident</t>
  </si>
  <si>
    <t>Maintenance planifiée ou incident imprévu</t>
  </si>
  <si>
    <t>متوقف</t>
  </si>
  <si>
    <t>Shutdown</t>
  </si>
  <si>
    <t>Arrêté</t>
  </si>
  <si>
    <t>MAINTENANCE</t>
  </si>
  <si>
    <t>إصلاحات مجدولة، فحوصات</t>
  </si>
  <si>
    <t>Scheduled repairs, inspections</t>
  </si>
  <si>
    <t>Réparations programmées, inspections</t>
  </si>
  <si>
    <t>قيد الصيانة</t>
  </si>
  <si>
    <t>Under Maintenance</t>
  </si>
  <si>
    <t>En Maintenance</t>
  </si>
  <si>
    <t>TESTING</t>
  </si>
  <si>
    <t>ما قبل التشغيل، فحوصات ما بعد الإصلاح</t>
  </si>
  <si>
    <t>Pre-commissioning, post-repair verifications</t>
  </si>
  <si>
    <t>Pré-mise en service, vérifications post-réparation</t>
  </si>
  <si>
    <t>قيد الاختبار</t>
  </si>
  <si>
    <t>Under Testing</t>
  </si>
  <si>
    <t>En Test</t>
  </si>
  <si>
    <t>REDUCED</t>
  </si>
  <si>
    <t>عطل في المعدات، قيود تشغيلية</t>
  </si>
  <si>
    <t>Equipment failure, operational constraints</t>
  </si>
  <si>
    <t>Panne d'équipement, contraintes opérationnelles</t>
  </si>
  <si>
    <t>طاقة مخفضة</t>
  </si>
  <si>
    <t>Reduced Capacity</t>
  </si>
  <si>
    <t>Capacité Réduite</t>
  </si>
  <si>
    <t>EMERGENCY</t>
  </si>
  <si>
    <t>تسرب، انفجار، حادث أمني</t>
  </si>
  <si>
    <t>Leak, rupture, security incident</t>
  </si>
  <si>
    <t>Fuite, rupture, incident de sécurité</t>
  </si>
  <si>
    <t>حالة طوارئ / حادث</t>
  </si>
  <si>
    <t>Emergency / Incident</t>
  </si>
  <si>
    <t>Urgence / Incident</t>
  </si>
  <si>
    <t>DECOMMISSIONED</t>
  </si>
  <si>
    <t>نهاية العمر التشغيلي</t>
  </si>
  <si>
    <t>End of operational life</t>
  </si>
  <si>
    <t>Fin de vie opérationnelle</t>
  </si>
  <si>
    <t>خارج الخدمة</t>
  </si>
  <si>
    <t>Decommissioned</t>
  </si>
  <si>
    <t>Mis Hors Service</t>
  </si>
  <si>
    <t>API-5L-B</t>
  </si>
  <si>
    <t>فولاذ كربوني منخفض المقاومة للأنابيب العامة، حد أدنى للخضوع 35 كيلو باوند/بوصة²</t>
  </si>
  <si>
    <t>Low-strength carbon steel for general purpose pipelines, minimum yield 35 ksi</t>
  </si>
  <si>
    <t>Acier au carbone de résistance faible pour pipelines usage général, limite élastique min 35 ksi</t>
  </si>
  <si>
    <t>فولاذ API 5L درجة B</t>
  </si>
  <si>
    <t>API 5L Grade B</t>
  </si>
  <si>
    <t>Acier API 5L Grade B</t>
  </si>
  <si>
    <t>API-5L-X42</t>
  </si>
  <si>
    <t>فولاذ متوسط المقاومة للضغوط المعتدلة، حد أدنى للخضوع 42 كيلو باوند/بوصة²</t>
  </si>
  <si>
    <t>Medium-strength steel for moderate pressure applications, minimum yield 42 ksi</t>
  </si>
  <si>
    <t>Acier de résistance moyenne pour applications à pression modérée, limite élastique min 42 ksi</t>
  </si>
  <si>
    <t>فولاذ API 5L X42</t>
  </si>
  <si>
    <t>API 5L Grade X42</t>
  </si>
  <si>
    <t>Acier API 5L Grade X42</t>
  </si>
  <si>
    <t>API-5L-X52</t>
  </si>
  <si>
    <t>فولاذ عالي المقاومة للأنابيب القياسية، حد أدنى للخضوع 52 كيلو باوند/بوصة²</t>
  </si>
  <si>
    <t>High-strength steel for standard pipelines, minimum yield 52 ksi, widely used</t>
  </si>
  <si>
    <t>Acier haute résistance pour pipelines standard, limite élastique min 52 ksi, très utilisé</t>
  </si>
  <si>
    <t>فولاذ API 5L X52</t>
  </si>
  <si>
    <t>API 5L Grade X52</t>
  </si>
  <si>
    <t>Acier API 5L Grade X52</t>
  </si>
  <si>
    <t>API-5L-X60</t>
  </si>
  <si>
    <t>فولاذ عالي المقاومة للنقل لمسافات طويلة، حد أدنى للخضوع 60 كيلو باوند/بوصة²</t>
  </si>
  <si>
    <t>High-strength steel for long-distance transmission, minimum yield 60 ksi</t>
  </si>
  <si>
    <t>Acier haute résistance pour transport longue distance, limite élastique min 60 ksi</t>
  </si>
  <si>
    <t>فولاذ API 5L X60</t>
  </si>
  <si>
    <t>API 5L Grade X60</t>
  </si>
  <si>
    <t>Acier API 5L Grade X60</t>
  </si>
  <si>
    <t>API-5L-X65</t>
  </si>
  <si>
    <t>فولاذ عالي المقاومة للأنظمة عالية الضغط، حد أدنى للخضوع 65 كيلو باوند/بوصة²</t>
  </si>
  <si>
    <t>High-strength steel for high-pressure systems, minimum yield 65 ksi, excellent toughness</t>
  </si>
  <si>
    <t>Acier haute résistance pour systèmes haute pression, limite élastique min 65 ksi, excellente ténacité</t>
  </si>
  <si>
    <t>فولاذ API 5L X65</t>
  </si>
  <si>
    <t>API 5L Grade X65</t>
  </si>
  <si>
    <t>Acier API 5L Grade X65</t>
  </si>
  <si>
    <t>API-5L-X70</t>
  </si>
  <si>
    <t>فولاذ فائق المقاومة للأنابيب الحديثة، حد أدنى للخضوع 70 كيلو باوند/بوصة²</t>
  </si>
  <si>
    <t>Very high-strength steel for modern high-capacity pipelines, minimum yield 70 ksi</t>
  </si>
  <si>
    <t>Acier très haute résistance pour pipelines modernes haute capacité, limite élastique min 70 ksi</t>
  </si>
  <si>
    <t>فولاذ API 5L X70</t>
  </si>
  <si>
    <t>API 5L Grade X70</t>
  </si>
  <si>
    <t>Acier API 5L Grade X70</t>
  </si>
  <si>
    <t>API-5L-X80</t>
  </si>
  <si>
    <t>فولاذ فائق المقاومة للظروف القصوى، حد أدنى للخضوع 80 كيلو باوند/بوصة²</t>
  </si>
  <si>
    <t>Ultra high-strength steel for extreme conditions and ultra-high pressure, minimum yield 80 ksi</t>
  </si>
  <si>
    <t>Acier ultra haute résistance pour conditions extrêmes et ultra haute pression, limite élastique min 80 ksi</t>
  </si>
  <si>
    <t>فولاذ API 5L X80</t>
  </si>
  <si>
    <t>API 5L Grade X80</t>
  </si>
  <si>
    <t>Acier API 5L Grade X80</t>
  </si>
  <si>
    <t>SS-316L</t>
  </si>
  <si>
    <t>فولاذ مقاوم للتآكل للغاز الحمضي، مقاوم ممتاز للكبريتيد والكلوريد</t>
  </si>
  <si>
    <t>Corrosion-resistant steel for sour gas service, excellent resistance to H2S and chlorides</t>
  </si>
  <si>
    <t>Acier résistant à la corrosion pour gaz acides, excellente résistance H2S et chlorures</t>
  </si>
  <si>
    <t>فولاذ مقاوم للصدأ 316L</t>
  </si>
  <si>
    <t>Stainless Steel 316L</t>
  </si>
  <si>
    <t>Acier Inoxydable 316L</t>
  </si>
  <si>
    <t>DSS-2205</t>
  </si>
  <si>
    <t>فولاذ عالي المقاومة ومقاوم للتآكل، مثالي للبيئات القاسية والتآكل بالنقر</t>
  </si>
  <si>
    <t>High-strength corrosion-resistant steel, ideal for harsh environments and pitting resistance</t>
  </si>
  <si>
    <t>Acier haute résistance et résistant à la corrosion, idéal pour environnements sévères et piqûres</t>
  </si>
  <si>
    <t>فولاذ مزدوج 2205</t>
  </si>
  <si>
    <t>Duplex Stainless Steel 2205</t>
  </si>
  <si>
    <t>Acier Inoxydable Duplex 2205</t>
  </si>
  <si>
    <t>FBE</t>
  </si>
  <si>
    <t>طلاء حماية خارجي أحادي الطبقة ضد التآكل، التصاق ممتاز ومقاومة كيميائية عالية</t>
  </si>
  <si>
    <t>Single-layer external corrosion protection coating, excellent adhesion and chemical resistance</t>
  </si>
  <si>
    <t>Revêtement externe monocouche protection corrosion, excellente adhérence et résistance chimique</t>
  </si>
  <si>
    <t>إيبوكسي مدمج بالانصهار</t>
  </si>
  <si>
    <t>Fusion Bonded Epoxy</t>
  </si>
  <si>
    <t>Époxy Thermodurcissable</t>
  </si>
  <si>
    <t>3LPE</t>
  </si>
  <si>
    <t>نظام طلاء خارجي متعدد الطبقات (FBE + لاصق + PE)، حماية طويلة الأمد للأنابيب المدفونة</t>
  </si>
  <si>
    <t>Multi-layer external coating (FBE + adhesive + PE), excellent long-term protection for buried pipelines</t>
  </si>
  <si>
    <t>Système revêtement externe multicouche (FBE + adhésif + PE), excellente protection long terme pipelines enterrés</t>
  </si>
  <si>
    <t>بولي إيثيلين ثلاثي الطبقات</t>
  </si>
  <si>
    <t>3-Layer Polyethylene</t>
  </si>
  <si>
    <t>Polyéthylène 3 Couches</t>
  </si>
  <si>
    <t>3LPP</t>
  </si>
  <si>
    <t>نظام طلاء خارجي لدرجات الحرارة العالية (FBE + لاصق + PP)، مقاومة ميكانيكية وحرارية ممتازة</t>
  </si>
  <si>
    <t>High-temperature external coating system (FBE + adhesive + PP), excellent mechanical and thermal resistance</t>
  </si>
  <si>
    <t>Système revêtement externe haute température (FBE + adhésif + PP), excellente résistance mécanique et thermique</t>
  </si>
  <si>
    <t>بولي بروبيلين ثلاثي الطبقات</t>
  </si>
  <si>
    <t>3-Layer Polypropylene</t>
  </si>
  <si>
    <t>Polypropylène 3 Couches</t>
  </si>
  <si>
    <t>PU-EXT</t>
  </si>
  <si>
    <t>طلاء خارجي مرن، مقاومة ممتازة للصدمات والتآكل الميكانيكي، مثالي للأنابيب المعرضة للحركة</t>
  </si>
  <si>
    <t>Flexible external coating, excellent impact and abrasion resistance, ideal for pipelines subject to movement</t>
  </si>
  <si>
    <t>Revêtement externe flexible, excellente résistance impacts et abrasion, idéal pipelines soumis à mouvement</t>
  </si>
  <si>
    <t>طلاء بولي يوريثان خارجي</t>
  </si>
  <si>
    <t>Polyurethane External Coating</t>
  </si>
  <si>
    <t>Revêtement Polyuréthane Externe</t>
  </si>
  <si>
    <t>CTE</t>
  </si>
  <si>
    <t>طلاء خارجي تقليدي، حماية ممتازة ضد التآكل التربة، تطبيق ساخن متعدد الطبقات</t>
  </si>
  <si>
    <t>Traditional external coating, excellent protection against soil corrosion, hot-applied multi-layer system</t>
  </si>
  <si>
    <t>Revêtement externe traditionnel, excellente protection contre corrosion sol, système multicouche appliqué à chaud</t>
  </si>
  <si>
    <t>مينا قطران الفحم</t>
  </si>
  <si>
    <t>Coal Tar Enamel</t>
  </si>
  <si>
    <t>Email au Goudron de Houille</t>
  </si>
  <si>
    <t>TAPE-WRAP</t>
  </si>
  <si>
    <t>نظام حماية خارجي بالشريط اللاصق، حماية ميكانيكية وختم ممتاز، سهل التطبيق والإصلاح</t>
  </si>
  <si>
    <t>External tape wrap protection system, mechanical protection and excellent sealing, easy application and repair</t>
  </si>
  <si>
    <t>Système protection externe par enrubannage, protection mécanique et excellent scellement, application et réparation faciles</t>
  </si>
  <si>
    <t>نظام لف الشريط اللاصق</t>
  </si>
  <si>
    <t>Tape Wrap System</t>
  </si>
  <si>
    <t>Système Enrubannage</t>
  </si>
  <si>
    <t>CONCRETE</t>
  </si>
  <si>
    <t>طلاء خارجي خرساني، حماية ميكانيكية وطفو سلبي للأنابيب البحرية والمغمورة</t>
  </si>
  <si>
    <t>External concrete coating, mechanical protection and negative buoyancy for subsea and submerged pipelines</t>
  </si>
  <si>
    <t>Revêtement externe béton, protection mécanique et flottabilité négative pour pipelines sous-marins et immergés</t>
  </si>
  <si>
    <t>طلاء خرساني للوزن</t>
  </si>
  <si>
    <t>Concrete Weight Coating</t>
  </si>
  <si>
    <t>Revêtement Béton Lestage</t>
  </si>
  <si>
    <t>EPOXY-INT</t>
  </si>
  <si>
    <t>بطانة داخلية للحماية من التآكل وتحسين كفاءة التدفق، سطح أملس يقلل الاحتكاك والترسبات</t>
  </si>
  <si>
    <t>Internal lining for corrosion protection and flow efficiency, smooth surface reduces friction and deposits</t>
  </si>
  <si>
    <t>Revêtement interne protection corrosion et efficacité écoulement, surface lisse réduit friction et dépôts</t>
  </si>
  <si>
    <t>بطانة إيبوكسي داخلية</t>
  </si>
  <si>
    <t>Internal Epoxy Lining</t>
  </si>
  <si>
    <t>Revêtement Époxy Interne</t>
  </si>
  <si>
    <t>PU-INT</t>
  </si>
  <si>
    <t>بطانة داخلية مرنة، مقاومة كيميائية ممتازة ومقاومة للتآكل، مناسبة للسوائل العدوانية</t>
  </si>
  <si>
    <t>Flexible internal lining, excellent chemical and abrasion resistance, suitable for aggressive fluids</t>
  </si>
  <si>
    <t>Revêtement interne flexible, excellente résistance chimique et abrasion, adapté fluides agressifs</t>
  </si>
  <si>
    <t>بطانة بولي يوريثان داخلية</t>
  </si>
  <si>
    <t>Polyurethane Internal Lining</t>
  </si>
  <si>
    <t>Revêtement Polyuréthane Interne</t>
  </si>
  <si>
    <t>PHENOLIC-INT</t>
  </si>
  <si>
    <t>بطانة داخلية لدرجات الحرارة العالية، مقاومة حرارية وكيميائية ممتازة حتى 200 درجة مئوية</t>
  </si>
  <si>
    <t>High-temperature internal lining, excellent thermal and chemical resistance up to 200°C</t>
  </si>
  <si>
    <t>Revêtement interne haute température, excellente résistance thermique et chimique jusqu'à 200°C</t>
  </si>
  <si>
    <t>بطانة فينولية داخلية</t>
  </si>
  <si>
    <t>Phenolic Internal Lining</t>
  </si>
  <si>
    <t>Revêtement Phénolique Interne</t>
  </si>
  <si>
    <t>CEMENT-INT</t>
  </si>
  <si>
    <t>بطانة داخلية إسمنتية تقليدية، حماية من التآكل ومقاومة كيميائية جيدة، شائعة في أنابيب المياه</t>
  </si>
  <si>
    <t>Traditional cement internal lining, corrosion protection and good chemical resistance, common in water pipelines</t>
  </si>
  <si>
    <t>Revêtement interne ciment traditionnel, protection corrosion et bonne résistance chimique, courant canalisations eau</t>
  </si>
  <si>
    <t>بطانة ملاط إسمنتي داخلية</t>
  </si>
  <si>
    <t>Cement Mortar Lining</t>
  </si>
  <si>
    <t>Revêtement Mortier Ciment Interne</t>
  </si>
  <si>
    <t>HDPE-INT</t>
  </si>
  <si>
    <t>بطانة داخلية من البولي إيثيلين عالي الكثافة، سطح أملس جداً ومقاومة كيميائية ممتازة</t>
  </si>
  <si>
    <t>High-density polyethylene internal lining, very smooth surface and excellent chemical resistance</t>
  </si>
  <si>
    <t>Revêtement interne polyéthylène haute densité, surface très lisse et excellente résistance chimique</t>
  </si>
  <si>
    <t>بطانة HDPE داخلية</t>
  </si>
  <si>
    <t>HDPE Internal Lining</t>
  </si>
  <si>
    <t>Revêtement PEHD Interne</t>
  </si>
  <si>
    <t>PRIMER-AC</t>
  </si>
  <si>
    <t>طبقة أساسية تحضيرية مضادة للتآكل، تحسين الالتصاق وحماية أولية ضد التآكل</t>
  </si>
  <si>
    <t>Preparatory base layer for corrosion protection, improves adhesion and provides initial corrosion protection</t>
  </si>
  <si>
    <t>Couche base préparatoire protection corrosion, améliore adhérence et fournit protection initiale corrosion</t>
  </si>
  <si>
    <t>طبقة أساس مضادة للتآكل</t>
  </si>
  <si>
    <t>Anti-Corrosion Primer</t>
  </si>
  <si>
    <t>Primaire Anticorrosion</t>
  </si>
  <si>
    <t>WAX-COAT</t>
  </si>
  <si>
    <t>طلاء شمعي مؤقت للحماية أثناء النقل والتخزين، سهل الإزالة قبل التركيب</t>
  </si>
  <si>
    <t>Temporary wax coating for protection during transport and storage, easily removable before installation</t>
  </si>
  <si>
    <t>Revêtement cire temporaire protection durant transport et stockage, facilement amovible avant installation</t>
  </si>
  <si>
    <t>طلاء شمعي</t>
  </si>
  <si>
    <t>Wax Coating</t>
  </si>
  <si>
    <t>Revêtement Cire</t>
  </si>
  <si>
    <t>Name</t>
  </si>
  <si>
    <t>Short Name</t>
  </si>
  <si>
    <t>Country</t>
  </si>
  <si>
    <t>Société Nationale pour la Recherche, la Production, le Transport, la Transformation et la Commercial</t>
  </si>
  <si>
    <t>SONATRACH</t>
  </si>
  <si>
    <t>Société Nationale de l'Électricité et du Gaz</t>
  </si>
  <si>
    <t>SONELGAZ</t>
  </si>
  <si>
    <t>Société Nationale de Transport Maritime des Hydrocarbures</t>
  </si>
  <si>
    <t>SNTM-HYPROC</t>
  </si>
  <si>
    <t>Groupement TRC Reghaïa</t>
  </si>
  <si>
    <t>GTP</t>
  </si>
  <si>
    <t>Tassili Airlines</t>
  </si>
  <si>
    <t>TASSILI</t>
  </si>
  <si>
    <t>Ente Nazionale Idrocarburi</t>
  </si>
  <si>
    <t>ENI</t>
  </si>
  <si>
    <t>TotalEnergies SE</t>
  </si>
  <si>
    <t>TOTALENERGIES</t>
  </si>
  <si>
    <t>British Petroleum plc</t>
  </si>
  <si>
    <t>BP</t>
  </si>
  <si>
    <t>Equinor ASA</t>
  </si>
  <si>
    <t>EQUINOR</t>
  </si>
  <si>
    <t>Repsol S.A.</t>
  </si>
  <si>
    <t>REPSOL</t>
  </si>
  <si>
    <t>In Salah Gas Joint Venture</t>
  </si>
  <si>
    <t>ISG-JV</t>
  </si>
  <si>
    <t>In Amenas Joint Venture</t>
  </si>
  <si>
    <t>IAM-JV</t>
  </si>
  <si>
    <t>Tin Fouye Tabankort Condensate Company</t>
  </si>
  <si>
    <t>TFCC</t>
  </si>
  <si>
    <t>Société Nationale de Transport Maritime</t>
  </si>
  <si>
    <t>SNTM</t>
  </si>
  <si>
    <t>Groupement Transport Par Canalisation</t>
  </si>
  <si>
    <t>GTP-CANAL</t>
  </si>
  <si>
    <t>Raffinerie d'Alger</t>
  </si>
  <si>
    <t>RA1K</t>
  </si>
  <si>
    <t>Raffinerie d'Arzew</t>
  </si>
  <si>
    <t>RA1Z</t>
  </si>
  <si>
    <t>Raffinerie de Skikda</t>
  </si>
  <si>
    <t>RA1S</t>
  </si>
  <si>
    <t>Raffinerie d'Hassi Messaoud</t>
  </si>
  <si>
    <t>RHMS</t>
  </si>
  <si>
    <t>Entreprise Nationale de Raffinage et de Distribution des Produits Pétroliers</t>
  </si>
  <si>
    <t>NAFTAL</t>
  </si>
  <si>
    <t>Algerian Distribution Company</t>
  </si>
  <si>
    <t>ALDIC</t>
  </si>
  <si>
    <t>Entreprise Nationale des Grands Travaux Pétroliers</t>
  </si>
  <si>
    <t>ENGTP</t>
  </si>
  <si>
    <t>Société Algérienne des Foires et Exportations</t>
  </si>
  <si>
    <t>SAFIR</t>
  </si>
  <si>
    <t>Technip Energies N.V.</t>
  </si>
  <si>
    <t>TECHNIP</t>
  </si>
  <si>
    <t>Saipem S.p.A.</t>
  </si>
  <si>
    <t>SAIPEM</t>
  </si>
  <si>
    <t>Algerian Energy Company</t>
  </si>
  <si>
    <t>ALGERCO</t>
  </si>
  <si>
    <t>Algerian National Pipeline Infrastructure</t>
  </si>
  <si>
    <t>ALNAFT</t>
  </si>
  <si>
    <t>China Petroleum &amp; Chemical Corporation</t>
  </si>
  <si>
    <t>Sinopec</t>
  </si>
  <si>
    <t>Occidental Petroleum Corporation</t>
  </si>
  <si>
    <t>Occidental</t>
  </si>
  <si>
    <t>SAIPEM-EPC</t>
  </si>
  <si>
    <t>Technip Energies Algeria</t>
  </si>
  <si>
    <t>TECHNIP-EPC</t>
  </si>
  <si>
    <t>China National Petroleum Corporation</t>
  </si>
  <si>
    <t>CNPC-EPC</t>
  </si>
  <si>
    <t>Cosider Travaux Publics</t>
  </si>
  <si>
    <t>COSIDER-TP</t>
  </si>
  <si>
    <t>Entreprise de Travaux Routiers Hydrauliques et Bâtiments</t>
  </si>
  <si>
    <t>ETRHB</t>
  </si>
  <si>
    <t>ENGTP Construction Division</t>
  </si>
  <si>
    <t>ENGTP-CONSTR</t>
  </si>
  <si>
    <t>Wood Group Algeria</t>
  </si>
  <si>
    <t>WOOD</t>
  </si>
  <si>
    <t>Worley Algeria</t>
  </si>
  <si>
    <t>WORLEY</t>
  </si>
  <si>
    <t>Penspen Limited</t>
  </si>
  <si>
    <t>PENSPEN</t>
  </si>
  <si>
    <t>Amec Foster Wheeler Algeria</t>
  </si>
  <si>
    <t>AFW-PMC</t>
  </si>
  <si>
    <t>KBR Inc.</t>
  </si>
  <si>
    <t>KBR</t>
  </si>
  <si>
    <t>GE Oil &amp; Gas Algeria</t>
  </si>
  <si>
    <t>GE-OG</t>
  </si>
  <si>
    <t>Siemens Energy Algeria</t>
  </si>
  <si>
    <t>SIEMENS-E</t>
  </si>
  <si>
    <t>Sulzer Pumps Services Algeria</t>
  </si>
  <si>
    <t>SULZER</t>
  </si>
  <si>
    <t>Nuovo Pignone Algeria</t>
  </si>
  <si>
    <t>NUOVO-PIG</t>
  </si>
  <si>
    <t>Alfapipe Spa</t>
  </si>
  <si>
    <t>ALFAPIPE</t>
  </si>
  <si>
    <t>Europipe GmbH</t>
  </si>
  <si>
    <t>EUROPIPE</t>
  </si>
  <si>
    <t>Vallourec Algérie</t>
  </si>
  <si>
    <t>VALLOUREC</t>
  </si>
  <si>
    <t>Schneider Electric Algérie</t>
  </si>
  <si>
    <t>SCHNEIDER</t>
  </si>
  <si>
    <t>Siemens Automation Algeria</t>
  </si>
  <si>
    <t>SIEMENS-AUTO</t>
  </si>
  <si>
    <t>Honeywell Process Solutions Algeria</t>
  </si>
  <si>
    <t>HONEYWELL</t>
  </si>
  <si>
    <t>Emerson Process Management Algeria</t>
  </si>
  <si>
    <t>EMERSON</t>
  </si>
  <si>
    <t>Endress+Hauser Algeria</t>
  </si>
  <si>
    <t>E+H</t>
  </si>
  <si>
    <t>ABB Measurement &amp; Analytics Algeria</t>
  </si>
  <si>
    <t>ABB-MEAS</t>
  </si>
  <si>
    <t>Entreprise Nationale de Forage</t>
  </si>
  <si>
    <t>ENAFOR</t>
  </si>
  <si>
    <t>SGS Algeria</t>
  </si>
  <si>
    <t>SGS</t>
  </si>
  <si>
    <t>Applus+ Algeria</t>
  </si>
  <si>
    <t>APPLUS</t>
  </si>
  <si>
    <t>Bureau Veritas Algeria</t>
  </si>
  <si>
    <t>TÜV Rheinland Algeria</t>
  </si>
  <si>
    <t>TUV</t>
  </si>
  <si>
    <t>DNV Algeria</t>
  </si>
  <si>
    <t>DNV</t>
  </si>
  <si>
    <t>Entreprise Nationale des Travaux aux Puits</t>
  </si>
  <si>
    <t>ENTP</t>
  </si>
  <si>
    <t>Wood Group PSN Algeria</t>
  </si>
  <si>
    <t>WOOD-PSN</t>
  </si>
  <si>
    <t>Société de Transport de Marchandises Express</t>
  </si>
  <si>
    <t>TRANSMEX</t>
  </si>
  <si>
    <t>Gulf Agency Company Algeria</t>
  </si>
  <si>
    <t>GAC</t>
  </si>
  <si>
    <t>SDV Logistique Internationale Algérie</t>
  </si>
  <si>
    <t>SDV</t>
  </si>
  <si>
    <t>Kanaghaz Engineering</t>
  </si>
  <si>
    <t>KANAGHAZ</t>
  </si>
  <si>
    <t>General Emballage Algérie</t>
  </si>
  <si>
    <t>GEA</t>
  </si>
  <si>
    <t>Groupe Industriel des Ciments d'Algérie</t>
  </si>
  <si>
    <t>GICA</t>
  </si>
  <si>
    <t>Installing</t>
  </si>
  <si>
    <t>Decommissioning</t>
  </si>
  <si>
    <t>Commissioning</t>
  </si>
  <si>
    <t>Status</t>
  </si>
  <si>
    <t>Structure</t>
  </si>
  <si>
    <t>Hassi Messaoud Hub</t>
  </si>
  <si>
    <t>450,000</t>
  </si>
  <si>
    <t>1956</t>
  </si>
  <si>
    <t>Hassi Messaoud North EPF</t>
  </si>
  <si>
    <t>Early Production Facility</t>
  </si>
  <si>
    <t>120,000</t>
  </si>
  <si>
    <t>1998</t>
  </si>
  <si>
    <t>RAMA-RAA EPF</t>
  </si>
  <si>
    <t>12,500</t>
  </si>
  <si>
    <t>2008</t>
  </si>
  <si>
    <t>Ourhoud Plant</t>
  </si>
  <si>
    <t>240,000</t>
  </si>
  <si>
    <t>1980 (P1), 2005 (P2)</t>
  </si>
  <si>
    <t>In Amenas CPF</t>
  </si>
  <si>
    <t>Central Processing Facility</t>
  </si>
  <si>
    <t>40,000</t>
  </si>
  <si>
    <t>1968 (orig), 2005 (rebuilt)</t>
  </si>
  <si>
    <t>Berkine CPF (El Merk)</t>
  </si>
  <si>
    <t>Berkine Basin</t>
  </si>
  <si>
    <t>146,000</t>
  </si>
  <si>
    <t>2012</t>
  </si>
  <si>
    <t>Gassi Touil Terminal</t>
  </si>
  <si>
    <t>Collection/Export Terminal</t>
  </si>
  <si>
    <t>Berkine Region</t>
  </si>
  <si>
    <t>155,000</t>
  </si>
  <si>
    <t>Haoud El Hamra CDHL</t>
  </si>
  <si>
    <t>Central Distribution Hub</t>
  </si>
  <si>
    <t>Multi-million</t>
  </si>
  <si>
    <t>1970 (init), 1988 (exp I), 2015 (exp II)</t>
  </si>
  <si>
    <t>Tin-Fouyé-Tabenkort EPF</t>
  </si>
  <si>
    <t>54,000</t>
  </si>
  <si>
    <t>2018 (init), 2020 (full)</t>
  </si>
  <si>
    <t>Hassi R'Mel Central Station</t>
  </si>
  <si>
    <t>Gas Processing Complex</t>
  </si>
  <si>
    <t>Hassi R'Mel</t>
  </si>
  <si>
    <t>180</t>
  </si>
  <si>
    <t>1961 (P1), 1969 (P2), 1974 (P3)</t>
  </si>
  <si>
    <t>Hassi R'Mel North Station</t>
  </si>
  <si>
    <t>150</t>
  </si>
  <si>
    <t>1990 (orig), 2007 (B-II)</t>
  </si>
  <si>
    <t>Hassi R'Mel South Station</t>
  </si>
  <si>
    <t>120</t>
  </si>
  <si>
    <t>1985 (orig), 2007 (B-II)</t>
  </si>
  <si>
    <t>Hassi R'Mel Boosting III - Central</t>
  </si>
  <si>
    <t>Gas Compression Station</t>
  </si>
  <si>
    <t>Hassi R'Mel Boosting III - North</t>
  </si>
  <si>
    <t>Hassi R'Mel Boosting III - South</t>
  </si>
  <si>
    <t>710</t>
  </si>
  <si>
    <t>October 2003</t>
  </si>
  <si>
    <t>Tin-Fouyé-Tabenkort CPF</t>
  </si>
  <si>
    <t>184</t>
  </si>
  <si>
    <t>Ain Tsila Gas Complex</t>
  </si>
  <si>
    <t>425</t>
  </si>
  <si>
    <t>August 2025</t>
  </si>
  <si>
    <t>Alrar Separation &amp; Boosting</t>
  </si>
  <si>
    <t>Gas Separation &amp; Compression</t>
  </si>
  <si>
    <t>Hassi R'Mel Region</t>
  </si>
  <si>
    <t>Multi-field</t>
  </si>
  <si>
    <t>2015-2016</t>
  </si>
  <si>
    <t>Ohanet Condensate Unit</t>
  </si>
  <si>
    <t>Tin-Fouyé Condensate Unit</t>
  </si>
  <si>
    <t>Ain Tsila Condensate Recovery</t>
  </si>
  <si>
    <t>El Merk Condensate Unit</t>
  </si>
  <si>
    <t>In Amenas Condensate Recovery</t>
  </si>
  <si>
    <t>Variable</t>
  </si>
  <si>
    <t>1968 (orig), 2005 (new)</t>
  </si>
  <si>
    <t>Hassi R'Mel LPG/Condensate Units</t>
  </si>
  <si>
    <t>LPG &amp; Condensate Separation</t>
  </si>
  <si>
    <t>1975 (init), 2003 (upgraded)</t>
  </si>
  <si>
    <t>Arzew GP1Z LPG Separation</t>
  </si>
  <si>
    <t>1978</t>
  </si>
  <si>
    <t>Hassi R'Mel Central LPG Recovery</t>
  </si>
  <si>
    <t>LPG Separation Complex</t>
  </si>
  <si>
    <t>28 million bbl/year</t>
  </si>
  <si>
    <t>Hassi R'Mel Ethane Recovery</t>
  </si>
  <si>
    <t>Ethane Separation</t>
  </si>
  <si>
    <t>3 million t/year</t>
  </si>
  <si>
    <t>1974</t>
  </si>
  <si>
    <t>1975</t>
  </si>
  <si>
    <t>Tin-Fouyé LPG Recovery</t>
  </si>
  <si>
    <t>LPG Separation Unit</t>
  </si>
  <si>
    <t>2018-2020</t>
  </si>
  <si>
    <t>Ain Tsila LPG Recovery</t>
  </si>
  <si>
    <t>Mederba LPG Distribution Hub</t>
  </si>
  <si>
    <t>Multi-source</t>
  </si>
  <si>
    <t>1985</t>
  </si>
  <si>
    <t>Location</t>
  </si>
  <si>
    <t>منشأة المعالجة المركزية</t>
  </si>
  <si>
    <t>Unité de Traitement Central</t>
  </si>
  <si>
    <t>CPF</t>
  </si>
  <si>
    <t>منشأة الإنتاج المبكر</t>
  </si>
  <si>
    <t>Installation de Production Précoce</t>
  </si>
  <si>
    <t>EPF</t>
  </si>
  <si>
    <t>Production Manifold</t>
  </si>
  <si>
    <t>مشعب الإنتاج</t>
  </si>
  <si>
    <t>Collecteur de Production</t>
  </si>
  <si>
    <t>مجمع معالجة الغاز</t>
  </si>
  <si>
    <t>Complexe de Traitement du Gaz</t>
  </si>
  <si>
    <t>GPC</t>
  </si>
  <si>
    <t>فصل وضغط الغاز</t>
  </si>
  <si>
    <t>Séparation et Compression du Gaz</t>
  </si>
  <si>
    <t>GSC</t>
  </si>
  <si>
    <t>Gas Export Hub</t>
  </si>
  <si>
    <t>مركز تصدير الغاز</t>
  </si>
  <si>
    <t>GEH</t>
  </si>
  <si>
    <t>Condensate Recovery Plant</t>
  </si>
  <si>
    <t>محطة استعادة المكثفات</t>
  </si>
  <si>
    <t>Usine de Récupération des Condensats</t>
  </si>
  <si>
    <t>CRP</t>
  </si>
  <si>
    <t>فصل الغاز المسال والمكثفات</t>
  </si>
  <si>
    <t>Séparation GPL et Condensats</t>
  </si>
  <si>
    <t>LCS</t>
  </si>
  <si>
    <t>مجمع فصل الغاز المسال</t>
  </si>
  <si>
    <t>Complexe de Séparation du GPL</t>
  </si>
  <si>
    <t>LSC</t>
  </si>
  <si>
    <t>وحدة فصل الغاز المسال</t>
  </si>
  <si>
    <t>Unité de Séparation du GPL</t>
  </si>
  <si>
    <t>LSU</t>
  </si>
  <si>
    <t>فصل الإيثان</t>
  </si>
  <si>
    <t>January 2026</t>
  </si>
  <si>
    <t>March 2026 (target)</t>
  </si>
  <si>
    <t>June 2026 (target)</t>
  </si>
  <si>
    <t>Ohanet CPF - Gas Train</t>
  </si>
  <si>
    <t>Reggane Basin Gas Processing</t>
  </si>
  <si>
    <t>220</t>
  </si>
  <si>
    <t>Q2 2026 (target)</t>
  </si>
  <si>
    <t>Sebaa Gas Development Project</t>
  </si>
  <si>
    <t>140</t>
  </si>
  <si>
    <t>Q3 2026 (target)</t>
  </si>
  <si>
    <t>50,000 bbl/d</t>
  </si>
  <si>
    <t>12,500 bbl/d</t>
  </si>
  <si>
    <t>15,000 bbl/d</t>
  </si>
  <si>
    <t>76,700 bbl/d LPG ave</t>
  </si>
  <si>
    <t>1,600 t/day</t>
  </si>
  <si>
    <t>Install</t>
  </si>
  <si>
    <t>Comissioning</t>
  </si>
  <si>
    <t>ONET-DD</t>
  </si>
  <si>
    <t>ONET-OSS</t>
  </si>
  <si>
    <t>ONET-BS</t>
  </si>
  <si>
    <t>DZAZW</t>
  </si>
  <si>
    <t>DZSKI</t>
  </si>
  <si>
    <t>DZBJA</t>
  </si>
  <si>
    <t>CDHL</t>
  </si>
  <si>
    <t>Terminal de Distribution CDHL</t>
  </si>
  <si>
    <t>CNDG</t>
  </si>
  <si>
    <t>Terminal de Distribution CNDG</t>
  </si>
  <si>
    <t>DT-MED</t>
  </si>
  <si>
    <t>Terminal de Distribution Medjedel</t>
  </si>
  <si>
    <t>DT-MSL</t>
  </si>
  <si>
    <t>DT-DJM</t>
  </si>
  <si>
    <t>Terminal de Distribution SP1 Bis Djamaa</t>
  </si>
  <si>
    <t>TT-ARH</t>
  </si>
  <si>
    <t>Terminal de Transfert Al Aricha</t>
  </si>
  <si>
    <t>TT-BNM</t>
  </si>
  <si>
    <t>Terminal de Transfert Beni Mensour</t>
  </si>
  <si>
    <t>TT-HMD</t>
  </si>
  <si>
    <t>Terminal de Transfert Hassi Messaoud</t>
  </si>
  <si>
    <t>TT-MSD</t>
  </si>
  <si>
    <t>Terminal de Transfert Mesdar</t>
  </si>
  <si>
    <t>TT-OHT</t>
  </si>
  <si>
    <t>Terminal de Transfert Ohanet</t>
  </si>
  <si>
    <t>TT-137</t>
  </si>
  <si>
    <t>Terminal de Transfert PC1/PK137</t>
  </si>
  <si>
    <t>TT-RDN</t>
  </si>
  <si>
    <t>Terminal de Transfert Rhoude Nouss</t>
  </si>
  <si>
    <t>PT-ALG</t>
  </si>
  <si>
    <t>Terminal de Pipeline Alger</t>
  </si>
  <si>
    <t>PT-ALR</t>
  </si>
  <si>
    <t>Terminal de Pipeline Alrar</t>
  </si>
  <si>
    <t>PR-ARZ</t>
  </si>
  <si>
    <t>Terminal de Pipeline Arzew</t>
  </si>
  <si>
    <t>PT-BJA</t>
  </si>
  <si>
    <t>Terminal de Pipeline Bejaia</t>
  </si>
  <si>
    <t>PT-BRN</t>
  </si>
  <si>
    <t>Terminal de Pipeline Bir Rebaa North</t>
  </si>
  <si>
    <t>PT-BMN</t>
  </si>
  <si>
    <t>Terminal de Pipeline Bord Menaiel</t>
  </si>
  <si>
    <t>PT-BRM</t>
  </si>
  <si>
    <t>Terminal de Pipeline El Borma</t>
  </si>
  <si>
    <t>PT-GST</t>
  </si>
  <si>
    <t>Terminal de Pipeline Gassi Touil</t>
  </si>
  <si>
    <t>PT-HBK</t>
  </si>
  <si>
    <t>Terminal de Pipeline Hassi Berkine</t>
  </si>
  <si>
    <t>PT-HTJ</t>
  </si>
  <si>
    <t>Terminal de Pipeline Hassi tedjirane</t>
  </si>
  <si>
    <t>PT-NMS</t>
  </si>
  <si>
    <t>Terminal de Pipeline In Amenas</t>
  </si>
  <si>
    <t>PT-NSL</t>
  </si>
  <si>
    <t>Terminal de Pipeline In Salah</t>
  </si>
  <si>
    <t>PT-ISR</t>
  </si>
  <si>
    <t>Terminal de Pipeline Isser</t>
  </si>
  <si>
    <t>PT-RGN</t>
  </si>
  <si>
    <t>Terminal de Pipeline Reggane</t>
  </si>
  <si>
    <t>PT-RBL</t>
  </si>
  <si>
    <t>Terminal de Pipeline Rhoude El Baguel</t>
  </si>
  <si>
    <t>PT-SKD</t>
  </si>
  <si>
    <t>Terminal de Pipeline Skikda</t>
  </si>
  <si>
    <t>SP1-OZ2</t>
  </si>
  <si>
    <t>Station de Pompage SP1-OZ2</t>
  </si>
  <si>
    <t>SP2-OZ2</t>
  </si>
  <si>
    <t>Station de Pompage SP2-OZ2</t>
  </si>
  <si>
    <t>PRS-OZ2</t>
  </si>
  <si>
    <t>Station de Régulation PRS-OZ2</t>
  </si>
  <si>
    <t>SP1-OK1</t>
  </si>
  <si>
    <t>Station de Pompage SP1-OK1</t>
  </si>
  <si>
    <t>SP1-OK1-NEW</t>
  </si>
  <si>
    <t>Station de Pompage SP1-OK1-NEW</t>
  </si>
  <si>
    <t>SP2-OK1</t>
  </si>
  <si>
    <t>Station de Pompage SP2-OK1</t>
  </si>
  <si>
    <t>SP3-OK1</t>
  </si>
  <si>
    <t>Station de Pompage SP3-OK1</t>
  </si>
  <si>
    <t>SP3-OK1-BIS</t>
  </si>
  <si>
    <t>Station de Pompage SP3-OK1-BIS</t>
  </si>
  <si>
    <t>SP4-OK1</t>
  </si>
  <si>
    <t>Station de Pompage SP4-OK1</t>
  </si>
  <si>
    <t>SP1-OB1</t>
  </si>
  <si>
    <t>Station de Pompage SP1-OB1</t>
  </si>
  <si>
    <t>SP1-BIS-OB1</t>
  </si>
  <si>
    <t>Station de Pompage SP1-BIS-OB1</t>
  </si>
  <si>
    <t>SP2-OB1</t>
  </si>
  <si>
    <t>Station de Pompage SP2-OB1</t>
  </si>
  <si>
    <t>SP3-OB1</t>
  </si>
  <si>
    <t>Station de Pompage SP3-OB1</t>
  </si>
  <si>
    <t>SP1-BIS-OG1</t>
  </si>
  <si>
    <t>Station de Pompage SP1-BIS-OG1</t>
  </si>
  <si>
    <t>SP1-OT1</t>
  </si>
  <si>
    <t>Station de Pompage SP1-OT1</t>
  </si>
  <si>
    <t>SP2-OT1</t>
  </si>
  <si>
    <t>Station de Pompage SP2-OT1</t>
  </si>
  <si>
    <t>SP1-OH1</t>
  </si>
  <si>
    <t>Station de Pompage SP1-OH1</t>
  </si>
  <si>
    <t>SP2-OH1</t>
  </si>
  <si>
    <t>Station de Pompage SP2-OH1</t>
  </si>
  <si>
    <t>SP3-OH1</t>
  </si>
  <si>
    <t>Station de Pompage SP3-OH1</t>
  </si>
  <si>
    <t>SP1-OD1</t>
  </si>
  <si>
    <t>Station de Pompage SP1-OD1</t>
  </si>
  <si>
    <t>SP1-OH2</t>
  </si>
  <si>
    <t>Station de Pompage SP1-OH2</t>
  </si>
  <si>
    <t>SP1-OH3/OH4</t>
  </si>
  <si>
    <t>Station de Pompage SP1-OH3/OH4</t>
  </si>
  <si>
    <t>SP2-OH3/OH4</t>
  </si>
  <si>
    <t>Station de Pompage SP2-OH3/OH4</t>
  </si>
  <si>
    <t>SP4-NZ1</t>
  </si>
  <si>
    <t>Station de Pompage SP4-NZ1</t>
  </si>
  <si>
    <t>SP5-NZ1</t>
  </si>
  <si>
    <t>Station de Pompage SP5-NZ1</t>
  </si>
  <si>
    <t>SP6-NZ1</t>
  </si>
  <si>
    <t>Station de Pompage SP6-NZ1</t>
  </si>
  <si>
    <t>PRS-NZ1</t>
  </si>
  <si>
    <t>Station de Régulation PRS-NZ1</t>
  </si>
  <si>
    <t>SP1-NK1</t>
  </si>
  <si>
    <t>Station de Pompage SP1-NK1</t>
  </si>
  <si>
    <t>SP3-NK1</t>
  </si>
  <si>
    <t>Station de Pompage SP3-NK1</t>
  </si>
  <si>
    <t>SP4-LNZ1</t>
  </si>
  <si>
    <t>Station de Pompage SP4-LNZ1</t>
  </si>
  <si>
    <t>SP5-LNZ1</t>
  </si>
  <si>
    <t>Station de Pompage SP5-LNZ1</t>
  </si>
  <si>
    <t>SP6-LNZ1</t>
  </si>
  <si>
    <t>Station de Pompage SP6-LNZ1</t>
  </si>
  <si>
    <t>SP0-LZ1</t>
  </si>
  <si>
    <t>Station de Pompage SP0-LZ1</t>
  </si>
  <si>
    <t>SP1-LZ1</t>
  </si>
  <si>
    <t>Station de Pompage SP1-LZ1</t>
  </si>
  <si>
    <t>SP1-LZ2</t>
  </si>
  <si>
    <t>Station de Pompage SP1-LZ2</t>
  </si>
  <si>
    <t>PRS-LZ1/LZ2</t>
  </si>
  <si>
    <t>Station de Régulation PRS-LZ1/LZ2</t>
  </si>
  <si>
    <t>SPRN-LR1</t>
  </si>
  <si>
    <t>Station de Pompage SPRN-LR1</t>
  </si>
  <si>
    <t>SP1-LR1</t>
  </si>
  <si>
    <t>Station de Pompage SP1-LR1</t>
  </si>
  <si>
    <t>SP2-LR1</t>
  </si>
  <si>
    <t>Station de Pompage SP2-LR1</t>
  </si>
  <si>
    <t>SP1-LNZ1</t>
  </si>
  <si>
    <t>Station de Pompage SP1-LNZ1</t>
  </si>
  <si>
    <t>SP3-LNZ1</t>
  </si>
  <si>
    <t>Station de Pompage SP3-LNZ1</t>
  </si>
  <si>
    <t>SC1-GZ0</t>
  </si>
  <si>
    <t>Station de Compression SC1-GZ0</t>
  </si>
  <si>
    <t>SC2-GZ0</t>
  </si>
  <si>
    <t>Station de Compression SC2-GZ0</t>
  </si>
  <si>
    <t>SC3-GZ0</t>
  </si>
  <si>
    <t>Station de Compression SC3-GZ0</t>
  </si>
  <si>
    <t>SC4-GZ0</t>
  </si>
  <si>
    <t>Station de Compression SC4-GZ0</t>
  </si>
  <si>
    <t>SC1-GZ1</t>
  </si>
  <si>
    <t>Station de Compression SC1-GZ1</t>
  </si>
  <si>
    <t>SC1-GZ2</t>
  </si>
  <si>
    <t>Station de Compression SC1-GZ2</t>
  </si>
  <si>
    <t>SC1-GZ3</t>
  </si>
  <si>
    <t>Station de Compression SC1-GZ3</t>
  </si>
  <si>
    <t>SC2-GZ1</t>
  </si>
  <si>
    <t>Station de Compression SC2-GZ1</t>
  </si>
  <si>
    <t>SC2-GZ2</t>
  </si>
  <si>
    <t>Station de Compression SC2-GZ2</t>
  </si>
  <si>
    <t>SC2-GZ3</t>
  </si>
  <si>
    <t>Station de Compression SC2-GZ3</t>
  </si>
  <si>
    <t>SC3-GZ1</t>
  </si>
  <si>
    <t>Station de Compression SC3-GZ1</t>
  </si>
  <si>
    <t>SC3-GZ2</t>
  </si>
  <si>
    <t>Station de Compression SC3-GZ2</t>
  </si>
  <si>
    <t>SC3-GZ3</t>
  </si>
  <si>
    <t>Station de Compression SC3-GZ3</t>
  </si>
  <si>
    <t>SC4-GZ1</t>
  </si>
  <si>
    <t>Station de Compression SC4-GZ1</t>
  </si>
  <si>
    <t>SC4-GZ2</t>
  </si>
  <si>
    <t>Station de Compression SC4-GZ2</t>
  </si>
  <si>
    <t>SC4-GZ3</t>
  </si>
  <si>
    <t>Station de Compression SC4-GZ3</t>
  </si>
  <si>
    <t>SC5-GZ1</t>
  </si>
  <si>
    <t>Station de Compression SC5-GZ1</t>
  </si>
  <si>
    <t>SC5-GZ2</t>
  </si>
  <si>
    <t>Station de Compression SC5-GZ2</t>
  </si>
  <si>
    <t>SC5-GZ3</t>
  </si>
  <si>
    <t>Station de Compression SC5-GZ3</t>
  </si>
  <si>
    <t>SC3-GPDF</t>
  </si>
  <si>
    <t>Station de Compression SC3-GPDF</t>
  </si>
  <si>
    <t>SC1-GK1</t>
  </si>
  <si>
    <t>Station de Compression SC1-GK1</t>
  </si>
  <si>
    <t>SC2-GK1</t>
  </si>
  <si>
    <t>Station de Compression SC2-GK1</t>
  </si>
  <si>
    <t>SC3-GK1</t>
  </si>
  <si>
    <t>Station de Compression SC3-GK1</t>
  </si>
  <si>
    <t>SC4-GK1</t>
  </si>
  <si>
    <t>Station de Compression SC4-GK1</t>
  </si>
  <si>
    <t>SC5-GK1</t>
  </si>
  <si>
    <t>Station de Compression SC5-GK1</t>
  </si>
  <si>
    <t>S01-GO2</t>
  </si>
  <si>
    <t>Station de Compression S01-GO2</t>
  </si>
  <si>
    <t>S01-GG1</t>
  </si>
  <si>
    <t>Station de Compression S01-GG1</t>
  </si>
  <si>
    <t>S01-GR5</t>
  </si>
  <si>
    <t>Station de Compression S01-GR5</t>
  </si>
  <si>
    <t>S01-GR7</t>
  </si>
  <si>
    <t>Station de Compression S01-GR7</t>
  </si>
  <si>
    <t>SC-TFT</t>
  </si>
  <si>
    <t>Station de Compression SC-TFT</t>
  </si>
  <si>
    <t>SC1-GR2</t>
  </si>
  <si>
    <t>Station de Compression SC1-GR2</t>
  </si>
  <si>
    <t>SC2-GR2</t>
  </si>
  <si>
    <t>Station de Compression SC2-GR2</t>
  </si>
  <si>
    <t>SC3-GR2</t>
  </si>
  <si>
    <t>Station de Compression SC3-GR2</t>
  </si>
  <si>
    <t>SC4-GR2</t>
  </si>
  <si>
    <t>Station de Compression SC4-GR2</t>
  </si>
  <si>
    <t>GL1Z</t>
  </si>
  <si>
    <t>Complexe GNL GL1Z</t>
  </si>
  <si>
    <t>GL2Z</t>
  </si>
  <si>
    <t>Complexe GNL GL2Z</t>
  </si>
  <si>
    <t>GL3Z</t>
  </si>
  <si>
    <t>Complexe GNL GL3Z</t>
  </si>
  <si>
    <t>GL1K</t>
  </si>
  <si>
    <t>Complexe GNL GL1K</t>
  </si>
  <si>
    <t>GP1Z</t>
  </si>
  <si>
    <t>Usine GPL GP1Z</t>
  </si>
  <si>
    <t>GP2Z</t>
  </si>
  <si>
    <t>Usine GPL GP2Z</t>
  </si>
  <si>
    <t>RA1G</t>
  </si>
  <si>
    <t>Raffinerie RA1G</t>
  </si>
  <si>
    <t>Raffinerie RA1Z</t>
  </si>
  <si>
    <t>RHM2</t>
  </si>
  <si>
    <t>Raffinerie RHM2</t>
  </si>
  <si>
    <t>Raffinerie RA1K</t>
  </si>
  <si>
    <t>RA2K</t>
  </si>
  <si>
    <t>Raffinerie RA2K</t>
  </si>
  <si>
    <t>RA1D</t>
  </si>
  <si>
    <t>Raffinerie RA1D</t>
  </si>
  <si>
    <t>CP1Z</t>
  </si>
  <si>
    <t>Usine de Condensats CP1Z</t>
  </si>
  <si>
    <t>CP2K</t>
  </si>
  <si>
    <t>Usine de Condensats CP2K</t>
  </si>
  <si>
    <t>SORFERT</t>
  </si>
  <si>
    <t>Complexe Pétrochimique SORFERT</t>
  </si>
  <si>
    <t>AOA</t>
  </si>
  <si>
    <t>Complexe Pétrochimique AOA</t>
  </si>
  <si>
    <t>CPF-OHD</t>
  </si>
  <si>
    <t>CPF-MNS</t>
  </si>
  <si>
    <t>CPF-BBK</t>
  </si>
  <si>
    <t>Unité de Traitement Central de Berkine (El Merk)</t>
  </si>
  <si>
    <t>GPC-HRM</t>
  </si>
  <si>
    <t>GPC-OHT</t>
  </si>
  <si>
    <t>GPC-TFT</t>
  </si>
  <si>
    <t>Unité de Traitement Central de Tin-Fouyé-Tabenkort</t>
  </si>
  <si>
    <t>GPC-TSL</t>
  </si>
  <si>
    <t>GPC-RGN</t>
  </si>
  <si>
    <t>Traitement du Gaz du Bassin de Reggane</t>
  </si>
  <si>
    <t>CRP-OHT</t>
  </si>
  <si>
    <t>CRP-TFT</t>
  </si>
  <si>
    <t>Unité de Condensats de Tin-Fouyé</t>
  </si>
  <si>
    <t>CRP-TSL</t>
  </si>
  <si>
    <t>CRP-MRK</t>
  </si>
  <si>
    <t>CRP-MNS</t>
  </si>
  <si>
    <t>LPG1-HRM</t>
  </si>
  <si>
    <t>LPG2-HRM</t>
  </si>
  <si>
    <t>LPGE-HRM</t>
  </si>
  <si>
    <t>LPG-TFT</t>
  </si>
  <si>
    <t>Complexe de récupération GPL de Tin-Fouyé</t>
  </si>
  <si>
    <t>LPG-TSL</t>
  </si>
  <si>
    <t>OZ1</t>
  </si>
  <si>
    <t>OZ2</t>
  </si>
  <si>
    <t>OK1</t>
  </si>
  <si>
    <t>OB1</t>
  </si>
  <si>
    <t>ROB1-01</t>
  </si>
  <si>
    <t>ROB1-02</t>
  </si>
  <si>
    <t>OG1</t>
  </si>
  <si>
    <t>OT1</t>
  </si>
  <si>
    <t>OH1</t>
  </si>
  <si>
    <t>ROH1</t>
  </si>
  <si>
    <t>OH2</t>
  </si>
  <si>
    <t>OH3</t>
  </si>
  <si>
    <t>OH4</t>
  </si>
  <si>
    <t>OD1</t>
  </si>
  <si>
    <t>ROD1</t>
  </si>
  <si>
    <t>OD2</t>
  </si>
  <si>
    <t>OD3</t>
  </si>
  <si>
    <t>NZ1</t>
  </si>
  <si>
    <t>NK1</t>
  </si>
  <si>
    <t>NH2</t>
  </si>
  <si>
    <t>LNZ1</t>
  </si>
  <si>
    <t>LZ1</t>
  </si>
  <si>
    <t>LZ2</t>
  </si>
  <si>
    <t>LR1</t>
  </si>
  <si>
    <t>DLR1</t>
  </si>
  <si>
    <t>ELR1</t>
  </si>
  <si>
    <t>GZ0</t>
  </si>
  <si>
    <t>GZ0 Bis</t>
  </si>
  <si>
    <t>GZ1</t>
  </si>
  <si>
    <t>GZ2</t>
  </si>
  <si>
    <t>RGZ2</t>
  </si>
  <si>
    <t>GZ3</t>
  </si>
  <si>
    <t>RGZ3-01</t>
  </si>
  <si>
    <t>RGZ3-02</t>
  </si>
  <si>
    <t>GZ4-01</t>
  </si>
  <si>
    <t>GZ4-02</t>
  </si>
  <si>
    <t>GZ4-03</t>
  </si>
  <si>
    <t>GK1</t>
  </si>
  <si>
    <t>GK2</t>
  </si>
  <si>
    <t>GK3-01</t>
  </si>
  <si>
    <t>GK3-02</t>
  </si>
  <si>
    <t>GG1</t>
  </si>
  <si>
    <t>RGG1</t>
  </si>
  <si>
    <t>GM1</t>
  </si>
  <si>
    <t>GR1</t>
  </si>
  <si>
    <t>GR2</t>
  </si>
  <si>
    <t>GR3</t>
  </si>
  <si>
    <t>GR4</t>
  </si>
  <si>
    <t>GR5</t>
  </si>
  <si>
    <t>GR6</t>
  </si>
  <si>
    <t>GR7</t>
  </si>
  <si>
    <t>EGPDF</t>
  </si>
  <si>
    <t>GO1</t>
  </si>
  <si>
    <t>GO2</t>
  </si>
  <si>
    <t>GO3</t>
  </si>
  <si>
    <t>Pipeline OZ1</t>
  </si>
  <si>
    <t>Pipeline OZ2</t>
  </si>
  <si>
    <t>Pipeline OK1</t>
  </si>
  <si>
    <t>Pipeline OB1</t>
  </si>
  <si>
    <t>Pipeline ROB1-01</t>
  </si>
  <si>
    <t>Pipeline ROB1-02</t>
  </si>
  <si>
    <t>Pipeline OG1</t>
  </si>
  <si>
    <t>Pipeline OT1</t>
  </si>
  <si>
    <t>Pipeline OH1</t>
  </si>
  <si>
    <t>Pipeline ROH1</t>
  </si>
  <si>
    <t>Pipeline OH2</t>
  </si>
  <si>
    <t>Pipeline OH3</t>
  </si>
  <si>
    <t>Pipeline OH4</t>
  </si>
  <si>
    <t>Pipeline OD1</t>
  </si>
  <si>
    <t>Pipeline ROD1</t>
  </si>
  <si>
    <t>Pipeline OD2</t>
  </si>
  <si>
    <t>Pipeline OD3</t>
  </si>
  <si>
    <t>Pipeline NZ1</t>
  </si>
  <si>
    <t>Pipeline NK1</t>
  </si>
  <si>
    <t>Pipeline NH2</t>
  </si>
  <si>
    <t>Pipeline LNZ1</t>
  </si>
  <si>
    <t>Pipeline LZ1</t>
  </si>
  <si>
    <t>Pipeline LZ2</t>
  </si>
  <si>
    <t>Pipeline LR1</t>
  </si>
  <si>
    <t>Pipeline DLR1</t>
  </si>
  <si>
    <t>Pipeline ELR1</t>
  </si>
  <si>
    <t>Pipeline GZ0</t>
  </si>
  <si>
    <t>Pipeline GZ0 Bis</t>
  </si>
  <si>
    <t>Pipeline GZ1</t>
  </si>
  <si>
    <t>Pipeline GZ2</t>
  </si>
  <si>
    <t>Pipeline RGZ2</t>
  </si>
  <si>
    <t>Pipeline GZ3</t>
  </si>
  <si>
    <t>Pipeline RGZ3-01</t>
  </si>
  <si>
    <t>Pipeline RGZ3-02</t>
  </si>
  <si>
    <t>Pipeline GZ4-01</t>
  </si>
  <si>
    <t>Pipeline GZ4-02</t>
  </si>
  <si>
    <t>Pipeline GZ4-03</t>
  </si>
  <si>
    <t>Pipeline GK1</t>
  </si>
  <si>
    <t>Pipeline GK2</t>
  </si>
  <si>
    <t>Pipeline GK3-01</t>
  </si>
  <si>
    <t>Pipeline GK3-02</t>
  </si>
  <si>
    <t>Pipeline GG1</t>
  </si>
  <si>
    <t>Pipeline RGG1</t>
  </si>
  <si>
    <t>Pipeline GM1</t>
  </si>
  <si>
    <t>Pipeline GR1</t>
  </si>
  <si>
    <t>Pipeline GR2</t>
  </si>
  <si>
    <t>Pipeline GR3</t>
  </si>
  <si>
    <t>Pipeline GR4</t>
  </si>
  <si>
    <t>Pipeline GR5</t>
  </si>
  <si>
    <t>Pipeline GR6</t>
  </si>
  <si>
    <t>Pipeline GR7</t>
  </si>
  <si>
    <t>Pipeline GPDF</t>
  </si>
  <si>
    <t>Pipeline EGPDF</t>
  </si>
  <si>
    <t>Pipeline GO1</t>
  </si>
  <si>
    <t>Pipeline GO2</t>
  </si>
  <si>
    <t>Pipeline GO3</t>
  </si>
  <si>
    <t>2003-08-18</t>
  </si>
  <si>
    <t>1972-01-01</t>
  </si>
  <si>
    <t>2005-07-04</t>
  </si>
  <si>
    <t>1960-01-01</t>
  </si>
  <si>
    <t>1982-01-01</t>
  </si>
  <si>
    <t>1977-03-23</t>
  </si>
  <si>
    <t>1972-04-10</t>
  </si>
  <si>
    <t>1999-01-01</t>
  </si>
  <si>
    <t>2006-01-01</t>
  </si>
  <si>
    <t>1978-11-01</t>
  </si>
  <si>
    <t>2009-08-04</t>
  </si>
  <si>
    <t>1984-02-08</t>
  </si>
  <si>
    <t>2010-11-01</t>
  </si>
  <si>
    <t>1996-01-01</t>
  </si>
  <si>
    <t>2004-10-04</t>
  </si>
  <si>
    <t>2014-01-01</t>
  </si>
  <si>
    <t>1976-01-01</t>
  </si>
  <si>
    <t>2022-09-01</t>
  </si>
  <si>
    <t>1989-01-01</t>
  </si>
  <si>
    <t>2018-01-01</t>
  </si>
  <si>
    <t>2010-04-16</t>
  </si>
  <si>
    <t>2021-01-01</t>
  </si>
  <si>
    <t>1971-01-01</t>
  </si>
  <si>
    <t>1978-01-01</t>
  </si>
  <si>
    <t>1998-01-01</t>
  </si>
  <si>
    <t>2001-01-01</t>
  </si>
  <si>
    <t>2012-01-01</t>
  </si>
  <si>
    <t>1987-01-01</t>
  </si>
  <si>
    <t>2008-01-01</t>
  </si>
  <si>
    <t>2010-01-01</t>
  </si>
  <si>
    <t>1981-01-01</t>
  </si>
  <si>
    <t>2019-01-01</t>
  </si>
  <si>
    <t>1986-01-01</t>
  </si>
  <si>
    <t>2017-01-01</t>
  </si>
  <si>
    <t>2017-06-01</t>
  </si>
  <si>
    <t>2019-12-01</t>
  </si>
  <si>
    <t>GZ4</t>
  </si>
  <si>
    <t>GK3</t>
  </si>
  <si>
    <t>Pipeline Code</t>
  </si>
  <si>
    <t>Full Name</t>
  </si>
  <si>
    <t>Description</t>
  </si>
  <si>
    <t>TD (Origin)</t>
  </si>
  <si>
    <t>TA (Destination)</t>
  </si>
  <si>
    <t>Installation Starting Date</t>
  </si>
  <si>
    <t>Commissioning Date</t>
  </si>
  <si>
    <t>Capacity/Notes</t>
  </si>
  <si>
    <t>HM-TG</t>
  </si>
  <si>
    <t>Hassi Messaoud - Touggourt Pipeline</t>
  </si>
  <si>
    <t>Provisional small-diameter oil pipeline</t>
  </si>
  <si>
    <t>Oil</t>
  </si>
  <si>
    <t>Small-bore feeder pipeline</t>
  </si>
  <si>
    <t>HM-BG</t>
  </si>
  <si>
    <t>Haoud el Hamra - Bougie Oil Pipeline (Main)</t>
  </si>
  <si>
    <t>Permanent main crude oil pipeline - 660 km</t>
  </si>
  <si>
    <t>Haoud el Hamra</t>
  </si>
  <si>
    <t>27-inch diameter, 600,000 t/month capacity</t>
  </si>
  <si>
    <t>IA-SK</t>
  </si>
  <si>
    <t>In Amenas - La Skhirra Pipeline (Tunisia)</t>
  </si>
  <si>
    <t>Export oil pipeline through Tunisia</t>
  </si>
  <si>
    <t>La Skhirra</t>
  </si>
  <si>
    <t>27-inch, 9.5 Mt/y initial capacity</t>
  </si>
  <si>
    <t>HM-AZ</t>
  </si>
  <si>
    <t>Hassi R'Mel - Arzew Gas Pipeline</t>
  </si>
  <si>
    <t>First gas pipeline to LNG terminal</t>
  </si>
  <si>
    <t>Gas</t>
  </si>
  <si>
    <t>Gas to Arzew GL4Z terminal</t>
  </si>
  <si>
    <t>ARZEW-LNG</t>
  </si>
  <si>
    <t>Arzew Liquefaction Terminal GL4Z</t>
  </si>
  <si>
    <t>First LNG export facility in Africa</t>
  </si>
  <si>
    <t>Export Port</t>
  </si>
  <si>
    <t>LNG</t>
  </si>
  <si>
    <t>Initial 1.3 BCM/y, expanded 1978, 1981, 2014</t>
  </si>
  <si>
    <t>SKIKDA-LNG</t>
  </si>
  <si>
    <t>Skikda Liquefaction Terminal</t>
  </si>
  <si>
    <t>Second LNG export facility</t>
  </si>
  <si>
    <t>Similar capacity to Arzew</t>
  </si>
  <si>
    <t>TRANSMED</t>
  </si>
  <si>
    <t>Trans-Mediterranean Gas Pipeline</t>
  </si>
  <si>
    <t>Algeria-Italy export pipeline via Tunisia</t>
  </si>
  <si>
    <t>1,190 km, 32 BCM/y capacity</t>
  </si>
  <si>
    <t>GH1-HM</t>
  </si>
  <si>
    <t>Ghardaia - Hassi Messaoud Pipeline 1</t>
  </si>
  <si>
    <t>Oil gathering line</t>
  </si>
  <si>
    <t>Central Sahara connection</t>
  </si>
  <si>
    <t>OZ0</t>
  </si>
  <si>
    <t>Oued Zour Pioneer Line</t>
  </si>
  <si>
    <t>Oil distribution main line</t>
  </si>
  <si>
    <t>Foundational network</t>
  </si>
  <si>
    <t>Oued Zour Pipeline 1</t>
  </si>
  <si>
    <t>Oil pipeline - Ouargla to Arzew</t>
  </si>
  <si>
    <t>42-inch main line</t>
  </si>
  <si>
    <t>Oued Zour Pipeline 2</t>
  </si>
  <si>
    <t>Oil pipeline - Laghouat to Arzew variant</t>
  </si>
  <si>
    <t>40-inch parallel expansion</t>
  </si>
  <si>
    <t>Ouargla-Kalfallah Pipeline</t>
  </si>
  <si>
    <t>Oil pipeline - Ouargla to distribution</t>
  </si>
  <si>
    <t>20-inch secondary line</t>
  </si>
  <si>
    <t>Ouargla-Berkine Pipeline</t>
  </si>
  <si>
    <t>Oil pipeline - Ouargla to Berkine</t>
  </si>
  <si>
    <t>24-inch, rehabilitated 2021</t>
  </si>
  <si>
    <t>Berkine-Ouargla Return Line 1</t>
  </si>
  <si>
    <t>Oil return pipeline</t>
  </si>
  <si>
    <t>SP1 Bis Djamaa</t>
  </si>
  <si>
    <t>16-inch return line 1</t>
  </si>
  <si>
    <t>Berkine-Ouargla Return Line 2</t>
  </si>
  <si>
    <t>16-inch return line 2</t>
  </si>
  <si>
    <t>Ouargla-Gassi Pipeline</t>
  </si>
  <si>
    <t>Oil pipeline - Ouargla to Gassi fields</t>
  </si>
  <si>
    <t>Beni Mensour</t>
  </si>
  <si>
    <t>20-inch feeder</t>
  </si>
  <si>
    <t>Ouargla-Tin Fouyé Pipeline</t>
  </si>
  <si>
    <t>Oil pipeline - Ouargla to Tin Fouyé</t>
  </si>
  <si>
    <t>Deb Deb</t>
  </si>
  <si>
    <t>18-inch field connection</t>
  </si>
  <si>
    <t>Ouargla-Ohanet Pipeline 1</t>
  </si>
  <si>
    <t>Oil pipeline - Ouargla to Ohanet</t>
  </si>
  <si>
    <t>30-inch main line</t>
  </si>
  <si>
    <t>Ohanet-Ouargla Return Pipeline</t>
  </si>
  <si>
    <t>Ohanet</t>
  </si>
  <si>
    <t>24-inch return line</t>
  </si>
  <si>
    <t>Ouargla-Ohanet Pipeline 2</t>
  </si>
  <si>
    <t>Oil pipeline - Secondary line</t>
  </si>
  <si>
    <t>Mesdar</t>
  </si>
  <si>
    <t>28-inch parallel</t>
  </si>
  <si>
    <t>Hassi Berkine-Haoudh el Hamra Oil Pipeline 1</t>
  </si>
  <si>
    <t>Oil pipeline - 15 mtpa capacity</t>
  </si>
  <si>
    <t>Hassi Berkine</t>
  </si>
  <si>
    <t>Expansion: ABB $70M contract</t>
  </si>
  <si>
    <t>Hassi Berkine-Haoudh el Hamra Oil Pipeline 2</t>
  </si>
  <si>
    <t>Oil pipeline - 15 mtpa capacity 2nd trunk</t>
  </si>
  <si>
    <t>Parallel expansion trunk</t>
  </si>
  <si>
    <t>Ouargla-Debdeb Pipeline 1</t>
  </si>
  <si>
    <t>Oil pipeline - Ouargla to Debdeb</t>
  </si>
  <si>
    <t>20-inch main</t>
  </si>
  <si>
    <t>Debdeb-Ouargla Return Pipeline</t>
  </si>
  <si>
    <t>PC1/PK137</t>
  </si>
  <si>
    <t>16-inch return</t>
  </si>
  <si>
    <t>Ouargla-Debdeb Pipeline 2</t>
  </si>
  <si>
    <t>Bir Rebaa North</t>
  </si>
  <si>
    <t>18-inch secondary</t>
  </si>
  <si>
    <t>Ouargla-Debdeb Pipeline 3</t>
  </si>
  <si>
    <t>Oil pipeline - Tertiary line</t>
  </si>
  <si>
    <t>Rhoude El Baguel</t>
  </si>
  <si>
    <t>16-inch tertiary</t>
  </si>
  <si>
    <t>North Zone Pipeline 1</t>
  </si>
  <si>
    <t>Gas pipeline - Northern fields</t>
  </si>
  <si>
    <t>24-inch trunk</t>
  </si>
  <si>
    <t>North Kalfallah Pipeline</t>
  </si>
  <si>
    <t>Gas pipeline - North to Kalfallah</t>
  </si>
  <si>
    <t>20-inch connection</t>
  </si>
  <si>
    <t>North Hassi Pipeline 2</t>
  </si>
  <si>
    <t>Gas pipeline - North section</t>
  </si>
  <si>
    <t>22-inch regional</t>
  </si>
  <si>
    <t>Laghouat-North Zone Pipeline 1</t>
  </si>
  <si>
    <t>Gas pipeline - Laghouat to North</t>
  </si>
  <si>
    <t>Laghouat Zone Pipeline 1</t>
  </si>
  <si>
    <t>Gas pipeline - Laghouat main line</t>
  </si>
  <si>
    <t>24-inch main trunk</t>
  </si>
  <si>
    <t>Laghouat Zone Pipeline 2</t>
  </si>
  <si>
    <t>Gas pipeline - Laghouat secondary</t>
  </si>
  <si>
    <t>20-inch secondary</t>
  </si>
  <si>
    <t>Laghouat-Reggane Pipeline 1</t>
  </si>
  <si>
    <t>Gas pipeline - Laghouat to Reggane</t>
  </si>
  <si>
    <t>Alrar</t>
  </si>
  <si>
    <t>24-inch southern link</t>
  </si>
  <si>
    <t>Debdeb-Laghouat-Reggane Pipeline</t>
  </si>
  <si>
    <t>Gas pipeline - Cross-regional</t>
  </si>
  <si>
    <t>Gassi Touil</t>
  </si>
  <si>
    <t>20-inch cross link</t>
  </si>
  <si>
    <t>Eastern Laghouat-Reggane Pipeline</t>
  </si>
  <si>
    <t>Gas pipeline - Eastern route</t>
  </si>
  <si>
    <t>22-inch eastern variant</t>
  </si>
  <si>
    <t>Gaz-Zero Pipeline Main</t>
  </si>
  <si>
    <t>Gas pipeline - Central main trunk</t>
  </si>
  <si>
    <t>24-inch main central</t>
  </si>
  <si>
    <t>Gaz-Zero Pipeline Bis</t>
  </si>
  <si>
    <t>Gas pipeline - Parallel main trunk</t>
  </si>
  <si>
    <t>24-inch parallel expansion</t>
  </si>
  <si>
    <t>Gaz Zone Pipeline 1</t>
  </si>
  <si>
    <t>Gas pipeline - Zone 1</t>
  </si>
  <si>
    <t>40-inch zone 1</t>
  </si>
  <si>
    <t>Gaz Zone Pipeline 2</t>
  </si>
  <si>
    <t>Gas pipeline - Zone 2</t>
  </si>
  <si>
    <t>40-inch zone 2</t>
  </si>
  <si>
    <t>Return Gaz Zone Pipeline 2</t>
  </si>
  <si>
    <t>Gas return pipeline - Zone 2</t>
  </si>
  <si>
    <t>20-inch return line</t>
  </si>
  <si>
    <t>Gaz Zone Pipeline 3</t>
  </si>
  <si>
    <t>Gas pipeline - Zone 3</t>
  </si>
  <si>
    <t>42-inch zone 3</t>
  </si>
  <si>
    <t>Return Gaz Zone Pipeline 3-01</t>
  </si>
  <si>
    <t>Gas return pipeline - Zone 3 line 1</t>
  </si>
  <si>
    <t>20-inch return 3-1</t>
  </si>
  <si>
    <t>Return Gaz Zone Pipeline 3-02</t>
  </si>
  <si>
    <t>Gas return pipeline - Zone 3 line 2</t>
  </si>
  <si>
    <t>20-inch return 3-2</t>
  </si>
  <si>
    <t>Gaz Zone Pipeline 4-01</t>
  </si>
  <si>
    <t>Gas pipeline - Zone 4 line 1</t>
  </si>
  <si>
    <t>36-inch zone 4-1</t>
  </si>
  <si>
    <t>Gaz Zone Pipeline 4-02</t>
  </si>
  <si>
    <t>Gas pipeline - Zone 4 line 2</t>
  </si>
  <si>
    <t>36-inch zone 4-2</t>
  </si>
  <si>
    <t>Gaz Zone Pipeline 4-03</t>
  </si>
  <si>
    <t>Gas pipeline - Zone 4 line 3</t>
  </si>
  <si>
    <t>32-inch zone 4-3</t>
  </si>
  <si>
    <t>Gaz-Kalfallah Pipeline 1</t>
  </si>
  <si>
    <t>Gas pipeline - To Kalfallah</t>
  </si>
  <si>
    <t>40-inch main</t>
  </si>
  <si>
    <t>Gaz-Kalfallah Pipeline 2</t>
  </si>
  <si>
    <t>Gas pipeline - Kalfallah secondary</t>
  </si>
  <si>
    <t>32-inch secondary</t>
  </si>
  <si>
    <t>Gaz-Kalfallah-3 Line 1</t>
  </si>
  <si>
    <t>Gas pipeline - Kalfallah connection 1</t>
  </si>
  <si>
    <t>28-inch connection 1</t>
  </si>
  <si>
    <t>Gaz-Kalfallah-3 Line 2</t>
  </si>
  <si>
    <t>Gas pipeline - Kalfallah connection 2</t>
  </si>
  <si>
    <t>28-inch connection 2</t>
  </si>
  <si>
    <t>Gaz-Gassi Pipeline 1</t>
  </si>
  <si>
    <t>Gas pipeline - Gassi fields to distribution</t>
  </si>
  <si>
    <t>42-inch main</t>
  </si>
  <si>
    <t>Return Gaz-Gassi Pipeline 1</t>
  </si>
  <si>
    <t>Gas return pipeline - Gassi fields</t>
  </si>
  <si>
    <t>Bord Menaiel</t>
  </si>
  <si>
    <t>24-inch return</t>
  </si>
  <si>
    <t>Gaz-Mediterranean Pipeline 1</t>
  </si>
  <si>
    <t>Gas pipeline - Mediterranean export</t>
  </si>
  <si>
    <t>Mediterranean trunk</t>
  </si>
  <si>
    <t>Gaz-Reggane Pipeline 1</t>
  </si>
  <si>
    <t>Gas pipeline - Main Reggane (988 km)</t>
  </si>
  <si>
    <t>32-inch main trunk, 7.5 BCM/y</t>
  </si>
  <si>
    <t>Gaz-Reggane Pipeline 2</t>
  </si>
  <si>
    <t>Gas pipeline - Reggane secondary</t>
  </si>
  <si>
    <t>28-inch secondary</t>
  </si>
  <si>
    <t>Gaz-Reggane Pipeline 3</t>
  </si>
  <si>
    <t>Gas pipeline - Reggane tertiary</t>
  </si>
  <si>
    <t>26-inch tertiary</t>
  </si>
  <si>
    <t>Gaz-Reggane Pipeline 4</t>
  </si>
  <si>
    <t>Gas pipeline - Reggane quaternary</t>
  </si>
  <si>
    <t>Rhoude Nouss</t>
  </si>
  <si>
    <t>24-inch quaternary</t>
  </si>
  <si>
    <t>Gaz-Reggane Pipeline 5 (Reggane-Hassi R'Mel)</t>
  </si>
  <si>
    <t>Gas pipeline - 760 km, 48-inch main expansion</t>
  </si>
  <si>
    <t>Major expansion: Inaugurated Feb 8, 2018</t>
  </si>
  <si>
    <t>Gaz-Reggane Pipeline 6</t>
  </si>
  <si>
    <t>Gas pipeline - Reggane senary</t>
  </si>
  <si>
    <t>22-inch senary</t>
  </si>
  <si>
    <t>Gaz-Reggane Pipeline 7</t>
  </si>
  <si>
    <t>Gas pipeline - Reggane septenary</t>
  </si>
  <si>
    <t>Hassi tedjirane</t>
  </si>
  <si>
    <t>20-inch septenary</t>
  </si>
  <si>
    <t>Gaz Pipeline Deutschland Frankreich</t>
  </si>
  <si>
    <t>Gas pipeline - Germany-France export</t>
  </si>
  <si>
    <t>Al Aricha</t>
  </si>
  <si>
    <t>Extended EU connection</t>
  </si>
  <si>
    <t>Extended Gaz Pipeline Deutsch Frankreich</t>
  </si>
  <si>
    <t>Gas pipeline - Extended EU route</t>
  </si>
  <si>
    <t>Further EU expansion</t>
  </si>
  <si>
    <t>Gaz-Ouargla Pipeline 1</t>
  </si>
  <si>
    <t>Gas pipeline - To Ouargla domestic</t>
  </si>
  <si>
    <t>Oued Saf Saf</t>
  </si>
  <si>
    <t>24-inch main</t>
  </si>
  <si>
    <t>Gaz-Ouargla Pipeline 2</t>
  </si>
  <si>
    <t>Gas pipeline - Ouargla secondary</t>
  </si>
  <si>
    <t>Gaz-Ouargla Pipeline 3</t>
  </si>
  <si>
    <t>Gas pipeline - Ouargla tertiary</t>
  </si>
  <si>
    <t>18-inch tertiary</t>
  </si>
  <si>
    <t>Vendor</t>
  </si>
  <si>
    <t>Ain El Bia 1</t>
  </si>
  <si>
    <t>Ain El Bia 2</t>
  </si>
  <si>
    <t>Ain Tsila</t>
  </si>
  <si>
    <t>Al Atteuf</t>
  </si>
  <si>
    <t>Berkine</t>
  </si>
  <si>
    <t>Bourmadia</t>
  </si>
  <si>
    <t>Djebila</t>
  </si>
  <si>
    <t>El Merk</t>
  </si>
  <si>
    <t>Faïdja</t>
  </si>
  <si>
    <t>Ferme Omar Driss</t>
  </si>
  <si>
    <t>Flifla</t>
  </si>
  <si>
    <t>Haoud El Hamra</t>
  </si>
  <si>
    <t>Kenanda</t>
  </si>
  <si>
    <t>Krechba</t>
  </si>
  <si>
    <t>Mechtatine</t>
  </si>
  <si>
    <t>Medarreg1</t>
  </si>
  <si>
    <t>Medarreg2</t>
  </si>
  <si>
    <t>Medarreg3</t>
  </si>
  <si>
    <t>Mederba</t>
  </si>
  <si>
    <t>Mers El Hadjadj</t>
  </si>
  <si>
    <t>Milok1</t>
  </si>
  <si>
    <t>Milok2</t>
  </si>
  <si>
    <t>Mohgoun plateau1</t>
  </si>
  <si>
    <t>Mohgoun plateau2</t>
  </si>
  <si>
    <t>Ouargla1</t>
  </si>
  <si>
    <t>Ouargla2</t>
  </si>
  <si>
    <t>Ourhoud</t>
  </si>
  <si>
    <t>Rhourde Nouss</t>
  </si>
  <si>
    <t>Selga/El Outaya</t>
  </si>
  <si>
    <t>Sidi Arcine</t>
  </si>
  <si>
    <t>Timzhert 1</t>
  </si>
  <si>
    <t>Timzhert 2</t>
  </si>
  <si>
    <t>Timzhert 3</t>
  </si>
  <si>
    <t>Tin-Fouyé 1</t>
  </si>
  <si>
    <t>Tin-Fouyé 2</t>
  </si>
  <si>
    <t>Zaaroura</t>
  </si>
  <si>
    <t>Zina</t>
  </si>
  <si>
    <t>Zmelat El Arbi</t>
  </si>
  <si>
    <t>Djamaa1</t>
  </si>
  <si>
    <t>Djamaa2</t>
  </si>
  <si>
    <t>System</t>
  </si>
  <si>
    <t>F_10</t>
  </si>
  <si>
    <t>F_11</t>
  </si>
  <si>
    <t>Product</t>
  </si>
  <si>
    <t>OZ1/OZ2</t>
  </si>
  <si>
    <t>STC OZ1/OZ2</t>
  </si>
  <si>
    <t>STC OK1</t>
  </si>
  <si>
    <t>OB1/OG1</t>
  </si>
  <si>
    <t>STC OB1/OG1</t>
  </si>
  <si>
    <t>STC OT1</t>
  </si>
  <si>
    <t>STC OH1</t>
  </si>
  <si>
    <t>OD1/OD3/OH2</t>
  </si>
  <si>
    <t>STC OD1/OD3/OH2</t>
  </si>
  <si>
    <t>OH3/OH4</t>
  </si>
  <si>
    <t>STC OH3/OH4</t>
  </si>
  <si>
    <t>STC NZ1</t>
  </si>
  <si>
    <t>STC NK1</t>
  </si>
  <si>
    <t>STC NH2</t>
  </si>
  <si>
    <t>LZ1/LZ2</t>
  </si>
  <si>
    <t>STC LZ1/LZ2</t>
  </si>
  <si>
    <t>LR1/DLR1/ELR1</t>
  </si>
  <si>
    <t>STC LR1/DLR1/ELR1</t>
  </si>
  <si>
    <t>STC GZ0</t>
  </si>
  <si>
    <t>GZ1/GZ2/GZ3</t>
  </si>
  <si>
    <t>STC GZ1/GZ2/GZ3</t>
  </si>
  <si>
    <t>STC GZ4</t>
  </si>
  <si>
    <t>STC GPDF</t>
  </si>
  <si>
    <t>GK1/GK2</t>
  </si>
  <si>
    <t>STC GK1/GK2</t>
  </si>
  <si>
    <t>STC GK3</t>
  </si>
  <si>
    <t>GO1/GO2/GO3</t>
  </si>
  <si>
    <t>STC GO1/GO2/GO3</t>
  </si>
  <si>
    <t>STC GG1</t>
  </si>
  <si>
    <t>GR1/GR2/GR4/GR6</t>
  </si>
  <si>
    <t>STC GR1/GR2/GR4/GR6</t>
  </si>
  <si>
    <t>STC GR5/GR7</t>
  </si>
  <si>
    <t>GR5/GR7</t>
  </si>
  <si>
    <t>Capacity</t>
  </si>
  <si>
    <t>F_12</t>
  </si>
  <si>
    <t>Plant</t>
  </si>
  <si>
    <t>Diameter</t>
  </si>
  <si>
    <t>Length</t>
  </si>
  <si>
    <t>Thickness</t>
  </si>
  <si>
    <t>Roughness</t>
  </si>
  <si>
    <t>DMaxSP</t>
  </si>
  <si>
    <t>OMaxSP</t>
  </si>
  <si>
    <t>DMinSP</t>
  </si>
  <si>
    <t>OMinSP</t>
  </si>
  <si>
    <t>DCapacity</t>
  </si>
  <si>
    <t>OCapacity</t>
  </si>
  <si>
    <t>Material</t>
  </si>
  <si>
    <t>ECoating</t>
  </si>
  <si>
    <t>ICoating</t>
  </si>
  <si>
    <t>Departure</t>
  </si>
  <si>
    <t>Arrival</t>
  </si>
  <si>
    <t>F_13</t>
  </si>
  <si>
    <t>F_14</t>
  </si>
  <si>
    <t>F_15</t>
  </si>
  <si>
    <t>F_16</t>
  </si>
  <si>
    <t>F_17</t>
  </si>
  <si>
    <t>F_18</t>
  </si>
  <si>
    <t>F_19</t>
  </si>
  <si>
    <t>F_20</t>
  </si>
  <si>
    <t>F_21</t>
  </si>
  <si>
    <t>F_22</t>
  </si>
  <si>
    <t>F_23</t>
  </si>
  <si>
    <t>F_24</t>
  </si>
  <si>
    <t>SQL Insert Request</t>
  </si>
  <si>
    <t>INSERT INTO T_02_03_07 (F_00, F_01, F_02, F_03, F_04, F_05) VALUES</t>
  </si>
  <si>
    <t>INSERT INTO T_02_03_01 (F_00, F_01, F_02, F_03, F_04, F_05, F_06, F_07) VALUES</t>
  </si>
  <si>
    <t>INSERT INTO T_02_03_02 (F_00, F_08, F_09) VALUES</t>
  </si>
  <si>
    <t>INSERT INTO T_02_03_05 (F_00, F_10, F_11) VALUES</t>
  </si>
  <si>
    <t>INSERT INTO T_02_03_04 (F_00, F_10) VALUES</t>
  </si>
  <si>
    <t>INSERT INTO T_02_03_03 (F_00, F_10, F_11) VALUES</t>
  </si>
  <si>
    <t>INSERT INTO T_02_03_06 (F_00, F_10, F_11, F_12) VALUES</t>
  </si>
  <si>
    <t>INSERT INTO T_02_02_05 (F_00, F_01, F_02, F_03, F_04) VALUES</t>
  </si>
  <si>
    <t>INSERT INTO T_02_02_04 (F_00, F_01, F_02, F_03, F_04) VALUES</t>
  </si>
  <si>
    <t>INSERT INTO T_02_02_03 (F_00, F_01, F_02, F_03, F_04, F_05, F_06, F_07) VALUES</t>
  </si>
  <si>
    <t>INSERT INTO T_02_02_02 (F_00, F_01, F_02, F_03, F_04, F_05, F_06, F_07) VALUES</t>
  </si>
  <si>
    <t>INSERT INTO T_02_02_01 (F_00, F_01, F_02, F_03, F_04, F_05, F_06, F_07, F_08, F_09) VALUES</t>
  </si>
  <si>
    <t>INSERT INTO T_02_01_08 (F_00) VALUES</t>
  </si>
  <si>
    <t>INSERT INTO T_02_01_07 (F_00) VALUES</t>
  </si>
  <si>
    <t>INSERT INTO T_02_01_06 (F_00) VALUES</t>
  </si>
  <si>
    <t>INSERT INTO T_02_01_05 (F_00) VALUES</t>
  </si>
  <si>
    <t>INSERT INTO T_02_01_04 (F_00, F_01, F_02, F_03, F_04) VALUES</t>
  </si>
  <si>
    <t>INSERT INTO T_02_01_03 (F_00) VALUES</t>
  </si>
  <si>
    <t>INSERT INTO T_02_01_02 (F_00) VALUES</t>
  </si>
  <si>
    <t>INSERT INTO T_01_03_01 (F_00, F_01, F_02, F_03, F_04, F_05, F_06) VALUES</t>
  </si>
  <si>
    <t>INSERT INTO T_01_02_06 (F_00, F_01, F_02, F_03, F_04, F_05, F_06) VALUES</t>
  </si>
  <si>
    <t>INSERT INTO T_01_02_05 (F_00, F_01, F_02, F_03, F_04, F_05) VALUES</t>
  </si>
  <si>
    <t>INSERT INTO T_01_02_04 (F_00, F_01, F_02, F_03, F_04, F_05) VALUES</t>
  </si>
  <si>
    <t>INSERT INTO T_01_02_03 (F_00, F_01, F_02, F_03, F_04) VALUES</t>
  </si>
  <si>
    <t>INSERT INTO T_01_02_02 (F_00, F_01, F_02, F_03, F_04) VALUES</t>
  </si>
  <si>
    <t>INSERT INTO T_01_02_01 (F_00, F_01, F_02, F_03, F_04) VALUES</t>
  </si>
  <si>
    <t>INSERT INTO T_01_01_01 (F_00, F_01, F_02, F_03) VALUES</t>
  </si>
  <si>
    <t>801.478</t>
  </si>
  <si>
    <t>6.35 / 7.14 / 7.92 / 8.74 / 9.52 /  11.91 / 12.70</t>
  </si>
  <si>
    <t>X52</t>
  </si>
  <si>
    <t>Brai de huile</t>
  </si>
  <si>
    <t>CJB / BECHTEL</t>
  </si>
  <si>
    <t>7.92 - 17.48</t>
  </si>
  <si>
    <t>X60</t>
  </si>
  <si>
    <t>Polyéthylène</t>
  </si>
  <si>
    <t>Stroystransgas
Cosider
Saipem/Spie-Capag</t>
  </si>
  <si>
    <t>7,92 / 8,74 / 9,52 / 10,31 / 11,13 / 11,91 / 12,70 / 14,27 / 15,88 / 17,48 / 22,22</t>
  </si>
  <si>
    <t>X52 / X60</t>
  </si>
  <si>
    <t>Brai de houille et 
Polyéthylène</t>
  </si>
  <si>
    <t>SOCEA-GRESS</t>
  </si>
  <si>
    <t>Date</t>
  </si>
  <si>
    <t>2,7 / 9,52 / 9,0 / 8,73 / 7,92 / 7,13 / 6,35</t>
  </si>
  <si>
    <t>X42 et X52</t>
  </si>
  <si>
    <t>Brai de houille et Polyéthylène</t>
  </si>
  <si>
    <t>TRAPIL</t>
  </si>
  <si>
    <t>11.4</t>
  </si>
  <si>
    <t>8,74 / 9,53 / 11,3 / 12,7</t>
  </si>
  <si>
    <t>12,7 / 11,13 / 9,53 / 7,9</t>
  </si>
  <si>
    <t>PEHD Tri couche</t>
  </si>
  <si>
    <t>’ ROB1-RE-L-SG-DET-000002</t>
  </si>
  <si>
    <t>144.74</t>
  </si>
  <si>
    <t>8,74 / 10,31</t>
  </si>
  <si>
    <t>BRC / GTP</t>
  </si>
  <si>
    <t>Beni Mansour</t>
  </si>
  <si>
    <t>DEB DEB</t>
  </si>
  <si>
    <t>BECHETEL</t>
  </si>
  <si>
    <t>Résine Epoxyde</t>
  </si>
  <si>
    <t>brai de houille</t>
  </si>
  <si>
    <t>13.9</t>
  </si>
  <si>
    <t>7.8</t>
  </si>
  <si>
    <t>7,94 / 8,74 / 10,31</t>
  </si>
  <si>
    <t>7,14 / 7,92</t>
  </si>
  <si>
    <t>1.4</t>
  </si>
  <si>
    <t>8.9</t>
  </si>
  <si>
    <t>Brai de houille</t>
  </si>
  <si>
    <t>SAIPEM / MANNESSMAN</t>
  </si>
  <si>
    <t>44.5</t>
  </si>
  <si>
    <t>10.31</t>
  </si>
  <si>
    <t>Polyéthylène tri couches</t>
  </si>
  <si>
    <t>TFT</t>
  </si>
  <si>
    <t>/</t>
  </si>
  <si>
    <t>CJB / SH-DTC / GT</t>
  </si>
  <si>
    <t>RTH</t>
  </si>
  <si>
    <t>MESDAR</t>
  </si>
  <si>
    <t>EL BORMA</t>
  </si>
  <si>
    <t xml:space="preserve"> OD1/OD3/OH2</t>
  </si>
  <si>
    <t>INSERT INTO T_02_01_09 (F_00, F_01, F_02, F_03, F_04) VALUES</t>
  </si>
  <si>
    <t>Rhourde El Baguel</t>
  </si>
  <si>
    <t>SOCEA GRESS</t>
  </si>
  <si>
    <t>10,31 - 12,7</t>
  </si>
  <si>
    <t>Polyethylene</t>
  </si>
  <si>
    <t>Group Members has all permissions on data belongs to system component</t>
  </si>
  <si>
    <t>System Administrators</t>
  </si>
  <si>
    <t>Group Members has all permissions on data belongs to business component</t>
  </si>
  <si>
    <t>Business Administrators</t>
  </si>
  <si>
    <t>Group Members has all permissions on data belongs to common component</t>
  </si>
  <si>
    <t>Common Administrators</t>
  </si>
  <si>
    <t>Group Members has all permissions on data belongs to network component</t>
  </si>
  <si>
    <t>Network Administrators</t>
  </si>
  <si>
    <t>Group Members has read permission on data belongs to system component</t>
  </si>
  <si>
    <t>System Users</t>
  </si>
  <si>
    <t>Group Members has read permission on data belongs to business component</t>
  </si>
  <si>
    <t>Business Users</t>
  </si>
  <si>
    <t>Group Members has read permission on data belongs to common component</t>
  </si>
  <si>
    <t>Common Users</t>
  </si>
  <si>
    <t>Group Members has read permission on data belongs to network component</t>
  </si>
  <si>
    <t>Network Users</t>
  </si>
  <si>
    <t>superadmin@iaas.dz</t>
  </si>
  <si>
    <t>$2a$12$Qb3ip1Xu8b1RzshlRkDExO7RzvZ5ZxKD3O3k7zZ0365Li/Qkip6Om</t>
  </si>
  <si>
    <t>superadmin</t>
  </si>
  <si>
    <t>admin@iaas.dz</t>
  </si>
  <si>
    <t>$2a$12$8zK8mN5pQ2rT7vW3xY4uZ0aB1cD2eF3gH4iJ5kL6mN7oP8qR9sT0</t>
  </si>
  <si>
    <t>admin</t>
  </si>
  <si>
    <t>business.manager@iaas.dz</t>
  </si>
  <si>
    <t>$2a$10$N9qo8uLOickgx2ZMRZoMyeIjZAgcfl7p92ldGxad68LJZdL17lhWy</t>
  </si>
  <si>
    <t>business.manager</t>
  </si>
  <si>
    <t>common.manager@iaas.dz</t>
  </si>
  <si>
    <t>common.manager</t>
  </si>
  <si>
    <t>network.manager@iaas.dz</t>
  </si>
  <si>
    <t>network.manager</t>
  </si>
  <si>
    <t>manager@iaas.dz</t>
  </si>
  <si>
    <t>manager</t>
  </si>
  <si>
    <t>officer1@iaas.dz</t>
  </si>
  <si>
    <t>procurement.officer1</t>
  </si>
  <si>
    <t>officer2@iaas.dz</t>
  </si>
  <si>
    <t>procurement.officer2</t>
  </si>
  <si>
    <t>officer3@iaas.dz</t>
  </si>
  <si>
    <t>procurement.officer3</t>
  </si>
  <si>
    <t>contract.officer@iaas.dz</t>
  </si>
  <si>
    <t>contract.officer</t>
  </si>
  <si>
    <t>auditor@iaas.dz</t>
  </si>
  <si>
    <t>auditor</t>
  </si>
  <si>
    <t>analyst@iaas.dz</t>
  </si>
  <si>
    <t>analyst</t>
  </si>
  <si>
    <t>approver@iaas.dz</t>
  </si>
  <si>
    <t>approver</t>
  </si>
  <si>
    <t>viewer@iaas.dz</t>
  </si>
  <si>
    <t>viewer</t>
  </si>
  <si>
    <t>disabled@iaas.dz</t>
  </si>
  <si>
    <t>disabled.user</t>
  </si>
  <si>
    <t>locked@iaas.dz</t>
  </si>
  <si>
    <t>locked.user</t>
  </si>
  <si>
    <t>ANE</t>
  </si>
  <si>
    <t>ANL</t>
  </si>
  <si>
    <t>CNE</t>
  </si>
  <si>
    <t>ENB</t>
  </si>
  <si>
    <t>Employee</t>
  </si>
  <si>
    <t>Password</t>
  </si>
  <si>
    <t>Security-2020</t>
  </si>
  <si>
    <t>Manage system security data</t>
  </si>
  <si>
    <t>Manage system audit data</t>
  </si>
  <si>
    <t>Manage network type data</t>
  </si>
  <si>
    <t>Manage network common data</t>
  </si>
  <si>
    <t>Manage network core data</t>
  </si>
  <si>
    <t>Manage general Type</t>
  </si>
  <si>
    <t>Manage general localization</t>
  </si>
  <si>
    <t>Manage general organization</t>
  </si>
  <si>
    <t>GROUP</t>
  </si>
  <si>
    <t>USER</t>
  </si>
  <si>
    <t>ROLE</t>
  </si>
  <si>
    <t>PERMISSION</t>
  </si>
  <si>
    <t>AUTHORITY</t>
  </si>
  <si>
    <t>AUDIT</t>
  </si>
  <si>
    <t>DOCUMENT</t>
  </si>
  <si>
    <t>COUNTRY</t>
  </si>
  <si>
    <t>STATE</t>
  </si>
  <si>
    <t>LOCALITY</t>
  </si>
  <si>
    <t>STRUCTURE_TYPE</t>
  </si>
  <si>
    <t>STRUCTURE</t>
  </si>
  <si>
    <t>JOB</t>
  </si>
  <si>
    <t>PERSON</t>
  </si>
  <si>
    <t>EMPLOYEE</t>
  </si>
  <si>
    <t>COMPANY_TYPE</t>
  </si>
  <si>
    <t>PARTNER_TYPE</t>
  </si>
  <si>
    <t>VENDOR_TYPE</t>
  </si>
  <si>
    <t>FACILITY_TYPE</t>
  </si>
  <si>
    <t>STATION_TYPE</t>
  </si>
  <si>
    <t>TERMINAL_TYPE</t>
  </si>
  <si>
    <t>EQUIPMENT_TYPE</t>
  </si>
  <si>
    <t>ZONE</t>
  </si>
  <si>
    <t>LOCATION</t>
  </si>
  <si>
    <t>PRODUCT</t>
  </si>
  <si>
    <t>OPERATIONAL_STATUS</t>
  </si>
  <si>
    <t>ALLOY</t>
  </si>
  <si>
    <t>PARTNER</t>
  </si>
  <si>
    <t>VENDOR</t>
  </si>
  <si>
    <t>INFRASTRUCTURE</t>
  </si>
  <si>
    <t>FACILITY</t>
  </si>
  <si>
    <t>PIPELINE_SYSTEM</t>
  </si>
  <si>
    <t>PIPELINE</t>
  </si>
  <si>
    <t>PIPELINE_SEGMENT</t>
  </si>
  <si>
    <t>STATION</t>
  </si>
  <si>
    <t>TERMINAL</t>
  </si>
  <si>
    <t>EQUIPMENT</t>
  </si>
  <si>
    <t>READ</t>
  </si>
  <si>
    <t>Resource</t>
  </si>
  <si>
    <t>Cction</t>
  </si>
  <si>
    <t>Mail</t>
  </si>
  <si>
    <t>Username</t>
  </si>
  <si>
    <t>DISTRICT</t>
  </si>
  <si>
    <t>PROCESSING_PLANT_TYPE</t>
  </si>
  <si>
    <t>PRODUCTION_FIELD_TYPE</t>
  </si>
  <si>
    <t>PROCESSING_PLANT</t>
  </si>
  <si>
    <t>PRODUCTION_FIELD</t>
  </si>
  <si>
    <t>F 01</t>
  </si>
  <si>
    <t>System Management</t>
  </si>
  <si>
    <t>SYSTEM</t>
  </si>
  <si>
    <t>Core system operations and configuration</t>
  </si>
  <si>
    <t>User Management</t>
  </si>
  <si>
    <t>User account and profile management</t>
  </si>
  <si>
    <t>Role Management</t>
  </si>
  <si>
    <t>Role definitions and assignments</t>
  </si>
  <si>
    <t>Permission Management</t>
  </si>
  <si>
    <t>Permission and access control</t>
  </si>
  <si>
    <t>Group Management</t>
  </si>
  <si>
    <t>User group organization</t>
  </si>
  <si>
    <t>Authority Management</t>
  </si>
  <si>
    <t>Authority category management</t>
  </si>
  <si>
    <t>Audit Management</t>
  </si>
  <si>
    <t>System audit logging and tracking</t>
  </si>
  <si>
    <t>Authentication</t>
  </si>
  <si>
    <t>AUTH</t>
  </si>
  <si>
    <t>Authentication and session management</t>
  </si>
  <si>
    <t>Configuration</t>
  </si>
  <si>
    <t>CONFIG</t>
  </si>
  <si>
    <t>System configuration settings</t>
  </si>
  <si>
    <t>System Utility</t>
  </si>
  <si>
    <t>UTILITY</t>
  </si>
  <si>
    <t>System utilities and tools</t>
  </si>
  <si>
    <t>Administration</t>
  </si>
  <si>
    <t>ADMINISTRATION</t>
  </si>
  <si>
    <t>Administrative operations</t>
  </si>
  <si>
    <t>Communication</t>
  </si>
  <si>
    <t>COMMUNICATION</t>
  </si>
  <si>
    <t>Messaging and notifications</t>
  </si>
  <si>
    <t>Document Management</t>
  </si>
  <si>
    <t>Document handling and archiving</t>
  </si>
  <si>
    <t>Environment Data</t>
  </si>
  <si>
    <t>ENVIRONMENT</t>
  </si>
  <si>
    <t>Geographic and location data</t>
  </si>
  <si>
    <t>Network Management</t>
  </si>
  <si>
    <t>NETWORK</t>
  </si>
  <si>
    <t>Network infrastructure management</t>
  </si>
  <si>
    <t>IT Infrastructure</t>
  </si>
  <si>
    <t>IT infrastructure and services</t>
  </si>
  <si>
    <t>Reporting &amp; Analytics</t>
  </si>
  <si>
    <t>REPORT</t>
  </si>
  <si>
    <t>Reports, dashboards, and analytics</t>
  </si>
  <si>
    <t>Workflow Engine</t>
  </si>
  <si>
    <t>WORKFLOW</t>
  </si>
  <si>
    <t>Business process workflows</t>
  </si>
  <si>
    <t>System Integration</t>
  </si>
  <si>
    <t>INTEGRATION</t>
  </si>
  <si>
    <t>External system integrations</t>
  </si>
  <si>
    <t>INSERT INTO T_00_02_05 (F_00, F_01, F_02, F_03) VALUES</t>
  </si>
  <si>
    <t>INSERT INTO T_00_02_01 (F_00, F_01, F_02) VALUES</t>
  </si>
  <si>
    <t>INSERT INTO T_00_02_02 (F_00, F_01, F_02, F_03, F_04, F_05, F_06, F_07, F_08) VALUES</t>
  </si>
  <si>
    <t>INSERT INTO T_00_02_03 (F_00, F_01, F_02) VALUES</t>
  </si>
  <si>
    <t>Hassi R\'mel</t>
  </si>
  <si>
    <t>Oued M\'zi</t>
  </si>
  <si>
    <t>Ain M\'lila</t>
  </si>
  <si>
    <t>Ait R\'zine</t>
  </si>
  <si>
    <t>Tizi-N\'berber</t>
  </si>
  <si>
    <t>Beni K\'sila</t>
  </si>
  <si>
    <t>M\'cisna</t>
  </si>
  <si>
    <t>M\'chouneche</t>
  </si>
  <si>
    <t>M\'lili</t>
  </si>
  <si>
    <t>Z\'barbar (El Isseri )</t>
  </si>
  <si>
    <t>Marsa Ben M\'hidi</t>
  </si>
  <si>
    <t>M\'sirda Fouaga</t>
  </si>
  <si>
    <t>M\'kira</t>
  </si>
  <si>
    <t>Tizi N\'tleta</t>
  </si>
  <si>
    <t>Sidi M\'hamed</t>
  </si>
  <si>
    <t>M\'liliha</t>
  </si>
  <si>
    <t>Bordj T\'har</t>
  </si>
  <si>
    <t>Tizi N\'bechar</t>
  </si>
  <si>
    <t>M\'cid</t>
  </si>
  <si>
    <t>Hammam N\'bail</t>
  </si>
  <si>
    <t>M\'fatha</t>
  </si>
  <si>
    <t>M\'sila</t>
  </si>
  <si>
    <t>M\'tarfa</t>
  </si>
  <si>
    <t>M\'cif</t>
  </si>
  <si>
    <t>N\'goussa</t>
  </si>
  <si>
    <t>El M\'hir</t>
  </si>
  <si>
    <t>M\'toussa</t>
  </si>
  <si>
    <t>M\'sara</t>
  </si>
  <si>
    <t>M\'daourouche</t>
  </si>
  <si>
    <t>El H\'madna</t>
  </si>
  <si>
    <t>Sidi M\'hamed Benali</t>
  </si>
  <si>
    <t>Sidi M\'hamed Benaouda</t>
  </si>
  <si>
    <t>M\'naguer</t>
  </si>
  <si>
    <t>El-M\'ghaier</t>
  </si>
  <si>
    <t>M\'rara</t>
  </si>
  <si>
    <t>M\'seka1</t>
  </si>
  <si>
    <t>M\'seka2</t>
  </si>
  <si>
    <t>M\'seka3</t>
  </si>
  <si>
    <t>M\'Sila</t>
  </si>
  <si>
    <t>N\'Gaous</t>
  </si>
  <si>
    <t>34*833</t>
  </si>
  <si>
    <t>35*807</t>
  </si>
  <si>
    <t>-0*343</t>
  </si>
  <si>
    <t>35*835</t>
  </si>
  <si>
    <t>-0*238</t>
  </si>
  <si>
    <t>34*686</t>
  </si>
  <si>
    <t>6*094</t>
  </si>
  <si>
    <t>27*2</t>
  </si>
  <si>
    <t>10*5</t>
  </si>
  <si>
    <t>33*82</t>
  </si>
  <si>
    <t>1*9</t>
  </si>
  <si>
    <t>32*478</t>
  </si>
  <si>
    <t>3*748</t>
  </si>
  <si>
    <t>36*45</t>
  </si>
  <si>
    <t>3*2</t>
  </si>
  <si>
    <t>35*4</t>
  </si>
  <si>
    <t>0*45</t>
  </si>
  <si>
    <t>35*862</t>
  </si>
  <si>
    <t>-0*345</t>
  </si>
  <si>
    <t>36*751</t>
  </si>
  <si>
    <t>5*059</t>
  </si>
  <si>
    <t>36*336</t>
  </si>
  <si>
    <t>4*356</t>
  </si>
  <si>
    <t>33*45</t>
  </si>
  <si>
    <t>2*45</t>
  </si>
  <si>
    <t>35*301</t>
  </si>
  <si>
    <t>-1*382</t>
  </si>
  <si>
    <t>26*418</t>
  </si>
  <si>
    <t>9*08</t>
  </si>
  <si>
    <t>35*805</t>
  </si>
  <si>
    <t>-0*241</t>
  </si>
  <si>
    <t>31*85</t>
  </si>
  <si>
    <t>5*973</t>
  </si>
  <si>
    <t>36*38</t>
  </si>
  <si>
    <t>3*8</t>
  </si>
  <si>
    <t>35*732</t>
  </si>
  <si>
    <t>0*613</t>
  </si>
  <si>
    <t>34*5</t>
  </si>
  <si>
    <t>5*25</t>
  </si>
  <si>
    <t>29*968</t>
  </si>
  <si>
    <t>9*424</t>
  </si>
  <si>
    <t>33*933</t>
  </si>
  <si>
    <t>5*93</t>
  </si>
  <si>
    <t>33*52</t>
  </si>
  <si>
    <t>2*85</t>
  </si>
  <si>
    <t>35*372</t>
  </si>
  <si>
    <t>1*325</t>
  </si>
  <si>
    <t>31*006</t>
  </si>
  <si>
    <t>8*134</t>
  </si>
  <si>
    <t>35*193</t>
  </si>
  <si>
    <t>1*706</t>
  </si>
  <si>
    <t>35*034</t>
  </si>
  <si>
    <t>5*595</t>
  </si>
  <si>
    <t>36*877</t>
  </si>
  <si>
    <t>6*906</t>
  </si>
  <si>
    <t>30*271</t>
  </si>
  <si>
    <t>6*416</t>
  </si>
  <si>
    <t>31*941</t>
  </si>
  <si>
    <t>6*071</t>
  </si>
  <si>
    <t>30*559</t>
  </si>
  <si>
    <t>5*453</t>
  </si>
  <si>
    <t>32*935</t>
  </si>
  <si>
    <t>3*269</t>
  </si>
  <si>
    <t>31*97</t>
  </si>
  <si>
    <t>6*265</t>
  </si>
  <si>
    <t>32*936</t>
  </si>
  <si>
    <t>7*85</t>
  </si>
  <si>
    <t>28*041</t>
  </si>
  <si>
    <t>9*543</t>
  </si>
  <si>
    <t>28*62</t>
  </si>
  <si>
    <t>8*62</t>
  </si>
  <si>
    <t>35*737</t>
  </si>
  <si>
    <t>0*556</t>
  </si>
  <si>
    <t>28*642</t>
  </si>
  <si>
    <t>2*825</t>
  </si>
  <si>
    <t>32*91</t>
  </si>
  <si>
    <t>0*545</t>
  </si>
  <si>
    <t>36*123</t>
  </si>
  <si>
    <t>6*789</t>
  </si>
  <si>
    <t>35*425</t>
  </si>
  <si>
    <t>1*425</t>
  </si>
  <si>
    <t>35*184</t>
  </si>
  <si>
    <t>1*496</t>
  </si>
  <si>
    <t>35*103</t>
  </si>
  <si>
    <t>8*5</t>
  </si>
  <si>
    <t>35*15</t>
  </si>
  <si>
    <t>3*683</t>
  </si>
  <si>
    <t>31*192</t>
  </si>
  <si>
    <t>6*794</t>
  </si>
  <si>
    <t>33*481</t>
  </si>
  <si>
    <t>2*523</t>
  </si>
  <si>
    <t>33*803</t>
  </si>
  <si>
    <t>2*875</t>
  </si>
  <si>
    <t>35*83</t>
  </si>
  <si>
    <t>-0*324</t>
  </si>
  <si>
    <t>35*863</t>
  </si>
  <si>
    <t>-0*331</t>
  </si>
  <si>
    <t>34*507</t>
  </si>
  <si>
    <t>3*47</t>
  </si>
  <si>
    <t>33*789</t>
  </si>
  <si>
    <t>2*583</t>
  </si>
  <si>
    <t>33*809</t>
  </si>
  <si>
    <t>2*59</t>
  </si>
  <si>
    <t>33*769</t>
  </si>
  <si>
    <t>2*576</t>
  </si>
  <si>
    <t>35*719</t>
  </si>
  <si>
    <t>4*523</t>
  </si>
  <si>
    <t>35*288</t>
  </si>
  <si>
    <t>1*452</t>
  </si>
  <si>
    <t>33*083</t>
  </si>
  <si>
    <t>6*051</t>
  </si>
  <si>
    <t>35*557</t>
  </si>
  <si>
    <t>5*593</t>
  </si>
  <si>
    <t>28*68</t>
  </si>
  <si>
    <t>8*873</t>
  </si>
  <si>
    <t>31*951</t>
  </si>
  <si>
    <t>5*331</t>
  </si>
  <si>
    <t>31*933</t>
  </si>
  <si>
    <t>5*327</t>
  </si>
  <si>
    <t>35*72</t>
  </si>
  <si>
    <t>1*5</t>
  </si>
  <si>
    <t>34*417</t>
  </si>
  <si>
    <t>5*067</t>
  </si>
  <si>
    <t>31*7</t>
  </si>
  <si>
    <t>5*85</t>
  </si>
  <si>
    <t>26*8</t>
  </si>
  <si>
    <t>-2*8</t>
  </si>
  <si>
    <t>32*15</t>
  </si>
  <si>
    <t>2*15</t>
  </si>
  <si>
    <t>29*74</t>
  </si>
  <si>
    <t>6*702</t>
  </si>
  <si>
    <t>28*21</t>
  </si>
  <si>
    <t>-0*156</t>
  </si>
  <si>
    <t>35*235</t>
  </si>
  <si>
    <t>6*123</t>
  </si>
  <si>
    <t>36*754</t>
  </si>
  <si>
    <t>3*059</t>
  </si>
  <si>
    <t>36*885</t>
  </si>
  <si>
    <t>6*924</t>
  </si>
  <si>
    <t>33*625</t>
  </si>
  <si>
    <t>2*739</t>
  </si>
  <si>
    <t>33*641</t>
  </si>
  <si>
    <t>2*741</t>
  </si>
  <si>
    <t>33*608</t>
  </si>
  <si>
    <t>2*736</t>
  </si>
  <si>
    <t>28*146</t>
  </si>
  <si>
    <t>6*826</t>
  </si>
  <si>
    <t>27*5</t>
  </si>
  <si>
    <t>10*2</t>
  </si>
  <si>
    <t>35*345</t>
  </si>
  <si>
    <t>1*319</t>
  </si>
  <si>
    <t>31*788</t>
  </si>
  <si>
    <t>6*052</t>
  </si>
  <si>
    <t>33*78</t>
  </si>
  <si>
    <t>3*56</t>
  </si>
  <si>
    <t>INSERT INTO T_02_01_01 (F_00, F_01, F_02, F_03) VALUES</t>
  </si>
  <si>
    <t>Terminal d\'Exportation Terrestre</t>
  </si>
  <si>
    <t>Terminal d\'Exportation Maritime</t>
  </si>
  <si>
    <t>Station d\'Injection</t>
  </si>
  <si>
    <t>Centre d\'Export du Gaz</t>
  </si>
  <si>
    <t>Séparation de l\'Éthane</t>
  </si>
  <si>
    <t>Terminal d\'Exportation Terrestre Deb Deb</t>
  </si>
  <si>
    <t>Terminal d\'Exportation Terrestre Oued Saf Saf</t>
  </si>
  <si>
    <t>Terminal d\'Exportation Terrestre Beni Saf</t>
  </si>
  <si>
    <t>Terminal d\'Exportation Maritime Export port</t>
  </si>
  <si>
    <t>Terminal de Distribution M\'Sila</t>
  </si>
  <si>
    <t>Usine d\'Ourhoud</t>
  </si>
  <si>
    <t>Unité de Traitement Central d\'In Amenas</t>
  </si>
  <si>
    <t>Station Centrale de Hassi R\'Mel</t>
  </si>
  <si>
    <t>Unité de Traitement Central d\'Ohanet - Train de Gaz</t>
  </si>
  <si>
    <t>Complexe Gazier d\'Ain Tsila</t>
  </si>
  <si>
    <t>Unité de Condensats d\'Ohanet</t>
  </si>
  <si>
    <t>Usine de récupération des Condensats d\'Ain Tsila</t>
  </si>
  <si>
    <t>Unité de Condensats d\'El Merk</t>
  </si>
  <si>
    <t>Usine de récupération des Condensats d\'In Amenas</t>
  </si>
  <si>
    <t>Unités GPL/Condensats de Hassi R\'Mel</t>
  </si>
  <si>
    <t>Complexe de récupération Centrale GPL de Hassi R\'Mel</t>
  </si>
  <si>
    <t>Complexe de récupération d\'Éthane de Hassi R\'Mel</t>
  </si>
  <si>
    <t>Complexe de récupération GPL d\'Ain Tsila</t>
  </si>
  <si>
    <t>SP3-OZ2</t>
  </si>
  <si>
    <t>SP4-OZ2</t>
  </si>
  <si>
    <t>SP5-OZ2</t>
  </si>
  <si>
    <t>SP6-OZ2</t>
  </si>
  <si>
    <t>SP0-LR1</t>
  </si>
  <si>
    <t>Group</t>
  </si>
  <si>
    <t>Role</t>
  </si>
  <si>
    <t>INSERT INTO R_T000201_T000203 (F_01, F_02) VALUES</t>
  </si>
  <si>
    <t>INSERT INTO R_T000202_T000203 (F_01, F_02) VALUES</t>
  </si>
  <si>
    <t>INSERT INTO R_T000202_T000201 (F_01, F_02) VALUES</t>
  </si>
  <si>
    <t>INSERT INTO R_T000203_T000204 (F_01, F_02) VALUES</t>
  </si>
  <si>
    <t>INSERT INTO R_T020304_T020308 (F_01, F_02) VALUES</t>
  </si>
  <si>
    <t>INSERT INTO R_T020303_T020308 (F_01, F_02) VALUES</t>
  </si>
  <si>
    <t>User</t>
  </si>
  <si>
    <t>Permission</t>
  </si>
  <si>
    <t>Station</t>
  </si>
  <si>
    <t>Pipeline</t>
  </si>
  <si>
    <t>Terminal</t>
  </si>
  <si>
    <t>Facility</t>
  </si>
  <si>
    <t>INSERT INTO R_T020305_T020308 (F_01, F_02) VALUES</t>
  </si>
  <si>
    <t>Partner</t>
  </si>
  <si>
    <t>INSERT INTO R_T020305_T020204 (F_01, F_02) VALUES</t>
  </si>
  <si>
    <t>INSERT INTO R_T020305_T020201 (F_01, F_02) VALUES</t>
  </si>
  <si>
    <t>INSERT INTO R_T02036_T020201 (F_01, F_02) VALUES</t>
  </si>
  <si>
    <t>Field</t>
  </si>
  <si>
    <t>INSERT INTO R_T020306_T020204 (F_01, F_02) VALUES</t>
  </si>
  <si>
    <t>INSERT INTO R_T020308_T010206 (F_01, F_02) VALUES</t>
  </si>
  <si>
    <t>F 02</t>
  </si>
  <si>
    <t>INSERT INTO T_00_02_04 (F_00, F_01, F_02, F_03, F_04) VALUES</t>
  </si>
  <si>
    <t>7,92/ 8,74/ 9,53/ 10,31/ 11,91/ 14,27</t>
  </si>
  <si>
    <t>Petro jet</t>
  </si>
  <si>
    <t>24/30</t>
  </si>
  <si>
    <t>7,14 / 8,74</t>
  </si>
  <si>
    <t>GREP / SOCOMAN</t>
  </si>
  <si>
    <t>In Aménas</t>
  </si>
  <si>
    <t>Module</t>
  </si>
  <si>
    <t>Entity</t>
  </si>
  <si>
    <t>File</t>
  </si>
  <si>
    <t>Size</t>
  </si>
  <si>
    <t>Pattern</t>
  </si>
  <si>
    <t>i18n</t>
  </si>
  <si>
    <t>Export</t>
  </si>
  <si>
    <t>Advanced Features</t>
  </si>
  <si>
    <t>Network Core</t>
  </si>
  <si>
    <t>TerminalList.tsx</t>
  </si>
  <si>
    <t>7.4KB</t>
  </si>
  <si>
    <t>Server-Side</t>
  </si>
  <si>
    <t>✅ Full</t>
  </si>
  <si>
    <t>❌</t>
  </si>
  <si>
    <t>Basic</t>
  </si>
  <si>
    <t>PipelineList.tsx</t>
  </si>
  <si>
    <t>7.5KB</t>
  </si>
  <si>
    <t>PipelineSystem</t>
  </si>
  <si>
    <t>PipelineSystemList.tsx</t>
  </si>
  <si>
    <t>7.9KB</t>
  </si>
  <si>
    <t>StationList.tsx</t>
  </si>
  <si>
    <t>ProcessingPlant</t>
  </si>
  <si>
    <t>ProcessingPlantList.tsx</t>
  </si>
  <si>
    <t>7.0KB</t>
  </si>
  <si>
    <t>⚠️ Partial</t>
  </si>
  <si>
    <t>ProductionField</t>
  </si>
  <si>
    <t>ProductionFieldList.tsx</t>
  </si>
  <si>
    <t>Network Common</t>
  </si>
  <si>
    <t>PartnerList.tsx</t>
  </si>
  <si>
    <t>9.4KB</t>
  </si>
  <si>
    <t>Multi-lang columns</t>
  </si>
  <si>
    <t>ProductList.tsx</t>
  </si>
  <si>
    <t>9.2KB</t>
  </si>
  <si>
    <t>VendorList.tsx</t>
  </si>
  <si>
    <t>9.3KB</t>
  </si>
  <si>
    <t>System Security</t>
  </si>
  <si>
    <t>UserList.tsx</t>
  </si>
  <si>
    <t>12.6KB</t>
  </si>
  <si>
    <t>✅ CSV/Excel/PDF</t>
  </si>
  <si>
    <t>Advanced</t>
  </si>
  <si>
    <t>RoleList.tsx</t>
  </si>
  <si>
    <t>8.9KB</t>
  </si>
  <si>
    <t>GroupList.tsx</t>
  </si>
  <si>
    <t>General Organization</t>
  </si>
  <si>
    <t>StructureList.tsx</t>
  </si>
  <si>
    <t>15.9KB</t>
  </si>
  <si>
    <t>EmployeeList.tsx</t>
  </si>
  <si>
    <t>12.3KB</t>
  </si>
  <si>
    <t>Enhanced</t>
  </si>
  <si>
    <t>Job</t>
  </si>
  <si>
    <t>JobList.tsx</t>
  </si>
  <si>
    <t xml:space="preserve">9,52 / 11,91 </t>
  </si>
  <si>
    <t>8,74 / 9,52 / 10,31 / 12,70 / 14,27 / 15,88 / 19,05 / 17,5</t>
  </si>
  <si>
    <t>X60 / X70</t>
  </si>
  <si>
    <t>BECHTEL</t>
  </si>
  <si>
    <t>:GTP/KANAGAZ/GCB/COSIDER</t>
  </si>
  <si>
    <t>7,92 / 11,13</t>
  </si>
  <si>
    <t>TMCA</t>
  </si>
  <si>
    <t>14,3 / 9,52 / 11,13 / 15,88 / 10,31</t>
  </si>
  <si>
    <t>COSIDER/ENAC</t>
  </si>
  <si>
    <t>LNZ1-16</t>
  </si>
  <si>
    <t>LNZ1-12</t>
  </si>
  <si>
    <t>Epoxy</t>
  </si>
  <si>
    <t>Brai de Houille</t>
  </si>
  <si>
    <t>8,74 - 12,7 - 10,31 - 15,9</t>
  </si>
  <si>
    <t>20 / 24</t>
  </si>
  <si>
    <t>SOCOMAN-GREP</t>
  </si>
  <si>
    <t>Ain El Bya</t>
  </si>
  <si>
    <t>SAIPEM / GE</t>
  </si>
  <si>
    <t>11,13 - 12,7 - 19,05</t>
  </si>
  <si>
    <t>11,91 / 12,7 / 14,25 / 19,05</t>
  </si>
  <si>
    <t xml:space="preserve">11,13 / 12,7 / 14,3 / 0,6 </t>
  </si>
  <si>
    <t xml:space="preserve">X52/X60/X70 </t>
  </si>
  <si>
    <t>Brai de Houille / PE</t>
  </si>
  <si>
    <t xml:space="preserve">NACAP / ENAC-SADELMI </t>
  </si>
  <si>
    <t>11,91 - 22,22</t>
  </si>
  <si>
    <t>COSIDER / MASA</t>
  </si>
  <si>
    <t xml:space="preserve">X70 </t>
  </si>
  <si>
    <t>COSIDER</t>
  </si>
  <si>
    <t>Mactaa Douz</t>
  </si>
  <si>
    <t>12,7 / 14,27 / 22,22</t>
  </si>
  <si>
    <t>X70</t>
  </si>
  <si>
    <t>Extrudé tri couche</t>
  </si>
  <si>
    <t>GPDF/EGPDF</t>
  </si>
  <si>
    <t>AL Aricha</t>
  </si>
  <si>
    <t>13,61/  14,27 / 20,79 / 22,23</t>
  </si>
  <si>
    <t>Brai de houille + Polyéthylène</t>
  </si>
  <si>
    <t>X60/X60A</t>
  </si>
  <si>
    <t>ENAC</t>
  </si>
  <si>
    <t>X52/X60/X70</t>
  </si>
  <si>
    <t xml:space="preserve">12,7 / 15,88 / 19,43 / 19,05 </t>
  </si>
  <si>
    <t>14,3 / 22,22</t>
  </si>
  <si>
    <t>polyethylene</t>
  </si>
  <si>
    <t>SADELMI</t>
  </si>
  <si>
    <t>BRC / COSIDER</t>
  </si>
  <si>
    <t>42 / 48</t>
  </si>
  <si>
    <t>X70 / X60</t>
  </si>
  <si>
    <t>11,92 / 12,7 / 13,35 / 14,27 / 15,88 / 22,22</t>
  </si>
  <si>
    <t>11,91 / 12,7 / 14,27 / 19,05 / 22,22</t>
  </si>
  <si>
    <t>Rhoud Nouss</t>
  </si>
  <si>
    <t>10 / 12 / 14 / 16 / 20 / 24</t>
  </si>
  <si>
    <t>24 / 22</t>
  </si>
  <si>
    <t>6,35 / 7,14 / 7,22 / 8,74 / 9,25 / 12,7 / 14,27</t>
  </si>
  <si>
    <t>Owner</t>
  </si>
  <si>
    <t>SystemId</t>
  </si>
  <si>
    <t>OwnerId</t>
  </si>
  <si>
    <t>ManagerId</t>
  </si>
  <si>
    <t>DepartureId</t>
  </si>
  <si>
    <t>ArrivalId</t>
  </si>
  <si>
    <t>ENAC / KANAGAZ</t>
  </si>
  <si>
    <t>AIPEM / SNAMPROGETTI</t>
  </si>
  <si>
    <t>NACAP / SADELMI</t>
  </si>
  <si>
    <t>SAIPEM / CJB/WILLBROS</t>
  </si>
  <si>
    <t>JGC / TMPE</t>
  </si>
  <si>
    <t>BECHTEL / COSIDER</t>
  </si>
  <si>
    <t>ICoatingId</t>
  </si>
  <si>
    <t>ECoatingId</t>
  </si>
  <si>
    <t>MaterialId</t>
  </si>
  <si>
    <t>6,35 - 8,74</t>
  </si>
  <si>
    <t>7,14 - 8,74</t>
  </si>
  <si>
    <t>11,91 / 12,7 / 19,05</t>
  </si>
  <si>
    <t>DTC-GIP</t>
  </si>
  <si>
    <t>20,62 / 14,27</t>
  </si>
  <si>
    <t>Bordj Menail</t>
  </si>
  <si>
    <t>Mejedel</t>
  </si>
  <si>
    <t>12,48 / 13,61 / 20,79 / 24,26</t>
  </si>
  <si>
    <t>Cosider/ENAC</t>
  </si>
  <si>
    <t>12,95 / 14,27 / 22,23</t>
  </si>
  <si>
    <t>Hassi El Gara</t>
  </si>
  <si>
    <t>VendorId</t>
  </si>
  <si>
    <t>BRC</t>
  </si>
  <si>
    <t>Spie-Capag</t>
  </si>
  <si>
    <t>Saipem</t>
  </si>
  <si>
    <t>Stroystransgas</t>
  </si>
  <si>
    <t>Cosider</t>
  </si>
  <si>
    <t>CJB</t>
  </si>
  <si>
    <t>MANNESSMAN</t>
  </si>
  <si>
    <t>JGC</t>
  </si>
  <si>
    <t>TMPE</t>
  </si>
  <si>
    <t>WILLBROS</t>
  </si>
  <si>
    <t>MASA</t>
  </si>
  <si>
    <t>NACAP</t>
  </si>
  <si>
    <t>GREP</t>
  </si>
  <si>
    <t>SOCOMAN</t>
  </si>
  <si>
    <t>GCB</t>
  </si>
  <si>
    <t>KANAGAZ</t>
  </si>
  <si>
    <t>SNAMPROGETTI</t>
  </si>
  <si>
    <t>AIPEM</t>
  </si>
  <si>
    <t>SH-DTC</t>
  </si>
  <si>
    <t>Company Name</t>
  </si>
  <si>
    <t>Company Type</t>
  </si>
  <si>
    <t>CJB (various regional entities)</t>
  </si>
  <si>
    <t>Canada (common)</t>
  </si>
  <si>
    <t>Construction / Oil &amp; Gas Services</t>
  </si>
  <si>
    <t>Bechtel Corporation</t>
  </si>
  <si>
    <t>Bechtel</t>
  </si>
  <si>
    <t>USA</t>
  </si>
  <si>
    <t>EPC / Engineering &amp; Construction</t>
  </si>
  <si>
    <t>Stroytransgaz JSC</t>
  </si>
  <si>
    <t>STG</t>
  </si>
  <si>
    <t>EPC / Pipeline Construction</t>
  </si>
  <si>
    <t>Cosider Groupe</t>
  </si>
  <si>
    <t>Construction / Infrastructure / Energy</t>
  </si>
  <si>
    <t>Saipem S.p.A</t>
  </si>
  <si>
    <t>EPC / Offshore &amp; Onshore Engineering</t>
  </si>
  <si>
    <t>SPIE-CAPAG</t>
  </si>
  <si>
    <t>CAPAG</t>
  </si>
  <si>
    <t>Pipeline EPC / Construction</t>
  </si>
  <si>
    <t>SOCEA</t>
  </si>
  <si>
    <t>Algeria (local)</t>
  </si>
  <si>
    <t>Construction / Energy Works (regional)</t>
  </si>
  <si>
    <t>TRAPIL (Transports Pétroliers par Pipelines)</t>
  </si>
  <si>
    <t>Pipeline Operator</t>
  </si>
  <si>
    <t>Brown &amp; Root Company</t>
  </si>
  <si>
    <t>EPC / Engineering (Energy)</t>
  </si>
  <si>
    <t>GTP (Générale de Travaux de Pipeline – generic usage)</t>
  </si>
  <si>
    <t>International</t>
  </si>
  <si>
    <t>Pipeline Construction</t>
  </si>
  <si>
    <t>Mannesmann Industrial Services</t>
  </si>
  <si>
    <t>Mannesmann</t>
  </si>
  <si>
    <t>Industrial Engineering / Pipelines</t>
  </si>
  <si>
    <t>ENAC (Entreprise Nationale de Canalisations)</t>
  </si>
  <si>
    <t>Pipeline Construction (Oil &amp; Gas)</t>
  </si>
  <si>
    <t>Gas Networks / Pipeline Contractor</t>
  </si>
  <si>
    <t>SH-DTC (Sonatrach – DTC)</t>
  </si>
  <si>
    <t>DTC</t>
  </si>
  <si>
    <t>Oil &amp; Gas Transport / Engineering</t>
  </si>
  <si>
    <t>GT (Global / General Trading – varies by context)</t>
  </si>
  <si>
    <t>Engineering / Services</t>
  </si>
  <si>
    <t>AIPEM (Association of Italian Plant Engineering)</t>
  </si>
  <si>
    <t>Engineering Association / EPC Network</t>
  </si>
  <si>
    <t>Snamprogetti (ENI Group)</t>
  </si>
  <si>
    <t>Snamprogetti</t>
  </si>
  <si>
    <t>EPC / Process Engineering</t>
  </si>
  <si>
    <t>Petrojet</t>
  </si>
  <si>
    <t>EPC / Oil &amp; Gas Construction</t>
  </si>
  <si>
    <t>GREP (Groupe de Réalisation Énergétique de Pipelines)</t>
  </si>
  <si>
    <t>Pipeline Engineering / Construction</t>
  </si>
  <si>
    <t>Mechanical / Industrial Construction</t>
  </si>
  <si>
    <t>Mechanical / Construction / Energy</t>
  </si>
  <si>
    <t>GCB (Génie Civil &amp; Bâtiment – Sonatrach)</t>
  </si>
  <si>
    <t>General Electric Oil &amp; Gas</t>
  </si>
  <si>
    <t>Equipment / Energy Technology</t>
  </si>
  <si>
    <t>NACAP (Nederlandsche Aannemingsmaatschappij voor Pijpleidingen)</t>
  </si>
  <si>
    <t>Pipeline EPC</t>
  </si>
  <si>
    <t>Sadelmi</t>
  </si>
  <si>
    <t>Power &amp; Energy Engineering</t>
  </si>
  <si>
    <t>MASA Group</t>
  </si>
  <si>
    <t>Industrial Engineering</t>
  </si>
  <si>
    <t>Willbros Group</t>
  </si>
  <si>
    <t>Willbros</t>
  </si>
  <si>
    <t>Pipeline Engineering &amp; Construction</t>
  </si>
  <si>
    <t>Oil &amp; Gas Transport / Project Mgmt</t>
  </si>
  <si>
    <t>Mechanical &amp; Pipeline Construction</t>
  </si>
  <si>
    <t>JGC Corporation</t>
  </si>
  <si>
    <t>EPC / Process &amp; Energy Engineering</t>
  </si>
  <si>
    <t>x</t>
  </si>
  <si>
    <t>StartTime</t>
  </si>
  <si>
    <t>EndTime</t>
  </si>
  <si>
    <t>Morning Early</t>
  </si>
  <si>
    <t>الصباح المبكر</t>
  </si>
  <si>
    <t>Matinée tôt</t>
  </si>
  <si>
    <t>Late Morning</t>
  </si>
  <si>
    <t>الصباح المتأخر</t>
  </si>
  <si>
    <t>Fin de matinée</t>
  </si>
  <si>
    <t>Midday</t>
  </si>
  <si>
    <t>الظهيرة</t>
  </si>
  <si>
    <t>Midi</t>
  </si>
  <si>
    <t>Early Afternoon</t>
  </si>
  <si>
    <t>Début d'après-midi</t>
  </si>
  <si>
    <t>Late Afternoon</t>
  </si>
  <si>
    <t>بعد الظهر المتأخر</t>
  </si>
  <si>
    <t>Fin d'après-midi</t>
  </si>
  <si>
    <t>Evening</t>
  </si>
  <si>
    <t>المساء</t>
  </si>
  <si>
    <t>Soirée</t>
  </si>
  <si>
    <t>Late Evening</t>
  </si>
  <si>
    <t>المساء المتأخر</t>
  </si>
  <si>
    <t>Fin de soirée</t>
  </si>
  <si>
    <t>Night</t>
  </si>
  <si>
    <t>الليل</t>
  </si>
  <si>
    <t>Nuit</t>
  </si>
  <si>
    <t>Midnight</t>
  </si>
  <si>
    <t>منتصف الليل</t>
  </si>
  <si>
    <t>Minuit</t>
  </si>
  <si>
    <t>SLOT_10</t>
  </si>
  <si>
    <t>Late Night</t>
  </si>
  <si>
    <t>الليل المتأخر</t>
  </si>
  <si>
    <t>Fin de nuit</t>
  </si>
  <si>
    <t>SLOT_11</t>
  </si>
  <si>
    <t>Early Dawn</t>
  </si>
  <si>
    <t>الفجر المبكر</t>
  </si>
  <si>
    <t>Aube</t>
  </si>
  <si>
    <t>SLOT_12</t>
  </si>
  <si>
    <t>Dawn</t>
  </si>
  <si>
    <t>الفجر</t>
  </si>
  <si>
    <t>Petit matin</t>
  </si>
  <si>
    <t>SLOT_01</t>
  </si>
  <si>
    <t>SLOT_02</t>
  </si>
  <si>
    <t>SLOT_03</t>
  </si>
  <si>
    <t>SLOT_04</t>
  </si>
  <si>
    <t>SLOT_05</t>
  </si>
  <si>
    <t>SLOT_06</t>
  </si>
  <si>
    <t>SLOT_07</t>
  </si>
  <si>
    <t>SLOT_08</t>
  </si>
  <si>
    <t>SLOT_09</t>
  </si>
  <si>
    <t>بعد الظهر</t>
  </si>
  <si>
    <t>INSERT INTO T_03_02_07 (F_00, F_01, F_02, F_03, F_04, F_05, F_06) VALUES</t>
  </si>
  <si>
    <t>PARAMETER</t>
  </si>
  <si>
    <t>FILE</t>
  </si>
  <si>
    <t>COORDINATE</t>
  </si>
  <si>
    <t>OPERATION_TYPE</t>
  </si>
  <si>
    <t>EVENT_TYPE</t>
  </si>
  <si>
    <t>ALERT_STATUS</t>
  </si>
  <si>
    <t>DATA_SOURCE</t>
  </si>
  <si>
    <t>EVENT_STATUS</t>
  </si>
  <si>
    <t>QUALITY_FLAG</t>
  </si>
  <si>
    <t>SEVERITY</t>
  </si>
  <si>
    <t>VALIDATION_STATUS</t>
  </si>
  <si>
    <t>READING_SLOT</t>
  </si>
  <si>
    <t>FLOW_OPERATION</t>
  </si>
  <si>
    <t>FLOW_FORECAST</t>
  </si>
  <si>
    <t>FLOW_READING</t>
  </si>
  <si>
    <t>FLOW_THRESHOLD</t>
  </si>
  <si>
    <t>FLOW_ALERT</t>
  </si>
  <si>
    <t>FLOW_EVENT</t>
  </si>
  <si>
    <t>WRITE</t>
  </si>
  <si>
    <t>SYSTEM-SECURITY-ADMIN</t>
  </si>
  <si>
    <t>F-02</t>
  </si>
  <si>
    <t>SYSTEM-AUDIT-ADMIN</t>
  </si>
  <si>
    <t>GENERAL-TYPE-ADMIN</t>
  </si>
  <si>
    <t>GENERAL-LOCALIZATION-ADMIN</t>
  </si>
  <si>
    <t>GENERAL-ORGANIZATION-ADMIN</t>
  </si>
  <si>
    <t>NETWORK-TYPE-ADMIN</t>
  </si>
  <si>
    <t>NETWORK-COMMON-ADMIN</t>
  </si>
  <si>
    <t>NETWORK-CORE-ADMIN</t>
  </si>
  <si>
    <t>FLOW-TYPE-ADMIN</t>
  </si>
  <si>
    <t>FLOW-COMMON-ADMIN</t>
  </si>
  <si>
    <t>FLOW-CORE-ADMIN</t>
  </si>
  <si>
    <t>Manage flow type data</t>
  </si>
  <si>
    <t>Manage flow common data</t>
  </si>
  <si>
    <t>Manage flow core data</t>
  </si>
  <si>
    <t>Manage system setting data</t>
  </si>
  <si>
    <t>SYSTEM-SETTING-ADMIN</t>
  </si>
  <si>
    <t>Manage system utility data</t>
  </si>
  <si>
    <t>Update system setting data</t>
  </si>
  <si>
    <t>Update system utility data</t>
  </si>
  <si>
    <t>Update system security data</t>
  </si>
  <si>
    <t>Update system audit data</t>
  </si>
  <si>
    <t>Update general Type</t>
  </si>
  <si>
    <t>Update general localization</t>
  </si>
  <si>
    <t>Update general organization</t>
  </si>
  <si>
    <t>Update network type data</t>
  </si>
  <si>
    <t>Update network common data</t>
  </si>
  <si>
    <t>Update network core data</t>
  </si>
  <si>
    <t>Update flow type data</t>
  </si>
  <si>
    <t>Update flow common data</t>
  </si>
  <si>
    <t>Update flow core data</t>
  </si>
  <si>
    <t>MANAGE</t>
  </si>
  <si>
    <t>EXECUTE</t>
  </si>
  <si>
    <t>APPROVE</t>
  </si>
  <si>
    <t>DELETE</t>
  </si>
  <si>
    <t>UPDATE</t>
  </si>
  <si>
    <t>CREATE</t>
  </si>
  <si>
    <t>SYSTEM-UTILITY-ADMIN</t>
  </si>
  <si>
    <t>SYSTEM-SETTING-EDITOR</t>
  </si>
  <si>
    <t>SYSTEM-SECURITY-EDITOR</t>
  </si>
  <si>
    <t>SYSTEM-AUDIT-EDITOR</t>
  </si>
  <si>
    <t>GENERAL-TYPE-EDITOR</t>
  </si>
  <si>
    <t>GENERAL-LOCALIZATION-EDITOR</t>
  </si>
  <si>
    <t>GENERAL-ORGANIZATION-EDITOR</t>
  </si>
  <si>
    <t>NETWORK-TYPE-EDITOR</t>
  </si>
  <si>
    <t>NETWORK-COMMON-EDITOR</t>
  </si>
  <si>
    <t>NETWORK-CORE-EDITOR</t>
  </si>
  <si>
    <t>FLOW-TYPE-EDITOR</t>
  </si>
  <si>
    <t>FLOW-COMMON-EDITOR</t>
  </si>
  <si>
    <t>FLOW-CORE-EDITOR</t>
  </si>
  <si>
    <t>SYSTEM-UTILITY-EDITOR</t>
  </si>
  <si>
    <t>TESTER</t>
  </si>
  <si>
    <t>Test Role</t>
  </si>
  <si>
    <t>مجدول</t>
  </si>
  <si>
    <t>Scheduled</t>
  </si>
  <si>
    <t>Planifié</t>
  </si>
  <si>
    <t>جاري</t>
  </si>
  <si>
    <t>Ongoing</t>
  </si>
  <si>
    <t>En Cours</t>
  </si>
  <si>
    <t>مكتمل</t>
  </si>
  <si>
    <t>Completed</t>
  </si>
  <si>
    <t>Terminé</t>
  </si>
  <si>
    <t>ملغى</t>
  </si>
  <si>
    <t>Cancelled</t>
  </si>
  <si>
    <t>Annulé</t>
  </si>
  <si>
    <t>مؤجل</t>
  </si>
  <si>
    <t>Postponed</t>
  </si>
  <si>
    <t>Reporté</t>
  </si>
  <si>
    <t>قيد التحقيق</t>
  </si>
  <si>
    <t>Under Investigation</t>
  </si>
  <si>
    <t>En Investigation</t>
  </si>
  <si>
    <t>INSERT INTO T_03_02_01 (F_00, F_01, F_02, F_03) VALUES</t>
  </si>
  <si>
    <t>Designation En</t>
  </si>
  <si>
    <t>Designation Ar</t>
  </si>
  <si>
    <t>Designation Fr</t>
  </si>
  <si>
    <t>INSERT INTO T_03_02_02 (F_00, F_01, F_02, F_03) VALUES</t>
  </si>
  <si>
    <t>مفتوح</t>
  </si>
  <si>
    <t>Open</t>
  </si>
  <si>
    <t>Ouvert</t>
  </si>
  <si>
    <t>تم الإقرار</t>
  </si>
  <si>
    <t>Acknowledged</t>
  </si>
  <si>
    <t>Reconnu</t>
  </si>
  <si>
    <t>قيد التنفيذ</t>
  </si>
  <si>
    <t>In Progress</t>
  </si>
  <si>
    <t>تم الحل</t>
  </si>
  <si>
    <t>Resolved</t>
  </si>
  <si>
    <t>Résolu</t>
  </si>
  <si>
    <t>مغلق</t>
  </si>
  <si>
    <t>Closed</t>
  </si>
  <si>
    <t>Fermé</t>
  </si>
  <si>
    <t>تم التصعيد</t>
  </si>
  <si>
    <t>Escalated</t>
  </si>
  <si>
    <t>Escaladé</t>
  </si>
  <si>
    <t>إنذار كاذب</t>
  </si>
  <si>
    <t>False Alarm</t>
  </si>
  <si>
    <t>Fausse Alerte</t>
  </si>
  <si>
    <t>معلومات</t>
  </si>
  <si>
    <t>Info</t>
  </si>
  <si>
    <t>Information</t>
  </si>
  <si>
    <t>منخفض</t>
  </si>
  <si>
    <t>Low</t>
  </si>
  <si>
    <t>Faible</t>
  </si>
  <si>
    <t>متوسط</t>
  </si>
  <si>
    <t>Medium</t>
  </si>
  <si>
    <t>Moyen</t>
  </si>
  <si>
    <t>عالي</t>
  </si>
  <si>
    <t>High</t>
  </si>
  <si>
    <t>Élevé</t>
  </si>
  <si>
    <t>حرج</t>
  </si>
  <si>
    <t>Critical</t>
  </si>
  <si>
    <t>Critique</t>
  </si>
  <si>
    <t>طارئ</t>
  </si>
  <si>
    <t>Emergency</t>
  </si>
  <si>
    <t>Urgence</t>
  </si>
  <si>
    <t>INSERT INTO T_03_02_03 (F_00, F_01, F_02, F_03) VALUES</t>
  </si>
  <si>
    <t>SCADA</t>
  </si>
  <si>
    <t>قراءات تلقائية من نظام المراقبة والتحكم</t>
  </si>
  <si>
    <t>Automated readings from Supervisory Control and Data Acquisition system</t>
  </si>
  <si>
    <t>Lectures automatisées du système de contrôle et d'acquisition de données</t>
  </si>
  <si>
    <t>نظام SCADA</t>
  </si>
  <si>
    <t>SCADA System</t>
  </si>
  <si>
    <t>Système SCADA</t>
  </si>
  <si>
    <t>MANUAL</t>
  </si>
  <si>
    <t>قراءات يدوية من قبل المشغلين في الميدان</t>
  </si>
  <si>
    <t>Manual readings taken by field operators</t>
  </si>
  <si>
    <t>Lectures manuelles effectuées par les opérateurs sur le terrain</t>
  </si>
  <si>
    <t>قراءة يدوية</t>
  </si>
  <si>
    <t>Manual Reading</t>
  </si>
  <si>
    <t>Lecture Manuelle</t>
  </si>
  <si>
    <t>CALCULATED</t>
  </si>
  <si>
    <t>قيم محسوبة من بيانات أخرى</t>
  </si>
  <si>
    <t>Values computed from other data sources</t>
  </si>
  <si>
    <t>Valeurs calculées à partir d'autres sources de données</t>
  </si>
  <si>
    <t>قيمة محسوبة</t>
  </si>
  <si>
    <t>Calculated Value</t>
  </si>
  <si>
    <t>Valeur Calculée</t>
  </si>
  <si>
    <t>EXTERNAL</t>
  </si>
  <si>
    <t>بيانات من أنظمة خارجية أو شركاء</t>
  </si>
  <si>
    <t>Data from external systems or partners</t>
  </si>
  <si>
    <t>Données provenant de systèmes externes ou de partenaires</t>
  </si>
  <si>
    <t>مصدر خارجي</t>
  </si>
  <si>
    <t>External Source</t>
  </si>
  <si>
    <t>Source Externe</t>
  </si>
  <si>
    <t>FLOWMETER</t>
  </si>
  <si>
    <t>قراءات مباشرة من أجهزة قياس التدفق</t>
  </si>
  <si>
    <t>Direct readings from flow measurement devices</t>
  </si>
  <si>
    <t>Lectures directes des dispositifs de mesure de débit</t>
  </si>
  <si>
    <t>عداد التدفق</t>
  </si>
  <si>
    <t>Flow Meter</t>
  </si>
  <si>
    <t>Débitmètre</t>
  </si>
  <si>
    <t>ESTIMATED</t>
  </si>
  <si>
    <t>قيم تقديرية بناء على بيانات تاريخية</t>
  </si>
  <si>
    <t>Estimated values based on historical data</t>
  </si>
  <si>
    <t>Valeurs estimées basées sur des données historiques</t>
  </si>
  <si>
    <t>تقديري</t>
  </si>
  <si>
    <t>Estimated</t>
  </si>
  <si>
    <t>Estimé</t>
  </si>
  <si>
    <t>Description Ar</t>
  </si>
  <si>
    <t>Description En</t>
  </si>
  <si>
    <t>Description Fr</t>
  </si>
  <si>
    <t>INSERT INTO T_03_02_04 (F_00, F_01, F_02, F_03, F_04, F_05, F_06, F_07) VALUES</t>
  </si>
  <si>
    <t>GOOD</t>
  </si>
  <si>
    <t>البيانات ذات جودة عالية وموثوقة</t>
  </si>
  <si>
    <t>Data is of high quality and reliable</t>
  </si>
  <si>
    <t>Les données sont de haute qualité et fiables</t>
  </si>
  <si>
    <t>جيد</t>
  </si>
  <si>
    <t>Good Quality</t>
  </si>
  <si>
    <t>Bonne Qualité</t>
  </si>
  <si>
    <t>LOW</t>
  </si>
  <si>
    <t>SENSOR_ERROR</t>
  </si>
  <si>
    <t>الحساس يظهر قراءات غير صحيحة</t>
  </si>
  <si>
    <t>Sensor showing incorrect readings</t>
  </si>
  <si>
    <t>Le capteur affiche des lectures incorrectes</t>
  </si>
  <si>
    <t>خطأ في الحساس</t>
  </si>
  <si>
    <t>Sensor Error</t>
  </si>
  <si>
    <t>Erreur de Capteur</t>
  </si>
  <si>
    <t>HIGH</t>
  </si>
  <si>
    <t>CALIBRATION_NEEDED</t>
  </si>
  <si>
    <t>الجهاز يحتاج إلى معايرة</t>
  </si>
  <si>
    <t>Device requires calibration</t>
  </si>
  <si>
    <t>L'appareil nécessite un étalonnage</t>
  </si>
  <si>
    <t>يحتاج معايرة</t>
  </si>
  <si>
    <t>Calibration Needed</t>
  </si>
  <si>
    <t>Étalonnage Requis</t>
  </si>
  <si>
    <t>MEDIUM</t>
  </si>
  <si>
    <t>OUT_OF_RANGE</t>
  </si>
  <si>
    <t>القراءة خارج النطاق المتوقع</t>
  </si>
  <si>
    <t>Reading outside expected range</t>
  </si>
  <si>
    <t>Lecture en dehors de la plage attendue</t>
  </si>
  <si>
    <t>خارج النطاق</t>
  </si>
  <si>
    <t>Out of Range</t>
  </si>
  <si>
    <t>Hors Plage</t>
  </si>
  <si>
    <t>SUSPICIOUS</t>
  </si>
  <si>
    <t>القراءة تبدو غير طبيعية</t>
  </si>
  <si>
    <t>Reading appears abnormal</t>
  </si>
  <si>
    <t>La lecture semble anormale</t>
  </si>
  <si>
    <t>قراءة مشبوهة</t>
  </si>
  <si>
    <t>Suspicious Reading</t>
  </si>
  <si>
    <t>Lecture Suspecte</t>
  </si>
  <si>
    <t>COMM_FAILURE</t>
  </si>
  <si>
    <t>فقدان الاتصال مع الجهاز</t>
  </si>
  <si>
    <t>Loss of communication with device</t>
  </si>
  <si>
    <t>Perte de communication avec l'appareil</t>
  </si>
  <si>
    <t>فشل الاتصال</t>
  </si>
  <si>
    <t>Communication Failure</t>
  </si>
  <si>
    <t>Échec de Communication</t>
  </si>
  <si>
    <t>CRITICAL</t>
  </si>
  <si>
    <t>DRIFT</t>
  </si>
  <si>
    <t>انحراف في قيم القياس بمرور الوقت</t>
  </si>
  <si>
    <t>Measurement values drifting over time</t>
  </si>
  <si>
    <t>Valeurs de mesure dérivant dans le temps</t>
  </si>
  <si>
    <t>انحراف مكتشف</t>
  </si>
  <si>
    <t>Drift Detected</t>
  </si>
  <si>
    <t>Dérive Détectée</t>
  </si>
  <si>
    <t>Level</t>
  </si>
  <si>
    <t>PENDING</t>
  </si>
  <si>
    <t>البيانات في انتظار التحقق</t>
  </si>
  <si>
    <t>Data awaiting validation</t>
  </si>
  <si>
    <t>Données en attente de validation</t>
  </si>
  <si>
    <t>قيد الانتظار</t>
  </si>
  <si>
    <t>Pending Validation</t>
  </si>
  <si>
    <t>En Attente de Validation</t>
  </si>
  <si>
    <t>VALIDATED</t>
  </si>
  <si>
    <t>البيانات تم التحقق منها والموافقة عليها</t>
  </si>
  <si>
    <t>Data has been verified and approved</t>
  </si>
  <si>
    <t>Les données ont été vérifiées et approuvées</t>
  </si>
  <si>
    <t>تم التحقق</t>
  </si>
  <si>
    <t>Validated</t>
  </si>
  <si>
    <t>Validé</t>
  </si>
  <si>
    <t>REJECTED</t>
  </si>
  <si>
    <t>البيانات تم رفضها بسبب مشاكل في الجودة</t>
  </si>
  <si>
    <t>Data rejected due to quality issues</t>
  </si>
  <si>
    <t>Données rejetées en raison de problèmes de qualité</t>
  </si>
  <si>
    <t>مرفوض</t>
  </si>
  <si>
    <t>Rejected</t>
  </si>
  <si>
    <t>Rejeté</t>
  </si>
  <si>
    <t>REQUIRES_REVIEW</t>
  </si>
  <si>
    <t>البيانات تحتاج إلى مراجعة يدوية</t>
  </si>
  <si>
    <t>Data requires manual review</t>
  </si>
  <si>
    <t>Les données nécessitent une révision manuelle</t>
  </si>
  <si>
    <t>يتطلب مراجعة</t>
  </si>
  <si>
    <t>Requires Review</t>
  </si>
  <si>
    <t>Nécessite une Révision</t>
  </si>
  <si>
    <t>AUTO_VALIDATED</t>
  </si>
  <si>
    <t>التحقق التلقائي من البيانات ناجح</t>
  </si>
  <si>
    <t>Automatic validation successful</t>
  </si>
  <si>
    <t>Validation automatique réussie</t>
  </si>
  <si>
    <t>تم التحقق تلقائياً</t>
  </si>
  <si>
    <t>Auto-Validated</t>
  </si>
  <si>
    <t>Validé Automatiquement</t>
  </si>
  <si>
    <t>CORRECTED</t>
  </si>
  <si>
    <t>البيانات تم تصحيحها وإعادة التحقق منها</t>
  </si>
  <si>
    <t>Data has been corrected and revalidated</t>
  </si>
  <si>
    <t>Les données ont été corrigées et revalidées</t>
  </si>
  <si>
    <t>تم التصحيح</t>
  </si>
  <si>
    <t>Corrected</t>
  </si>
  <si>
    <t>Corrigé</t>
  </si>
  <si>
    <t>INSERT INTO T_03_02_06 (F_00, F_01, F_02, F_03, F_04, F_05, F_06, F_07) VALUES</t>
  </si>
  <si>
    <t>INSERT INTO T_03_02_05 (F_00, F_01, F_02, F_03, F_04, F_05, F_06, F_07, F_08) VALUES</t>
  </si>
  <si>
    <t>PRODUCTION</t>
  </si>
  <si>
    <t>إنتاج</t>
  </si>
  <si>
    <t>Production</t>
  </si>
  <si>
    <t>TRANSPORT</t>
  </si>
  <si>
    <t>نقل</t>
  </si>
  <si>
    <t>Transport</t>
  </si>
  <si>
    <t>EXPORT</t>
  </si>
  <si>
    <t>تصدير</t>
  </si>
  <si>
    <t>Exportation</t>
  </si>
  <si>
    <t>IMPORT</t>
  </si>
  <si>
    <t>استيراد</t>
  </si>
  <si>
    <t>Import</t>
  </si>
  <si>
    <t>Importation</t>
  </si>
  <si>
    <t>STORAGE_IN</t>
  </si>
  <si>
    <t>تخزين - دخول</t>
  </si>
  <si>
    <t>Storage In</t>
  </si>
  <si>
    <t>Stockage - Entrée</t>
  </si>
  <si>
    <t>STORAGE_OUT</t>
  </si>
  <si>
    <t>تخزين - خروج</t>
  </si>
  <si>
    <t>Storage Out</t>
  </si>
  <si>
    <t>Stockage - Sortie</t>
  </si>
  <si>
    <t>CONSUMPTION</t>
  </si>
  <si>
    <t>استهلاك</t>
  </si>
  <si>
    <t>Consumption</t>
  </si>
  <si>
    <t>Consommation</t>
  </si>
  <si>
    <t>INJECTION</t>
  </si>
  <si>
    <t>حقن</t>
  </si>
  <si>
    <t>Injection</t>
  </si>
  <si>
    <t>FLARING</t>
  </si>
  <si>
    <t>حرق</t>
  </si>
  <si>
    <t>Flaring</t>
  </si>
  <si>
    <t>Torchage</t>
  </si>
  <si>
    <t>TRANSFER</t>
  </si>
  <si>
    <t>نقل داخلي</t>
  </si>
  <si>
    <t>Transfer</t>
  </si>
  <si>
    <t>Transfert</t>
  </si>
  <si>
    <t>INSERT INTO T_03_01_01 (F_00, F_01, F_02, F_03, F_04) VALUES</t>
  </si>
  <si>
    <t>EMERGENCY_SHUTDOWN</t>
  </si>
  <si>
    <t>إيقاف طارئ</t>
  </si>
  <si>
    <t>Emergency Shutdown</t>
  </si>
  <si>
    <t>Arrêt d'Urgence</t>
  </si>
  <si>
    <t>PLANNED_MAINT</t>
  </si>
  <si>
    <t>صيانة مخططة</t>
  </si>
  <si>
    <t>Planned Maintenance</t>
  </si>
  <si>
    <t>Maintenance Planifiée</t>
  </si>
  <si>
    <t>CORRECTIVE_MAINT</t>
  </si>
  <si>
    <t>صيانة تصحيحية</t>
  </si>
  <si>
    <t>Corrective Maintenance</t>
  </si>
  <si>
    <t>Maintenance Corrective</t>
  </si>
  <si>
    <t>EQUIPMENT_FAILURE</t>
  </si>
  <si>
    <t>عطل في المعدات</t>
  </si>
  <si>
    <t>Equipment Failure</t>
  </si>
  <si>
    <t>Panne d'Équipement</t>
  </si>
  <si>
    <t>SAFETY_INCIDENT</t>
  </si>
  <si>
    <t>حادث أمان</t>
  </si>
  <si>
    <t>Safety Incident</t>
  </si>
  <si>
    <t>Incident de Sécurité</t>
  </si>
  <si>
    <t>INSPECTION</t>
  </si>
  <si>
    <t>تفتيش</t>
  </si>
  <si>
    <t>Inspection</t>
  </si>
  <si>
    <t>STARTUP</t>
  </si>
  <si>
    <t>بدء التشغيل</t>
  </si>
  <si>
    <t>Startup</t>
  </si>
  <si>
    <t>Démarrage</t>
  </si>
  <si>
    <t>NORMAL_SHUTDOWN</t>
  </si>
  <si>
    <t>إيقاف عادي</t>
  </si>
  <si>
    <t>Normal Shutdown</t>
  </si>
  <si>
    <t>Arrêt Normal</t>
  </si>
  <si>
    <t>PROCESS_UPSET</t>
  </si>
  <si>
    <t>اضطراب العملية</t>
  </si>
  <si>
    <t>Process Upset</t>
  </si>
  <si>
    <t>Perturbation du Processus</t>
  </si>
  <si>
    <t>LEAK_DETECTION</t>
  </si>
  <si>
    <t>كشف التسرب</t>
  </si>
  <si>
    <t>Leak Detection</t>
  </si>
  <si>
    <t>Détection de Fuite</t>
  </si>
  <si>
    <t>INSERT INTO T_03_01_02 (F_00, F_01, F_02, F_03, F_04) VALUES</t>
  </si>
  <si>
    <t>LR1/DLR1</t>
  </si>
  <si>
    <t>EL Kala</t>
  </si>
  <si>
    <t>SYSTEM-SETTING-CONSULTANT</t>
  </si>
  <si>
    <t>SYSTEM-UTILITY-CONSULTANT</t>
  </si>
  <si>
    <t>SYSTEM-SECURITY-CONSULTANT</t>
  </si>
  <si>
    <t>SYSTEM-AUDIT-CONSULTANT</t>
  </si>
  <si>
    <t>GENERAL-TYPE-CONSULTANT</t>
  </si>
  <si>
    <t>GENERAL-LOCALIZATION-CONSULTANT</t>
  </si>
  <si>
    <t>GENERAL-ORGANIZATION-CONSULTANT</t>
  </si>
  <si>
    <t>NETWORK-TYPE-CONSULTANT</t>
  </si>
  <si>
    <t>NETWORK-COMMON-CONSULTANT</t>
  </si>
  <si>
    <t>NETWORK-CORE-CONSULTANT</t>
  </si>
  <si>
    <t>FLOW-TYPE-CONSULTANT</t>
  </si>
  <si>
    <t>FLOW-COMMON-CONSULTANT</t>
  </si>
  <si>
    <t>FLOW-CORE-CONSULTANT</t>
  </si>
  <si>
    <t>Consult system setting data</t>
  </si>
  <si>
    <t>Consult system utility data</t>
  </si>
  <si>
    <t>Consult system security data</t>
  </si>
  <si>
    <t>Consult system audit data</t>
  </si>
  <si>
    <t>Consult general Type</t>
  </si>
  <si>
    <t>Consult general localization</t>
  </si>
  <si>
    <t>Consult general organization</t>
  </si>
  <si>
    <t>Consult network type data</t>
  </si>
  <si>
    <t>Consult network common data</t>
  </si>
  <si>
    <t>Consult network core data</t>
  </si>
  <si>
    <t>Consult flow type data</t>
  </si>
  <si>
    <t>Consult flow common data</t>
  </si>
  <si>
    <t>Consult flow core data</t>
  </si>
  <si>
    <t>Validate flow core data</t>
  </si>
  <si>
    <t>Validate system setting data</t>
  </si>
  <si>
    <t>Validate system utility data</t>
  </si>
  <si>
    <t>Validate system security data</t>
  </si>
  <si>
    <t>Validate system audit data</t>
  </si>
  <si>
    <t>Validate general Type</t>
  </si>
  <si>
    <t>Validate general localization</t>
  </si>
  <si>
    <t>Validate general organization</t>
  </si>
  <si>
    <t>Validate network type data</t>
  </si>
  <si>
    <t>Validate network common data</t>
  </si>
  <si>
    <t>Validate network core data</t>
  </si>
  <si>
    <t>Validate flow type data</t>
  </si>
  <si>
    <t>Validate flow common data</t>
  </si>
  <si>
    <t>SYSTEM-SETTING-VALIDATOR</t>
  </si>
  <si>
    <t>SYSTEM-UTILITY-VALIDATOR</t>
  </si>
  <si>
    <t>SYSTEM-SECURITY-VALIDATOR</t>
  </si>
  <si>
    <t>SYSTEM-AUDIT-VALIDATOR</t>
  </si>
  <si>
    <t>GENERAL-TYPE-VALIDATOR</t>
  </si>
  <si>
    <t>GENERAL-LOCALIZATION-VALIDATOR</t>
  </si>
  <si>
    <t>GENERAL-ORGANIZATION-VALIDATOR</t>
  </si>
  <si>
    <t>NETWORK-TYPE-VALIDATOR</t>
  </si>
  <si>
    <t>NETWORK-COMMON-VALIDATOR</t>
  </si>
  <si>
    <t>NETWORK-CORE-VALIDATOR</t>
  </si>
  <si>
    <t>FLOW-TYPE-VALIDATOR</t>
  </si>
  <si>
    <t>FLOW-COMMON-VALIDATOR</t>
  </si>
  <si>
    <t>FLOW-CORE-VALIDATOR</t>
  </si>
  <si>
    <t>SYSTEM_ADMIN</t>
  </si>
  <si>
    <t>INFRASTRUCTURE_ADMIN</t>
  </si>
  <si>
    <t>INFRASTRUCTURE_EDITOR</t>
  </si>
  <si>
    <t>INFRASTRUCTURE_CONSULTANT</t>
  </si>
  <si>
    <t>ORGANIZATION_ADMIN</t>
  </si>
  <si>
    <t>MONITORING_ADMIN</t>
  </si>
  <si>
    <t>ORGANIZATION_EDITOR</t>
  </si>
  <si>
    <t>ORGANIZATION_CONSULTANT</t>
  </si>
  <si>
    <t>MONITORING_CONSULTANT</t>
  </si>
  <si>
    <t>MONITORING_OPERATOR</t>
  </si>
  <si>
    <t>MONITORING_VALIDATOR</t>
  </si>
  <si>
    <t>Manage system (Security, Settings, Audit)</t>
  </si>
  <si>
    <t>Manage infrastructure (type, common and core infrastructure)</t>
  </si>
  <si>
    <t>Edit infrastructure (common and core infrastructure)</t>
  </si>
  <si>
    <t>Edit organization (common and core organization and localization)</t>
  </si>
  <si>
    <t>Manage organization (type, common and core organization and localization)</t>
  </si>
  <si>
    <t>View infrastructure data</t>
  </si>
  <si>
    <t>View organization data</t>
  </si>
  <si>
    <t>Manage flow monitoring process</t>
  </si>
  <si>
    <t>Validate flow monitoring readings</t>
  </si>
  <si>
    <t>Record flow monitoring data</t>
  </si>
  <si>
    <t>View flow monitoring data and statistics</t>
  </si>
  <si>
    <t>ONET-KL</t>
  </si>
  <si>
    <t>Terminal d\'Exportation Terrestre El Kala</t>
  </si>
  <si>
    <t>Manager</t>
  </si>
  <si>
    <t>INSERT INTO T_02_03_08 (F_00, F_08, F_09, F_10, F_11, F_12, F_13, F_14, F_15, F_16, F_17, F_18, F_19, F_20, F_21, F_22, F_23, F_24) VALUES</t>
  </si>
  <si>
    <t>DT-MDZ</t>
  </si>
  <si>
    <t>Terminal de Distribution Mocta Douz</t>
  </si>
  <si>
    <t>SP4-OH1</t>
  </si>
  <si>
    <t>Station de Pompage SP4-OH1</t>
  </si>
  <si>
    <t>S01-OZ1</t>
  </si>
  <si>
    <t>8.74</t>
  </si>
  <si>
    <t>S02-OZ1</t>
  </si>
  <si>
    <t>S03-OZ1</t>
  </si>
  <si>
    <t>S04-OZ1</t>
  </si>
  <si>
    <t>S05-OZ1</t>
  </si>
  <si>
    <t>S06-OZ1</t>
  </si>
  <si>
    <t>S07-OZ1</t>
  </si>
  <si>
    <t>Segment 01-OZ1</t>
  </si>
  <si>
    <t>Segment 02-OZ2</t>
  </si>
  <si>
    <t>Start</t>
  </si>
  <si>
    <t>End</t>
  </si>
  <si>
    <t>PipelineId</t>
  </si>
  <si>
    <t>SP1-OZ1/OZ2</t>
  </si>
  <si>
    <t>SP2-OZ1/OZ2</t>
  </si>
  <si>
    <t>SP3-OZ1/OZ2</t>
  </si>
  <si>
    <t>SP4-OZ1/OZ2</t>
  </si>
  <si>
    <t>SP5-OZ1/OZ2</t>
  </si>
  <si>
    <t>SP6-OZ1/OZ2</t>
  </si>
  <si>
    <t>PRS-OZ1/OZ2</t>
  </si>
  <si>
    <t>Segment 02-OZ1</t>
  </si>
  <si>
    <t>Segment 03-OZ1</t>
  </si>
  <si>
    <t>Segment 04-OZ1</t>
  </si>
  <si>
    <t>Segment 05-OZ1</t>
  </si>
  <si>
    <t>Segment 06-OZ1</t>
  </si>
  <si>
    <t>Segment 07-OZ1</t>
  </si>
  <si>
    <t>S01-OZ2</t>
  </si>
  <si>
    <t>S02-OZ2</t>
  </si>
  <si>
    <t>S03-OZ2</t>
  </si>
  <si>
    <t>S04-OZ2</t>
  </si>
  <si>
    <t>S05-OZ2</t>
  </si>
  <si>
    <t>S06-OZ2</t>
  </si>
  <si>
    <t>S07-OZ2</t>
  </si>
  <si>
    <t>Segment 01-OZ2</t>
  </si>
  <si>
    <t>Segment 03-OZ2</t>
  </si>
  <si>
    <t>Segment 04-OZ2</t>
  </si>
  <si>
    <t>Segment 05-OZ2</t>
  </si>
  <si>
    <t>Segment 06-OZ2</t>
  </si>
  <si>
    <t>Segment 07-OZ2</t>
  </si>
  <si>
    <t>7.92</t>
  </si>
  <si>
    <t>7.93</t>
  </si>
  <si>
    <t>7.94</t>
  </si>
  <si>
    <t>7.95</t>
  </si>
  <si>
    <t>7.96</t>
  </si>
  <si>
    <t>7.97</t>
  </si>
  <si>
    <t>7.98</t>
  </si>
  <si>
    <t>INSERT INTO T_02_03_09 (F_00, F_08, F_09, F_10, F_11, F_12, F_13, F_14, F_15, F_16, F_17, F_18, F_19) VALUES</t>
  </si>
  <si>
    <t>Segment 01-OK1</t>
  </si>
  <si>
    <t>Segment 02-OK1</t>
  </si>
  <si>
    <t>Segment 03-OK1</t>
  </si>
  <si>
    <t>Segment 04-OK1</t>
  </si>
  <si>
    <t>Station de Pompage SP1-OZ1/OZ2</t>
  </si>
  <si>
    <t>Station de Pompage SP2-OZ1/OZ2</t>
  </si>
  <si>
    <t>Station de Pompage PRS-OZ1/OZ2</t>
  </si>
  <si>
    <t>S01-OK1</t>
  </si>
  <si>
    <t>S02-OK1</t>
  </si>
  <si>
    <t>S03-OK1</t>
  </si>
  <si>
    <t>S04-OK1</t>
  </si>
</sst>
</file>

<file path=xl/styles.xml><?xml version="1.0" encoding="utf-8"?>
<styleSheet xmlns="http://schemas.openxmlformats.org/spreadsheetml/2006/main" xmlns:mc="http://schemas.openxmlformats.org/markup-compatibility/2006" xmlns:x14ac="http://schemas.microsoft.com/office/spreadsheetml/2009/9/ac" mc:Ignorable="x14ac">
  <numFmts count="6">
    <numFmt numFmtId="164" formatCode="00"/>
    <numFmt numFmtId="165" formatCode="0000"/>
    <numFmt numFmtId="166" formatCode="0.000000"/>
    <numFmt numFmtId="167" formatCode="yyyy\-mm\-dd;@"/>
    <numFmt numFmtId="168" formatCode="0.000"/>
    <numFmt numFmtId="169" formatCode="[$-12C0C]dd/mm/yyyy;@"/>
  </numFmts>
  <fonts count="8" x14ac:knownFonts="1">
    <font>
      <sz val="11"/>
      <color theme="1"/>
      <name val="Calibri"/>
      <family val="2"/>
      <scheme val="minor"/>
    </font>
    <font>
      <sz val="12"/>
      <color theme="1"/>
      <name val="Arial Narrow"/>
      <family val="2"/>
    </font>
    <font>
      <sz val="8"/>
      <name val="Calibri"/>
      <family val="2"/>
      <scheme val="minor"/>
    </font>
    <font>
      <b/>
      <sz val="12"/>
      <color theme="1"/>
      <name val="Arial Narrow"/>
      <family val="2"/>
    </font>
    <font>
      <sz val="11"/>
      <name val="Calibri"/>
      <family val="2"/>
      <scheme val="minor"/>
    </font>
    <font>
      <b/>
      <sz val="11"/>
      <color theme="1"/>
      <name val="Arial"/>
      <family val="2"/>
    </font>
    <font>
      <sz val="11"/>
      <color theme="1"/>
      <name val="Arial"/>
      <family val="2"/>
    </font>
    <font>
      <b/>
      <sz val="11"/>
      <color theme="1"/>
      <name val="Calibri"/>
      <family val="2"/>
      <scheme val="minor"/>
    </font>
  </fonts>
  <fills count="10">
    <fill>
      <patternFill patternType="none"/>
    </fill>
    <fill>
      <patternFill patternType="gray125"/>
    </fill>
    <fill>
      <patternFill patternType="solid">
        <fgColor theme="0" tint="-0.14999847407452621"/>
        <bgColor indexed="64"/>
      </patternFill>
    </fill>
    <fill>
      <patternFill patternType="solid">
        <fgColor rgb="FFFFFF00"/>
        <bgColor indexed="64"/>
      </patternFill>
    </fill>
    <fill>
      <patternFill patternType="solid">
        <fgColor rgb="FF00B0F0"/>
        <bgColor indexed="64"/>
      </patternFill>
    </fill>
    <fill>
      <patternFill patternType="solid">
        <fgColor theme="9" tint="0.59999389629810485"/>
        <bgColor indexed="64"/>
      </patternFill>
    </fill>
    <fill>
      <patternFill patternType="solid">
        <fgColor rgb="FFF2F2F2"/>
        <bgColor indexed="64"/>
      </patternFill>
    </fill>
    <fill>
      <patternFill patternType="solid">
        <fgColor rgb="FFFF0000"/>
        <bgColor indexed="64"/>
      </patternFill>
    </fill>
    <fill>
      <patternFill patternType="solid">
        <fgColor theme="9" tint="0.79998168889431442"/>
        <bgColor indexed="64"/>
      </patternFill>
    </fill>
    <fill>
      <patternFill patternType="solid">
        <fgColor theme="4" tint="0.79998168889431442"/>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medium">
        <color rgb="FFDDDDDD"/>
      </left>
      <right style="medium">
        <color rgb="FFDDDDDD"/>
      </right>
      <top style="medium">
        <color rgb="FFDDDDDD"/>
      </top>
      <bottom style="medium">
        <color rgb="FFDDDDDD"/>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s>
  <cellStyleXfs count="1">
    <xf numFmtId="0" fontId="0" fillId="0" borderId="0"/>
  </cellStyleXfs>
  <cellXfs count="69">
    <xf numFmtId="0" fontId="0" fillId="0" borderId="0" xfId="0"/>
    <xf numFmtId="0" fontId="3" fillId="2" borderId="1" xfId="0" applyFont="1" applyFill="1" applyBorder="1" applyAlignment="1">
      <alignment horizontal="center" vertical="center"/>
    </xf>
    <xf numFmtId="0" fontId="1" fillId="0" borderId="0" xfId="0" applyFont="1"/>
    <xf numFmtId="164" fontId="1" fillId="0" borderId="1" xfId="0" applyNumberFormat="1" applyFont="1" applyBorder="1" applyAlignment="1">
      <alignment horizontal="center" vertical="center"/>
    </xf>
    <xf numFmtId="0" fontId="1" fillId="0" borderId="1" xfId="0" applyFont="1" applyBorder="1" applyAlignment="1">
      <alignment vertical="center"/>
    </xf>
    <xf numFmtId="0" fontId="1" fillId="0" borderId="1" xfId="0" applyFont="1" applyBorder="1" applyAlignment="1">
      <alignment horizontal="center" vertical="center"/>
    </xf>
    <xf numFmtId="49" fontId="1" fillId="0" borderId="1" xfId="0" applyNumberFormat="1" applyFont="1" applyBorder="1" applyAlignment="1">
      <alignment horizontal="center" vertical="center"/>
    </xf>
    <xf numFmtId="0" fontId="1" fillId="0" borderId="1" xfId="0" applyNumberFormat="1" applyFont="1" applyBorder="1" applyAlignment="1">
      <alignment horizontal="center" vertical="center"/>
    </xf>
    <xf numFmtId="165" fontId="1" fillId="0" borderId="1" xfId="0" applyNumberFormat="1" applyFont="1" applyBorder="1" applyAlignment="1">
      <alignment horizontal="center" vertical="center"/>
    </xf>
    <xf numFmtId="166" fontId="3" fillId="2" borderId="1" xfId="0" applyNumberFormat="1" applyFont="1" applyFill="1" applyBorder="1" applyAlignment="1">
      <alignment horizontal="center" vertical="center"/>
    </xf>
    <xf numFmtId="166" fontId="1" fillId="0" borderId="1" xfId="0" applyNumberFormat="1" applyFont="1" applyBorder="1" applyAlignment="1">
      <alignment vertical="center"/>
    </xf>
    <xf numFmtId="166" fontId="1" fillId="0" borderId="0" xfId="0" applyNumberFormat="1" applyFont="1"/>
    <xf numFmtId="49" fontId="3" fillId="2" borderId="1" xfId="0" applyNumberFormat="1" applyFont="1" applyFill="1" applyBorder="1" applyAlignment="1">
      <alignment horizontal="center" vertical="center"/>
    </xf>
    <xf numFmtId="49" fontId="1" fillId="0" borderId="1" xfId="0" applyNumberFormat="1" applyFont="1" applyBorder="1" applyAlignment="1">
      <alignment vertical="center"/>
    </xf>
    <xf numFmtId="49" fontId="1" fillId="0" borderId="0" xfId="0" applyNumberFormat="1" applyFont="1"/>
    <xf numFmtId="1" fontId="1" fillId="0" borderId="1" xfId="0" applyNumberFormat="1" applyFont="1" applyBorder="1" applyAlignment="1">
      <alignment horizontal="center" vertical="center"/>
    </xf>
    <xf numFmtId="0" fontId="1" fillId="0" borderId="1" xfId="0" applyFont="1" applyBorder="1" applyAlignment="1">
      <alignment vertical="center" wrapText="1"/>
    </xf>
    <xf numFmtId="165" fontId="1" fillId="0" borderId="1" xfId="0" applyNumberFormat="1" applyFont="1" applyBorder="1" applyAlignment="1">
      <alignment horizontal="left" vertical="center"/>
    </xf>
    <xf numFmtId="165" fontId="1" fillId="0" borderId="1" xfId="0" applyNumberFormat="1" applyFont="1" applyBorder="1" applyAlignment="1">
      <alignment horizontal="left" vertical="center" wrapText="1"/>
    </xf>
    <xf numFmtId="0" fontId="0" fillId="3" borderId="0" xfId="0" applyFill="1"/>
    <xf numFmtId="0" fontId="4" fillId="4" borderId="0" xfId="0" applyFont="1" applyFill="1"/>
    <xf numFmtId="0" fontId="0" fillId="4" borderId="0" xfId="0" applyFill="1"/>
    <xf numFmtId="167" fontId="1" fillId="0" borderId="1" xfId="0" applyNumberFormat="1" applyFont="1" applyBorder="1" applyAlignment="1">
      <alignment horizontal="center" vertical="center"/>
    </xf>
    <xf numFmtId="14" fontId="0" fillId="0" borderId="0" xfId="0" applyNumberFormat="1"/>
    <xf numFmtId="14" fontId="0" fillId="3" borderId="0" xfId="0" applyNumberFormat="1" applyFill="1"/>
    <xf numFmtId="167" fontId="1" fillId="0" borderId="1" xfId="0" applyNumberFormat="1" applyFont="1" applyFill="1" applyBorder="1" applyAlignment="1">
      <alignment horizontal="center" vertical="center"/>
    </xf>
    <xf numFmtId="0" fontId="3" fillId="5" borderId="1" xfId="0" applyFont="1" applyFill="1" applyBorder="1" applyAlignment="1">
      <alignment horizontal="center" vertical="center"/>
    </xf>
    <xf numFmtId="165" fontId="1" fillId="5" borderId="1" xfId="0" applyNumberFormat="1" applyFont="1" applyFill="1" applyBorder="1" applyAlignment="1">
      <alignment horizontal="left" vertical="center"/>
    </xf>
    <xf numFmtId="165" fontId="1" fillId="5" borderId="1" xfId="0" applyNumberFormat="1" applyFont="1" applyFill="1" applyBorder="1" applyAlignment="1">
      <alignment horizontal="left" vertical="center" wrapText="1"/>
    </xf>
    <xf numFmtId="0" fontId="1" fillId="0" borderId="1" xfId="0" applyNumberFormat="1" applyFont="1" applyFill="1" applyBorder="1" applyAlignment="1">
      <alignment horizontal="center" vertical="center"/>
    </xf>
    <xf numFmtId="0" fontId="1" fillId="0" borderId="1" xfId="0" applyFont="1" applyBorder="1" applyAlignment="1">
      <alignment horizontal="center" vertical="center" wrapText="1"/>
    </xf>
    <xf numFmtId="168" fontId="1" fillId="0" borderId="1" xfId="0" applyNumberFormat="1" applyFont="1" applyBorder="1" applyAlignment="1">
      <alignment horizontal="center" vertical="center"/>
    </xf>
    <xf numFmtId="0" fontId="5" fillId="6" borderId="2" xfId="0" applyFont="1" applyFill="1" applyBorder="1" applyAlignment="1">
      <alignment horizontal="left" vertical="center" wrapText="1"/>
    </xf>
    <xf numFmtId="0" fontId="5" fillId="0" borderId="2" xfId="0" applyFont="1" applyBorder="1" applyAlignment="1">
      <alignment horizontal="left" vertical="center" wrapText="1"/>
    </xf>
    <xf numFmtId="0" fontId="6" fillId="0" borderId="2" xfId="0" applyFont="1" applyBorder="1" applyAlignment="1">
      <alignment horizontal="left" vertical="center" wrapText="1"/>
    </xf>
    <xf numFmtId="0" fontId="1" fillId="0" borderId="0" xfId="0" applyFont="1" applyBorder="1" applyAlignment="1">
      <alignment horizontal="center" vertical="center"/>
    </xf>
    <xf numFmtId="0" fontId="1" fillId="0" borderId="3" xfId="0" applyFont="1" applyBorder="1" applyAlignment="1">
      <alignment horizontal="center" vertical="center"/>
    </xf>
    <xf numFmtId="14" fontId="1" fillId="0" borderId="0" xfId="0" applyNumberFormat="1" applyFont="1"/>
    <xf numFmtId="0" fontId="7" fillId="0" borderId="0" xfId="0" applyFont="1" applyAlignment="1">
      <alignment horizontal="center" vertical="center" wrapText="1"/>
    </xf>
    <xf numFmtId="0" fontId="0" fillId="0" borderId="0" xfId="0" applyAlignment="1">
      <alignment vertical="center" wrapText="1"/>
    </xf>
    <xf numFmtId="0" fontId="3" fillId="2" borderId="4" xfId="0" applyFont="1" applyFill="1" applyBorder="1" applyAlignment="1">
      <alignment horizontal="center" vertical="center"/>
    </xf>
    <xf numFmtId="20" fontId="6" fillId="0" borderId="1" xfId="0" applyNumberFormat="1" applyFont="1" applyBorder="1" applyAlignment="1">
      <alignment horizontal="center" vertical="center" wrapText="1"/>
    </xf>
    <xf numFmtId="164" fontId="1" fillId="3" borderId="1" xfId="0" applyNumberFormat="1" applyFont="1" applyFill="1" applyBorder="1" applyAlignment="1">
      <alignment horizontal="center" vertical="center"/>
    </xf>
    <xf numFmtId="0" fontId="1" fillId="3" borderId="1" xfId="0" applyFont="1" applyFill="1" applyBorder="1" applyAlignment="1">
      <alignment vertical="center"/>
    </xf>
    <xf numFmtId="0" fontId="1" fillId="3" borderId="1" xfId="0" applyFont="1" applyFill="1" applyBorder="1" applyAlignment="1">
      <alignment vertical="center" wrapText="1"/>
    </xf>
    <xf numFmtId="0" fontId="1" fillId="0" borderId="1" xfId="0" applyFont="1" applyFill="1" applyBorder="1" applyAlignment="1">
      <alignment horizontal="center" vertical="center"/>
    </xf>
    <xf numFmtId="0" fontId="1" fillId="0" borderId="0" xfId="0" applyFont="1" applyAlignment="1">
      <alignment horizontal="left"/>
    </xf>
    <xf numFmtId="169" fontId="1" fillId="0" borderId="1" xfId="0" applyNumberFormat="1" applyFont="1" applyFill="1" applyBorder="1" applyAlignment="1">
      <alignment horizontal="left" vertical="center"/>
    </xf>
    <xf numFmtId="165" fontId="1" fillId="7" borderId="1" xfId="0" applyNumberFormat="1" applyFont="1" applyFill="1" applyBorder="1" applyAlignment="1">
      <alignment horizontal="left" vertical="center"/>
    </xf>
    <xf numFmtId="0" fontId="1" fillId="3" borderId="0" xfId="0" applyFont="1" applyFill="1" applyBorder="1" applyAlignment="1">
      <alignment horizontal="center" vertical="center"/>
    </xf>
    <xf numFmtId="0" fontId="1" fillId="3" borderId="1" xfId="0" applyFont="1" applyFill="1" applyBorder="1" applyAlignment="1">
      <alignment horizontal="center" vertical="center"/>
    </xf>
    <xf numFmtId="165" fontId="1" fillId="3" borderId="1" xfId="0" applyNumberFormat="1" applyFont="1" applyFill="1" applyBorder="1" applyAlignment="1">
      <alignment horizontal="left" vertical="center"/>
    </xf>
    <xf numFmtId="167" fontId="1" fillId="3" borderId="1" xfId="0" applyNumberFormat="1" applyFont="1" applyFill="1" applyBorder="1" applyAlignment="1">
      <alignment horizontal="center" vertical="center"/>
    </xf>
    <xf numFmtId="0" fontId="1" fillId="8" borderId="1" xfId="0" applyFont="1" applyFill="1" applyBorder="1" applyAlignment="1">
      <alignment horizontal="center" vertical="center"/>
    </xf>
    <xf numFmtId="164" fontId="1" fillId="8" borderId="1" xfId="0" applyNumberFormat="1" applyFont="1" applyFill="1" applyBorder="1" applyAlignment="1">
      <alignment horizontal="center" vertical="center"/>
    </xf>
    <xf numFmtId="164" fontId="1" fillId="9" borderId="1" xfId="0" applyNumberFormat="1" applyFont="1" applyFill="1" applyBorder="1" applyAlignment="1">
      <alignment horizontal="center" vertical="center"/>
    </xf>
    <xf numFmtId="165" fontId="1" fillId="9" borderId="1" xfId="0" applyNumberFormat="1" applyFont="1" applyFill="1" applyBorder="1" applyAlignment="1">
      <alignment horizontal="left" vertical="center"/>
    </xf>
    <xf numFmtId="0" fontId="1" fillId="9" borderId="1" xfId="0" applyFont="1" applyFill="1" applyBorder="1" applyAlignment="1">
      <alignment vertical="center"/>
    </xf>
    <xf numFmtId="167" fontId="1" fillId="9" borderId="1" xfId="0" applyNumberFormat="1" applyFont="1" applyFill="1" applyBorder="1" applyAlignment="1">
      <alignment horizontal="center" vertical="center"/>
    </xf>
    <xf numFmtId="0" fontId="1" fillId="9" borderId="1" xfId="0" applyFont="1" applyFill="1" applyBorder="1" applyAlignment="1">
      <alignment horizontal="center" vertical="center"/>
    </xf>
    <xf numFmtId="1" fontId="1" fillId="9" borderId="1" xfId="0" applyNumberFormat="1" applyFont="1" applyFill="1" applyBorder="1" applyAlignment="1">
      <alignment horizontal="center" vertical="center"/>
    </xf>
    <xf numFmtId="0" fontId="1" fillId="9" borderId="1" xfId="0" applyNumberFormat="1" applyFont="1" applyFill="1" applyBorder="1" applyAlignment="1">
      <alignment horizontal="center" vertical="center"/>
    </xf>
    <xf numFmtId="168" fontId="1" fillId="9" borderId="1" xfId="0" applyNumberFormat="1" applyFont="1" applyFill="1" applyBorder="1" applyAlignment="1">
      <alignment horizontal="center" vertical="center"/>
    </xf>
    <xf numFmtId="168" fontId="1" fillId="9" borderId="1" xfId="0" applyNumberFormat="1" applyFont="1" applyFill="1" applyBorder="1" applyAlignment="1">
      <alignment horizontal="right" vertical="center"/>
    </xf>
    <xf numFmtId="0" fontId="1" fillId="9" borderId="0" xfId="0" applyFont="1" applyFill="1" applyBorder="1" applyAlignment="1">
      <alignment horizontal="center" vertical="center"/>
    </xf>
    <xf numFmtId="0" fontId="1" fillId="9" borderId="3" xfId="0" applyFont="1" applyFill="1" applyBorder="1" applyAlignment="1">
      <alignment horizontal="center" vertical="center"/>
    </xf>
    <xf numFmtId="169" fontId="1" fillId="9" borderId="1" xfId="0" applyNumberFormat="1" applyFont="1" applyFill="1" applyBorder="1" applyAlignment="1">
      <alignment horizontal="left" vertical="center"/>
    </xf>
    <xf numFmtId="0" fontId="1" fillId="9" borderId="1" xfId="0" applyFont="1" applyFill="1" applyBorder="1" applyAlignment="1">
      <alignment horizontal="center" vertical="center" wrapText="1"/>
    </xf>
    <xf numFmtId="0" fontId="1" fillId="9" borderId="0" xfId="0" applyFont="1" applyFill="1"/>
  </cellXfs>
  <cellStyles count="1">
    <cellStyle name="Normal" xfId="0" builtinId="0"/>
  </cellStyles>
  <dxfs count="1">
    <dxf>
      <fill>
        <patternFill patternType="none">
          <fgColor indexed="64"/>
          <bgColor indexed="65"/>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worksheet" Target="worksheets/sheet58.xml"/><Relationship Id="rId66" Type="http://schemas.openxmlformats.org/officeDocument/2006/relationships/styles" Target="styles.xml"/><Relationship Id="rId5" Type="http://schemas.openxmlformats.org/officeDocument/2006/relationships/worksheet" Target="worksheets/sheet5.xml"/><Relationship Id="rId61" Type="http://schemas.openxmlformats.org/officeDocument/2006/relationships/worksheet" Target="worksheets/sheet61.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theme" Target="theme/theme1.xml"/><Relationship Id="rId69" Type="http://schemas.openxmlformats.org/officeDocument/2006/relationships/customXml" Target="../customXml/item1.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sharedStrings" Target="sharedStrings.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s>
</file>

<file path=xl/queryTables/queryTable1.xml><?xml version="1.0" encoding="utf-8"?>
<queryTable xmlns="http://schemas.openxmlformats.org/spreadsheetml/2006/main" name="Algerian_Hydrocarbon_Pipelines_Integrated" connectionId="1" autoFormatId="16" applyNumberFormats="0" applyBorderFormats="0" applyFontFormats="0" applyPatternFormats="0" applyAlignmentFormats="0" applyWidthHeightFormats="0"/>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47.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9.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0.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_rels/sheet61.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1:D10"/>
  <sheetViews>
    <sheetView workbookViewId="0">
      <selection activeCell="B7" sqref="B7:B10"/>
    </sheetView>
  </sheetViews>
  <sheetFormatPr baseColWidth="10" defaultColWidth="10.85546875" defaultRowHeight="15.75" x14ac:dyDescent="0.25"/>
  <cols>
    <col min="1" max="1" width="4.42578125" style="2" customWidth="1"/>
    <col min="2" max="2" width="25.7109375" style="2" customWidth="1"/>
    <col min="3" max="3" width="80.7109375" style="2" customWidth="1"/>
    <col min="4" max="4" width="100.7109375" style="2" customWidth="1"/>
    <col min="5" max="16384" width="10.85546875" style="2"/>
  </cols>
  <sheetData>
    <row r="1" spans="1:4" ht="20.100000000000001" customHeight="1" x14ac:dyDescent="0.25">
      <c r="A1" s="1" t="s">
        <v>37</v>
      </c>
      <c r="B1" s="1" t="s">
        <v>4572</v>
      </c>
      <c r="C1" s="1" t="s">
        <v>5263</v>
      </c>
      <c r="D1" s="1" t="s">
        <v>5597</v>
      </c>
    </row>
    <row r="2" spans="1:4" ht="20.100000000000001" customHeight="1" x14ac:dyDescent="0.25">
      <c r="A2" s="1" t="s">
        <v>44</v>
      </c>
      <c r="B2" s="1" t="s">
        <v>41</v>
      </c>
      <c r="C2" s="1" t="s">
        <v>42</v>
      </c>
      <c r="D2" s="1" t="s">
        <v>5843</v>
      </c>
    </row>
    <row r="3" spans="1:4" ht="20.100000000000001" customHeight="1" x14ac:dyDescent="0.25">
      <c r="A3" s="3">
        <v>1</v>
      </c>
      <c r="B3" s="4" t="s">
        <v>5680</v>
      </c>
      <c r="C3" s="4" t="s">
        <v>5679</v>
      </c>
      <c r="D3" s="16" t="str">
        <f>CONCATENATE("(",A3,",'",B3,"','",C3,"'),")</f>
        <v>(1,'System Administrators','Group Members has all permissions on data belongs to system component'),</v>
      </c>
    </row>
    <row r="4" spans="1:4" ht="20.100000000000001" customHeight="1" x14ac:dyDescent="0.25">
      <c r="A4" s="3">
        <v>2</v>
      </c>
      <c r="B4" s="4" t="s">
        <v>5682</v>
      </c>
      <c r="C4" s="4" t="s">
        <v>5681</v>
      </c>
      <c r="D4" s="16" t="str">
        <f t="shared" ref="D4:D10" si="0">CONCATENATE("(",A4,",'",B4,"','",C4,"'),")</f>
        <v>(2,'Business Administrators','Group Members has all permissions on data belongs to business component'),</v>
      </c>
    </row>
    <row r="5" spans="1:4" ht="20.100000000000001" customHeight="1" x14ac:dyDescent="0.25">
      <c r="A5" s="3">
        <v>3</v>
      </c>
      <c r="B5" s="4" t="s">
        <v>5684</v>
      </c>
      <c r="C5" s="4" t="s">
        <v>5683</v>
      </c>
      <c r="D5" s="16" t="str">
        <f t="shared" si="0"/>
        <v>(3,'Common Administrators','Group Members has all permissions on data belongs to common component'),</v>
      </c>
    </row>
    <row r="6" spans="1:4" ht="20.100000000000001" customHeight="1" x14ac:dyDescent="0.25">
      <c r="A6" s="3">
        <v>4</v>
      </c>
      <c r="B6" s="4" t="s">
        <v>5686</v>
      </c>
      <c r="C6" s="4" t="s">
        <v>5685</v>
      </c>
      <c r="D6" s="16" t="str">
        <f t="shared" si="0"/>
        <v>(4,'Network Administrators','Group Members has all permissions on data belongs to network component'),</v>
      </c>
    </row>
    <row r="7" spans="1:4" ht="20.100000000000001" customHeight="1" x14ac:dyDescent="0.25">
      <c r="A7" s="3">
        <v>5</v>
      </c>
      <c r="B7" s="4" t="s">
        <v>5688</v>
      </c>
      <c r="C7" s="4" t="s">
        <v>5687</v>
      </c>
      <c r="D7" s="16" t="str">
        <f t="shared" si="0"/>
        <v>(5,'System Users','Group Members has read permission on data belongs to system component'),</v>
      </c>
    </row>
    <row r="8" spans="1:4" ht="20.100000000000001" customHeight="1" x14ac:dyDescent="0.25">
      <c r="A8" s="3">
        <v>6</v>
      </c>
      <c r="B8" s="4" t="s">
        <v>5690</v>
      </c>
      <c r="C8" s="4" t="s">
        <v>5689</v>
      </c>
      <c r="D8" s="16" t="str">
        <f t="shared" si="0"/>
        <v>(6,'Business Users','Group Members has read permission on data belongs to business component'),</v>
      </c>
    </row>
    <row r="9" spans="1:4" ht="20.100000000000001" customHeight="1" x14ac:dyDescent="0.25">
      <c r="A9" s="3">
        <v>7</v>
      </c>
      <c r="B9" s="4" t="s">
        <v>5692</v>
      </c>
      <c r="C9" s="4" t="s">
        <v>5691</v>
      </c>
      <c r="D9" s="16" t="str">
        <f t="shared" si="0"/>
        <v>(7,'Common Users','Group Members has read permission on data belongs to common component'),</v>
      </c>
    </row>
    <row r="10" spans="1:4" ht="20.100000000000001" customHeight="1" x14ac:dyDescent="0.25">
      <c r="A10" s="3">
        <v>8</v>
      </c>
      <c r="B10" s="4" t="s">
        <v>5694</v>
      </c>
      <c r="C10" s="4" t="s">
        <v>5693</v>
      </c>
      <c r="D10" s="16" t="str">
        <f t="shared" si="0"/>
        <v>(8,'Network Users','Group Members has read permission on data belongs to network component'),</v>
      </c>
    </row>
  </sheetData>
  <autoFilter ref="A2:C10"/>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5" tint="0.59999389629810485"/>
  </sheetPr>
  <dimension ref="A1:C20"/>
  <sheetViews>
    <sheetView workbookViewId="0">
      <selection activeCell="C18" sqref="C18"/>
    </sheetView>
  </sheetViews>
  <sheetFormatPr baseColWidth="10" defaultColWidth="10.85546875" defaultRowHeight="15.75" x14ac:dyDescent="0.25"/>
  <cols>
    <col min="1" max="2" width="10.5703125" style="2" customWidth="1"/>
    <col min="3" max="3" width="50.5703125" style="2" customWidth="1"/>
    <col min="4" max="16384" width="10.85546875" style="2"/>
  </cols>
  <sheetData>
    <row r="1" spans="1:3" ht="20.100000000000001" customHeight="1" x14ac:dyDescent="0.25">
      <c r="A1" s="1" t="s">
        <v>6070</v>
      </c>
      <c r="B1" s="1" t="s">
        <v>6071</v>
      </c>
      <c r="C1" s="1" t="s">
        <v>5597</v>
      </c>
    </row>
    <row r="2" spans="1:3" ht="20.100000000000001" customHeight="1" x14ac:dyDescent="0.25">
      <c r="A2" s="1" t="s">
        <v>41</v>
      </c>
      <c r="B2" s="1" t="s">
        <v>42</v>
      </c>
      <c r="C2" s="1" t="s">
        <v>6072</v>
      </c>
    </row>
    <row r="3" spans="1:3" ht="20.100000000000001" customHeight="1" x14ac:dyDescent="0.25">
      <c r="A3" s="4">
        <v>1</v>
      </c>
      <c r="B3" s="4">
        <v>1</v>
      </c>
      <c r="C3" s="16" t="str">
        <f>CONCATENATE("(",A3,",",B3,"),")</f>
        <v>(1,1),</v>
      </c>
    </row>
    <row r="4" spans="1:3" ht="20.100000000000001" customHeight="1" x14ac:dyDescent="0.25">
      <c r="A4" s="4">
        <v>1</v>
      </c>
      <c r="B4" s="4">
        <v>2</v>
      </c>
      <c r="C4" s="16" t="str">
        <f t="shared" ref="C4:C19" si="0">CONCATENATE("(",A4,",",B4,"),")</f>
        <v>(1,2),</v>
      </c>
    </row>
    <row r="5" spans="1:3" ht="20.100000000000001" customHeight="1" x14ac:dyDescent="0.25">
      <c r="A5" s="4">
        <v>1</v>
      </c>
      <c r="B5" s="4">
        <v>3</v>
      </c>
      <c r="C5" s="16" t="str">
        <f t="shared" si="0"/>
        <v>(1,3),</v>
      </c>
    </row>
    <row r="6" spans="1:3" ht="20.100000000000001" customHeight="1" x14ac:dyDescent="0.25">
      <c r="A6" s="4">
        <v>1</v>
      </c>
      <c r="B6" s="4">
        <v>4</v>
      </c>
      <c r="C6" s="16" t="str">
        <f t="shared" si="0"/>
        <v>(1,4),</v>
      </c>
    </row>
    <row r="7" spans="1:3" ht="20.100000000000001" customHeight="1" x14ac:dyDescent="0.25">
      <c r="A7" s="4">
        <v>1</v>
      </c>
      <c r="B7" s="4">
        <v>5</v>
      </c>
      <c r="C7" s="16" t="str">
        <f t="shared" si="0"/>
        <v>(1,5),</v>
      </c>
    </row>
    <row r="8" spans="1:3" ht="20.100000000000001" customHeight="1" x14ac:dyDescent="0.25">
      <c r="A8" s="4">
        <v>1</v>
      </c>
      <c r="B8" s="4">
        <v>6</v>
      </c>
      <c r="C8" s="16" t="str">
        <f t="shared" si="0"/>
        <v>(1,6),</v>
      </c>
    </row>
    <row r="9" spans="1:3" ht="20.100000000000001" customHeight="1" x14ac:dyDescent="0.25">
      <c r="A9" s="4">
        <v>1</v>
      </c>
      <c r="B9" s="4">
        <v>7</v>
      </c>
      <c r="C9" s="16" t="str">
        <f t="shared" si="0"/>
        <v>(1,7),</v>
      </c>
    </row>
    <row r="10" spans="1:3" ht="20.100000000000001" customHeight="1" x14ac:dyDescent="0.25">
      <c r="A10" s="4">
        <v>1</v>
      </c>
      <c r="B10" s="4">
        <v>8</v>
      </c>
      <c r="C10" s="16" t="str">
        <f t="shared" si="0"/>
        <v>(1,8),</v>
      </c>
    </row>
    <row r="11" spans="1:3" ht="20.100000000000001" customHeight="1" x14ac:dyDescent="0.25">
      <c r="A11" s="4">
        <v>1</v>
      </c>
      <c r="B11" s="4">
        <v>9</v>
      </c>
      <c r="C11" s="16" t="str">
        <f t="shared" si="0"/>
        <v>(1,9),</v>
      </c>
    </row>
    <row r="12" spans="1:3" ht="20.100000000000001" customHeight="1" x14ac:dyDescent="0.25">
      <c r="A12" s="4">
        <v>1</v>
      </c>
      <c r="B12" s="4">
        <v>10</v>
      </c>
      <c r="C12" s="16" t="str">
        <f t="shared" si="0"/>
        <v>(1,10),</v>
      </c>
    </row>
    <row r="13" spans="1:3" ht="20.100000000000001" customHeight="1" x14ac:dyDescent="0.25">
      <c r="A13" s="4">
        <v>1</v>
      </c>
      <c r="B13" s="4">
        <v>11</v>
      </c>
      <c r="C13" s="16" t="str">
        <f t="shared" si="0"/>
        <v>(1,11),</v>
      </c>
    </row>
    <row r="14" spans="1:3" ht="20.100000000000001" customHeight="1" x14ac:dyDescent="0.25">
      <c r="A14" s="4">
        <v>1</v>
      </c>
      <c r="B14" s="4">
        <v>12</v>
      </c>
      <c r="C14" s="16" t="str">
        <f t="shared" si="0"/>
        <v>(1,12),</v>
      </c>
    </row>
    <row r="15" spans="1:3" ht="20.100000000000001" customHeight="1" x14ac:dyDescent="0.25">
      <c r="A15" s="4">
        <v>1</v>
      </c>
      <c r="B15" s="4">
        <v>13</v>
      </c>
      <c r="C15" s="16" t="str">
        <f t="shared" si="0"/>
        <v>(1,13),</v>
      </c>
    </row>
    <row r="16" spans="1:3" ht="20.100000000000001" customHeight="1" x14ac:dyDescent="0.25">
      <c r="A16" s="4">
        <v>1</v>
      </c>
      <c r="B16" s="4">
        <v>14</v>
      </c>
      <c r="C16" s="16" t="str">
        <f t="shared" si="0"/>
        <v>(1,14),</v>
      </c>
    </row>
    <row r="17" spans="1:3" ht="20.100000000000001" customHeight="1" x14ac:dyDescent="0.25">
      <c r="A17" s="4">
        <v>1</v>
      </c>
      <c r="B17" s="4">
        <v>15</v>
      </c>
      <c r="C17" s="16" t="str">
        <f t="shared" si="0"/>
        <v>(1,15),</v>
      </c>
    </row>
    <row r="18" spans="1:3" ht="20.100000000000001" customHeight="1" x14ac:dyDescent="0.25">
      <c r="A18" s="4">
        <v>1</v>
      </c>
      <c r="B18" s="4">
        <v>16</v>
      </c>
      <c r="C18" s="16" t="str">
        <f t="shared" si="0"/>
        <v>(1,16),</v>
      </c>
    </row>
    <row r="19" spans="1:3" ht="20.100000000000001" customHeight="1" x14ac:dyDescent="0.25">
      <c r="A19" s="4">
        <v>1</v>
      </c>
      <c r="B19" s="4">
        <v>17</v>
      </c>
      <c r="C19" s="16" t="str">
        <f t="shared" si="0"/>
        <v>(1,17),</v>
      </c>
    </row>
    <row r="20" spans="1:3" ht="20.100000000000001" customHeight="1" x14ac:dyDescent="0.25">
      <c r="A20" s="4">
        <v>1</v>
      </c>
      <c r="B20" s="4">
        <v>18</v>
      </c>
      <c r="C20" s="16" t="str">
        <f>CONCATENATE("(",A20,",",B20,"),")</f>
        <v>(1,18),</v>
      </c>
    </row>
  </sheetData>
  <autoFilter ref="A2:B2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1:K18"/>
  <sheetViews>
    <sheetView workbookViewId="0">
      <selection activeCell="K3" sqref="K3"/>
    </sheetView>
  </sheetViews>
  <sheetFormatPr baseColWidth="10" defaultColWidth="10.85546875" defaultRowHeight="15.75" x14ac:dyDescent="0.25"/>
  <cols>
    <col min="1" max="1" width="4.42578125" style="2" customWidth="1"/>
    <col min="2" max="2" width="20.7109375" style="2" customWidth="1"/>
    <col min="3" max="3" width="25.7109375" style="2" customWidth="1"/>
    <col min="4" max="4" width="15.7109375" style="2" customWidth="1"/>
    <col min="5" max="5" width="65.7109375" style="2" customWidth="1"/>
    <col min="6" max="9" width="5.7109375" style="2" customWidth="1"/>
    <col min="10" max="10" width="10.7109375" style="2" customWidth="1"/>
    <col min="11" max="11" width="131.140625" style="2" bestFit="1" customWidth="1"/>
    <col min="12" max="12" width="25" style="2" bestFit="1" customWidth="1"/>
    <col min="13" max="13" width="4.42578125" style="2" customWidth="1"/>
    <col min="14" max="14" width="66.140625" style="2" bestFit="1" customWidth="1"/>
    <col min="15" max="15" width="18.5703125" style="2" bestFit="1" customWidth="1"/>
    <col min="16" max="16" width="5.5703125" style="2" customWidth="1"/>
    <col min="17" max="16384" width="10.85546875" style="2"/>
  </cols>
  <sheetData>
    <row r="1" spans="1:11" ht="20.100000000000001" customHeight="1" x14ac:dyDescent="0.25">
      <c r="A1" s="1" t="s">
        <v>37</v>
      </c>
      <c r="B1" s="1" t="s">
        <v>5786</v>
      </c>
      <c r="C1" s="1" t="s">
        <v>5785</v>
      </c>
      <c r="D1" s="1" t="s">
        <v>5735</v>
      </c>
      <c r="E1" s="1" t="s">
        <v>5735</v>
      </c>
      <c r="F1" s="1" t="s">
        <v>5730</v>
      </c>
      <c r="G1" s="1" t="s">
        <v>5731</v>
      </c>
      <c r="H1" s="1" t="s">
        <v>5732</v>
      </c>
      <c r="I1" s="1" t="s">
        <v>5733</v>
      </c>
      <c r="J1" s="1" t="s">
        <v>5734</v>
      </c>
      <c r="K1" s="1" t="s">
        <v>5597</v>
      </c>
    </row>
    <row r="2" spans="1:11" ht="20.100000000000001" customHeight="1" x14ac:dyDescent="0.25">
      <c r="A2" s="1" t="s">
        <v>44</v>
      </c>
      <c r="B2" s="1" t="s">
        <v>41</v>
      </c>
      <c r="C2" s="1" t="s">
        <v>42</v>
      </c>
      <c r="D2" s="1" t="s">
        <v>5668</v>
      </c>
      <c r="E2" s="1" t="s">
        <v>43</v>
      </c>
      <c r="F2" s="1" t="s">
        <v>53</v>
      </c>
      <c r="G2" s="1" t="s">
        <v>2094</v>
      </c>
      <c r="H2" s="1" t="s">
        <v>4077</v>
      </c>
      <c r="I2" s="1" t="s">
        <v>4349</v>
      </c>
      <c r="J2" s="1" t="s">
        <v>4350</v>
      </c>
      <c r="K2" s="1" t="s">
        <v>5844</v>
      </c>
    </row>
    <row r="3" spans="1:11" ht="20.100000000000001" customHeight="1" x14ac:dyDescent="0.25">
      <c r="A3" s="3">
        <v>1</v>
      </c>
      <c r="B3" s="4" t="s">
        <v>5697</v>
      </c>
      <c r="C3" s="4" t="s">
        <v>5695</v>
      </c>
      <c r="D3" s="5" t="s">
        <v>5736</v>
      </c>
      <c r="E3" s="4" t="s">
        <v>5696</v>
      </c>
      <c r="F3" s="4">
        <v>1</v>
      </c>
      <c r="G3" s="4">
        <v>1</v>
      </c>
      <c r="H3" s="4">
        <v>1</v>
      </c>
      <c r="I3" s="4">
        <v>1</v>
      </c>
      <c r="J3" s="5" t="s">
        <v>972</v>
      </c>
      <c r="K3" s="16" t="str">
        <f>CONCATENATE("(",A3,",'",B3,"','",C3,"','",E3,"',b'",F3,"',b'",G3,"',b'",H3,"',b'",I3,"',",J3,"),")</f>
        <v>(1,'superadmin','superadmin@iaas.dz','$2a$12$Qb3ip1Xu8b1RzshlRkDExO7RzvZ5ZxKD3O3k7zZ0365Li/Qkip6Om',b'1',b'1',b'1',b'1',NULL),</v>
      </c>
    </row>
    <row r="4" spans="1:11" ht="20.100000000000001" customHeight="1" x14ac:dyDescent="0.25">
      <c r="A4" s="3">
        <v>2</v>
      </c>
      <c r="B4" s="4" t="s">
        <v>5700</v>
      </c>
      <c r="C4" s="4" t="s">
        <v>5698</v>
      </c>
      <c r="D4" s="5"/>
      <c r="E4" s="4" t="s">
        <v>5699</v>
      </c>
      <c r="F4" s="4">
        <v>1</v>
      </c>
      <c r="G4" s="4">
        <v>1</v>
      </c>
      <c r="H4" s="4">
        <v>1</v>
      </c>
      <c r="I4" s="4">
        <v>1</v>
      </c>
      <c r="J4" s="5" t="s">
        <v>972</v>
      </c>
      <c r="K4" s="16" t="str">
        <f t="shared" ref="K4:K18" si="0">CONCATENATE("(",A4,",'",B4,"','",C4,"','",E4,"',b'",F4,"',b'",G4,"',b'",H4,"',b'",I4,"',",J4,"),")</f>
        <v>(2,'admin','admin@iaas.dz','$2a$12$8zK8mN5pQ2rT7vW3xY4uZ0aB1cD2eF3gH4iJ5kL6mN7oP8qR9sT0',b'1',b'1',b'1',b'1',NULL),</v>
      </c>
    </row>
    <row r="5" spans="1:11" ht="20.100000000000001" customHeight="1" x14ac:dyDescent="0.25">
      <c r="A5" s="3">
        <v>3</v>
      </c>
      <c r="B5" s="4" t="s">
        <v>5703</v>
      </c>
      <c r="C5" s="4" t="s">
        <v>5701</v>
      </c>
      <c r="D5" s="5"/>
      <c r="E5" s="4" t="s">
        <v>5702</v>
      </c>
      <c r="F5" s="4">
        <v>1</v>
      </c>
      <c r="G5" s="4">
        <v>1</v>
      </c>
      <c r="H5" s="4">
        <v>1</v>
      </c>
      <c r="I5" s="4">
        <v>1</v>
      </c>
      <c r="J5" s="5" t="s">
        <v>972</v>
      </c>
      <c r="K5" s="16" t="str">
        <f t="shared" si="0"/>
        <v>(3,'business.manager','business.manager@iaas.dz','$2a$10$N9qo8uLOickgx2ZMRZoMyeIjZAgcfl7p92ldGxad68LJZdL17lhWy',b'1',b'1',b'1',b'1',NULL),</v>
      </c>
    </row>
    <row r="6" spans="1:11" ht="20.100000000000001" customHeight="1" x14ac:dyDescent="0.25">
      <c r="A6" s="3">
        <v>4</v>
      </c>
      <c r="B6" s="4" t="s">
        <v>5705</v>
      </c>
      <c r="C6" s="4" t="s">
        <v>5704</v>
      </c>
      <c r="D6" s="5"/>
      <c r="E6" s="4" t="s">
        <v>5702</v>
      </c>
      <c r="F6" s="4">
        <v>1</v>
      </c>
      <c r="G6" s="4">
        <v>1</v>
      </c>
      <c r="H6" s="4">
        <v>1</v>
      </c>
      <c r="I6" s="4">
        <v>1</v>
      </c>
      <c r="J6" s="5" t="s">
        <v>972</v>
      </c>
      <c r="K6" s="16" t="str">
        <f t="shared" si="0"/>
        <v>(4,'common.manager','common.manager@iaas.dz','$2a$10$N9qo8uLOickgx2ZMRZoMyeIjZAgcfl7p92ldGxad68LJZdL17lhWy',b'1',b'1',b'1',b'1',NULL),</v>
      </c>
    </row>
    <row r="7" spans="1:11" ht="20.100000000000001" customHeight="1" x14ac:dyDescent="0.25">
      <c r="A7" s="3">
        <v>5</v>
      </c>
      <c r="B7" s="4" t="s">
        <v>5707</v>
      </c>
      <c r="C7" s="4" t="s">
        <v>5706</v>
      </c>
      <c r="D7" s="5"/>
      <c r="E7" s="4" t="s">
        <v>5702</v>
      </c>
      <c r="F7" s="4">
        <v>1</v>
      </c>
      <c r="G7" s="4">
        <v>1</v>
      </c>
      <c r="H7" s="4">
        <v>1</v>
      </c>
      <c r="I7" s="4">
        <v>1</v>
      </c>
      <c r="J7" s="5" t="s">
        <v>972</v>
      </c>
      <c r="K7" s="16" t="str">
        <f t="shared" si="0"/>
        <v>(5,'network.manager','network.manager@iaas.dz','$2a$10$N9qo8uLOickgx2ZMRZoMyeIjZAgcfl7p92ldGxad68LJZdL17lhWy',b'1',b'1',b'1',b'1',NULL),</v>
      </c>
    </row>
    <row r="8" spans="1:11" ht="20.100000000000001" customHeight="1" x14ac:dyDescent="0.25">
      <c r="A8" s="3">
        <v>6</v>
      </c>
      <c r="B8" s="4" t="s">
        <v>5709</v>
      </c>
      <c r="C8" s="4" t="s">
        <v>5708</v>
      </c>
      <c r="D8" s="5"/>
      <c r="E8" s="4" t="s">
        <v>5702</v>
      </c>
      <c r="F8" s="4">
        <v>1</v>
      </c>
      <c r="G8" s="4">
        <v>1</v>
      </c>
      <c r="H8" s="4">
        <v>1</v>
      </c>
      <c r="I8" s="4">
        <v>1</v>
      </c>
      <c r="J8" s="5" t="s">
        <v>972</v>
      </c>
      <c r="K8" s="16" t="str">
        <f t="shared" si="0"/>
        <v>(6,'manager','manager@iaas.dz','$2a$10$N9qo8uLOickgx2ZMRZoMyeIjZAgcfl7p92ldGxad68LJZdL17lhWy',b'1',b'1',b'1',b'1',NULL),</v>
      </c>
    </row>
    <row r="9" spans="1:11" ht="20.100000000000001" customHeight="1" x14ac:dyDescent="0.25">
      <c r="A9" s="3">
        <v>7</v>
      </c>
      <c r="B9" s="4" t="s">
        <v>5711</v>
      </c>
      <c r="C9" s="4" t="s">
        <v>5710</v>
      </c>
      <c r="D9" s="5"/>
      <c r="E9" s="4" t="s">
        <v>5702</v>
      </c>
      <c r="F9" s="4">
        <v>1</v>
      </c>
      <c r="G9" s="4">
        <v>1</v>
      </c>
      <c r="H9" s="4">
        <v>1</v>
      </c>
      <c r="I9" s="4">
        <v>1</v>
      </c>
      <c r="J9" s="5" t="s">
        <v>972</v>
      </c>
      <c r="K9" s="16" t="str">
        <f t="shared" si="0"/>
        <v>(7,'procurement.officer1','officer1@iaas.dz','$2a$10$N9qo8uLOickgx2ZMRZoMyeIjZAgcfl7p92ldGxad68LJZdL17lhWy',b'1',b'1',b'1',b'1',NULL),</v>
      </c>
    </row>
    <row r="10" spans="1:11" ht="20.100000000000001" customHeight="1" x14ac:dyDescent="0.25">
      <c r="A10" s="3">
        <v>8</v>
      </c>
      <c r="B10" s="4" t="s">
        <v>5713</v>
      </c>
      <c r="C10" s="4" t="s">
        <v>5712</v>
      </c>
      <c r="D10" s="5"/>
      <c r="E10" s="4" t="s">
        <v>5702</v>
      </c>
      <c r="F10" s="4">
        <v>1</v>
      </c>
      <c r="G10" s="4">
        <v>1</v>
      </c>
      <c r="H10" s="4">
        <v>1</v>
      </c>
      <c r="I10" s="4">
        <v>1</v>
      </c>
      <c r="J10" s="5" t="s">
        <v>972</v>
      </c>
      <c r="K10" s="16" t="str">
        <f t="shared" si="0"/>
        <v>(8,'procurement.officer2','officer2@iaas.dz','$2a$10$N9qo8uLOickgx2ZMRZoMyeIjZAgcfl7p92ldGxad68LJZdL17lhWy',b'1',b'1',b'1',b'1',NULL),</v>
      </c>
    </row>
    <row r="11" spans="1:11" ht="20.100000000000001" customHeight="1" x14ac:dyDescent="0.25">
      <c r="A11" s="3">
        <v>9</v>
      </c>
      <c r="B11" s="4" t="s">
        <v>5715</v>
      </c>
      <c r="C11" s="4" t="s">
        <v>5714</v>
      </c>
      <c r="D11" s="5"/>
      <c r="E11" s="4" t="s">
        <v>5702</v>
      </c>
      <c r="F11" s="4">
        <v>1</v>
      </c>
      <c r="G11" s="4">
        <v>1</v>
      </c>
      <c r="H11" s="4">
        <v>1</v>
      </c>
      <c r="I11" s="4">
        <v>1</v>
      </c>
      <c r="J11" s="5" t="s">
        <v>972</v>
      </c>
      <c r="K11" s="16" t="str">
        <f t="shared" si="0"/>
        <v>(9,'procurement.officer3','officer3@iaas.dz','$2a$10$N9qo8uLOickgx2ZMRZoMyeIjZAgcfl7p92ldGxad68LJZdL17lhWy',b'1',b'1',b'1',b'1',NULL),</v>
      </c>
    </row>
    <row r="12" spans="1:11" ht="20.100000000000001" customHeight="1" x14ac:dyDescent="0.25">
      <c r="A12" s="3">
        <v>10</v>
      </c>
      <c r="B12" s="4" t="s">
        <v>5717</v>
      </c>
      <c r="C12" s="4" t="s">
        <v>5716</v>
      </c>
      <c r="D12" s="5"/>
      <c r="E12" s="4" t="s">
        <v>5702</v>
      </c>
      <c r="F12" s="4">
        <v>1</v>
      </c>
      <c r="G12" s="4">
        <v>1</v>
      </c>
      <c r="H12" s="4">
        <v>1</v>
      </c>
      <c r="I12" s="4">
        <v>1</v>
      </c>
      <c r="J12" s="5" t="s">
        <v>972</v>
      </c>
      <c r="K12" s="16" t="str">
        <f t="shared" si="0"/>
        <v>(10,'contract.officer','contract.officer@iaas.dz','$2a$10$N9qo8uLOickgx2ZMRZoMyeIjZAgcfl7p92ldGxad68LJZdL17lhWy',b'1',b'1',b'1',b'1',NULL),</v>
      </c>
    </row>
    <row r="13" spans="1:11" ht="20.100000000000001" customHeight="1" x14ac:dyDescent="0.25">
      <c r="A13" s="3">
        <v>11</v>
      </c>
      <c r="B13" s="4" t="s">
        <v>5719</v>
      </c>
      <c r="C13" s="4" t="s">
        <v>5718</v>
      </c>
      <c r="D13" s="5"/>
      <c r="E13" s="4" t="s">
        <v>5702</v>
      </c>
      <c r="F13" s="4">
        <v>1</v>
      </c>
      <c r="G13" s="4">
        <v>1</v>
      </c>
      <c r="H13" s="4">
        <v>1</v>
      </c>
      <c r="I13" s="4">
        <v>1</v>
      </c>
      <c r="J13" s="5" t="s">
        <v>972</v>
      </c>
      <c r="K13" s="16" t="str">
        <f t="shared" si="0"/>
        <v>(11,'auditor','auditor@iaas.dz','$2a$10$N9qo8uLOickgx2ZMRZoMyeIjZAgcfl7p92ldGxad68LJZdL17lhWy',b'1',b'1',b'1',b'1',NULL),</v>
      </c>
    </row>
    <row r="14" spans="1:11" ht="20.100000000000001" customHeight="1" x14ac:dyDescent="0.25">
      <c r="A14" s="3">
        <v>12</v>
      </c>
      <c r="B14" s="4" t="s">
        <v>5721</v>
      </c>
      <c r="C14" s="4" t="s">
        <v>5720</v>
      </c>
      <c r="D14" s="5"/>
      <c r="E14" s="4" t="s">
        <v>5702</v>
      </c>
      <c r="F14" s="4">
        <v>1</v>
      </c>
      <c r="G14" s="4">
        <v>1</v>
      </c>
      <c r="H14" s="4">
        <v>1</v>
      </c>
      <c r="I14" s="4">
        <v>1</v>
      </c>
      <c r="J14" s="5" t="s">
        <v>972</v>
      </c>
      <c r="K14" s="16" t="str">
        <f t="shared" si="0"/>
        <v>(12,'analyst','analyst@iaas.dz','$2a$10$N9qo8uLOickgx2ZMRZoMyeIjZAgcfl7p92ldGxad68LJZdL17lhWy',b'1',b'1',b'1',b'1',NULL),</v>
      </c>
    </row>
    <row r="15" spans="1:11" ht="20.100000000000001" customHeight="1" x14ac:dyDescent="0.25">
      <c r="A15" s="3">
        <v>13</v>
      </c>
      <c r="B15" s="4" t="s">
        <v>5723</v>
      </c>
      <c r="C15" s="4" t="s">
        <v>5722</v>
      </c>
      <c r="D15" s="5"/>
      <c r="E15" s="4" t="s">
        <v>5702</v>
      </c>
      <c r="F15" s="4">
        <v>1</v>
      </c>
      <c r="G15" s="4">
        <v>1</v>
      </c>
      <c r="H15" s="4">
        <v>1</v>
      </c>
      <c r="I15" s="4">
        <v>1</v>
      </c>
      <c r="J15" s="5" t="s">
        <v>972</v>
      </c>
      <c r="K15" s="16" t="str">
        <f t="shared" si="0"/>
        <v>(13,'approver','approver@iaas.dz','$2a$10$N9qo8uLOickgx2ZMRZoMyeIjZAgcfl7p92ldGxad68LJZdL17lhWy',b'1',b'1',b'1',b'1',NULL),</v>
      </c>
    </row>
    <row r="16" spans="1:11" ht="20.100000000000001" customHeight="1" x14ac:dyDescent="0.25">
      <c r="A16" s="3">
        <v>14</v>
      </c>
      <c r="B16" s="4" t="s">
        <v>5725</v>
      </c>
      <c r="C16" s="4" t="s">
        <v>5724</v>
      </c>
      <c r="D16" s="5"/>
      <c r="E16" s="4" t="s">
        <v>5702</v>
      </c>
      <c r="F16" s="4">
        <v>1</v>
      </c>
      <c r="G16" s="4">
        <v>1</v>
      </c>
      <c r="H16" s="4">
        <v>1</v>
      </c>
      <c r="I16" s="4">
        <v>1</v>
      </c>
      <c r="J16" s="5" t="s">
        <v>972</v>
      </c>
      <c r="K16" s="16" t="str">
        <f t="shared" si="0"/>
        <v>(14,'viewer','viewer@iaas.dz','$2a$10$N9qo8uLOickgx2ZMRZoMyeIjZAgcfl7p92ldGxad68LJZdL17lhWy',b'1',b'1',b'1',b'1',NULL),</v>
      </c>
    </row>
    <row r="17" spans="1:11" ht="20.100000000000001" customHeight="1" x14ac:dyDescent="0.25">
      <c r="A17" s="3">
        <v>15</v>
      </c>
      <c r="B17" s="4" t="s">
        <v>5727</v>
      </c>
      <c r="C17" s="4" t="s">
        <v>5726</v>
      </c>
      <c r="D17" s="5"/>
      <c r="E17" s="4" t="s">
        <v>5702</v>
      </c>
      <c r="F17" s="4">
        <v>0</v>
      </c>
      <c r="G17" s="4">
        <v>1</v>
      </c>
      <c r="H17" s="4">
        <v>1</v>
      </c>
      <c r="I17" s="4">
        <v>0</v>
      </c>
      <c r="J17" s="5" t="s">
        <v>972</v>
      </c>
      <c r="K17" s="16" t="str">
        <f t="shared" si="0"/>
        <v>(15,'disabled.user','disabled@iaas.dz','$2a$10$N9qo8uLOickgx2ZMRZoMyeIjZAgcfl7p92ldGxad68LJZdL17lhWy',b'0',b'1',b'1',b'0',NULL),</v>
      </c>
    </row>
    <row r="18" spans="1:11" ht="20.100000000000001" customHeight="1" x14ac:dyDescent="0.25">
      <c r="A18" s="3">
        <v>16</v>
      </c>
      <c r="B18" s="4" t="s">
        <v>5729</v>
      </c>
      <c r="C18" s="4" t="s">
        <v>5728</v>
      </c>
      <c r="D18" s="5"/>
      <c r="E18" s="4" t="s">
        <v>5702</v>
      </c>
      <c r="F18" s="4">
        <v>1</v>
      </c>
      <c r="G18" s="4">
        <v>0</v>
      </c>
      <c r="H18" s="4">
        <v>1</v>
      </c>
      <c r="I18" s="4">
        <v>0</v>
      </c>
      <c r="J18" s="5" t="s">
        <v>972</v>
      </c>
      <c r="K18" s="16" t="str">
        <f t="shared" si="0"/>
        <v>(16,'locked.user','locked@iaas.dz','$2a$10$N9qo8uLOickgx2ZMRZoMyeIjZAgcfl7p92ldGxad68LJZdL17lhWy',b'1',b'0',b'1',b'0',NULL),</v>
      </c>
    </row>
  </sheetData>
  <autoFilter ref="A2:K18"/>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5" tint="0.59999389629810485"/>
  </sheetPr>
  <dimension ref="A1:C10"/>
  <sheetViews>
    <sheetView workbookViewId="0">
      <selection activeCell="F12" sqref="F12"/>
    </sheetView>
  </sheetViews>
  <sheetFormatPr baseColWidth="10" defaultColWidth="10.85546875" defaultRowHeight="15.75" x14ac:dyDescent="0.25"/>
  <cols>
    <col min="1" max="2" width="10.5703125" style="2" customWidth="1"/>
    <col min="3" max="3" width="50.5703125" style="2" customWidth="1"/>
    <col min="4" max="16384" width="10.85546875" style="2"/>
  </cols>
  <sheetData>
    <row r="1" spans="1:3" ht="20.100000000000001" customHeight="1" x14ac:dyDescent="0.25">
      <c r="A1" s="1" t="s">
        <v>6078</v>
      </c>
      <c r="B1" s="1" t="s">
        <v>6070</v>
      </c>
      <c r="C1" s="1" t="s">
        <v>5597</v>
      </c>
    </row>
    <row r="2" spans="1:3" ht="20.100000000000001" customHeight="1" x14ac:dyDescent="0.25">
      <c r="A2" s="1" t="s">
        <v>41</v>
      </c>
      <c r="B2" s="1" t="s">
        <v>42</v>
      </c>
      <c r="C2" s="1" t="s">
        <v>6074</v>
      </c>
    </row>
    <row r="3" spans="1:3" ht="20.100000000000001" customHeight="1" x14ac:dyDescent="0.25">
      <c r="A3" s="4">
        <v>1</v>
      </c>
      <c r="B3" s="4">
        <v>1</v>
      </c>
      <c r="C3" s="16" t="str">
        <f>CONCATENATE("(",A3,",",B3,"),")</f>
        <v>(1,1),</v>
      </c>
    </row>
    <row r="4" spans="1:3" ht="20.100000000000001" customHeight="1" x14ac:dyDescent="0.25">
      <c r="A4" s="4">
        <v>1</v>
      </c>
      <c r="B4" s="4">
        <v>2</v>
      </c>
      <c r="C4" s="16" t="str">
        <f t="shared" ref="C4:C10" si="0">CONCATENATE("(",A4,",",B4,"),")</f>
        <v>(1,2),</v>
      </c>
    </row>
    <row r="5" spans="1:3" ht="20.100000000000001" customHeight="1" x14ac:dyDescent="0.25">
      <c r="A5" s="4">
        <v>1</v>
      </c>
      <c r="B5" s="4">
        <v>3</v>
      </c>
      <c r="C5" s="16" t="str">
        <f t="shared" si="0"/>
        <v>(1,3),</v>
      </c>
    </row>
    <row r="6" spans="1:3" ht="20.100000000000001" customHeight="1" x14ac:dyDescent="0.25">
      <c r="A6" s="4">
        <v>1</v>
      </c>
      <c r="B6" s="4">
        <v>4</v>
      </c>
      <c r="C6" s="16" t="str">
        <f t="shared" si="0"/>
        <v>(1,4),</v>
      </c>
    </row>
    <row r="7" spans="1:3" ht="20.100000000000001" customHeight="1" x14ac:dyDescent="0.25">
      <c r="A7" s="4">
        <v>1</v>
      </c>
      <c r="B7" s="4">
        <v>5</v>
      </c>
      <c r="C7" s="16" t="str">
        <f t="shared" si="0"/>
        <v>(1,5),</v>
      </c>
    </row>
    <row r="8" spans="1:3" ht="20.100000000000001" customHeight="1" x14ac:dyDescent="0.25">
      <c r="A8" s="4">
        <v>1</v>
      </c>
      <c r="B8" s="4">
        <v>6</v>
      </c>
      <c r="C8" s="16" t="str">
        <f t="shared" si="0"/>
        <v>(1,6),</v>
      </c>
    </row>
    <row r="9" spans="1:3" ht="20.100000000000001" customHeight="1" x14ac:dyDescent="0.25">
      <c r="A9" s="4">
        <v>1</v>
      </c>
      <c r="B9" s="4">
        <v>7</v>
      </c>
      <c r="C9" s="16" t="str">
        <f t="shared" si="0"/>
        <v>(1,7),</v>
      </c>
    </row>
    <row r="10" spans="1:3" ht="20.100000000000001" customHeight="1" x14ac:dyDescent="0.25">
      <c r="A10" s="4">
        <v>1</v>
      </c>
      <c r="B10" s="4">
        <v>8</v>
      </c>
      <c r="C10" s="16" t="str">
        <f t="shared" si="0"/>
        <v>(1,8),</v>
      </c>
    </row>
  </sheetData>
  <autoFilter ref="A2:B10"/>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5" tint="0.59999389629810485"/>
  </sheetPr>
  <dimension ref="A1:C13"/>
  <sheetViews>
    <sheetView workbookViewId="0">
      <selection activeCell="C2" sqref="C2:C13"/>
    </sheetView>
  </sheetViews>
  <sheetFormatPr baseColWidth="10" defaultColWidth="10.85546875" defaultRowHeight="15.75" x14ac:dyDescent="0.25"/>
  <cols>
    <col min="1" max="2" width="10.5703125" style="2" customWidth="1"/>
    <col min="3" max="3" width="50.5703125" style="2" customWidth="1"/>
    <col min="4" max="16384" width="10.85546875" style="2"/>
  </cols>
  <sheetData>
    <row r="1" spans="1:3" ht="20.100000000000001" customHeight="1" x14ac:dyDescent="0.25">
      <c r="A1" s="1" t="s">
        <v>6078</v>
      </c>
      <c r="B1" s="1" t="s">
        <v>6071</v>
      </c>
      <c r="C1" s="1" t="s">
        <v>5597</v>
      </c>
    </row>
    <row r="2" spans="1:3" ht="20.100000000000001" customHeight="1" x14ac:dyDescent="0.25">
      <c r="A2" s="1" t="s">
        <v>41</v>
      </c>
      <c r="B2" s="1" t="s">
        <v>42</v>
      </c>
      <c r="C2" s="1" t="s">
        <v>6073</v>
      </c>
    </row>
    <row r="3" spans="1:3" ht="20.100000000000001" customHeight="1" x14ac:dyDescent="0.25">
      <c r="A3" s="4">
        <v>1</v>
      </c>
      <c r="B3" s="4">
        <v>1</v>
      </c>
      <c r="C3" s="16" t="str">
        <f>CONCATENATE("(",A3,",",B3,"),")</f>
        <v>(1,1),</v>
      </c>
    </row>
    <row r="4" spans="1:3" ht="20.100000000000001" customHeight="1" x14ac:dyDescent="0.25">
      <c r="A4" s="4">
        <v>1</v>
      </c>
      <c r="B4" s="4">
        <v>2</v>
      </c>
      <c r="C4" s="16" t="str">
        <f t="shared" ref="C4:C13" si="0">CONCATENATE("(",A4,",",B4,"),")</f>
        <v>(1,2),</v>
      </c>
    </row>
    <row r="5" spans="1:3" ht="20.100000000000001" customHeight="1" x14ac:dyDescent="0.25">
      <c r="A5" s="4">
        <v>1</v>
      </c>
      <c r="B5" s="4">
        <v>3</v>
      </c>
      <c r="C5" s="16" t="str">
        <f t="shared" si="0"/>
        <v>(1,3),</v>
      </c>
    </row>
    <row r="6" spans="1:3" ht="20.100000000000001" customHeight="1" x14ac:dyDescent="0.25">
      <c r="A6" s="4">
        <v>1</v>
      </c>
      <c r="B6" s="4">
        <v>4</v>
      </c>
      <c r="C6" s="16" t="str">
        <f t="shared" si="0"/>
        <v>(1,4),</v>
      </c>
    </row>
    <row r="7" spans="1:3" ht="20.100000000000001" customHeight="1" x14ac:dyDescent="0.25">
      <c r="A7" s="4">
        <v>1</v>
      </c>
      <c r="B7" s="4">
        <v>5</v>
      </c>
      <c r="C7" s="16" t="str">
        <f t="shared" si="0"/>
        <v>(1,5),</v>
      </c>
    </row>
    <row r="8" spans="1:3" ht="20.100000000000001" customHeight="1" x14ac:dyDescent="0.25">
      <c r="A8" s="4">
        <v>1</v>
      </c>
      <c r="B8" s="4">
        <v>6</v>
      </c>
      <c r="C8" s="16" t="str">
        <f t="shared" si="0"/>
        <v>(1,6),</v>
      </c>
    </row>
    <row r="9" spans="1:3" ht="20.100000000000001" customHeight="1" x14ac:dyDescent="0.25">
      <c r="A9" s="4">
        <v>1</v>
      </c>
      <c r="B9" s="4">
        <v>7</v>
      </c>
      <c r="C9" s="16" t="str">
        <f t="shared" si="0"/>
        <v>(1,7),</v>
      </c>
    </row>
    <row r="10" spans="1:3" ht="20.100000000000001" customHeight="1" x14ac:dyDescent="0.25">
      <c r="A10" s="4">
        <v>1</v>
      </c>
      <c r="B10" s="4">
        <v>8</v>
      </c>
      <c r="C10" s="16" t="str">
        <f t="shared" si="0"/>
        <v>(1,8),</v>
      </c>
    </row>
    <row r="11" spans="1:3" ht="20.100000000000001" customHeight="1" x14ac:dyDescent="0.25">
      <c r="A11" s="4">
        <v>1</v>
      </c>
      <c r="B11" s="4">
        <v>9</v>
      </c>
      <c r="C11" s="16" t="str">
        <f t="shared" si="0"/>
        <v>(1,9),</v>
      </c>
    </row>
    <row r="12" spans="1:3" ht="20.100000000000001" customHeight="1" x14ac:dyDescent="0.25">
      <c r="A12" s="4">
        <v>1</v>
      </c>
      <c r="B12" s="4">
        <v>10</v>
      </c>
      <c r="C12" s="16" t="str">
        <f t="shared" si="0"/>
        <v>(1,10),</v>
      </c>
    </row>
    <row r="13" spans="1:3" ht="20.100000000000001" customHeight="1" x14ac:dyDescent="0.25">
      <c r="A13" s="4">
        <v>1</v>
      </c>
      <c r="B13" s="4">
        <v>11</v>
      </c>
      <c r="C13" s="16" t="str">
        <f t="shared" si="0"/>
        <v>(1,11),</v>
      </c>
    </row>
  </sheetData>
  <autoFilter ref="A2:B13"/>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1:D66"/>
  <sheetViews>
    <sheetView workbookViewId="0">
      <selection activeCell="D3" sqref="D3:D13"/>
    </sheetView>
  </sheetViews>
  <sheetFormatPr baseColWidth="10" defaultColWidth="10.85546875" defaultRowHeight="15.75" x14ac:dyDescent="0.25"/>
  <cols>
    <col min="1" max="1" width="4.42578125" style="2" customWidth="1"/>
    <col min="2" max="2" width="39.28515625" style="2" customWidth="1"/>
    <col min="3" max="3" width="66.85546875" style="2" bestFit="1" customWidth="1"/>
    <col min="4" max="4" width="93.7109375" style="2" bestFit="1" customWidth="1"/>
    <col min="5" max="16384" width="10.85546875" style="2"/>
  </cols>
  <sheetData>
    <row r="1" spans="1:4" ht="20.100000000000001" customHeight="1" x14ac:dyDescent="0.25">
      <c r="A1" s="1" t="s">
        <v>37</v>
      </c>
      <c r="B1" s="1" t="s">
        <v>5263</v>
      </c>
      <c r="C1" s="1" t="s">
        <v>4572</v>
      </c>
      <c r="D1" s="1" t="s">
        <v>5597</v>
      </c>
    </row>
    <row r="2" spans="1:4" ht="20.100000000000001" customHeight="1" x14ac:dyDescent="0.25">
      <c r="A2" s="1" t="s">
        <v>44</v>
      </c>
      <c r="B2" s="1" t="s">
        <v>6388</v>
      </c>
      <c r="C2" s="1" t="s">
        <v>41</v>
      </c>
      <c r="D2" s="1" t="s">
        <v>5845</v>
      </c>
    </row>
    <row r="3" spans="1:4" ht="20.100000000000001" customHeight="1" x14ac:dyDescent="0.25">
      <c r="A3" s="3">
        <v>1</v>
      </c>
      <c r="B3" s="4" t="s">
        <v>6777</v>
      </c>
      <c r="C3" s="4" t="s">
        <v>6788</v>
      </c>
      <c r="D3" s="16" t="str">
        <f>CONCATENATE("(",A3,",'",B3,"','",C3,"'),")</f>
        <v>(1,'SYSTEM_ADMIN','Manage system (Security, Settings, Audit)'),</v>
      </c>
    </row>
    <row r="4" spans="1:4" ht="20.100000000000001" customHeight="1" x14ac:dyDescent="0.25">
      <c r="A4" s="3">
        <v>2</v>
      </c>
      <c r="B4" s="4" t="s">
        <v>6778</v>
      </c>
      <c r="C4" s="4" t="s">
        <v>6789</v>
      </c>
      <c r="D4" s="16" t="str">
        <f t="shared" ref="D4:D13" si="0">CONCATENATE("(",A4,",'",B4,"','",C4,"'),")</f>
        <v>(2,'INFRASTRUCTURE_ADMIN','Manage infrastructure (type, common and core infrastructure)'),</v>
      </c>
    </row>
    <row r="5" spans="1:4" ht="20.100000000000001" customHeight="1" x14ac:dyDescent="0.25">
      <c r="A5" s="3">
        <v>3</v>
      </c>
      <c r="B5" s="4" t="s">
        <v>6779</v>
      </c>
      <c r="C5" s="4" t="s">
        <v>6790</v>
      </c>
      <c r="D5" s="16" t="str">
        <f t="shared" si="0"/>
        <v>(3,'INFRASTRUCTURE_EDITOR','Edit infrastructure (common and core infrastructure)'),</v>
      </c>
    </row>
    <row r="6" spans="1:4" ht="20.100000000000001" customHeight="1" x14ac:dyDescent="0.25">
      <c r="A6" s="3">
        <v>4</v>
      </c>
      <c r="B6" s="4" t="s">
        <v>6780</v>
      </c>
      <c r="C6" s="4" t="s">
        <v>6793</v>
      </c>
      <c r="D6" s="16" t="str">
        <f t="shared" si="0"/>
        <v>(4,'INFRASTRUCTURE_CONSULTANT','View infrastructure data'),</v>
      </c>
    </row>
    <row r="7" spans="1:4" ht="20.100000000000001" customHeight="1" x14ac:dyDescent="0.25">
      <c r="A7" s="3">
        <v>5</v>
      </c>
      <c r="B7" s="4" t="s">
        <v>6781</v>
      </c>
      <c r="C7" s="4" t="s">
        <v>6792</v>
      </c>
      <c r="D7" s="16" t="str">
        <f t="shared" si="0"/>
        <v>(5,'ORGANIZATION_ADMIN','Manage organization (type, common and core organization and localization)'),</v>
      </c>
    </row>
    <row r="8" spans="1:4" ht="20.100000000000001" customHeight="1" x14ac:dyDescent="0.25">
      <c r="A8" s="3">
        <v>6</v>
      </c>
      <c r="B8" s="4" t="s">
        <v>6783</v>
      </c>
      <c r="C8" s="4" t="s">
        <v>6791</v>
      </c>
      <c r="D8" s="16" t="str">
        <f t="shared" si="0"/>
        <v>(6,'ORGANIZATION_EDITOR','Edit organization (common and core organization and localization)'),</v>
      </c>
    </row>
    <row r="9" spans="1:4" ht="20.100000000000001" customHeight="1" x14ac:dyDescent="0.25">
      <c r="A9" s="3">
        <v>7</v>
      </c>
      <c r="B9" s="4" t="s">
        <v>6784</v>
      </c>
      <c r="C9" s="4" t="s">
        <v>6794</v>
      </c>
      <c r="D9" s="16" t="str">
        <f t="shared" si="0"/>
        <v>(7,'ORGANIZATION_CONSULTANT','View organization data'),</v>
      </c>
    </row>
    <row r="10" spans="1:4" ht="20.100000000000001" customHeight="1" x14ac:dyDescent="0.25">
      <c r="A10" s="3">
        <v>8</v>
      </c>
      <c r="B10" s="4" t="s">
        <v>6782</v>
      </c>
      <c r="C10" s="4" t="s">
        <v>6795</v>
      </c>
      <c r="D10" s="16" t="str">
        <f t="shared" si="0"/>
        <v>(8,'MONITORING_ADMIN','Manage flow monitoring process'),</v>
      </c>
    </row>
    <row r="11" spans="1:4" ht="20.100000000000001" customHeight="1" x14ac:dyDescent="0.25">
      <c r="A11" s="3">
        <v>9</v>
      </c>
      <c r="B11" s="4" t="s">
        <v>6787</v>
      </c>
      <c r="C11" s="4" t="s">
        <v>6796</v>
      </c>
      <c r="D11" s="16" t="str">
        <f t="shared" si="0"/>
        <v>(9,'MONITORING_VALIDATOR','Validate flow monitoring readings'),</v>
      </c>
    </row>
    <row r="12" spans="1:4" ht="20.100000000000001" customHeight="1" x14ac:dyDescent="0.25">
      <c r="A12" s="3">
        <v>10</v>
      </c>
      <c r="B12" s="4" t="s">
        <v>6786</v>
      </c>
      <c r="C12" s="4" t="s">
        <v>6797</v>
      </c>
      <c r="D12" s="16" t="str">
        <f t="shared" si="0"/>
        <v>(10,'MONITORING_OPERATOR','Record flow monitoring data'),</v>
      </c>
    </row>
    <row r="13" spans="1:4" ht="20.100000000000001" customHeight="1" x14ac:dyDescent="0.25">
      <c r="A13" s="3">
        <v>11</v>
      </c>
      <c r="B13" s="4" t="s">
        <v>6785</v>
      </c>
      <c r="C13" s="4" t="s">
        <v>6798</v>
      </c>
      <c r="D13" s="16" t="str">
        <f t="shared" si="0"/>
        <v>(11,'MONITORING_CONSULTANT','View flow monitoring data and statistics'),</v>
      </c>
    </row>
    <row r="14" spans="1:4" ht="20.100000000000001" customHeight="1" x14ac:dyDescent="0.25">
      <c r="A14" s="42">
        <v>1</v>
      </c>
      <c r="B14" s="43" t="s">
        <v>6403</v>
      </c>
      <c r="C14" s="43" t="s">
        <v>6402</v>
      </c>
      <c r="D14" s="44" t="str">
        <f>CONCATENATE("(",A14,",'",B14,"','",C14,"'),")</f>
        <v>(1,'SYSTEM-SETTING-ADMIN','Manage system setting data'),</v>
      </c>
    </row>
    <row r="15" spans="1:4" ht="20.100000000000001" customHeight="1" x14ac:dyDescent="0.25">
      <c r="A15" s="42">
        <v>2</v>
      </c>
      <c r="B15" s="43" t="s">
        <v>6424</v>
      </c>
      <c r="C15" s="43" t="s">
        <v>6404</v>
      </c>
      <c r="D15" s="44" t="str">
        <f t="shared" ref="D15:D26" si="1">CONCATENATE("(",A15,",'",B15,"','",C15,"'),")</f>
        <v>(2,'SYSTEM-UTILITY-ADMIN','Manage system utility data'),</v>
      </c>
    </row>
    <row r="16" spans="1:4" ht="20.100000000000001" customHeight="1" x14ac:dyDescent="0.25">
      <c r="A16" s="42">
        <v>3</v>
      </c>
      <c r="B16" s="43" t="s">
        <v>6387</v>
      </c>
      <c r="C16" s="43" t="s">
        <v>5737</v>
      </c>
      <c r="D16" s="44" t="str">
        <f t="shared" si="1"/>
        <v>(3,'SYSTEM-SECURITY-ADMIN','Manage system security data'),</v>
      </c>
    </row>
    <row r="17" spans="1:4" ht="20.100000000000001" customHeight="1" x14ac:dyDescent="0.25">
      <c r="A17" s="42">
        <v>4</v>
      </c>
      <c r="B17" s="43" t="s">
        <v>6389</v>
      </c>
      <c r="C17" s="43" t="s">
        <v>5738</v>
      </c>
      <c r="D17" s="44" t="str">
        <f t="shared" si="1"/>
        <v>(4,'SYSTEM-AUDIT-ADMIN','Manage system audit data'),</v>
      </c>
    </row>
    <row r="18" spans="1:4" ht="20.100000000000001" customHeight="1" x14ac:dyDescent="0.25">
      <c r="A18" s="42">
        <v>5</v>
      </c>
      <c r="B18" s="43" t="s">
        <v>6390</v>
      </c>
      <c r="C18" s="43" t="s">
        <v>5742</v>
      </c>
      <c r="D18" s="44" t="str">
        <f t="shared" si="1"/>
        <v>(5,'GENERAL-TYPE-ADMIN','Manage general Type'),</v>
      </c>
    </row>
    <row r="19" spans="1:4" ht="20.100000000000001" customHeight="1" x14ac:dyDescent="0.25">
      <c r="A19" s="42">
        <v>6</v>
      </c>
      <c r="B19" s="43" t="s">
        <v>6391</v>
      </c>
      <c r="C19" s="43" t="s">
        <v>5743</v>
      </c>
      <c r="D19" s="44" t="str">
        <f t="shared" si="1"/>
        <v>(6,'GENERAL-LOCALIZATION-ADMIN','Manage general localization'),</v>
      </c>
    </row>
    <row r="20" spans="1:4" ht="20.100000000000001" customHeight="1" x14ac:dyDescent="0.25">
      <c r="A20" s="42">
        <v>7</v>
      </c>
      <c r="B20" s="43" t="s">
        <v>6392</v>
      </c>
      <c r="C20" s="43" t="s">
        <v>5744</v>
      </c>
      <c r="D20" s="44" t="str">
        <f t="shared" si="1"/>
        <v>(7,'GENERAL-ORGANIZATION-ADMIN','Manage general organization'),</v>
      </c>
    </row>
    <row r="21" spans="1:4" ht="20.100000000000001" customHeight="1" x14ac:dyDescent="0.25">
      <c r="A21" s="42">
        <v>8</v>
      </c>
      <c r="B21" s="43" t="s">
        <v>6393</v>
      </c>
      <c r="C21" s="43" t="s">
        <v>5739</v>
      </c>
      <c r="D21" s="44" t="str">
        <f t="shared" si="1"/>
        <v>(8,'NETWORK-TYPE-ADMIN','Manage network type data'),</v>
      </c>
    </row>
    <row r="22" spans="1:4" ht="20.100000000000001" customHeight="1" x14ac:dyDescent="0.25">
      <c r="A22" s="42">
        <v>9</v>
      </c>
      <c r="B22" s="43" t="s">
        <v>6394</v>
      </c>
      <c r="C22" s="43" t="s">
        <v>5740</v>
      </c>
      <c r="D22" s="44" t="str">
        <f t="shared" si="1"/>
        <v>(9,'NETWORK-COMMON-ADMIN','Manage network common data'),</v>
      </c>
    </row>
    <row r="23" spans="1:4" ht="20.100000000000001" customHeight="1" x14ac:dyDescent="0.25">
      <c r="A23" s="42">
        <v>10</v>
      </c>
      <c r="B23" s="43" t="s">
        <v>6395</v>
      </c>
      <c r="C23" s="43" t="s">
        <v>5741</v>
      </c>
      <c r="D23" s="44" t="str">
        <f t="shared" si="1"/>
        <v>(10,'NETWORK-CORE-ADMIN','Manage network core data'),</v>
      </c>
    </row>
    <row r="24" spans="1:4" ht="20.100000000000001" customHeight="1" x14ac:dyDescent="0.25">
      <c r="A24" s="42">
        <v>11</v>
      </c>
      <c r="B24" s="43" t="s">
        <v>6396</v>
      </c>
      <c r="C24" s="43" t="s">
        <v>6399</v>
      </c>
      <c r="D24" s="44" t="str">
        <f t="shared" si="1"/>
        <v>(11,'FLOW-TYPE-ADMIN','Manage flow type data'),</v>
      </c>
    </row>
    <row r="25" spans="1:4" ht="20.100000000000001" customHeight="1" x14ac:dyDescent="0.25">
      <c r="A25" s="42">
        <v>12</v>
      </c>
      <c r="B25" s="43" t="s">
        <v>6397</v>
      </c>
      <c r="C25" s="43" t="s">
        <v>6400</v>
      </c>
      <c r="D25" s="44" t="str">
        <f t="shared" si="1"/>
        <v>(12,'FLOW-COMMON-ADMIN','Manage flow common data'),</v>
      </c>
    </row>
    <row r="26" spans="1:4" ht="20.100000000000001" customHeight="1" x14ac:dyDescent="0.25">
      <c r="A26" s="42">
        <v>13</v>
      </c>
      <c r="B26" s="43" t="s">
        <v>6398</v>
      </c>
      <c r="C26" s="43" t="s">
        <v>6401</v>
      </c>
      <c r="D26" s="44" t="str">
        <f t="shared" si="1"/>
        <v>(13,'FLOW-CORE-ADMIN','Manage flow core data'),</v>
      </c>
    </row>
    <row r="27" spans="1:4" ht="20.100000000000001" customHeight="1" x14ac:dyDescent="0.25">
      <c r="A27" s="42">
        <v>21</v>
      </c>
      <c r="B27" s="43" t="s">
        <v>6425</v>
      </c>
      <c r="C27" s="43" t="s">
        <v>6405</v>
      </c>
      <c r="D27" s="44" t="str">
        <f>CONCATENATE("(",A27,",'",B27,"','",C27,"'),")</f>
        <v>(21,'SYSTEM-SETTING-EDITOR','Update system setting data'),</v>
      </c>
    </row>
    <row r="28" spans="1:4" ht="20.100000000000001" customHeight="1" x14ac:dyDescent="0.25">
      <c r="A28" s="42">
        <v>22</v>
      </c>
      <c r="B28" s="43" t="s">
        <v>6437</v>
      </c>
      <c r="C28" s="43" t="s">
        <v>6406</v>
      </c>
      <c r="D28" s="44" t="str">
        <f t="shared" ref="D28:D39" si="2">CONCATENATE("(",A28,",'",B28,"','",C28,"'),")</f>
        <v>(22,'SYSTEM-UTILITY-EDITOR','Update system utility data'),</v>
      </c>
    </row>
    <row r="29" spans="1:4" ht="20.100000000000001" customHeight="1" x14ac:dyDescent="0.25">
      <c r="A29" s="42">
        <v>23</v>
      </c>
      <c r="B29" s="43" t="s">
        <v>6426</v>
      </c>
      <c r="C29" s="43" t="s">
        <v>6407</v>
      </c>
      <c r="D29" s="44" t="str">
        <f t="shared" si="2"/>
        <v>(23,'SYSTEM-SECURITY-EDITOR','Update system security data'),</v>
      </c>
    </row>
    <row r="30" spans="1:4" ht="20.100000000000001" customHeight="1" x14ac:dyDescent="0.25">
      <c r="A30" s="42">
        <v>24</v>
      </c>
      <c r="B30" s="43" t="s">
        <v>6427</v>
      </c>
      <c r="C30" s="43" t="s">
        <v>6408</v>
      </c>
      <c r="D30" s="44" t="str">
        <f t="shared" si="2"/>
        <v>(24,'SYSTEM-AUDIT-EDITOR','Update system audit data'),</v>
      </c>
    </row>
    <row r="31" spans="1:4" ht="20.100000000000001" customHeight="1" x14ac:dyDescent="0.25">
      <c r="A31" s="42">
        <v>25</v>
      </c>
      <c r="B31" s="43" t="s">
        <v>6428</v>
      </c>
      <c r="C31" s="43" t="s">
        <v>6409</v>
      </c>
      <c r="D31" s="44" t="str">
        <f t="shared" si="2"/>
        <v>(25,'GENERAL-TYPE-EDITOR','Update general Type'),</v>
      </c>
    </row>
    <row r="32" spans="1:4" ht="20.100000000000001" customHeight="1" x14ac:dyDescent="0.25">
      <c r="A32" s="42">
        <v>26</v>
      </c>
      <c r="B32" s="43" t="s">
        <v>6429</v>
      </c>
      <c r="C32" s="43" t="s">
        <v>6410</v>
      </c>
      <c r="D32" s="44" t="str">
        <f t="shared" si="2"/>
        <v>(26,'GENERAL-LOCALIZATION-EDITOR','Update general localization'),</v>
      </c>
    </row>
    <row r="33" spans="1:4" ht="20.100000000000001" customHeight="1" x14ac:dyDescent="0.25">
      <c r="A33" s="42">
        <v>27</v>
      </c>
      <c r="B33" s="43" t="s">
        <v>6430</v>
      </c>
      <c r="C33" s="43" t="s">
        <v>6411</v>
      </c>
      <c r="D33" s="44" t="str">
        <f t="shared" si="2"/>
        <v>(27,'GENERAL-ORGANIZATION-EDITOR','Update general organization'),</v>
      </c>
    </row>
    <row r="34" spans="1:4" ht="20.100000000000001" customHeight="1" x14ac:dyDescent="0.25">
      <c r="A34" s="42">
        <v>28</v>
      </c>
      <c r="B34" s="43" t="s">
        <v>6431</v>
      </c>
      <c r="C34" s="43" t="s">
        <v>6412</v>
      </c>
      <c r="D34" s="44" t="str">
        <f t="shared" si="2"/>
        <v>(28,'NETWORK-TYPE-EDITOR','Update network type data'),</v>
      </c>
    </row>
    <row r="35" spans="1:4" ht="20.100000000000001" customHeight="1" x14ac:dyDescent="0.25">
      <c r="A35" s="42">
        <v>29</v>
      </c>
      <c r="B35" s="43" t="s">
        <v>6432</v>
      </c>
      <c r="C35" s="43" t="s">
        <v>6413</v>
      </c>
      <c r="D35" s="44" t="str">
        <f t="shared" si="2"/>
        <v>(29,'NETWORK-COMMON-EDITOR','Update network common data'),</v>
      </c>
    </row>
    <row r="36" spans="1:4" ht="20.100000000000001" customHeight="1" x14ac:dyDescent="0.25">
      <c r="A36" s="42">
        <v>30</v>
      </c>
      <c r="B36" s="43" t="s">
        <v>6433</v>
      </c>
      <c r="C36" s="43" t="s">
        <v>6414</v>
      </c>
      <c r="D36" s="44" t="str">
        <f t="shared" si="2"/>
        <v>(30,'NETWORK-CORE-EDITOR','Update network core data'),</v>
      </c>
    </row>
    <row r="37" spans="1:4" ht="20.100000000000001" customHeight="1" x14ac:dyDescent="0.25">
      <c r="A37" s="42">
        <v>31</v>
      </c>
      <c r="B37" s="43" t="s">
        <v>6434</v>
      </c>
      <c r="C37" s="43" t="s">
        <v>6415</v>
      </c>
      <c r="D37" s="44" t="str">
        <f t="shared" si="2"/>
        <v>(31,'FLOW-TYPE-EDITOR','Update flow type data'),</v>
      </c>
    </row>
    <row r="38" spans="1:4" ht="20.100000000000001" customHeight="1" x14ac:dyDescent="0.25">
      <c r="A38" s="42">
        <v>32</v>
      </c>
      <c r="B38" s="43" t="s">
        <v>6435</v>
      </c>
      <c r="C38" s="43" t="s">
        <v>6416</v>
      </c>
      <c r="D38" s="44" t="str">
        <f t="shared" si="2"/>
        <v>(32,'FLOW-COMMON-EDITOR','Update flow common data'),</v>
      </c>
    </row>
    <row r="39" spans="1:4" ht="20.100000000000001" customHeight="1" x14ac:dyDescent="0.25">
      <c r="A39" s="42">
        <v>33</v>
      </c>
      <c r="B39" s="43" t="s">
        <v>6436</v>
      </c>
      <c r="C39" s="43" t="s">
        <v>6417</v>
      </c>
      <c r="D39" s="44" t="str">
        <f t="shared" si="2"/>
        <v>(33,'FLOW-CORE-EDITOR','Update flow core data'),</v>
      </c>
    </row>
    <row r="40" spans="1:4" ht="20.100000000000001" customHeight="1" x14ac:dyDescent="0.25">
      <c r="A40" s="42">
        <v>41</v>
      </c>
      <c r="B40" s="43" t="s">
        <v>6725</v>
      </c>
      <c r="C40" s="43" t="s">
        <v>6738</v>
      </c>
      <c r="D40" s="44" t="str">
        <f>CONCATENATE("(",A40,",'",B40,"','",C40,"'),")</f>
        <v>(41,'SYSTEM-SETTING-CONSULTANT','Consult system setting data'),</v>
      </c>
    </row>
    <row r="41" spans="1:4" ht="20.100000000000001" customHeight="1" x14ac:dyDescent="0.25">
      <c r="A41" s="42">
        <v>42</v>
      </c>
      <c r="B41" s="43" t="s">
        <v>6726</v>
      </c>
      <c r="C41" s="43" t="s">
        <v>6739</v>
      </c>
      <c r="D41" s="44" t="str">
        <f t="shared" ref="D41:D65" si="3">CONCATENATE("(",A41,",'",B41,"','",C41,"'),")</f>
        <v>(42,'SYSTEM-UTILITY-CONSULTANT','Consult system utility data'),</v>
      </c>
    </row>
    <row r="42" spans="1:4" ht="20.100000000000001" customHeight="1" x14ac:dyDescent="0.25">
      <c r="A42" s="42">
        <v>43</v>
      </c>
      <c r="B42" s="43" t="s">
        <v>6727</v>
      </c>
      <c r="C42" s="43" t="s">
        <v>6740</v>
      </c>
      <c r="D42" s="44" t="str">
        <f t="shared" si="3"/>
        <v>(43,'SYSTEM-SECURITY-CONSULTANT','Consult system security data'),</v>
      </c>
    </row>
    <row r="43" spans="1:4" ht="20.100000000000001" customHeight="1" x14ac:dyDescent="0.25">
      <c r="A43" s="42">
        <v>44</v>
      </c>
      <c r="B43" s="43" t="s">
        <v>6728</v>
      </c>
      <c r="C43" s="43" t="s">
        <v>6741</v>
      </c>
      <c r="D43" s="44" t="str">
        <f t="shared" si="3"/>
        <v>(44,'SYSTEM-AUDIT-CONSULTANT','Consult system audit data'),</v>
      </c>
    </row>
    <row r="44" spans="1:4" ht="20.100000000000001" customHeight="1" x14ac:dyDescent="0.25">
      <c r="A44" s="42">
        <v>45</v>
      </c>
      <c r="B44" s="43" t="s">
        <v>6729</v>
      </c>
      <c r="C44" s="43" t="s">
        <v>6742</v>
      </c>
      <c r="D44" s="44" t="str">
        <f t="shared" si="3"/>
        <v>(45,'GENERAL-TYPE-CONSULTANT','Consult general Type'),</v>
      </c>
    </row>
    <row r="45" spans="1:4" ht="20.100000000000001" customHeight="1" x14ac:dyDescent="0.25">
      <c r="A45" s="42">
        <v>46</v>
      </c>
      <c r="B45" s="43" t="s">
        <v>6730</v>
      </c>
      <c r="C45" s="43" t="s">
        <v>6743</v>
      </c>
      <c r="D45" s="44" t="str">
        <f t="shared" si="3"/>
        <v>(46,'GENERAL-LOCALIZATION-CONSULTANT','Consult general localization'),</v>
      </c>
    </row>
    <row r="46" spans="1:4" ht="20.100000000000001" customHeight="1" x14ac:dyDescent="0.25">
      <c r="A46" s="42">
        <v>47</v>
      </c>
      <c r="B46" s="43" t="s">
        <v>6731</v>
      </c>
      <c r="C46" s="43" t="s">
        <v>6744</v>
      </c>
      <c r="D46" s="44" t="str">
        <f t="shared" si="3"/>
        <v>(47,'GENERAL-ORGANIZATION-CONSULTANT','Consult general organization'),</v>
      </c>
    </row>
    <row r="47" spans="1:4" ht="20.100000000000001" customHeight="1" x14ac:dyDescent="0.25">
      <c r="A47" s="42">
        <v>48</v>
      </c>
      <c r="B47" s="43" t="s">
        <v>6732</v>
      </c>
      <c r="C47" s="43" t="s">
        <v>6745</v>
      </c>
      <c r="D47" s="44" t="str">
        <f t="shared" si="3"/>
        <v>(48,'NETWORK-TYPE-CONSULTANT','Consult network type data'),</v>
      </c>
    </row>
    <row r="48" spans="1:4" ht="20.100000000000001" customHeight="1" x14ac:dyDescent="0.25">
      <c r="A48" s="42">
        <v>49</v>
      </c>
      <c r="B48" s="43" t="s">
        <v>6733</v>
      </c>
      <c r="C48" s="43" t="s">
        <v>6746</v>
      </c>
      <c r="D48" s="44" t="str">
        <f t="shared" si="3"/>
        <v>(49,'NETWORK-COMMON-CONSULTANT','Consult network common data'),</v>
      </c>
    </row>
    <row r="49" spans="1:4" ht="20.100000000000001" customHeight="1" x14ac:dyDescent="0.25">
      <c r="A49" s="42">
        <v>50</v>
      </c>
      <c r="B49" s="43" t="s">
        <v>6734</v>
      </c>
      <c r="C49" s="43" t="s">
        <v>6747</v>
      </c>
      <c r="D49" s="44" t="str">
        <f t="shared" si="3"/>
        <v>(50,'NETWORK-CORE-CONSULTANT','Consult network core data'),</v>
      </c>
    </row>
    <row r="50" spans="1:4" ht="20.100000000000001" customHeight="1" x14ac:dyDescent="0.25">
      <c r="A50" s="42">
        <v>51</v>
      </c>
      <c r="B50" s="43" t="s">
        <v>6735</v>
      </c>
      <c r="C50" s="43" t="s">
        <v>6748</v>
      </c>
      <c r="D50" s="44" t="str">
        <f t="shared" si="3"/>
        <v>(51,'FLOW-TYPE-CONSULTANT','Consult flow type data'),</v>
      </c>
    </row>
    <row r="51" spans="1:4" ht="20.100000000000001" customHeight="1" x14ac:dyDescent="0.25">
      <c r="A51" s="42">
        <v>52</v>
      </c>
      <c r="B51" s="43" t="s">
        <v>6736</v>
      </c>
      <c r="C51" s="43" t="s">
        <v>6749</v>
      </c>
      <c r="D51" s="44" t="str">
        <f t="shared" si="3"/>
        <v>(52,'FLOW-COMMON-CONSULTANT','Consult flow common data'),</v>
      </c>
    </row>
    <row r="52" spans="1:4" ht="20.100000000000001" customHeight="1" x14ac:dyDescent="0.25">
      <c r="A52" s="42">
        <v>53</v>
      </c>
      <c r="B52" s="43" t="s">
        <v>6737</v>
      </c>
      <c r="C52" s="43" t="s">
        <v>6750</v>
      </c>
      <c r="D52" s="44" t="str">
        <f t="shared" si="3"/>
        <v>(53,'FLOW-CORE-CONSULTANT','Consult flow core data'),</v>
      </c>
    </row>
    <row r="53" spans="1:4" ht="20.100000000000001" customHeight="1" x14ac:dyDescent="0.25">
      <c r="A53" s="42">
        <v>61</v>
      </c>
      <c r="B53" s="43" t="s">
        <v>6764</v>
      </c>
      <c r="C53" s="43" t="s">
        <v>6752</v>
      </c>
      <c r="D53" s="44" t="str">
        <f t="shared" si="3"/>
        <v>(61,'SYSTEM-SETTING-VALIDATOR','Validate system setting data'),</v>
      </c>
    </row>
    <row r="54" spans="1:4" ht="20.100000000000001" customHeight="1" x14ac:dyDescent="0.25">
      <c r="A54" s="42">
        <v>62</v>
      </c>
      <c r="B54" s="43" t="s">
        <v>6765</v>
      </c>
      <c r="C54" s="43" t="s">
        <v>6753</v>
      </c>
      <c r="D54" s="44" t="str">
        <f t="shared" si="3"/>
        <v>(62,'SYSTEM-UTILITY-VALIDATOR','Validate system utility data'),</v>
      </c>
    </row>
    <row r="55" spans="1:4" ht="20.100000000000001" customHeight="1" x14ac:dyDescent="0.25">
      <c r="A55" s="42">
        <v>63</v>
      </c>
      <c r="B55" s="43" t="s">
        <v>6766</v>
      </c>
      <c r="C55" s="43" t="s">
        <v>6754</v>
      </c>
      <c r="D55" s="44" t="str">
        <f t="shared" si="3"/>
        <v>(63,'SYSTEM-SECURITY-VALIDATOR','Validate system security data'),</v>
      </c>
    </row>
    <row r="56" spans="1:4" ht="20.100000000000001" customHeight="1" x14ac:dyDescent="0.25">
      <c r="A56" s="42">
        <v>64</v>
      </c>
      <c r="B56" s="43" t="s">
        <v>6767</v>
      </c>
      <c r="C56" s="43" t="s">
        <v>6755</v>
      </c>
      <c r="D56" s="44" t="str">
        <f t="shared" si="3"/>
        <v>(64,'SYSTEM-AUDIT-VALIDATOR','Validate system audit data'),</v>
      </c>
    </row>
    <row r="57" spans="1:4" ht="20.100000000000001" customHeight="1" x14ac:dyDescent="0.25">
      <c r="A57" s="42">
        <v>65</v>
      </c>
      <c r="B57" s="43" t="s">
        <v>6768</v>
      </c>
      <c r="C57" s="43" t="s">
        <v>6756</v>
      </c>
      <c r="D57" s="44" t="str">
        <f t="shared" si="3"/>
        <v>(65,'GENERAL-TYPE-VALIDATOR','Validate general Type'),</v>
      </c>
    </row>
    <row r="58" spans="1:4" ht="20.100000000000001" customHeight="1" x14ac:dyDescent="0.25">
      <c r="A58" s="42">
        <v>66</v>
      </c>
      <c r="B58" s="43" t="s">
        <v>6769</v>
      </c>
      <c r="C58" s="43" t="s">
        <v>6757</v>
      </c>
      <c r="D58" s="44" t="str">
        <f t="shared" si="3"/>
        <v>(66,'GENERAL-LOCALIZATION-VALIDATOR','Validate general localization'),</v>
      </c>
    </row>
    <row r="59" spans="1:4" ht="20.100000000000001" customHeight="1" x14ac:dyDescent="0.25">
      <c r="A59" s="42">
        <v>67</v>
      </c>
      <c r="B59" s="43" t="s">
        <v>6770</v>
      </c>
      <c r="C59" s="43" t="s">
        <v>6758</v>
      </c>
      <c r="D59" s="44" t="str">
        <f t="shared" si="3"/>
        <v>(67,'GENERAL-ORGANIZATION-VALIDATOR','Validate general organization'),</v>
      </c>
    </row>
    <row r="60" spans="1:4" ht="20.100000000000001" customHeight="1" x14ac:dyDescent="0.25">
      <c r="A60" s="42">
        <v>68</v>
      </c>
      <c r="B60" s="43" t="s">
        <v>6771</v>
      </c>
      <c r="C60" s="43" t="s">
        <v>6759</v>
      </c>
      <c r="D60" s="44" t="str">
        <f t="shared" si="3"/>
        <v>(68,'NETWORK-TYPE-VALIDATOR','Validate network type data'),</v>
      </c>
    </row>
    <row r="61" spans="1:4" ht="20.100000000000001" customHeight="1" x14ac:dyDescent="0.25">
      <c r="A61" s="42">
        <v>69</v>
      </c>
      <c r="B61" s="43" t="s">
        <v>6772</v>
      </c>
      <c r="C61" s="43" t="s">
        <v>6760</v>
      </c>
      <c r="D61" s="44" t="str">
        <f t="shared" si="3"/>
        <v>(69,'NETWORK-COMMON-VALIDATOR','Validate network common data'),</v>
      </c>
    </row>
    <row r="62" spans="1:4" ht="20.100000000000001" customHeight="1" x14ac:dyDescent="0.25">
      <c r="A62" s="42">
        <v>70</v>
      </c>
      <c r="B62" s="43" t="s">
        <v>6773</v>
      </c>
      <c r="C62" s="43" t="s">
        <v>6761</v>
      </c>
      <c r="D62" s="44" t="str">
        <f t="shared" si="3"/>
        <v>(70,'NETWORK-CORE-VALIDATOR','Validate network core data'),</v>
      </c>
    </row>
    <row r="63" spans="1:4" ht="20.100000000000001" customHeight="1" x14ac:dyDescent="0.25">
      <c r="A63" s="42">
        <v>71</v>
      </c>
      <c r="B63" s="43" t="s">
        <v>6774</v>
      </c>
      <c r="C63" s="43" t="s">
        <v>6762</v>
      </c>
      <c r="D63" s="44" t="str">
        <f t="shared" si="3"/>
        <v>(71,'FLOW-TYPE-VALIDATOR','Validate flow type data'),</v>
      </c>
    </row>
    <row r="64" spans="1:4" ht="20.100000000000001" customHeight="1" x14ac:dyDescent="0.25">
      <c r="A64" s="42">
        <v>72</v>
      </c>
      <c r="B64" s="43" t="s">
        <v>6775</v>
      </c>
      <c r="C64" s="43" t="s">
        <v>6763</v>
      </c>
      <c r="D64" s="44" t="str">
        <f t="shared" si="3"/>
        <v>(72,'FLOW-COMMON-VALIDATOR','Validate flow common data'),</v>
      </c>
    </row>
    <row r="65" spans="1:4" ht="20.100000000000001" customHeight="1" x14ac:dyDescent="0.25">
      <c r="A65" s="42">
        <v>73</v>
      </c>
      <c r="B65" s="43" t="s">
        <v>6776</v>
      </c>
      <c r="C65" s="43" t="s">
        <v>6751</v>
      </c>
      <c r="D65" s="44" t="str">
        <f t="shared" si="3"/>
        <v>(73,'FLOW-CORE-VALIDATOR','Validate flow core data'),</v>
      </c>
    </row>
    <row r="66" spans="1:4" ht="20.100000000000001" customHeight="1" x14ac:dyDescent="0.25">
      <c r="A66" s="42">
        <v>99</v>
      </c>
      <c r="B66" s="43" t="s">
        <v>6438</v>
      </c>
      <c r="C66" s="43" t="s">
        <v>6439</v>
      </c>
      <c r="D66" s="44" t="str">
        <f t="shared" ref="D66" si="4">CONCATENATE("(",A66,",'",B66,"','",C66,"'),")</f>
        <v>(99,'TESTER','Test Role'),</v>
      </c>
    </row>
  </sheetData>
  <autoFilter ref="A2:B26"/>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5" tint="0.59999389629810485"/>
  </sheetPr>
  <dimension ref="A1:C474"/>
  <sheetViews>
    <sheetView workbookViewId="0">
      <selection activeCell="C474" sqref="C2:C474"/>
    </sheetView>
  </sheetViews>
  <sheetFormatPr baseColWidth="10" defaultColWidth="10.85546875" defaultRowHeight="15.75" x14ac:dyDescent="0.25"/>
  <cols>
    <col min="1" max="2" width="10.5703125" style="2" customWidth="1"/>
    <col min="3" max="3" width="50.5703125" style="2" customWidth="1"/>
    <col min="4" max="16384" width="10.85546875" style="2"/>
  </cols>
  <sheetData>
    <row r="1" spans="1:3" ht="20.100000000000001" customHeight="1" x14ac:dyDescent="0.25">
      <c r="A1" s="1" t="s">
        <v>6071</v>
      </c>
      <c r="B1" s="1" t="s">
        <v>6079</v>
      </c>
      <c r="C1" s="1" t="s">
        <v>5597</v>
      </c>
    </row>
    <row r="2" spans="1:3" ht="20.100000000000001" customHeight="1" x14ac:dyDescent="0.25">
      <c r="A2" s="1" t="s">
        <v>41</v>
      </c>
      <c r="B2" s="1" t="s">
        <v>42</v>
      </c>
      <c r="C2" s="1" t="s">
        <v>6075</v>
      </c>
    </row>
    <row r="3" spans="1:3" ht="20.100000000000001" customHeight="1" x14ac:dyDescent="0.25">
      <c r="A3" s="4">
        <v>1</v>
      </c>
      <c r="B3" s="4">
        <v>1</v>
      </c>
      <c r="C3" s="16" t="str">
        <f>CONCATENATE("(",A3,",",B3,"),")</f>
        <v>(1,1),</v>
      </c>
    </row>
    <row r="4" spans="1:3" ht="20.100000000000001" customHeight="1" x14ac:dyDescent="0.25">
      <c r="A4" s="4">
        <v>1</v>
      </c>
      <c r="B4" s="4">
        <v>2</v>
      </c>
      <c r="C4" s="16" t="str">
        <f t="shared" ref="C4:C19" si="0">CONCATENATE("(",A4,",",B4,"),")</f>
        <v>(1,2),</v>
      </c>
    </row>
    <row r="5" spans="1:3" ht="20.100000000000001" customHeight="1" x14ac:dyDescent="0.25">
      <c r="A5" s="4">
        <v>1</v>
      </c>
      <c r="B5" s="4">
        <v>3</v>
      </c>
      <c r="C5" s="16" t="str">
        <f t="shared" si="0"/>
        <v>(1,3),</v>
      </c>
    </row>
    <row r="6" spans="1:3" ht="20.100000000000001" customHeight="1" x14ac:dyDescent="0.25">
      <c r="A6" s="4">
        <v>1</v>
      </c>
      <c r="B6" s="4">
        <v>4</v>
      </c>
      <c r="C6" s="16" t="str">
        <f t="shared" si="0"/>
        <v>(1,4),</v>
      </c>
    </row>
    <row r="7" spans="1:3" ht="20.100000000000001" customHeight="1" x14ac:dyDescent="0.25">
      <c r="A7" s="4">
        <v>1</v>
      </c>
      <c r="B7" s="4">
        <v>5</v>
      </c>
      <c r="C7" s="16" t="str">
        <f t="shared" si="0"/>
        <v>(1,5),</v>
      </c>
    </row>
    <row r="8" spans="1:3" ht="20.100000000000001" customHeight="1" x14ac:dyDescent="0.25">
      <c r="A8" s="4">
        <v>1</v>
      </c>
      <c r="B8" s="4">
        <v>6</v>
      </c>
      <c r="C8" s="16" t="str">
        <f t="shared" si="0"/>
        <v>(1,6),</v>
      </c>
    </row>
    <row r="9" spans="1:3" ht="20.100000000000001" customHeight="1" x14ac:dyDescent="0.25">
      <c r="A9" s="4">
        <v>1</v>
      </c>
      <c r="B9" s="4">
        <v>7</v>
      </c>
      <c r="C9" s="16" t="str">
        <f t="shared" si="0"/>
        <v>(1,7),</v>
      </c>
    </row>
    <row r="10" spans="1:3" ht="20.100000000000001" customHeight="1" x14ac:dyDescent="0.25">
      <c r="A10" s="4">
        <v>1</v>
      </c>
      <c r="B10" s="4">
        <v>8</v>
      </c>
      <c r="C10" s="16" t="str">
        <f t="shared" si="0"/>
        <v>(1,8),</v>
      </c>
    </row>
    <row r="11" spans="1:3" ht="20.100000000000001" customHeight="1" x14ac:dyDescent="0.25">
      <c r="A11" s="4">
        <v>2</v>
      </c>
      <c r="B11" s="4">
        <v>9</v>
      </c>
      <c r="C11" s="16" t="str">
        <f t="shared" si="0"/>
        <v>(2,9),</v>
      </c>
    </row>
    <row r="12" spans="1:3" ht="20.100000000000001" customHeight="1" x14ac:dyDescent="0.25">
      <c r="A12" s="4">
        <v>2</v>
      </c>
      <c r="B12" s="4">
        <v>10</v>
      </c>
      <c r="C12" s="16" t="str">
        <f t="shared" si="0"/>
        <v>(2,10),</v>
      </c>
    </row>
    <row r="13" spans="1:3" ht="20.100000000000001" customHeight="1" x14ac:dyDescent="0.25">
      <c r="A13" s="4">
        <v>2</v>
      </c>
      <c r="B13" s="4">
        <v>11</v>
      </c>
      <c r="C13" s="16" t="str">
        <f t="shared" si="0"/>
        <v>(2,11),</v>
      </c>
    </row>
    <row r="14" spans="1:3" ht="20.100000000000001" customHeight="1" x14ac:dyDescent="0.25">
      <c r="A14" s="4">
        <v>2</v>
      </c>
      <c r="B14" s="4">
        <v>12</v>
      </c>
      <c r="C14" s="16" t="str">
        <f t="shared" si="0"/>
        <v>(2,12),</v>
      </c>
    </row>
    <row r="15" spans="1:3" ht="20.100000000000001" customHeight="1" x14ac:dyDescent="0.25">
      <c r="A15" s="4">
        <v>2</v>
      </c>
      <c r="B15" s="4">
        <v>13</v>
      </c>
      <c r="C15" s="16" t="str">
        <f t="shared" si="0"/>
        <v>(2,13),</v>
      </c>
    </row>
    <row r="16" spans="1:3" ht="20.100000000000001" customHeight="1" x14ac:dyDescent="0.25">
      <c r="A16" s="4">
        <v>2</v>
      </c>
      <c r="B16" s="4">
        <v>14</v>
      </c>
      <c r="C16" s="16" t="str">
        <f t="shared" si="0"/>
        <v>(2,14),</v>
      </c>
    </row>
    <row r="17" spans="1:3" ht="20.100000000000001" customHeight="1" x14ac:dyDescent="0.25">
      <c r="A17" s="4">
        <v>2</v>
      </c>
      <c r="B17" s="4">
        <v>15</v>
      </c>
      <c r="C17" s="16" t="str">
        <f t="shared" si="0"/>
        <v>(2,15),</v>
      </c>
    </row>
    <row r="18" spans="1:3" ht="20.100000000000001" customHeight="1" x14ac:dyDescent="0.25">
      <c r="A18" s="4">
        <v>2</v>
      </c>
      <c r="B18" s="4">
        <v>16</v>
      </c>
      <c r="C18" s="16" t="str">
        <f t="shared" si="0"/>
        <v>(2,16),</v>
      </c>
    </row>
    <row r="19" spans="1:3" ht="20.100000000000001" customHeight="1" x14ac:dyDescent="0.25">
      <c r="A19" s="4">
        <v>2</v>
      </c>
      <c r="B19" s="4">
        <v>17</v>
      </c>
      <c r="C19" s="16" t="str">
        <f t="shared" si="0"/>
        <v>(2,17),</v>
      </c>
    </row>
    <row r="20" spans="1:3" ht="20.100000000000001" customHeight="1" x14ac:dyDescent="0.25">
      <c r="A20" s="4">
        <v>2</v>
      </c>
      <c r="B20" s="4">
        <v>18</v>
      </c>
      <c r="C20" s="16" t="str">
        <f t="shared" ref="C20:C22" si="1">CONCATENATE("(",A20,",",B20,"),")</f>
        <v>(2,18),</v>
      </c>
    </row>
    <row r="21" spans="1:3" ht="20.100000000000001" customHeight="1" x14ac:dyDescent="0.25">
      <c r="A21" s="4">
        <v>2</v>
      </c>
      <c r="B21" s="4">
        <v>19</v>
      </c>
      <c r="C21" s="16" t="str">
        <f t="shared" si="1"/>
        <v>(2,19),</v>
      </c>
    </row>
    <row r="22" spans="1:3" ht="20.100000000000001" customHeight="1" x14ac:dyDescent="0.25">
      <c r="A22" s="4">
        <v>2</v>
      </c>
      <c r="B22" s="4">
        <v>20</v>
      </c>
      <c r="C22" s="16" t="str">
        <f t="shared" si="1"/>
        <v>(2,20),</v>
      </c>
    </row>
    <row r="23" spans="1:3" ht="20.100000000000001" customHeight="1" x14ac:dyDescent="0.25">
      <c r="A23" s="4">
        <v>5</v>
      </c>
      <c r="B23" s="4">
        <v>21</v>
      </c>
      <c r="C23" s="16" t="str">
        <f t="shared" ref="C23:C86" si="2">CONCATENATE("(",A23,",",B23,"),")</f>
        <v>(5,21),</v>
      </c>
    </row>
    <row r="24" spans="1:3" ht="20.100000000000001" customHeight="1" x14ac:dyDescent="0.25">
      <c r="A24" s="4">
        <v>5</v>
      </c>
      <c r="B24" s="4">
        <v>22</v>
      </c>
      <c r="C24" s="16" t="str">
        <f t="shared" si="2"/>
        <v>(5,22),</v>
      </c>
    </row>
    <row r="25" spans="1:3" ht="20.100000000000001" customHeight="1" x14ac:dyDescent="0.25">
      <c r="A25" s="4">
        <v>5</v>
      </c>
      <c r="B25" s="4">
        <v>23</v>
      </c>
      <c r="C25" s="16" t="str">
        <f t="shared" si="2"/>
        <v>(5,23),</v>
      </c>
    </row>
    <row r="26" spans="1:3" ht="20.100000000000001" customHeight="1" x14ac:dyDescent="0.25">
      <c r="A26" s="4">
        <v>5</v>
      </c>
      <c r="B26" s="4">
        <v>24</v>
      </c>
      <c r="C26" s="16" t="str">
        <f t="shared" si="2"/>
        <v>(5,24),</v>
      </c>
    </row>
    <row r="27" spans="1:3" ht="20.100000000000001" customHeight="1" x14ac:dyDescent="0.25">
      <c r="A27" s="4">
        <v>5</v>
      </c>
      <c r="B27" s="4">
        <v>25</v>
      </c>
      <c r="C27" s="16" t="str">
        <f t="shared" si="2"/>
        <v>(5,25),</v>
      </c>
    </row>
    <row r="28" spans="1:3" ht="20.100000000000001" customHeight="1" x14ac:dyDescent="0.25">
      <c r="A28" s="4">
        <v>5</v>
      </c>
      <c r="B28" s="4">
        <v>26</v>
      </c>
      <c r="C28" s="16" t="str">
        <f t="shared" si="2"/>
        <v>(5,26),</v>
      </c>
    </row>
    <row r="29" spans="1:3" ht="20.100000000000001" customHeight="1" x14ac:dyDescent="0.25">
      <c r="A29" s="4">
        <v>5</v>
      </c>
      <c r="B29" s="4">
        <v>27</v>
      </c>
      <c r="C29" s="16" t="str">
        <f t="shared" si="2"/>
        <v>(5,27),</v>
      </c>
    </row>
    <row r="30" spans="1:3" ht="20.100000000000001" customHeight="1" x14ac:dyDescent="0.25">
      <c r="A30" s="4">
        <v>5</v>
      </c>
      <c r="B30" s="4">
        <v>28</v>
      </c>
      <c r="C30" s="16" t="str">
        <f t="shared" si="2"/>
        <v>(5,28),</v>
      </c>
    </row>
    <row r="31" spans="1:3" ht="20.100000000000001" customHeight="1" x14ac:dyDescent="0.25">
      <c r="A31" s="4">
        <v>5</v>
      </c>
      <c r="B31" s="4">
        <v>29</v>
      </c>
      <c r="C31" s="16" t="str">
        <f t="shared" si="2"/>
        <v>(5,29),</v>
      </c>
    </row>
    <row r="32" spans="1:3" ht="20.100000000000001" customHeight="1" x14ac:dyDescent="0.25">
      <c r="A32" s="4">
        <v>5</v>
      </c>
      <c r="B32" s="4">
        <v>30</v>
      </c>
      <c r="C32" s="16" t="str">
        <f t="shared" si="2"/>
        <v>(5,30),</v>
      </c>
    </row>
    <row r="33" spans="1:3" ht="20.100000000000001" customHeight="1" x14ac:dyDescent="0.25">
      <c r="A33" s="4">
        <v>5</v>
      </c>
      <c r="B33" s="4">
        <v>31</v>
      </c>
      <c r="C33" s="16" t="str">
        <f t="shared" si="2"/>
        <v>(5,31),</v>
      </c>
    </row>
    <row r="34" spans="1:3" ht="20.100000000000001" customHeight="1" x14ac:dyDescent="0.25">
      <c r="A34" s="4">
        <v>5</v>
      </c>
      <c r="B34" s="4">
        <v>32</v>
      </c>
      <c r="C34" s="16" t="str">
        <f t="shared" si="2"/>
        <v>(5,32),</v>
      </c>
    </row>
    <row r="35" spans="1:3" ht="20.100000000000001" customHeight="1" x14ac:dyDescent="0.25">
      <c r="A35" s="4">
        <v>5</v>
      </c>
      <c r="B35" s="4">
        <v>33</v>
      </c>
      <c r="C35" s="16" t="str">
        <f t="shared" si="2"/>
        <v>(5,33),</v>
      </c>
    </row>
    <row r="36" spans="1:3" ht="20.100000000000001" customHeight="1" x14ac:dyDescent="0.25">
      <c r="A36" s="4">
        <v>5</v>
      </c>
      <c r="B36" s="4">
        <v>34</v>
      </c>
      <c r="C36" s="16" t="str">
        <f t="shared" si="2"/>
        <v>(5,34),</v>
      </c>
    </row>
    <row r="37" spans="1:3" ht="20.100000000000001" customHeight="1" x14ac:dyDescent="0.25">
      <c r="A37" s="4">
        <v>5</v>
      </c>
      <c r="B37" s="4">
        <v>35</v>
      </c>
      <c r="C37" s="16" t="str">
        <f t="shared" si="2"/>
        <v>(5,35),</v>
      </c>
    </row>
    <row r="38" spans="1:3" ht="20.100000000000001" customHeight="1" x14ac:dyDescent="0.25">
      <c r="A38" s="4">
        <v>5</v>
      </c>
      <c r="B38" s="4">
        <v>36</v>
      </c>
      <c r="C38" s="16" t="str">
        <f t="shared" si="2"/>
        <v>(5,36),</v>
      </c>
    </row>
    <row r="39" spans="1:3" ht="20.100000000000001" customHeight="1" x14ac:dyDescent="0.25">
      <c r="A39" s="4">
        <v>5</v>
      </c>
      <c r="B39" s="4">
        <v>37</v>
      </c>
      <c r="C39" s="16" t="str">
        <f t="shared" si="2"/>
        <v>(5,37),</v>
      </c>
    </row>
    <row r="40" spans="1:3" ht="20.100000000000001" customHeight="1" x14ac:dyDescent="0.25">
      <c r="A40" s="4">
        <v>5</v>
      </c>
      <c r="B40" s="4">
        <v>38</v>
      </c>
      <c r="C40" s="16" t="str">
        <f t="shared" si="2"/>
        <v>(5,38),</v>
      </c>
    </row>
    <row r="41" spans="1:3" ht="20.100000000000001" customHeight="1" x14ac:dyDescent="0.25">
      <c r="A41" s="4">
        <v>5</v>
      </c>
      <c r="B41" s="4">
        <v>39</v>
      </c>
      <c r="C41" s="16" t="str">
        <f t="shared" si="2"/>
        <v>(5,39),</v>
      </c>
    </row>
    <row r="42" spans="1:3" ht="20.100000000000001" customHeight="1" x14ac:dyDescent="0.25">
      <c r="A42" s="4">
        <v>5</v>
      </c>
      <c r="B42" s="4">
        <v>40</v>
      </c>
      <c r="C42" s="16" t="str">
        <f t="shared" si="2"/>
        <v>(5,40),</v>
      </c>
    </row>
    <row r="43" spans="1:3" ht="20.100000000000001" customHeight="1" x14ac:dyDescent="0.25">
      <c r="A43" s="4">
        <v>5</v>
      </c>
      <c r="B43" s="4">
        <v>41</v>
      </c>
      <c r="C43" s="16" t="str">
        <f t="shared" si="2"/>
        <v>(5,41),</v>
      </c>
    </row>
    <row r="44" spans="1:3" ht="20.100000000000001" customHeight="1" x14ac:dyDescent="0.25">
      <c r="A44" s="4">
        <v>5</v>
      </c>
      <c r="B44" s="4">
        <v>42</v>
      </c>
      <c r="C44" s="16" t="str">
        <f t="shared" si="2"/>
        <v>(5,42),</v>
      </c>
    </row>
    <row r="45" spans="1:3" ht="20.100000000000001" customHeight="1" x14ac:dyDescent="0.25">
      <c r="A45" s="4">
        <v>5</v>
      </c>
      <c r="B45" s="4">
        <v>43</v>
      </c>
      <c r="C45" s="16" t="str">
        <f t="shared" si="2"/>
        <v>(5,43),</v>
      </c>
    </row>
    <row r="46" spans="1:3" ht="20.100000000000001" customHeight="1" x14ac:dyDescent="0.25">
      <c r="A46" s="4">
        <v>5</v>
      </c>
      <c r="B46" s="4">
        <v>44</v>
      </c>
      <c r="C46" s="16" t="str">
        <f t="shared" si="2"/>
        <v>(5,44),</v>
      </c>
    </row>
    <row r="47" spans="1:3" ht="20.100000000000001" customHeight="1" x14ac:dyDescent="0.25">
      <c r="A47" s="4">
        <v>8</v>
      </c>
      <c r="B47" s="4">
        <v>45</v>
      </c>
      <c r="C47" s="16" t="str">
        <f t="shared" si="2"/>
        <v>(8,45),</v>
      </c>
    </row>
    <row r="48" spans="1:3" ht="20.100000000000001" customHeight="1" x14ac:dyDescent="0.25">
      <c r="A48" s="4">
        <v>8</v>
      </c>
      <c r="B48" s="4">
        <v>46</v>
      </c>
      <c r="C48" s="16" t="str">
        <f t="shared" si="2"/>
        <v>(8,46),</v>
      </c>
    </row>
    <row r="49" spans="1:3" ht="20.100000000000001" customHeight="1" x14ac:dyDescent="0.25">
      <c r="A49" s="4">
        <v>8</v>
      </c>
      <c r="B49" s="4">
        <v>47</v>
      </c>
      <c r="C49" s="16" t="str">
        <f t="shared" si="2"/>
        <v>(8,47),</v>
      </c>
    </row>
    <row r="50" spans="1:3" ht="20.100000000000001" customHeight="1" x14ac:dyDescent="0.25">
      <c r="A50" s="4">
        <v>8</v>
      </c>
      <c r="B50" s="4">
        <v>48</v>
      </c>
      <c r="C50" s="16" t="str">
        <f t="shared" si="2"/>
        <v>(8,48),</v>
      </c>
    </row>
    <row r="51" spans="1:3" ht="20.100000000000001" customHeight="1" x14ac:dyDescent="0.25">
      <c r="A51" s="4">
        <v>8</v>
      </c>
      <c r="B51" s="4">
        <v>49</v>
      </c>
      <c r="C51" s="16" t="str">
        <f t="shared" si="2"/>
        <v>(8,49),</v>
      </c>
    </row>
    <row r="52" spans="1:3" ht="20.100000000000001" customHeight="1" x14ac:dyDescent="0.25">
      <c r="A52" s="4">
        <v>8</v>
      </c>
      <c r="B52" s="4">
        <v>50</v>
      </c>
      <c r="C52" s="16" t="str">
        <f t="shared" si="2"/>
        <v>(8,50),</v>
      </c>
    </row>
    <row r="53" spans="1:3" ht="20.100000000000001" customHeight="1" x14ac:dyDescent="0.25">
      <c r="A53" s="4">
        <v>8</v>
      </c>
      <c r="B53" s="4">
        <v>51</v>
      </c>
      <c r="C53" s="16" t="str">
        <f t="shared" si="2"/>
        <v>(8,51),</v>
      </c>
    </row>
    <row r="54" spans="1:3" ht="20.100000000000001" customHeight="1" x14ac:dyDescent="0.25">
      <c r="A54" s="4">
        <v>8</v>
      </c>
      <c r="B54" s="4">
        <v>52</v>
      </c>
      <c r="C54" s="16" t="str">
        <f t="shared" si="2"/>
        <v>(8,52),</v>
      </c>
    </row>
    <row r="55" spans="1:3" ht="20.100000000000001" customHeight="1" x14ac:dyDescent="0.25">
      <c r="A55" s="4">
        <v>8</v>
      </c>
      <c r="B55" s="4">
        <v>53</v>
      </c>
      <c r="C55" s="16" t="str">
        <f t="shared" si="2"/>
        <v>(8,53),</v>
      </c>
    </row>
    <row r="56" spans="1:3" ht="20.100000000000001" customHeight="1" x14ac:dyDescent="0.25">
      <c r="A56" s="4">
        <v>8</v>
      </c>
      <c r="B56" s="4">
        <v>54</v>
      </c>
      <c r="C56" s="16" t="str">
        <f t="shared" si="2"/>
        <v>(8,54),</v>
      </c>
    </row>
    <row r="57" spans="1:3" ht="20.100000000000001" customHeight="1" x14ac:dyDescent="0.25">
      <c r="A57" s="4">
        <v>8</v>
      </c>
      <c r="B57" s="4">
        <v>55</v>
      </c>
      <c r="C57" s="16" t="str">
        <f t="shared" si="2"/>
        <v>(8,55),</v>
      </c>
    </row>
    <row r="58" spans="1:3" ht="20.100000000000001" customHeight="1" x14ac:dyDescent="0.25">
      <c r="A58" s="4">
        <v>8</v>
      </c>
      <c r="B58" s="4">
        <v>56</v>
      </c>
      <c r="C58" s="16" t="str">
        <f t="shared" si="2"/>
        <v>(8,56),</v>
      </c>
    </row>
    <row r="59" spans="1:3" ht="20.100000000000001" customHeight="1" x14ac:dyDescent="0.25">
      <c r="A59" s="4">
        <v>8</v>
      </c>
      <c r="B59" s="4">
        <v>57</v>
      </c>
      <c r="C59" s="16" t="str">
        <f t="shared" si="2"/>
        <v>(8,57),</v>
      </c>
    </row>
    <row r="60" spans="1:3" ht="20.100000000000001" customHeight="1" x14ac:dyDescent="0.25">
      <c r="A60" s="4">
        <v>8</v>
      </c>
      <c r="B60" s="4">
        <v>58</v>
      </c>
      <c r="C60" s="16" t="str">
        <f t="shared" si="2"/>
        <v>(8,58),</v>
      </c>
    </row>
    <row r="61" spans="1:3" ht="20.100000000000001" customHeight="1" x14ac:dyDescent="0.25">
      <c r="A61" s="4">
        <v>8</v>
      </c>
      <c r="B61" s="4">
        <v>59</v>
      </c>
      <c r="C61" s="16" t="str">
        <f t="shared" si="2"/>
        <v>(8,59),</v>
      </c>
    </row>
    <row r="62" spans="1:3" ht="20.100000000000001" customHeight="1" x14ac:dyDescent="0.25">
      <c r="A62" s="4">
        <v>1</v>
      </c>
      <c r="B62" s="4">
        <v>101</v>
      </c>
      <c r="C62" s="16" t="str">
        <f t="shared" si="2"/>
        <v>(1,101),</v>
      </c>
    </row>
    <row r="63" spans="1:3" ht="20.100000000000001" customHeight="1" x14ac:dyDescent="0.25">
      <c r="A63" s="4">
        <v>1</v>
      </c>
      <c r="B63" s="4">
        <v>102</v>
      </c>
      <c r="C63" s="16" t="str">
        <f t="shared" si="2"/>
        <v>(1,102),</v>
      </c>
    </row>
    <row r="64" spans="1:3" ht="20.100000000000001" customHeight="1" x14ac:dyDescent="0.25">
      <c r="A64" s="4">
        <v>1</v>
      </c>
      <c r="B64" s="4">
        <v>103</v>
      </c>
      <c r="C64" s="16" t="str">
        <f t="shared" si="2"/>
        <v>(1,103),</v>
      </c>
    </row>
    <row r="65" spans="1:3" ht="20.100000000000001" customHeight="1" x14ac:dyDescent="0.25">
      <c r="A65" s="4">
        <v>1</v>
      </c>
      <c r="B65" s="4">
        <v>104</v>
      </c>
      <c r="C65" s="16" t="str">
        <f t="shared" si="2"/>
        <v>(1,104),</v>
      </c>
    </row>
    <row r="66" spans="1:3" ht="20.100000000000001" customHeight="1" x14ac:dyDescent="0.25">
      <c r="A66" s="4">
        <v>1</v>
      </c>
      <c r="B66" s="4">
        <v>105</v>
      </c>
      <c r="C66" s="16" t="str">
        <f t="shared" si="2"/>
        <v>(1,105),</v>
      </c>
    </row>
    <row r="67" spans="1:3" ht="20.100000000000001" customHeight="1" x14ac:dyDescent="0.25">
      <c r="A67" s="4">
        <v>1</v>
      </c>
      <c r="B67" s="4">
        <v>106</v>
      </c>
      <c r="C67" s="16" t="str">
        <f t="shared" si="2"/>
        <v>(1,106),</v>
      </c>
    </row>
    <row r="68" spans="1:3" ht="20.100000000000001" customHeight="1" x14ac:dyDescent="0.25">
      <c r="A68" s="4">
        <v>1</v>
      </c>
      <c r="B68" s="4">
        <v>107</v>
      </c>
      <c r="C68" s="16" t="str">
        <f t="shared" si="2"/>
        <v>(1,107),</v>
      </c>
    </row>
    <row r="69" spans="1:3" ht="20.100000000000001" customHeight="1" x14ac:dyDescent="0.25">
      <c r="A69" s="4">
        <v>1</v>
      </c>
      <c r="B69" s="4">
        <v>108</v>
      </c>
      <c r="C69" s="16" t="str">
        <f t="shared" si="2"/>
        <v>(1,108),</v>
      </c>
    </row>
    <row r="70" spans="1:3" ht="20.100000000000001" customHeight="1" x14ac:dyDescent="0.25">
      <c r="A70" s="4">
        <v>7</v>
      </c>
      <c r="B70" s="4">
        <v>109</v>
      </c>
      <c r="C70" s="16" t="str">
        <f t="shared" si="2"/>
        <v>(7,109),</v>
      </c>
    </row>
    <row r="71" spans="1:3" ht="20.100000000000001" customHeight="1" x14ac:dyDescent="0.25">
      <c r="A71" s="4">
        <v>7</v>
      </c>
      <c r="B71" s="4">
        <v>110</v>
      </c>
      <c r="C71" s="16" t="str">
        <f t="shared" si="2"/>
        <v>(7,110),</v>
      </c>
    </row>
    <row r="72" spans="1:3" ht="20.100000000000001" customHeight="1" x14ac:dyDescent="0.25">
      <c r="A72" s="4">
        <v>7</v>
      </c>
      <c r="B72" s="4">
        <v>111</v>
      </c>
      <c r="C72" s="16" t="str">
        <f t="shared" si="2"/>
        <v>(7,111),</v>
      </c>
    </row>
    <row r="73" spans="1:3" ht="20.100000000000001" customHeight="1" x14ac:dyDescent="0.25">
      <c r="A73" s="4">
        <v>7</v>
      </c>
      <c r="B73" s="4">
        <v>112</v>
      </c>
      <c r="C73" s="16" t="str">
        <f t="shared" si="2"/>
        <v>(7,112),</v>
      </c>
    </row>
    <row r="74" spans="1:3" ht="20.100000000000001" customHeight="1" x14ac:dyDescent="0.25">
      <c r="A74" s="4">
        <v>7</v>
      </c>
      <c r="B74" s="4">
        <v>113</v>
      </c>
      <c r="C74" s="16" t="str">
        <f t="shared" si="2"/>
        <v>(7,113),</v>
      </c>
    </row>
    <row r="75" spans="1:3" ht="20.100000000000001" customHeight="1" x14ac:dyDescent="0.25">
      <c r="A75" s="4">
        <v>7</v>
      </c>
      <c r="B75" s="4">
        <v>114</v>
      </c>
      <c r="C75" s="16" t="str">
        <f t="shared" si="2"/>
        <v>(7,114),</v>
      </c>
    </row>
    <row r="76" spans="1:3" ht="20.100000000000001" customHeight="1" x14ac:dyDescent="0.25">
      <c r="A76" s="4">
        <v>7</v>
      </c>
      <c r="B76" s="4">
        <v>115</v>
      </c>
      <c r="C76" s="16" t="str">
        <f t="shared" si="2"/>
        <v>(7,115),</v>
      </c>
    </row>
    <row r="77" spans="1:3" ht="20.100000000000001" customHeight="1" x14ac:dyDescent="0.25">
      <c r="A77" s="4">
        <v>7</v>
      </c>
      <c r="B77" s="4">
        <v>116</v>
      </c>
      <c r="C77" s="16" t="str">
        <f t="shared" si="2"/>
        <v>(7,116),</v>
      </c>
    </row>
    <row r="78" spans="1:3" ht="20.100000000000001" customHeight="1" x14ac:dyDescent="0.25">
      <c r="A78" s="4">
        <v>7</v>
      </c>
      <c r="B78" s="4">
        <v>117</v>
      </c>
      <c r="C78" s="16" t="str">
        <f t="shared" si="2"/>
        <v>(7,117),</v>
      </c>
    </row>
    <row r="79" spans="1:3" ht="20.100000000000001" customHeight="1" x14ac:dyDescent="0.25">
      <c r="A79" s="4">
        <v>7</v>
      </c>
      <c r="B79" s="4">
        <v>118</v>
      </c>
      <c r="C79" s="16" t="str">
        <f t="shared" si="2"/>
        <v>(7,118),</v>
      </c>
    </row>
    <row r="80" spans="1:3" ht="20.100000000000001" customHeight="1" x14ac:dyDescent="0.25">
      <c r="A80" s="4">
        <v>7</v>
      </c>
      <c r="B80" s="4">
        <v>119</v>
      </c>
      <c r="C80" s="16" t="str">
        <f t="shared" si="2"/>
        <v>(7,119),</v>
      </c>
    </row>
    <row r="81" spans="1:3" ht="20.100000000000001" customHeight="1" x14ac:dyDescent="0.25">
      <c r="A81" s="4">
        <v>7</v>
      </c>
      <c r="B81" s="4">
        <v>120</v>
      </c>
      <c r="C81" s="16" t="str">
        <f t="shared" si="2"/>
        <v>(7,120),</v>
      </c>
    </row>
    <row r="82" spans="1:3" ht="20.100000000000001" customHeight="1" x14ac:dyDescent="0.25">
      <c r="A82" s="4">
        <v>4</v>
      </c>
      <c r="B82" s="4">
        <v>121</v>
      </c>
      <c r="C82" s="16" t="str">
        <f t="shared" si="2"/>
        <v>(4,121),</v>
      </c>
    </row>
    <row r="83" spans="1:3" ht="20.100000000000001" customHeight="1" x14ac:dyDescent="0.25">
      <c r="A83" s="4">
        <v>4</v>
      </c>
      <c r="B83" s="4">
        <v>122</v>
      </c>
      <c r="C83" s="16" t="str">
        <f t="shared" si="2"/>
        <v>(4,122),</v>
      </c>
    </row>
    <row r="84" spans="1:3" ht="20.100000000000001" customHeight="1" x14ac:dyDescent="0.25">
      <c r="A84" s="4">
        <v>4</v>
      </c>
      <c r="B84" s="4">
        <v>123</v>
      </c>
      <c r="C84" s="16" t="str">
        <f t="shared" si="2"/>
        <v>(4,123),</v>
      </c>
    </row>
    <row r="85" spans="1:3" ht="20.100000000000001" customHeight="1" x14ac:dyDescent="0.25">
      <c r="A85" s="4">
        <v>4</v>
      </c>
      <c r="B85" s="4">
        <v>124</v>
      </c>
      <c r="C85" s="16" t="str">
        <f t="shared" si="2"/>
        <v>(4,124),</v>
      </c>
    </row>
    <row r="86" spans="1:3" ht="20.100000000000001" customHeight="1" x14ac:dyDescent="0.25">
      <c r="A86" s="4">
        <v>4</v>
      </c>
      <c r="B86" s="4">
        <v>125</v>
      </c>
      <c r="C86" s="16" t="str">
        <f t="shared" si="2"/>
        <v>(4,125),</v>
      </c>
    </row>
    <row r="87" spans="1:3" ht="20.100000000000001" customHeight="1" x14ac:dyDescent="0.25">
      <c r="A87" s="4">
        <v>4</v>
      </c>
      <c r="B87" s="4">
        <v>126</v>
      </c>
      <c r="C87" s="16" t="str">
        <f t="shared" ref="C87:C150" si="3">CONCATENATE("(",A87,",",B87,"),")</f>
        <v>(4,126),</v>
      </c>
    </row>
    <row r="88" spans="1:3" ht="20.100000000000001" customHeight="1" x14ac:dyDescent="0.25">
      <c r="A88" s="4">
        <v>4</v>
      </c>
      <c r="B88" s="4">
        <v>127</v>
      </c>
      <c r="C88" s="16" t="str">
        <f t="shared" si="3"/>
        <v>(4,127),</v>
      </c>
    </row>
    <row r="89" spans="1:3" ht="20.100000000000001" customHeight="1" x14ac:dyDescent="0.25">
      <c r="A89" s="4">
        <v>4</v>
      </c>
      <c r="B89" s="4">
        <v>128</v>
      </c>
      <c r="C89" s="16" t="str">
        <f t="shared" si="3"/>
        <v>(4,128),</v>
      </c>
    </row>
    <row r="90" spans="1:3" ht="20.100000000000001" customHeight="1" x14ac:dyDescent="0.25">
      <c r="A90" s="4">
        <v>4</v>
      </c>
      <c r="B90" s="4">
        <v>129</v>
      </c>
      <c r="C90" s="16" t="str">
        <f t="shared" si="3"/>
        <v>(4,129),</v>
      </c>
    </row>
    <row r="91" spans="1:3" ht="20.100000000000001" customHeight="1" x14ac:dyDescent="0.25">
      <c r="A91" s="4">
        <v>4</v>
      </c>
      <c r="B91" s="4">
        <v>130</v>
      </c>
      <c r="C91" s="16" t="str">
        <f t="shared" si="3"/>
        <v>(4,130),</v>
      </c>
    </row>
    <row r="92" spans="1:3" ht="20.100000000000001" customHeight="1" x14ac:dyDescent="0.25">
      <c r="A92" s="4">
        <v>4</v>
      </c>
      <c r="B92" s="4">
        <v>131</v>
      </c>
      <c r="C92" s="16" t="str">
        <f t="shared" si="3"/>
        <v>(4,131),</v>
      </c>
    </row>
    <row r="93" spans="1:3" ht="20.100000000000001" customHeight="1" x14ac:dyDescent="0.25">
      <c r="A93" s="4">
        <v>4</v>
      </c>
      <c r="B93" s="4">
        <v>132</v>
      </c>
      <c r="C93" s="16" t="str">
        <f t="shared" si="3"/>
        <v>(4,132),</v>
      </c>
    </row>
    <row r="94" spans="1:3" ht="20.100000000000001" customHeight="1" x14ac:dyDescent="0.25">
      <c r="A94" s="4">
        <v>4</v>
      </c>
      <c r="B94" s="4">
        <v>133</v>
      </c>
      <c r="C94" s="16" t="str">
        <f t="shared" si="3"/>
        <v>(4,133),</v>
      </c>
    </row>
    <row r="95" spans="1:3" ht="20.100000000000001" customHeight="1" x14ac:dyDescent="0.25">
      <c r="A95" s="4">
        <v>4</v>
      </c>
      <c r="B95" s="4">
        <v>134</v>
      </c>
      <c r="C95" s="16" t="str">
        <f t="shared" si="3"/>
        <v>(4,134),</v>
      </c>
    </row>
    <row r="96" spans="1:3" ht="20.100000000000001" customHeight="1" x14ac:dyDescent="0.25">
      <c r="A96" s="4">
        <v>4</v>
      </c>
      <c r="B96" s="4">
        <v>135</v>
      </c>
      <c r="C96" s="16" t="str">
        <f t="shared" si="3"/>
        <v>(4,135),</v>
      </c>
    </row>
    <row r="97" spans="1:3" ht="20.100000000000001" customHeight="1" x14ac:dyDescent="0.25">
      <c r="A97" s="4">
        <v>4</v>
      </c>
      <c r="B97" s="4">
        <v>136</v>
      </c>
      <c r="C97" s="16" t="str">
        <f t="shared" si="3"/>
        <v>(4,136),</v>
      </c>
    </row>
    <row r="98" spans="1:3" ht="20.100000000000001" customHeight="1" x14ac:dyDescent="0.25">
      <c r="A98" s="4">
        <v>4</v>
      </c>
      <c r="B98" s="4">
        <v>137</v>
      </c>
      <c r="C98" s="16" t="str">
        <f t="shared" si="3"/>
        <v>(4,137),</v>
      </c>
    </row>
    <row r="99" spans="1:3" ht="20.100000000000001" customHeight="1" x14ac:dyDescent="0.25">
      <c r="A99" s="4">
        <v>4</v>
      </c>
      <c r="B99" s="4">
        <v>138</v>
      </c>
      <c r="C99" s="16" t="str">
        <f t="shared" si="3"/>
        <v>(4,138),</v>
      </c>
    </row>
    <row r="100" spans="1:3" ht="20.100000000000001" customHeight="1" x14ac:dyDescent="0.25">
      <c r="A100" s="4">
        <v>4</v>
      </c>
      <c r="B100" s="4">
        <v>139</v>
      </c>
      <c r="C100" s="16" t="str">
        <f t="shared" si="3"/>
        <v>(4,139),</v>
      </c>
    </row>
    <row r="101" spans="1:3" ht="20.100000000000001" customHeight="1" x14ac:dyDescent="0.25">
      <c r="A101" s="4">
        <v>4</v>
      </c>
      <c r="B101" s="4">
        <v>140</v>
      </c>
      <c r="C101" s="16" t="str">
        <f t="shared" si="3"/>
        <v>(4,140),</v>
      </c>
    </row>
    <row r="102" spans="1:3" ht="20.100000000000001" customHeight="1" x14ac:dyDescent="0.25">
      <c r="A102" s="4">
        <v>4</v>
      </c>
      <c r="B102" s="4">
        <v>141</v>
      </c>
      <c r="C102" s="16" t="str">
        <f t="shared" si="3"/>
        <v>(4,141),</v>
      </c>
    </row>
    <row r="103" spans="1:3" ht="20.100000000000001" customHeight="1" x14ac:dyDescent="0.25">
      <c r="A103" s="4">
        <v>4</v>
      </c>
      <c r="B103" s="4">
        <v>142</v>
      </c>
      <c r="C103" s="16" t="str">
        <f t="shared" si="3"/>
        <v>(4,142),</v>
      </c>
    </row>
    <row r="104" spans="1:3" ht="20.100000000000001" customHeight="1" x14ac:dyDescent="0.25">
      <c r="A104" s="4">
        <v>4</v>
      </c>
      <c r="B104" s="4">
        <v>143</v>
      </c>
      <c r="C104" s="16" t="str">
        <f t="shared" si="3"/>
        <v>(4,143),</v>
      </c>
    </row>
    <row r="105" spans="1:3" ht="20.100000000000001" customHeight="1" x14ac:dyDescent="0.25">
      <c r="A105" s="4">
        <v>4</v>
      </c>
      <c r="B105" s="4">
        <v>144</v>
      </c>
      <c r="C105" s="16" t="str">
        <f t="shared" si="3"/>
        <v>(4,144),</v>
      </c>
    </row>
    <row r="106" spans="1:3" ht="20.100000000000001" customHeight="1" x14ac:dyDescent="0.25">
      <c r="A106" s="4">
        <v>11</v>
      </c>
      <c r="B106" s="4">
        <v>145</v>
      </c>
      <c r="C106" s="16" t="str">
        <f t="shared" si="3"/>
        <v>(11,145),</v>
      </c>
    </row>
    <row r="107" spans="1:3" ht="20.100000000000001" customHeight="1" x14ac:dyDescent="0.25">
      <c r="A107" s="4">
        <v>11</v>
      </c>
      <c r="B107" s="4">
        <v>146</v>
      </c>
      <c r="C107" s="16" t="str">
        <f t="shared" si="3"/>
        <v>(11,146),</v>
      </c>
    </row>
    <row r="108" spans="1:3" ht="20.100000000000001" customHeight="1" x14ac:dyDescent="0.25">
      <c r="A108" s="4">
        <v>11</v>
      </c>
      <c r="B108" s="4">
        <v>147</v>
      </c>
      <c r="C108" s="16" t="str">
        <f t="shared" si="3"/>
        <v>(11,147),</v>
      </c>
    </row>
    <row r="109" spans="1:3" ht="20.100000000000001" customHeight="1" x14ac:dyDescent="0.25">
      <c r="A109" s="4">
        <v>11</v>
      </c>
      <c r="B109" s="4">
        <v>148</v>
      </c>
      <c r="C109" s="16" t="str">
        <f t="shared" si="3"/>
        <v>(11,148),</v>
      </c>
    </row>
    <row r="110" spans="1:3" ht="20.100000000000001" customHeight="1" x14ac:dyDescent="0.25">
      <c r="A110" s="4">
        <v>11</v>
      </c>
      <c r="B110" s="4">
        <v>149</v>
      </c>
      <c r="C110" s="16" t="str">
        <f t="shared" si="3"/>
        <v>(11,149),</v>
      </c>
    </row>
    <row r="111" spans="1:3" ht="20.100000000000001" customHeight="1" x14ac:dyDescent="0.25">
      <c r="A111" s="4">
        <v>11</v>
      </c>
      <c r="B111" s="4">
        <v>150</v>
      </c>
      <c r="C111" s="16" t="str">
        <f t="shared" si="3"/>
        <v>(11,150),</v>
      </c>
    </row>
    <row r="112" spans="1:3" ht="20.100000000000001" customHeight="1" x14ac:dyDescent="0.25">
      <c r="A112" s="4">
        <v>11</v>
      </c>
      <c r="B112" s="4">
        <v>151</v>
      </c>
      <c r="C112" s="16" t="str">
        <f t="shared" si="3"/>
        <v>(11,151),</v>
      </c>
    </row>
    <row r="113" spans="1:3" ht="20.100000000000001" customHeight="1" x14ac:dyDescent="0.25">
      <c r="A113" s="4">
        <v>11</v>
      </c>
      <c r="B113" s="4">
        <v>152</v>
      </c>
      <c r="C113" s="16" t="str">
        <f t="shared" si="3"/>
        <v>(11,152),</v>
      </c>
    </row>
    <row r="114" spans="1:3" ht="20.100000000000001" customHeight="1" x14ac:dyDescent="0.25">
      <c r="A114" s="4">
        <v>11</v>
      </c>
      <c r="B114" s="4">
        <v>153</v>
      </c>
      <c r="C114" s="16" t="str">
        <f t="shared" si="3"/>
        <v>(11,153),</v>
      </c>
    </row>
    <row r="115" spans="1:3" ht="20.100000000000001" customHeight="1" x14ac:dyDescent="0.25">
      <c r="A115" s="4">
        <v>11</v>
      </c>
      <c r="B115" s="4">
        <v>154</v>
      </c>
      <c r="C115" s="16" t="str">
        <f t="shared" si="3"/>
        <v>(11,154),</v>
      </c>
    </row>
    <row r="116" spans="1:3" ht="20.100000000000001" customHeight="1" x14ac:dyDescent="0.25">
      <c r="A116" s="4">
        <v>11</v>
      </c>
      <c r="B116" s="4">
        <v>155</v>
      </c>
      <c r="C116" s="16" t="str">
        <f t="shared" si="3"/>
        <v>(11,155),</v>
      </c>
    </row>
    <row r="117" spans="1:3" ht="20.100000000000001" customHeight="1" x14ac:dyDescent="0.25">
      <c r="A117" s="4">
        <v>11</v>
      </c>
      <c r="B117" s="4">
        <v>156</v>
      </c>
      <c r="C117" s="16" t="str">
        <f t="shared" si="3"/>
        <v>(11,156),</v>
      </c>
    </row>
    <row r="118" spans="1:3" ht="20.100000000000001" customHeight="1" x14ac:dyDescent="0.25">
      <c r="A118" s="4">
        <v>11</v>
      </c>
      <c r="B118" s="4">
        <v>157</v>
      </c>
      <c r="C118" s="16" t="str">
        <f t="shared" si="3"/>
        <v>(11,157),</v>
      </c>
    </row>
    <row r="119" spans="1:3" ht="20.100000000000001" customHeight="1" x14ac:dyDescent="0.25">
      <c r="A119" s="4">
        <v>11</v>
      </c>
      <c r="B119" s="4">
        <v>158</v>
      </c>
      <c r="C119" s="16" t="str">
        <f t="shared" si="3"/>
        <v>(11,158),</v>
      </c>
    </row>
    <row r="120" spans="1:3" ht="20.100000000000001" customHeight="1" x14ac:dyDescent="0.25">
      <c r="A120" s="4">
        <v>11</v>
      </c>
      <c r="B120" s="4">
        <v>159</v>
      </c>
      <c r="C120" s="16" t="str">
        <f t="shared" si="3"/>
        <v>(11,159),</v>
      </c>
    </row>
    <row r="121" spans="1:3" ht="20.100000000000001" customHeight="1" x14ac:dyDescent="0.25">
      <c r="A121" s="4">
        <v>1</v>
      </c>
      <c r="B121" s="4">
        <v>201</v>
      </c>
      <c r="C121" s="16" t="str">
        <f t="shared" si="3"/>
        <v>(1,201),</v>
      </c>
    </row>
    <row r="122" spans="1:3" ht="20.100000000000001" customHeight="1" x14ac:dyDescent="0.25">
      <c r="A122" s="4">
        <v>1</v>
      </c>
      <c r="B122" s="4">
        <v>202</v>
      </c>
      <c r="C122" s="16" t="str">
        <f t="shared" si="3"/>
        <v>(1,202),</v>
      </c>
    </row>
    <row r="123" spans="1:3" ht="20.100000000000001" customHeight="1" x14ac:dyDescent="0.25">
      <c r="A123" s="4">
        <v>1</v>
      </c>
      <c r="B123" s="4">
        <v>203</v>
      </c>
      <c r="C123" s="16" t="str">
        <f t="shared" si="3"/>
        <v>(1,203),</v>
      </c>
    </row>
    <row r="124" spans="1:3" ht="20.100000000000001" customHeight="1" x14ac:dyDescent="0.25">
      <c r="A124" s="4">
        <v>1</v>
      </c>
      <c r="B124" s="4">
        <v>204</v>
      </c>
      <c r="C124" s="16" t="str">
        <f t="shared" si="3"/>
        <v>(1,204),</v>
      </c>
    </row>
    <row r="125" spans="1:3" ht="20.100000000000001" customHeight="1" x14ac:dyDescent="0.25">
      <c r="A125" s="4">
        <v>1</v>
      </c>
      <c r="B125" s="4">
        <v>205</v>
      </c>
      <c r="C125" s="16" t="str">
        <f t="shared" si="3"/>
        <v>(1,205),</v>
      </c>
    </row>
    <row r="126" spans="1:3" ht="20.100000000000001" customHeight="1" x14ac:dyDescent="0.25">
      <c r="A126" s="4">
        <v>1</v>
      </c>
      <c r="B126" s="4">
        <v>206</v>
      </c>
      <c r="C126" s="16" t="str">
        <f t="shared" si="3"/>
        <v>(1,206),</v>
      </c>
    </row>
    <row r="127" spans="1:3" ht="20.100000000000001" customHeight="1" x14ac:dyDescent="0.25">
      <c r="A127" s="4">
        <v>1</v>
      </c>
      <c r="B127" s="4">
        <v>207</v>
      </c>
      <c r="C127" s="16" t="str">
        <f t="shared" si="3"/>
        <v>(1,207),</v>
      </c>
    </row>
    <row r="128" spans="1:3" ht="20.100000000000001" customHeight="1" x14ac:dyDescent="0.25">
      <c r="A128" s="4">
        <v>1</v>
      </c>
      <c r="B128" s="4">
        <v>208</v>
      </c>
      <c r="C128" s="16" t="str">
        <f t="shared" si="3"/>
        <v>(1,208),</v>
      </c>
    </row>
    <row r="129" spans="1:3" ht="20.100000000000001" customHeight="1" x14ac:dyDescent="0.25">
      <c r="A129" s="4">
        <v>6</v>
      </c>
      <c r="B129" s="4">
        <v>209</v>
      </c>
      <c r="C129" s="16" t="str">
        <f t="shared" si="3"/>
        <v>(6,209),</v>
      </c>
    </row>
    <row r="130" spans="1:3" ht="20.100000000000001" customHeight="1" x14ac:dyDescent="0.25">
      <c r="A130" s="4">
        <v>6</v>
      </c>
      <c r="B130" s="4">
        <v>210</v>
      </c>
      <c r="C130" s="16" t="str">
        <f t="shared" si="3"/>
        <v>(6,210),</v>
      </c>
    </row>
    <row r="131" spans="1:3" ht="20.100000000000001" customHeight="1" x14ac:dyDescent="0.25">
      <c r="A131" s="4">
        <v>6</v>
      </c>
      <c r="B131" s="4">
        <v>211</v>
      </c>
      <c r="C131" s="16" t="str">
        <f t="shared" si="3"/>
        <v>(6,211),</v>
      </c>
    </row>
    <row r="132" spans="1:3" ht="20.100000000000001" customHeight="1" x14ac:dyDescent="0.25">
      <c r="A132" s="4">
        <v>6</v>
      </c>
      <c r="B132" s="4">
        <v>212</v>
      </c>
      <c r="C132" s="16" t="str">
        <f t="shared" si="3"/>
        <v>(6,212),</v>
      </c>
    </row>
    <row r="133" spans="1:3" ht="20.100000000000001" customHeight="1" x14ac:dyDescent="0.25">
      <c r="A133" s="4">
        <v>6</v>
      </c>
      <c r="B133" s="4">
        <v>213</v>
      </c>
      <c r="C133" s="16" t="str">
        <f t="shared" si="3"/>
        <v>(6,213),</v>
      </c>
    </row>
    <row r="134" spans="1:3" ht="20.100000000000001" customHeight="1" x14ac:dyDescent="0.25">
      <c r="A134" s="4">
        <v>6</v>
      </c>
      <c r="B134" s="4">
        <v>214</v>
      </c>
      <c r="C134" s="16" t="str">
        <f t="shared" si="3"/>
        <v>(6,214),</v>
      </c>
    </row>
    <row r="135" spans="1:3" ht="20.100000000000001" customHeight="1" x14ac:dyDescent="0.25">
      <c r="A135" s="4">
        <v>6</v>
      </c>
      <c r="B135" s="4">
        <v>215</v>
      </c>
      <c r="C135" s="16" t="str">
        <f t="shared" si="3"/>
        <v>(6,215),</v>
      </c>
    </row>
    <row r="136" spans="1:3" ht="20.100000000000001" customHeight="1" x14ac:dyDescent="0.25">
      <c r="A136" s="4">
        <v>6</v>
      </c>
      <c r="B136" s="4">
        <v>216</v>
      </c>
      <c r="C136" s="16" t="str">
        <f t="shared" si="3"/>
        <v>(6,216),</v>
      </c>
    </row>
    <row r="137" spans="1:3" ht="20.100000000000001" customHeight="1" x14ac:dyDescent="0.25">
      <c r="A137" s="4">
        <v>6</v>
      </c>
      <c r="B137" s="4">
        <v>217</v>
      </c>
      <c r="C137" s="16" t="str">
        <f t="shared" si="3"/>
        <v>(6,217),</v>
      </c>
    </row>
    <row r="138" spans="1:3" ht="20.100000000000001" customHeight="1" x14ac:dyDescent="0.25">
      <c r="A138" s="4">
        <v>6</v>
      </c>
      <c r="B138" s="4">
        <v>218</v>
      </c>
      <c r="C138" s="16" t="str">
        <f t="shared" si="3"/>
        <v>(6,218),</v>
      </c>
    </row>
    <row r="139" spans="1:3" ht="20.100000000000001" customHeight="1" x14ac:dyDescent="0.25">
      <c r="A139" s="4">
        <v>6</v>
      </c>
      <c r="B139" s="4">
        <v>219</v>
      </c>
      <c r="C139" s="16" t="str">
        <f t="shared" si="3"/>
        <v>(6,219),</v>
      </c>
    </row>
    <row r="140" spans="1:3" ht="20.100000000000001" customHeight="1" x14ac:dyDescent="0.25">
      <c r="A140" s="4">
        <v>6</v>
      </c>
      <c r="B140" s="4">
        <v>220</v>
      </c>
      <c r="C140" s="16" t="str">
        <f t="shared" si="3"/>
        <v>(6,220),</v>
      </c>
    </row>
    <row r="141" spans="1:3" ht="20.100000000000001" customHeight="1" x14ac:dyDescent="0.25">
      <c r="A141" s="4">
        <v>3</v>
      </c>
      <c r="B141" s="4">
        <v>221</v>
      </c>
      <c r="C141" s="16" t="str">
        <f t="shared" si="3"/>
        <v>(3,221),</v>
      </c>
    </row>
    <row r="142" spans="1:3" ht="20.100000000000001" customHeight="1" x14ac:dyDescent="0.25">
      <c r="A142" s="4">
        <v>3</v>
      </c>
      <c r="B142" s="4">
        <v>222</v>
      </c>
      <c r="C142" s="16" t="str">
        <f t="shared" si="3"/>
        <v>(3,222),</v>
      </c>
    </row>
    <row r="143" spans="1:3" ht="20.100000000000001" customHeight="1" x14ac:dyDescent="0.25">
      <c r="A143" s="4">
        <v>3</v>
      </c>
      <c r="B143" s="4">
        <v>223</v>
      </c>
      <c r="C143" s="16" t="str">
        <f t="shared" si="3"/>
        <v>(3,223),</v>
      </c>
    </row>
    <row r="144" spans="1:3" ht="20.100000000000001" customHeight="1" x14ac:dyDescent="0.25">
      <c r="A144" s="4">
        <v>3</v>
      </c>
      <c r="B144" s="4">
        <v>224</v>
      </c>
      <c r="C144" s="16" t="str">
        <f t="shared" si="3"/>
        <v>(3,224),</v>
      </c>
    </row>
    <row r="145" spans="1:3" ht="20.100000000000001" customHeight="1" x14ac:dyDescent="0.25">
      <c r="A145" s="4">
        <v>3</v>
      </c>
      <c r="B145" s="4">
        <v>225</v>
      </c>
      <c r="C145" s="16" t="str">
        <f t="shared" si="3"/>
        <v>(3,225),</v>
      </c>
    </row>
    <row r="146" spans="1:3" ht="20.100000000000001" customHeight="1" x14ac:dyDescent="0.25">
      <c r="A146" s="4">
        <v>3</v>
      </c>
      <c r="B146" s="4">
        <v>226</v>
      </c>
      <c r="C146" s="16" t="str">
        <f t="shared" si="3"/>
        <v>(3,226),</v>
      </c>
    </row>
    <row r="147" spans="1:3" ht="20.100000000000001" customHeight="1" x14ac:dyDescent="0.25">
      <c r="A147" s="4">
        <v>3</v>
      </c>
      <c r="B147" s="4">
        <v>227</v>
      </c>
      <c r="C147" s="16" t="str">
        <f t="shared" si="3"/>
        <v>(3,227),</v>
      </c>
    </row>
    <row r="148" spans="1:3" ht="20.100000000000001" customHeight="1" x14ac:dyDescent="0.25">
      <c r="A148" s="4">
        <v>3</v>
      </c>
      <c r="B148" s="4">
        <v>228</v>
      </c>
      <c r="C148" s="16" t="str">
        <f t="shared" si="3"/>
        <v>(3,228),</v>
      </c>
    </row>
    <row r="149" spans="1:3" ht="20.100000000000001" customHeight="1" x14ac:dyDescent="0.25">
      <c r="A149" s="4">
        <v>3</v>
      </c>
      <c r="B149" s="4">
        <v>229</v>
      </c>
      <c r="C149" s="16" t="str">
        <f t="shared" si="3"/>
        <v>(3,229),</v>
      </c>
    </row>
    <row r="150" spans="1:3" ht="20.100000000000001" customHeight="1" x14ac:dyDescent="0.25">
      <c r="A150" s="4">
        <v>3</v>
      </c>
      <c r="B150" s="4">
        <v>230</v>
      </c>
      <c r="C150" s="16" t="str">
        <f t="shared" si="3"/>
        <v>(3,230),</v>
      </c>
    </row>
    <row r="151" spans="1:3" ht="20.100000000000001" customHeight="1" x14ac:dyDescent="0.25">
      <c r="A151" s="4">
        <v>3</v>
      </c>
      <c r="B151" s="4">
        <v>231</v>
      </c>
      <c r="C151" s="16" t="str">
        <f t="shared" ref="C151:C214" si="4">CONCATENATE("(",A151,",",B151,"),")</f>
        <v>(3,231),</v>
      </c>
    </row>
    <row r="152" spans="1:3" ht="20.100000000000001" customHeight="1" x14ac:dyDescent="0.25">
      <c r="A152" s="4">
        <v>3</v>
      </c>
      <c r="B152" s="4">
        <v>232</v>
      </c>
      <c r="C152" s="16" t="str">
        <f t="shared" si="4"/>
        <v>(3,232),</v>
      </c>
    </row>
    <row r="153" spans="1:3" ht="20.100000000000001" customHeight="1" x14ac:dyDescent="0.25">
      <c r="A153" s="4">
        <v>3</v>
      </c>
      <c r="B153" s="4">
        <v>233</v>
      </c>
      <c r="C153" s="16" t="str">
        <f t="shared" si="4"/>
        <v>(3,233),</v>
      </c>
    </row>
    <row r="154" spans="1:3" ht="20.100000000000001" customHeight="1" x14ac:dyDescent="0.25">
      <c r="A154" s="4">
        <v>3</v>
      </c>
      <c r="B154" s="4">
        <v>234</v>
      </c>
      <c r="C154" s="16" t="str">
        <f t="shared" si="4"/>
        <v>(3,234),</v>
      </c>
    </row>
    <row r="155" spans="1:3" ht="20.100000000000001" customHeight="1" x14ac:dyDescent="0.25">
      <c r="A155" s="4">
        <v>3</v>
      </c>
      <c r="B155" s="4">
        <v>235</v>
      </c>
      <c r="C155" s="16" t="str">
        <f t="shared" si="4"/>
        <v>(3,235),</v>
      </c>
    </row>
    <row r="156" spans="1:3" ht="20.100000000000001" customHeight="1" x14ac:dyDescent="0.25">
      <c r="A156" s="4">
        <v>3</v>
      </c>
      <c r="B156" s="4">
        <v>236</v>
      </c>
      <c r="C156" s="16" t="str">
        <f t="shared" si="4"/>
        <v>(3,236),</v>
      </c>
    </row>
    <row r="157" spans="1:3" ht="20.100000000000001" customHeight="1" x14ac:dyDescent="0.25">
      <c r="A157" s="4">
        <v>3</v>
      </c>
      <c r="B157" s="4">
        <v>237</v>
      </c>
      <c r="C157" s="16" t="str">
        <f t="shared" si="4"/>
        <v>(3,237),</v>
      </c>
    </row>
    <row r="158" spans="1:3" ht="20.100000000000001" customHeight="1" x14ac:dyDescent="0.25">
      <c r="A158" s="4">
        <v>3</v>
      </c>
      <c r="B158" s="4">
        <v>238</v>
      </c>
      <c r="C158" s="16" t="str">
        <f t="shared" si="4"/>
        <v>(3,238),</v>
      </c>
    </row>
    <row r="159" spans="1:3" ht="20.100000000000001" customHeight="1" x14ac:dyDescent="0.25">
      <c r="A159" s="4">
        <v>3</v>
      </c>
      <c r="B159" s="4">
        <v>239</v>
      </c>
      <c r="C159" s="16" t="str">
        <f t="shared" si="4"/>
        <v>(3,239),</v>
      </c>
    </row>
    <row r="160" spans="1:3" ht="20.100000000000001" customHeight="1" x14ac:dyDescent="0.25">
      <c r="A160" s="4">
        <v>3</v>
      </c>
      <c r="B160" s="4">
        <v>240</v>
      </c>
      <c r="C160" s="16" t="str">
        <f t="shared" si="4"/>
        <v>(3,240),</v>
      </c>
    </row>
    <row r="161" spans="1:3" ht="20.100000000000001" customHeight="1" x14ac:dyDescent="0.25">
      <c r="A161" s="4">
        <v>3</v>
      </c>
      <c r="B161" s="4">
        <v>241</v>
      </c>
      <c r="C161" s="16" t="str">
        <f t="shared" si="4"/>
        <v>(3,241),</v>
      </c>
    </row>
    <row r="162" spans="1:3" ht="20.100000000000001" customHeight="1" x14ac:dyDescent="0.25">
      <c r="A162" s="4">
        <v>3</v>
      </c>
      <c r="B162" s="4">
        <v>242</v>
      </c>
      <c r="C162" s="16" t="str">
        <f t="shared" si="4"/>
        <v>(3,242),</v>
      </c>
    </row>
    <row r="163" spans="1:3" ht="20.100000000000001" customHeight="1" x14ac:dyDescent="0.25">
      <c r="A163" s="4">
        <v>3</v>
      </c>
      <c r="B163" s="4">
        <v>243</v>
      </c>
      <c r="C163" s="16" t="str">
        <f t="shared" si="4"/>
        <v>(3,243),</v>
      </c>
    </row>
    <row r="164" spans="1:3" ht="20.100000000000001" customHeight="1" x14ac:dyDescent="0.25">
      <c r="A164" s="4">
        <v>3</v>
      </c>
      <c r="B164" s="4">
        <v>244</v>
      </c>
      <c r="C164" s="16" t="str">
        <f t="shared" si="4"/>
        <v>(3,244),</v>
      </c>
    </row>
    <row r="165" spans="1:3" ht="20.100000000000001" customHeight="1" x14ac:dyDescent="0.25">
      <c r="A165" s="4">
        <v>9</v>
      </c>
      <c r="B165" s="4">
        <v>245</v>
      </c>
      <c r="C165" s="16" t="str">
        <f t="shared" si="4"/>
        <v>(9,245),</v>
      </c>
    </row>
    <row r="166" spans="1:3" ht="20.100000000000001" customHeight="1" x14ac:dyDescent="0.25">
      <c r="A166" s="4">
        <v>9</v>
      </c>
      <c r="B166" s="4">
        <v>246</v>
      </c>
      <c r="C166" s="16" t="str">
        <f t="shared" si="4"/>
        <v>(9,246),</v>
      </c>
    </row>
    <row r="167" spans="1:3" ht="20.100000000000001" customHeight="1" x14ac:dyDescent="0.25">
      <c r="A167" s="4">
        <v>9</v>
      </c>
      <c r="B167" s="4">
        <v>247</v>
      </c>
      <c r="C167" s="16" t="str">
        <f t="shared" si="4"/>
        <v>(9,247),</v>
      </c>
    </row>
    <row r="168" spans="1:3" ht="20.100000000000001" customHeight="1" x14ac:dyDescent="0.25">
      <c r="A168" s="4">
        <v>9</v>
      </c>
      <c r="B168" s="4">
        <v>248</v>
      </c>
      <c r="C168" s="16" t="str">
        <f t="shared" si="4"/>
        <v>(9,248),</v>
      </c>
    </row>
    <row r="169" spans="1:3" ht="20.100000000000001" customHeight="1" x14ac:dyDescent="0.25">
      <c r="A169" s="4">
        <v>9</v>
      </c>
      <c r="B169" s="4">
        <v>249</v>
      </c>
      <c r="C169" s="16" t="str">
        <f t="shared" si="4"/>
        <v>(9,249),</v>
      </c>
    </row>
    <row r="170" spans="1:3" ht="20.100000000000001" customHeight="1" x14ac:dyDescent="0.25">
      <c r="A170" s="4">
        <v>9</v>
      </c>
      <c r="B170" s="4">
        <v>250</v>
      </c>
      <c r="C170" s="16" t="str">
        <f t="shared" si="4"/>
        <v>(9,250),</v>
      </c>
    </row>
    <row r="171" spans="1:3" ht="20.100000000000001" customHeight="1" x14ac:dyDescent="0.25">
      <c r="A171" s="4">
        <v>9</v>
      </c>
      <c r="B171" s="4">
        <v>251</v>
      </c>
      <c r="C171" s="16" t="str">
        <f t="shared" si="4"/>
        <v>(9,251),</v>
      </c>
    </row>
    <row r="172" spans="1:3" ht="20.100000000000001" customHeight="1" x14ac:dyDescent="0.25">
      <c r="A172" s="4">
        <v>9</v>
      </c>
      <c r="B172" s="4">
        <v>252</v>
      </c>
      <c r="C172" s="16" t="str">
        <f t="shared" si="4"/>
        <v>(9,252),</v>
      </c>
    </row>
    <row r="173" spans="1:3" ht="20.100000000000001" customHeight="1" x14ac:dyDescent="0.25">
      <c r="A173" s="4">
        <v>9</v>
      </c>
      <c r="B173" s="4">
        <v>253</v>
      </c>
      <c r="C173" s="16" t="str">
        <f t="shared" si="4"/>
        <v>(9,253),</v>
      </c>
    </row>
    <row r="174" spans="1:3" ht="20.100000000000001" customHeight="1" x14ac:dyDescent="0.25">
      <c r="A174" s="4">
        <v>9</v>
      </c>
      <c r="B174" s="4">
        <v>254</v>
      </c>
      <c r="C174" s="16" t="str">
        <f t="shared" si="4"/>
        <v>(9,254),</v>
      </c>
    </row>
    <row r="175" spans="1:3" ht="20.100000000000001" customHeight="1" x14ac:dyDescent="0.25">
      <c r="A175" s="4">
        <v>9</v>
      </c>
      <c r="B175" s="4">
        <v>255</v>
      </c>
      <c r="C175" s="16" t="str">
        <f t="shared" si="4"/>
        <v>(9,255),</v>
      </c>
    </row>
    <row r="176" spans="1:3" ht="20.100000000000001" customHeight="1" x14ac:dyDescent="0.25">
      <c r="A176" s="4">
        <v>9</v>
      </c>
      <c r="B176" s="4">
        <v>256</v>
      </c>
      <c r="C176" s="16" t="str">
        <f t="shared" si="4"/>
        <v>(9,256),</v>
      </c>
    </row>
    <row r="177" spans="1:3" ht="20.100000000000001" customHeight="1" x14ac:dyDescent="0.25">
      <c r="A177" s="4">
        <v>9</v>
      </c>
      <c r="B177" s="4">
        <v>257</v>
      </c>
      <c r="C177" s="16" t="str">
        <f t="shared" si="4"/>
        <v>(9,257),</v>
      </c>
    </row>
    <row r="178" spans="1:3" ht="20.100000000000001" customHeight="1" x14ac:dyDescent="0.25">
      <c r="A178" s="4">
        <v>9</v>
      </c>
      <c r="B178" s="4">
        <v>258</v>
      </c>
      <c r="C178" s="16" t="str">
        <f t="shared" si="4"/>
        <v>(9,258),</v>
      </c>
    </row>
    <row r="179" spans="1:3" ht="20.100000000000001" customHeight="1" x14ac:dyDescent="0.25">
      <c r="A179" s="4">
        <v>9</v>
      </c>
      <c r="B179" s="4">
        <v>259</v>
      </c>
      <c r="C179" s="16" t="str">
        <f t="shared" si="4"/>
        <v>(9,259),</v>
      </c>
    </row>
    <row r="180" spans="1:3" ht="20.100000000000001" customHeight="1" x14ac:dyDescent="0.25">
      <c r="A180" s="4">
        <v>1</v>
      </c>
      <c r="B180" s="4">
        <v>301</v>
      </c>
      <c r="C180" s="16" t="str">
        <f t="shared" si="4"/>
        <v>(1,301),</v>
      </c>
    </row>
    <row r="181" spans="1:3" ht="20.100000000000001" customHeight="1" x14ac:dyDescent="0.25">
      <c r="A181" s="4">
        <v>1</v>
      </c>
      <c r="B181" s="4">
        <v>302</v>
      </c>
      <c r="C181" s="16" t="str">
        <f t="shared" si="4"/>
        <v>(1,302),</v>
      </c>
    </row>
    <row r="182" spans="1:3" ht="20.100000000000001" customHeight="1" x14ac:dyDescent="0.25">
      <c r="A182" s="4">
        <v>1</v>
      </c>
      <c r="B182" s="4">
        <v>303</v>
      </c>
      <c r="C182" s="16" t="str">
        <f t="shared" si="4"/>
        <v>(1,303),</v>
      </c>
    </row>
    <row r="183" spans="1:3" ht="20.100000000000001" customHeight="1" x14ac:dyDescent="0.25">
      <c r="A183" s="4">
        <v>1</v>
      </c>
      <c r="B183" s="4">
        <v>304</v>
      </c>
      <c r="C183" s="16" t="str">
        <f t="shared" si="4"/>
        <v>(1,304),</v>
      </c>
    </row>
    <row r="184" spans="1:3" ht="20.100000000000001" customHeight="1" x14ac:dyDescent="0.25">
      <c r="A184" s="4">
        <v>1</v>
      </c>
      <c r="B184" s="4">
        <v>305</v>
      </c>
      <c r="C184" s="16" t="str">
        <f t="shared" si="4"/>
        <v>(1,305),</v>
      </c>
    </row>
    <row r="185" spans="1:3" ht="20.100000000000001" customHeight="1" x14ac:dyDescent="0.25">
      <c r="A185" s="4">
        <v>1</v>
      </c>
      <c r="B185" s="4">
        <v>306</v>
      </c>
      <c r="C185" s="16" t="str">
        <f t="shared" si="4"/>
        <v>(1,306),</v>
      </c>
    </row>
    <row r="186" spans="1:3" ht="20.100000000000001" customHeight="1" x14ac:dyDescent="0.25">
      <c r="A186" s="4">
        <v>1</v>
      </c>
      <c r="B186" s="4">
        <v>307</v>
      </c>
      <c r="C186" s="16" t="str">
        <f t="shared" si="4"/>
        <v>(1,307),</v>
      </c>
    </row>
    <row r="187" spans="1:3" ht="20.100000000000001" customHeight="1" x14ac:dyDescent="0.25">
      <c r="A187" s="4">
        <v>1</v>
      </c>
      <c r="B187" s="4">
        <v>308</v>
      </c>
      <c r="C187" s="16" t="str">
        <f t="shared" si="4"/>
        <v>(1,308),</v>
      </c>
    </row>
    <row r="188" spans="1:3" ht="20.100000000000001" customHeight="1" x14ac:dyDescent="0.25">
      <c r="A188" s="4">
        <v>6</v>
      </c>
      <c r="B188" s="4">
        <v>309</v>
      </c>
      <c r="C188" s="16" t="str">
        <f t="shared" si="4"/>
        <v>(6,309),</v>
      </c>
    </row>
    <row r="189" spans="1:3" ht="20.100000000000001" customHeight="1" x14ac:dyDescent="0.25">
      <c r="A189" s="4">
        <v>6</v>
      </c>
      <c r="B189" s="4">
        <v>310</v>
      </c>
      <c r="C189" s="16" t="str">
        <f t="shared" si="4"/>
        <v>(6,310),</v>
      </c>
    </row>
    <row r="190" spans="1:3" ht="20.100000000000001" customHeight="1" x14ac:dyDescent="0.25">
      <c r="A190" s="4">
        <v>6</v>
      </c>
      <c r="B190" s="4">
        <v>311</v>
      </c>
      <c r="C190" s="16" t="str">
        <f t="shared" si="4"/>
        <v>(6,311),</v>
      </c>
    </row>
    <row r="191" spans="1:3" ht="20.100000000000001" customHeight="1" x14ac:dyDescent="0.25">
      <c r="A191" s="4">
        <v>6</v>
      </c>
      <c r="B191" s="4">
        <v>312</v>
      </c>
      <c r="C191" s="16" t="str">
        <f t="shared" si="4"/>
        <v>(6,312),</v>
      </c>
    </row>
    <row r="192" spans="1:3" ht="20.100000000000001" customHeight="1" x14ac:dyDescent="0.25">
      <c r="A192" s="4">
        <v>6</v>
      </c>
      <c r="B192" s="4">
        <v>313</v>
      </c>
      <c r="C192" s="16" t="str">
        <f t="shared" si="4"/>
        <v>(6,313),</v>
      </c>
    </row>
    <row r="193" spans="1:3" ht="20.100000000000001" customHeight="1" x14ac:dyDescent="0.25">
      <c r="A193" s="4">
        <v>6</v>
      </c>
      <c r="B193" s="4">
        <v>314</v>
      </c>
      <c r="C193" s="16" t="str">
        <f t="shared" si="4"/>
        <v>(6,314),</v>
      </c>
    </row>
    <row r="194" spans="1:3" ht="20.100000000000001" customHeight="1" x14ac:dyDescent="0.25">
      <c r="A194" s="4">
        <v>6</v>
      </c>
      <c r="B194" s="4">
        <v>315</v>
      </c>
      <c r="C194" s="16" t="str">
        <f t="shared" si="4"/>
        <v>(6,315),</v>
      </c>
    </row>
    <row r="195" spans="1:3" ht="20.100000000000001" customHeight="1" x14ac:dyDescent="0.25">
      <c r="A195" s="4">
        <v>6</v>
      </c>
      <c r="B195" s="4">
        <v>316</v>
      </c>
      <c r="C195" s="16" t="str">
        <f t="shared" si="4"/>
        <v>(6,316),</v>
      </c>
    </row>
    <row r="196" spans="1:3" ht="20.100000000000001" customHeight="1" x14ac:dyDescent="0.25">
      <c r="A196" s="4">
        <v>6</v>
      </c>
      <c r="B196" s="4">
        <v>317</v>
      </c>
      <c r="C196" s="16" t="str">
        <f t="shared" si="4"/>
        <v>(6,317),</v>
      </c>
    </row>
    <row r="197" spans="1:3" ht="20.100000000000001" customHeight="1" x14ac:dyDescent="0.25">
      <c r="A197" s="4">
        <v>6</v>
      </c>
      <c r="B197" s="4">
        <v>318</v>
      </c>
      <c r="C197" s="16" t="str">
        <f t="shared" si="4"/>
        <v>(6,318),</v>
      </c>
    </row>
    <row r="198" spans="1:3" ht="20.100000000000001" customHeight="1" x14ac:dyDescent="0.25">
      <c r="A198" s="4">
        <v>6</v>
      </c>
      <c r="B198" s="4">
        <v>319</v>
      </c>
      <c r="C198" s="16" t="str">
        <f t="shared" si="4"/>
        <v>(6,319),</v>
      </c>
    </row>
    <row r="199" spans="1:3" ht="20.100000000000001" customHeight="1" x14ac:dyDescent="0.25">
      <c r="A199" s="4">
        <v>6</v>
      </c>
      <c r="B199" s="4">
        <v>320</v>
      </c>
      <c r="C199" s="16" t="str">
        <f t="shared" si="4"/>
        <v>(6,320),</v>
      </c>
    </row>
    <row r="200" spans="1:3" ht="20.100000000000001" customHeight="1" x14ac:dyDescent="0.25">
      <c r="A200" s="4">
        <v>3</v>
      </c>
      <c r="B200" s="4">
        <v>321</v>
      </c>
      <c r="C200" s="16" t="str">
        <f t="shared" si="4"/>
        <v>(3,321),</v>
      </c>
    </row>
    <row r="201" spans="1:3" ht="20.100000000000001" customHeight="1" x14ac:dyDescent="0.25">
      <c r="A201" s="4">
        <v>3</v>
      </c>
      <c r="B201" s="4">
        <v>322</v>
      </c>
      <c r="C201" s="16" t="str">
        <f t="shared" si="4"/>
        <v>(3,322),</v>
      </c>
    </row>
    <row r="202" spans="1:3" ht="20.100000000000001" customHeight="1" x14ac:dyDescent="0.25">
      <c r="A202" s="4">
        <v>3</v>
      </c>
      <c r="B202" s="4">
        <v>323</v>
      </c>
      <c r="C202" s="16" t="str">
        <f t="shared" si="4"/>
        <v>(3,323),</v>
      </c>
    </row>
    <row r="203" spans="1:3" ht="20.100000000000001" customHeight="1" x14ac:dyDescent="0.25">
      <c r="A203" s="4">
        <v>3</v>
      </c>
      <c r="B203" s="4">
        <v>324</v>
      </c>
      <c r="C203" s="16" t="str">
        <f t="shared" si="4"/>
        <v>(3,324),</v>
      </c>
    </row>
    <row r="204" spans="1:3" ht="20.100000000000001" customHeight="1" x14ac:dyDescent="0.25">
      <c r="A204" s="4">
        <v>3</v>
      </c>
      <c r="B204" s="4">
        <v>325</v>
      </c>
      <c r="C204" s="16" t="str">
        <f t="shared" si="4"/>
        <v>(3,325),</v>
      </c>
    </row>
    <row r="205" spans="1:3" ht="20.100000000000001" customHeight="1" x14ac:dyDescent="0.25">
      <c r="A205" s="4">
        <v>3</v>
      </c>
      <c r="B205" s="4">
        <v>326</v>
      </c>
      <c r="C205" s="16" t="str">
        <f t="shared" si="4"/>
        <v>(3,326),</v>
      </c>
    </row>
    <row r="206" spans="1:3" ht="20.100000000000001" customHeight="1" x14ac:dyDescent="0.25">
      <c r="A206" s="4">
        <v>3</v>
      </c>
      <c r="B206" s="4">
        <v>327</v>
      </c>
      <c r="C206" s="16" t="str">
        <f t="shared" si="4"/>
        <v>(3,327),</v>
      </c>
    </row>
    <row r="207" spans="1:3" ht="20.100000000000001" customHeight="1" x14ac:dyDescent="0.25">
      <c r="A207" s="4">
        <v>3</v>
      </c>
      <c r="B207" s="4">
        <v>328</v>
      </c>
      <c r="C207" s="16" t="str">
        <f t="shared" si="4"/>
        <v>(3,328),</v>
      </c>
    </row>
    <row r="208" spans="1:3" ht="20.100000000000001" customHeight="1" x14ac:dyDescent="0.25">
      <c r="A208" s="4">
        <v>3</v>
      </c>
      <c r="B208" s="4">
        <v>329</v>
      </c>
      <c r="C208" s="16" t="str">
        <f t="shared" si="4"/>
        <v>(3,329),</v>
      </c>
    </row>
    <row r="209" spans="1:3" ht="20.100000000000001" customHeight="1" x14ac:dyDescent="0.25">
      <c r="A209" s="4">
        <v>3</v>
      </c>
      <c r="B209" s="4">
        <v>330</v>
      </c>
      <c r="C209" s="16" t="str">
        <f t="shared" si="4"/>
        <v>(3,330),</v>
      </c>
    </row>
    <row r="210" spans="1:3" ht="20.100000000000001" customHeight="1" x14ac:dyDescent="0.25">
      <c r="A210" s="4">
        <v>3</v>
      </c>
      <c r="B210" s="4">
        <v>331</v>
      </c>
      <c r="C210" s="16" t="str">
        <f t="shared" si="4"/>
        <v>(3,331),</v>
      </c>
    </row>
    <row r="211" spans="1:3" ht="20.100000000000001" customHeight="1" x14ac:dyDescent="0.25">
      <c r="A211" s="4">
        <v>3</v>
      </c>
      <c r="B211" s="4">
        <v>332</v>
      </c>
      <c r="C211" s="16" t="str">
        <f t="shared" si="4"/>
        <v>(3,332),</v>
      </c>
    </row>
    <row r="212" spans="1:3" ht="20.100000000000001" customHeight="1" x14ac:dyDescent="0.25">
      <c r="A212" s="4">
        <v>3</v>
      </c>
      <c r="B212" s="4">
        <v>333</v>
      </c>
      <c r="C212" s="16" t="str">
        <f t="shared" si="4"/>
        <v>(3,333),</v>
      </c>
    </row>
    <row r="213" spans="1:3" ht="20.100000000000001" customHeight="1" x14ac:dyDescent="0.25">
      <c r="A213" s="4">
        <v>3</v>
      </c>
      <c r="B213" s="4">
        <v>334</v>
      </c>
      <c r="C213" s="16" t="str">
        <f t="shared" si="4"/>
        <v>(3,334),</v>
      </c>
    </row>
    <row r="214" spans="1:3" ht="20.100000000000001" customHeight="1" x14ac:dyDescent="0.25">
      <c r="A214" s="4">
        <v>3</v>
      </c>
      <c r="B214" s="4">
        <v>335</v>
      </c>
      <c r="C214" s="16" t="str">
        <f t="shared" si="4"/>
        <v>(3,335),</v>
      </c>
    </row>
    <row r="215" spans="1:3" ht="20.100000000000001" customHeight="1" x14ac:dyDescent="0.25">
      <c r="A215" s="4">
        <v>3</v>
      </c>
      <c r="B215" s="4">
        <v>336</v>
      </c>
      <c r="C215" s="16" t="str">
        <f t="shared" ref="C215:C278" si="5">CONCATENATE("(",A215,",",B215,"),")</f>
        <v>(3,336),</v>
      </c>
    </row>
    <row r="216" spans="1:3" ht="20.100000000000001" customHeight="1" x14ac:dyDescent="0.25">
      <c r="A216" s="4">
        <v>3</v>
      </c>
      <c r="B216" s="4">
        <v>337</v>
      </c>
      <c r="C216" s="16" t="str">
        <f t="shared" si="5"/>
        <v>(3,337),</v>
      </c>
    </row>
    <row r="217" spans="1:3" ht="20.100000000000001" customHeight="1" x14ac:dyDescent="0.25">
      <c r="A217" s="4">
        <v>3</v>
      </c>
      <c r="B217" s="4">
        <v>338</v>
      </c>
      <c r="C217" s="16" t="str">
        <f t="shared" si="5"/>
        <v>(3,338),</v>
      </c>
    </row>
    <row r="218" spans="1:3" ht="20.100000000000001" customHeight="1" x14ac:dyDescent="0.25">
      <c r="A218" s="4">
        <v>3</v>
      </c>
      <c r="B218" s="4">
        <v>339</v>
      </c>
      <c r="C218" s="16" t="str">
        <f t="shared" si="5"/>
        <v>(3,339),</v>
      </c>
    </row>
    <row r="219" spans="1:3" ht="20.100000000000001" customHeight="1" x14ac:dyDescent="0.25">
      <c r="A219" s="4">
        <v>3</v>
      </c>
      <c r="B219" s="4">
        <v>340</v>
      </c>
      <c r="C219" s="16" t="str">
        <f t="shared" si="5"/>
        <v>(3,340),</v>
      </c>
    </row>
    <row r="220" spans="1:3" ht="20.100000000000001" customHeight="1" x14ac:dyDescent="0.25">
      <c r="A220" s="4">
        <v>3</v>
      </c>
      <c r="B220" s="4">
        <v>341</v>
      </c>
      <c r="C220" s="16" t="str">
        <f t="shared" si="5"/>
        <v>(3,341),</v>
      </c>
    </row>
    <row r="221" spans="1:3" ht="20.100000000000001" customHeight="1" x14ac:dyDescent="0.25">
      <c r="A221" s="4">
        <v>3</v>
      </c>
      <c r="B221" s="4">
        <v>342</v>
      </c>
      <c r="C221" s="16" t="str">
        <f t="shared" si="5"/>
        <v>(3,342),</v>
      </c>
    </row>
    <row r="222" spans="1:3" ht="20.100000000000001" customHeight="1" x14ac:dyDescent="0.25">
      <c r="A222" s="4">
        <v>3</v>
      </c>
      <c r="B222" s="4">
        <v>343</v>
      </c>
      <c r="C222" s="16" t="str">
        <f t="shared" si="5"/>
        <v>(3,343),</v>
      </c>
    </row>
    <row r="223" spans="1:3" ht="20.100000000000001" customHeight="1" x14ac:dyDescent="0.25">
      <c r="A223" s="4">
        <v>3</v>
      </c>
      <c r="B223" s="4">
        <v>344</v>
      </c>
      <c r="C223" s="16" t="str">
        <f t="shared" si="5"/>
        <v>(3,344),</v>
      </c>
    </row>
    <row r="224" spans="1:3" ht="20.100000000000001" customHeight="1" x14ac:dyDescent="0.25">
      <c r="A224" s="4">
        <v>8</v>
      </c>
      <c r="B224" s="4">
        <v>345</v>
      </c>
      <c r="C224" s="16" t="str">
        <f t="shared" si="5"/>
        <v>(8,345),</v>
      </c>
    </row>
    <row r="225" spans="1:3" ht="20.100000000000001" customHeight="1" x14ac:dyDescent="0.25">
      <c r="A225" s="4">
        <v>8</v>
      </c>
      <c r="B225" s="4">
        <v>346</v>
      </c>
      <c r="C225" s="16" t="str">
        <f t="shared" si="5"/>
        <v>(8,346),</v>
      </c>
    </row>
    <row r="226" spans="1:3" ht="20.100000000000001" customHeight="1" x14ac:dyDescent="0.25">
      <c r="A226" s="4">
        <v>8</v>
      </c>
      <c r="B226" s="4">
        <v>347</v>
      </c>
      <c r="C226" s="16" t="str">
        <f t="shared" si="5"/>
        <v>(8,347),</v>
      </c>
    </row>
    <row r="227" spans="1:3" ht="20.100000000000001" customHeight="1" x14ac:dyDescent="0.25">
      <c r="A227" s="4">
        <v>8</v>
      </c>
      <c r="B227" s="4">
        <v>348</v>
      </c>
      <c r="C227" s="16" t="str">
        <f t="shared" si="5"/>
        <v>(8,348),</v>
      </c>
    </row>
    <row r="228" spans="1:3" ht="20.100000000000001" customHeight="1" x14ac:dyDescent="0.25">
      <c r="A228" s="4">
        <v>8</v>
      </c>
      <c r="B228" s="4">
        <v>349</v>
      </c>
      <c r="C228" s="16" t="str">
        <f t="shared" si="5"/>
        <v>(8,349),</v>
      </c>
    </row>
    <row r="229" spans="1:3" ht="20.100000000000001" customHeight="1" x14ac:dyDescent="0.25">
      <c r="A229" s="4">
        <v>8</v>
      </c>
      <c r="B229" s="4">
        <v>350</v>
      </c>
      <c r="C229" s="16" t="str">
        <f t="shared" si="5"/>
        <v>(8,350),</v>
      </c>
    </row>
    <row r="230" spans="1:3" ht="20.100000000000001" customHeight="1" x14ac:dyDescent="0.25">
      <c r="A230" s="4">
        <v>8</v>
      </c>
      <c r="B230" s="4">
        <v>351</v>
      </c>
      <c r="C230" s="16" t="str">
        <f t="shared" si="5"/>
        <v>(8,351),</v>
      </c>
    </row>
    <row r="231" spans="1:3" ht="20.100000000000001" customHeight="1" x14ac:dyDescent="0.25">
      <c r="A231" s="4">
        <v>8</v>
      </c>
      <c r="B231" s="4">
        <v>352</v>
      </c>
      <c r="C231" s="16" t="str">
        <f t="shared" si="5"/>
        <v>(8,352),</v>
      </c>
    </row>
    <row r="232" spans="1:3" ht="20.100000000000001" customHeight="1" x14ac:dyDescent="0.25">
      <c r="A232" s="4">
        <v>8</v>
      </c>
      <c r="B232" s="4">
        <v>353</v>
      </c>
      <c r="C232" s="16" t="str">
        <f t="shared" si="5"/>
        <v>(8,353),</v>
      </c>
    </row>
    <row r="233" spans="1:3" ht="20.100000000000001" customHeight="1" x14ac:dyDescent="0.25">
      <c r="A233" s="4">
        <v>9</v>
      </c>
      <c r="B233" s="4">
        <v>354</v>
      </c>
      <c r="C233" s="16" t="str">
        <f t="shared" si="5"/>
        <v>(9,354),</v>
      </c>
    </row>
    <row r="234" spans="1:3" ht="20.100000000000001" customHeight="1" x14ac:dyDescent="0.25">
      <c r="A234" s="4">
        <v>9</v>
      </c>
      <c r="B234" s="4">
        <v>355</v>
      </c>
      <c r="C234" s="16" t="str">
        <f t="shared" si="5"/>
        <v>(9,355),</v>
      </c>
    </row>
    <row r="235" spans="1:3" ht="20.100000000000001" customHeight="1" x14ac:dyDescent="0.25">
      <c r="A235" s="4">
        <v>9</v>
      </c>
      <c r="B235" s="4">
        <v>356</v>
      </c>
      <c r="C235" s="16" t="str">
        <f t="shared" si="5"/>
        <v>(9,356),</v>
      </c>
    </row>
    <row r="236" spans="1:3" ht="20.100000000000001" customHeight="1" x14ac:dyDescent="0.25">
      <c r="A236" s="4">
        <v>9</v>
      </c>
      <c r="B236" s="4">
        <v>357</v>
      </c>
      <c r="C236" s="16" t="str">
        <f t="shared" si="5"/>
        <v>(9,357),</v>
      </c>
    </row>
    <row r="237" spans="1:3" ht="20.100000000000001" customHeight="1" x14ac:dyDescent="0.25">
      <c r="A237" s="4">
        <v>9</v>
      </c>
      <c r="B237" s="4">
        <v>358</v>
      </c>
      <c r="C237" s="16" t="str">
        <f t="shared" si="5"/>
        <v>(9,358),</v>
      </c>
    </row>
    <row r="238" spans="1:3" ht="20.100000000000001" customHeight="1" x14ac:dyDescent="0.25">
      <c r="A238" s="4">
        <v>9</v>
      </c>
      <c r="B238" s="4">
        <v>359</v>
      </c>
      <c r="C238" s="16" t="str">
        <f t="shared" si="5"/>
        <v>(9,359),</v>
      </c>
    </row>
    <row r="239" spans="1:3" ht="20.100000000000001" customHeight="1" x14ac:dyDescent="0.25">
      <c r="A239" s="4">
        <v>1</v>
      </c>
      <c r="B239" s="4">
        <v>401</v>
      </c>
      <c r="C239" s="16" t="str">
        <f t="shared" si="5"/>
        <v>(1,401),</v>
      </c>
    </row>
    <row r="240" spans="1:3" ht="20.100000000000001" customHeight="1" x14ac:dyDescent="0.25">
      <c r="A240" s="4">
        <v>1</v>
      </c>
      <c r="B240" s="4">
        <v>402</v>
      </c>
      <c r="C240" s="16" t="str">
        <f t="shared" si="5"/>
        <v>(1,402),</v>
      </c>
    </row>
    <row r="241" spans="1:3" ht="20.100000000000001" customHeight="1" x14ac:dyDescent="0.25">
      <c r="A241" s="4">
        <v>1</v>
      </c>
      <c r="B241" s="4">
        <v>403</v>
      </c>
      <c r="C241" s="16" t="str">
        <f t="shared" si="5"/>
        <v>(1,403),</v>
      </c>
    </row>
    <row r="242" spans="1:3" ht="20.100000000000001" customHeight="1" x14ac:dyDescent="0.25">
      <c r="A242" s="4">
        <v>1</v>
      </c>
      <c r="B242" s="4">
        <v>404</v>
      </c>
      <c r="C242" s="16" t="str">
        <f t="shared" si="5"/>
        <v>(1,404),</v>
      </c>
    </row>
    <row r="243" spans="1:3" ht="20.100000000000001" customHeight="1" x14ac:dyDescent="0.25">
      <c r="A243" s="4">
        <v>1</v>
      </c>
      <c r="B243" s="4">
        <v>405</v>
      </c>
      <c r="C243" s="16" t="str">
        <f t="shared" si="5"/>
        <v>(1,405),</v>
      </c>
    </row>
    <row r="244" spans="1:3" ht="20.100000000000001" customHeight="1" x14ac:dyDescent="0.25">
      <c r="A244" s="4">
        <v>1</v>
      </c>
      <c r="B244" s="4">
        <v>406</v>
      </c>
      <c r="C244" s="16" t="str">
        <f t="shared" si="5"/>
        <v>(1,406),</v>
      </c>
    </row>
    <row r="245" spans="1:3" ht="20.100000000000001" customHeight="1" x14ac:dyDescent="0.25">
      <c r="A245" s="4">
        <v>1</v>
      </c>
      <c r="B245" s="4">
        <v>407</v>
      </c>
      <c r="C245" s="16" t="str">
        <f t="shared" si="5"/>
        <v>(1,407),</v>
      </c>
    </row>
    <row r="246" spans="1:3" ht="20.100000000000001" customHeight="1" x14ac:dyDescent="0.25">
      <c r="A246" s="4">
        <v>1</v>
      </c>
      <c r="B246" s="4">
        <v>408</v>
      </c>
      <c r="C246" s="16" t="str">
        <f t="shared" si="5"/>
        <v>(1,408),</v>
      </c>
    </row>
    <row r="247" spans="1:3" ht="20.100000000000001" customHeight="1" x14ac:dyDescent="0.25">
      <c r="A247" s="4">
        <v>6</v>
      </c>
      <c r="B247" s="4">
        <v>409</v>
      </c>
      <c r="C247" s="16" t="str">
        <f t="shared" si="5"/>
        <v>(6,409),</v>
      </c>
    </row>
    <row r="248" spans="1:3" ht="20.100000000000001" customHeight="1" x14ac:dyDescent="0.25">
      <c r="A248" s="4">
        <v>6</v>
      </c>
      <c r="B248" s="4">
        <v>410</v>
      </c>
      <c r="C248" s="16" t="str">
        <f t="shared" si="5"/>
        <v>(6,410),</v>
      </c>
    </row>
    <row r="249" spans="1:3" ht="20.100000000000001" customHeight="1" x14ac:dyDescent="0.25">
      <c r="A249" s="4">
        <v>6</v>
      </c>
      <c r="B249" s="4">
        <v>411</v>
      </c>
      <c r="C249" s="16" t="str">
        <f t="shared" si="5"/>
        <v>(6,411),</v>
      </c>
    </row>
    <row r="250" spans="1:3" ht="20.100000000000001" customHeight="1" x14ac:dyDescent="0.25">
      <c r="A250" s="4">
        <v>6</v>
      </c>
      <c r="B250" s="4">
        <v>412</v>
      </c>
      <c r="C250" s="16" t="str">
        <f t="shared" si="5"/>
        <v>(6,412),</v>
      </c>
    </row>
    <row r="251" spans="1:3" ht="20.100000000000001" customHeight="1" x14ac:dyDescent="0.25">
      <c r="A251" s="4">
        <v>6</v>
      </c>
      <c r="B251" s="4">
        <v>413</v>
      </c>
      <c r="C251" s="16" t="str">
        <f t="shared" si="5"/>
        <v>(6,413),</v>
      </c>
    </row>
    <row r="252" spans="1:3" ht="20.100000000000001" customHeight="1" x14ac:dyDescent="0.25">
      <c r="A252" s="4">
        <v>6</v>
      </c>
      <c r="B252" s="4">
        <v>414</v>
      </c>
      <c r="C252" s="16" t="str">
        <f t="shared" si="5"/>
        <v>(6,414),</v>
      </c>
    </row>
    <row r="253" spans="1:3" ht="20.100000000000001" customHeight="1" x14ac:dyDescent="0.25">
      <c r="A253" s="4">
        <v>6</v>
      </c>
      <c r="B253" s="4">
        <v>415</v>
      </c>
      <c r="C253" s="16" t="str">
        <f t="shared" si="5"/>
        <v>(6,415),</v>
      </c>
    </row>
    <row r="254" spans="1:3" ht="20.100000000000001" customHeight="1" x14ac:dyDescent="0.25">
      <c r="A254" s="4">
        <v>6</v>
      </c>
      <c r="B254" s="4">
        <v>416</v>
      </c>
      <c r="C254" s="16" t="str">
        <f t="shared" si="5"/>
        <v>(6,416),</v>
      </c>
    </row>
    <row r="255" spans="1:3" ht="20.100000000000001" customHeight="1" x14ac:dyDescent="0.25">
      <c r="A255" s="4">
        <v>6</v>
      </c>
      <c r="B255" s="4">
        <v>417</v>
      </c>
      <c r="C255" s="16" t="str">
        <f t="shared" si="5"/>
        <v>(6,417),</v>
      </c>
    </row>
    <row r="256" spans="1:3" ht="20.100000000000001" customHeight="1" x14ac:dyDescent="0.25">
      <c r="A256" s="4">
        <v>6</v>
      </c>
      <c r="B256" s="4">
        <v>418</v>
      </c>
      <c r="C256" s="16" t="str">
        <f t="shared" si="5"/>
        <v>(6,418),</v>
      </c>
    </row>
    <row r="257" spans="1:3" ht="20.100000000000001" customHeight="1" x14ac:dyDescent="0.25">
      <c r="A257" s="4">
        <v>6</v>
      </c>
      <c r="B257" s="4">
        <v>419</v>
      </c>
      <c r="C257" s="16" t="str">
        <f t="shared" si="5"/>
        <v>(6,419),</v>
      </c>
    </row>
    <row r="258" spans="1:3" ht="20.100000000000001" customHeight="1" x14ac:dyDescent="0.25">
      <c r="A258" s="4">
        <v>6</v>
      </c>
      <c r="B258" s="4">
        <v>420</v>
      </c>
      <c r="C258" s="16" t="str">
        <f t="shared" si="5"/>
        <v>(6,420),</v>
      </c>
    </row>
    <row r="259" spans="1:3" ht="20.100000000000001" customHeight="1" x14ac:dyDescent="0.25">
      <c r="A259" s="4">
        <v>3</v>
      </c>
      <c r="B259" s="4">
        <v>421</v>
      </c>
      <c r="C259" s="16" t="str">
        <f t="shared" si="5"/>
        <v>(3,421),</v>
      </c>
    </row>
    <row r="260" spans="1:3" ht="20.100000000000001" customHeight="1" x14ac:dyDescent="0.25">
      <c r="A260" s="4">
        <v>3</v>
      </c>
      <c r="B260" s="4">
        <v>422</v>
      </c>
      <c r="C260" s="16" t="str">
        <f t="shared" si="5"/>
        <v>(3,422),</v>
      </c>
    </row>
    <row r="261" spans="1:3" ht="20.100000000000001" customHeight="1" x14ac:dyDescent="0.25">
      <c r="A261" s="4">
        <v>3</v>
      </c>
      <c r="B261" s="4">
        <v>423</v>
      </c>
      <c r="C261" s="16" t="str">
        <f t="shared" si="5"/>
        <v>(3,423),</v>
      </c>
    </row>
    <row r="262" spans="1:3" ht="20.100000000000001" customHeight="1" x14ac:dyDescent="0.25">
      <c r="A262" s="4">
        <v>3</v>
      </c>
      <c r="B262" s="4">
        <v>424</v>
      </c>
      <c r="C262" s="16" t="str">
        <f t="shared" si="5"/>
        <v>(3,424),</v>
      </c>
    </row>
    <row r="263" spans="1:3" ht="20.100000000000001" customHeight="1" x14ac:dyDescent="0.25">
      <c r="A263" s="4">
        <v>3</v>
      </c>
      <c r="B263" s="4">
        <v>425</v>
      </c>
      <c r="C263" s="16" t="str">
        <f t="shared" si="5"/>
        <v>(3,425),</v>
      </c>
    </row>
    <row r="264" spans="1:3" ht="20.100000000000001" customHeight="1" x14ac:dyDescent="0.25">
      <c r="A264" s="4">
        <v>3</v>
      </c>
      <c r="B264" s="4">
        <v>426</v>
      </c>
      <c r="C264" s="16" t="str">
        <f t="shared" si="5"/>
        <v>(3,426),</v>
      </c>
    </row>
    <row r="265" spans="1:3" ht="20.100000000000001" customHeight="1" x14ac:dyDescent="0.25">
      <c r="A265" s="4">
        <v>3</v>
      </c>
      <c r="B265" s="4">
        <v>427</v>
      </c>
      <c r="C265" s="16" t="str">
        <f t="shared" si="5"/>
        <v>(3,427),</v>
      </c>
    </row>
    <row r="266" spans="1:3" ht="20.100000000000001" customHeight="1" x14ac:dyDescent="0.25">
      <c r="A266" s="4">
        <v>3</v>
      </c>
      <c r="B266" s="4">
        <v>428</v>
      </c>
      <c r="C266" s="16" t="str">
        <f t="shared" si="5"/>
        <v>(3,428),</v>
      </c>
    </row>
    <row r="267" spans="1:3" ht="20.100000000000001" customHeight="1" x14ac:dyDescent="0.25">
      <c r="A267" s="4">
        <v>3</v>
      </c>
      <c r="B267" s="4">
        <v>429</v>
      </c>
      <c r="C267" s="16" t="str">
        <f t="shared" si="5"/>
        <v>(3,429),</v>
      </c>
    </row>
    <row r="268" spans="1:3" ht="20.100000000000001" customHeight="1" x14ac:dyDescent="0.25">
      <c r="A268" s="4">
        <v>3</v>
      </c>
      <c r="B268" s="4">
        <v>430</v>
      </c>
      <c r="C268" s="16" t="str">
        <f t="shared" si="5"/>
        <v>(3,430),</v>
      </c>
    </row>
    <row r="269" spans="1:3" ht="20.100000000000001" customHeight="1" x14ac:dyDescent="0.25">
      <c r="A269" s="4">
        <v>3</v>
      </c>
      <c r="B269" s="4">
        <v>431</v>
      </c>
      <c r="C269" s="16" t="str">
        <f t="shared" si="5"/>
        <v>(3,431),</v>
      </c>
    </row>
    <row r="270" spans="1:3" ht="20.100000000000001" customHeight="1" x14ac:dyDescent="0.25">
      <c r="A270" s="4">
        <v>3</v>
      </c>
      <c r="B270" s="4">
        <v>432</v>
      </c>
      <c r="C270" s="16" t="str">
        <f t="shared" si="5"/>
        <v>(3,432),</v>
      </c>
    </row>
    <row r="271" spans="1:3" ht="20.100000000000001" customHeight="1" x14ac:dyDescent="0.25">
      <c r="A271" s="4">
        <v>3</v>
      </c>
      <c r="B271" s="4">
        <v>433</v>
      </c>
      <c r="C271" s="16" t="str">
        <f t="shared" si="5"/>
        <v>(3,433),</v>
      </c>
    </row>
    <row r="272" spans="1:3" ht="20.100000000000001" customHeight="1" x14ac:dyDescent="0.25">
      <c r="A272" s="4">
        <v>3</v>
      </c>
      <c r="B272" s="4">
        <v>434</v>
      </c>
      <c r="C272" s="16" t="str">
        <f t="shared" si="5"/>
        <v>(3,434),</v>
      </c>
    </row>
    <row r="273" spans="1:3" ht="20.100000000000001" customHeight="1" x14ac:dyDescent="0.25">
      <c r="A273" s="4">
        <v>3</v>
      </c>
      <c r="B273" s="4">
        <v>435</v>
      </c>
      <c r="C273" s="16" t="str">
        <f t="shared" si="5"/>
        <v>(3,435),</v>
      </c>
    </row>
    <row r="274" spans="1:3" ht="20.100000000000001" customHeight="1" x14ac:dyDescent="0.25">
      <c r="A274" s="4">
        <v>3</v>
      </c>
      <c r="B274" s="4">
        <v>436</v>
      </c>
      <c r="C274" s="16" t="str">
        <f t="shared" si="5"/>
        <v>(3,436),</v>
      </c>
    </row>
    <row r="275" spans="1:3" ht="20.100000000000001" customHeight="1" x14ac:dyDescent="0.25">
      <c r="A275" s="4">
        <v>3</v>
      </c>
      <c r="B275" s="4">
        <v>437</v>
      </c>
      <c r="C275" s="16" t="str">
        <f t="shared" si="5"/>
        <v>(3,437),</v>
      </c>
    </row>
    <row r="276" spans="1:3" ht="20.100000000000001" customHeight="1" x14ac:dyDescent="0.25">
      <c r="A276" s="4">
        <v>3</v>
      </c>
      <c r="B276" s="4">
        <v>438</v>
      </c>
      <c r="C276" s="16" t="str">
        <f t="shared" si="5"/>
        <v>(3,438),</v>
      </c>
    </row>
    <row r="277" spans="1:3" ht="20.100000000000001" customHeight="1" x14ac:dyDescent="0.25">
      <c r="A277" s="4">
        <v>3</v>
      </c>
      <c r="B277" s="4">
        <v>439</v>
      </c>
      <c r="C277" s="16" t="str">
        <f t="shared" si="5"/>
        <v>(3,439),</v>
      </c>
    </row>
    <row r="278" spans="1:3" ht="20.100000000000001" customHeight="1" x14ac:dyDescent="0.25">
      <c r="A278" s="4">
        <v>3</v>
      </c>
      <c r="B278" s="4">
        <v>440</v>
      </c>
      <c r="C278" s="16" t="str">
        <f t="shared" si="5"/>
        <v>(3,440),</v>
      </c>
    </row>
    <row r="279" spans="1:3" ht="20.100000000000001" customHeight="1" x14ac:dyDescent="0.25">
      <c r="A279" s="4">
        <v>3</v>
      </c>
      <c r="B279" s="4">
        <v>441</v>
      </c>
      <c r="C279" s="16" t="str">
        <f t="shared" ref="C279:C342" si="6">CONCATENATE("(",A279,",",B279,"),")</f>
        <v>(3,441),</v>
      </c>
    </row>
    <row r="280" spans="1:3" ht="20.100000000000001" customHeight="1" x14ac:dyDescent="0.25">
      <c r="A280" s="4">
        <v>3</v>
      </c>
      <c r="B280" s="4">
        <v>442</v>
      </c>
      <c r="C280" s="16" t="str">
        <f t="shared" si="6"/>
        <v>(3,442),</v>
      </c>
    </row>
    <row r="281" spans="1:3" ht="20.100000000000001" customHeight="1" x14ac:dyDescent="0.25">
      <c r="A281" s="4">
        <v>3</v>
      </c>
      <c r="B281" s="4">
        <v>443</v>
      </c>
      <c r="C281" s="16" t="str">
        <f t="shared" si="6"/>
        <v>(3,443),</v>
      </c>
    </row>
    <row r="282" spans="1:3" ht="20.100000000000001" customHeight="1" x14ac:dyDescent="0.25">
      <c r="A282" s="4">
        <v>3</v>
      </c>
      <c r="B282" s="4">
        <v>444</v>
      </c>
      <c r="C282" s="16" t="str">
        <f t="shared" si="6"/>
        <v>(3,444),</v>
      </c>
    </row>
    <row r="283" spans="1:3" ht="20.100000000000001" customHeight="1" x14ac:dyDescent="0.25">
      <c r="A283" s="4">
        <v>8</v>
      </c>
      <c r="B283" s="4">
        <v>445</v>
      </c>
      <c r="C283" s="16" t="str">
        <f t="shared" si="6"/>
        <v>(8,445),</v>
      </c>
    </row>
    <row r="284" spans="1:3" ht="20.100000000000001" customHeight="1" x14ac:dyDescent="0.25">
      <c r="A284" s="4">
        <v>8</v>
      </c>
      <c r="B284" s="4">
        <v>446</v>
      </c>
      <c r="C284" s="16" t="str">
        <f t="shared" si="6"/>
        <v>(8,446),</v>
      </c>
    </row>
    <row r="285" spans="1:3" ht="20.100000000000001" customHeight="1" x14ac:dyDescent="0.25">
      <c r="A285" s="4">
        <v>8</v>
      </c>
      <c r="B285" s="4">
        <v>447</v>
      </c>
      <c r="C285" s="16" t="str">
        <f t="shared" si="6"/>
        <v>(8,447),</v>
      </c>
    </row>
    <row r="286" spans="1:3" ht="20.100000000000001" customHeight="1" x14ac:dyDescent="0.25">
      <c r="A286" s="4">
        <v>8</v>
      </c>
      <c r="B286" s="4">
        <v>448</v>
      </c>
      <c r="C286" s="16" t="str">
        <f t="shared" si="6"/>
        <v>(8,448),</v>
      </c>
    </row>
    <row r="287" spans="1:3" ht="20.100000000000001" customHeight="1" x14ac:dyDescent="0.25">
      <c r="A287" s="4">
        <v>8</v>
      </c>
      <c r="B287" s="4">
        <v>449</v>
      </c>
      <c r="C287" s="16" t="str">
        <f t="shared" si="6"/>
        <v>(8,449),</v>
      </c>
    </row>
    <row r="288" spans="1:3" ht="20.100000000000001" customHeight="1" x14ac:dyDescent="0.25">
      <c r="A288" s="4">
        <v>8</v>
      </c>
      <c r="B288" s="4">
        <v>450</v>
      </c>
      <c r="C288" s="16" t="str">
        <f t="shared" si="6"/>
        <v>(8,450),</v>
      </c>
    </row>
    <row r="289" spans="1:3" ht="20.100000000000001" customHeight="1" x14ac:dyDescent="0.25">
      <c r="A289" s="4">
        <v>8</v>
      </c>
      <c r="B289" s="4">
        <v>451</v>
      </c>
      <c r="C289" s="16" t="str">
        <f t="shared" si="6"/>
        <v>(8,451),</v>
      </c>
    </row>
    <row r="290" spans="1:3" ht="20.100000000000001" customHeight="1" x14ac:dyDescent="0.25">
      <c r="A290" s="4">
        <v>8</v>
      </c>
      <c r="B290" s="4">
        <v>452</v>
      </c>
      <c r="C290" s="16" t="str">
        <f t="shared" si="6"/>
        <v>(8,452),</v>
      </c>
    </row>
    <row r="291" spans="1:3" ht="20.100000000000001" customHeight="1" x14ac:dyDescent="0.25">
      <c r="A291" s="4">
        <v>8</v>
      </c>
      <c r="B291" s="4">
        <v>453</v>
      </c>
      <c r="C291" s="16" t="str">
        <f t="shared" si="6"/>
        <v>(8,453),</v>
      </c>
    </row>
    <row r="292" spans="1:3" ht="20.100000000000001" customHeight="1" x14ac:dyDescent="0.25">
      <c r="A292" s="4">
        <v>9</v>
      </c>
      <c r="B292" s="4">
        <v>454</v>
      </c>
      <c r="C292" s="16" t="str">
        <f t="shared" si="6"/>
        <v>(9,454),</v>
      </c>
    </row>
    <row r="293" spans="1:3" ht="20.100000000000001" customHeight="1" x14ac:dyDescent="0.25">
      <c r="A293" s="4">
        <v>9</v>
      </c>
      <c r="B293" s="4">
        <v>455</v>
      </c>
      <c r="C293" s="16" t="str">
        <f t="shared" si="6"/>
        <v>(9,455),</v>
      </c>
    </row>
    <row r="294" spans="1:3" ht="20.100000000000001" customHeight="1" x14ac:dyDescent="0.25">
      <c r="A294" s="4">
        <v>9</v>
      </c>
      <c r="B294" s="4">
        <v>456</v>
      </c>
      <c r="C294" s="16" t="str">
        <f t="shared" si="6"/>
        <v>(9,456),</v>
      </c>
    </row>
    <row r="295" spans="1:3" ht="20.100000000000001" customHeight="1" x14ac:dyDescent="0.25">
      <c r="A295" s="4">
        <v>9</v>
      </c>
      <c r="B295" s="4">
        <v>457</v>
      </c>
      <c r="C295" s="16" t="str">
        <f t="shared" si="6"/>
        <v>(9,457),</v>
      </c>
    </row>
    <row r="296" spans="1:3" ht="20.100000000000001" customHeight="1" x14ac:dyDescent="0.25">
      <c r="A296" s="4">
        <v>9</v>
      </c>
      <c r="B296" s="4">
        <v>458</v>
      </c>
      <c r="C296" s="16" t="str">
        <f t="shared" si="6"/>
        <v>(9,458),</v>
      </c>
    </row>
    <row r="297" spans="1:3" ht="20.100000000000001" customHeight="1" x14ac:dyDescent="0.25">
      <c r="A297" s="4">
        <v>9</v>
      </c>
      <c r="B297" s="4">
        <v>459</v>
      </c>
      <c r="C297" s="16" t="str">
        <f t="shared" si="6"/>
        <v>(9,459),</v>
      </c>
    </row>
    <row r="298" spans="1:3" ht="20.100000000000001" customHeight="1" x14ac:dyDescent="0.25">
      <c r="A298" s="4">
        <v>1</v>
      </c>
      <c r="B298" s="4">
        <v>501</v>
      </c>
      <c r="C298" s="16" t="str">
        <f t="shared" si="6"/>
        <v>(1,501),</v>
      </c>
    </row>
    <row r="299" spans="1:3" ht="20.100000000000001" customHeight="1" x14ac:dyDescent="0.25">
      <c r="A299" s="4">
        <v>1</v>
      </c>
      <c r="B299" s="4">
        <v>502</v>
      </c>
      <c r="C299" s="16" t="str">
        <f t="shared" si="6"/>
        <v>(1,502),</v>
      </c>
    </row>
    <row r="300" spans="1:3" ht="20.100000000000001" customHeight="1" x14ac:dyDescent="0.25">
      <c r="A300" s="4">
        <v>1</v>
      </c>
      <c r="B300" s="4">
        <v>503</v>
      </c>
      <c r="C300" s="16" t="str">
        <f t="shared" si="6"/>
        <v>(1,503),</v>
      </c>
    </row>
    <row r="301" spans="1:3" ht="20.100000000000001" customHeight="1" x14ac:dyDescent="0.25">
      <c r="A301" s="4">
        <v>1</v>
      </c>
      <c r="B301" s="4">
        <v>504</v>
      </c>
      <c r="C301" s="16" t="str">
        <f t="shared" si="6"/>
        <v>(1,504),</v>
      </c>
    </row>
    <row r="302" spans="1:3" ht="20.100000000000001" customHeight="1" x14ac:dyDescent="0.25">
      <c r="A302" s="4">
        <v>1</v>
      </c>
      <c r="B302" s="4">
        <v>505</v>
      </c>
      <c r="C302" s="16" t="str">
        <f t="shared" si="6"/>
        <v>(1,505),</v>
      </c>
    </row>
    <row r="303" spans="1:3" ht="20.100000000000001" customHeight="1" x14ac:dyDescent="0.25">
      <c r="A303" s="4">
        <v>1</v>
      </c>
      <c r="B303" s="4">
        <v>506</v>
      </c>
      <c r="C303" s="16" t="str">
        <f t="shared" si="6"/>
        <v>(1,506),</v>
      </c>
    </row>
    <row r="304" spans="1:3" ht="20.100000000000001" customHeight="1" x14ac:dyDescent="0.25">
      <c r="A304" s="4">
        <v>1</v>
      </c>
      <c r="B304" s="4">
        <v>507</v>
      </c>
      <c r="C304" s="16" t="str">
        <f t="shared" si="6"/>
        <v>(1,507),</v>
      </c>
    </row>
    <row r="305" spans="1:3" ht="20.100000000000001" customHeight="1" x14ac:dyDescent="0.25">
      <c r="A305" s="4">
        <v>1</v>
      </c>
      <c r="B305" s="4">
        <v>508</v>
      </c>
      <c r="C305" s="16" t="str">
        <f t="shared" si="6"/>
        <v>(1,508),</v>
      </c>
    </row>
    <row r="306" spans="1:3" ht="20.100000000000001" customHeight="1" x14ac:dyDescent="0.25">
      <c r="A306" s="4">
        <v>6</v>
      </c>
      <c r="B306" s="4">
        <v>509</v>
      </c>
      <c r="C306" s="16" t="str">
        <f t="shared" si="6"/>
        <v>(6,509),</v>
      </c>
    </row>
    <row r="307" spans="1:3" ht="20.100000000000001" customHeight="1" x14ac:dyDescent="0.25">
      <c r="A307" s="4">
        <v>6</v>
      </c>
      <c r="B307" s="4">
        <v>510</v>
      </c>
      <c r="C307" s="16" t="str">
        <f t="shared" si="6"/>
        <v>(6,510),</v>
      </c>
    </row>
    <row r="308" spans="1:3" ht="20.100000000000001" customHeight="1" x14ac:dyDescent="0.25">
      <c r="A308" s="4">
        <v>6</v>
      </c>
      <c r="B308" s="4">
        <v>511</v>
      </c>
      <c r="C308" s="16" t="str">
        <f t="shared" si="6"/>
        <v>(6,511),</v>
      </c>
    </row>
    <row r="309" spans="1:3" ht="20.100000000000001" customHeight="1" x14ac:dyDescent="0.25">
      <c r="A309" s="4">
        <v>6</v>
      </c>
      <c r="B309" s="4">
        <v>512</v>
      </c>
      <c r="C309" s="16" t="str">
        <f t="shared" si="6"/>
        <v>(6,512),</v>
      </c>
    </row>
    <row r="310" spans="1:3" ht="20.100000000000001" customHeight="1" x14ac:dyDescent="0.25">
      <c r="A310" s="4">
        <v>6</v>
      </c>
      <c r="B310" s="4">
        <v>513</v>
      </c>
      <c r="C310" s="16" t="str">
        <f t="shared" si="6"/>
        <v>(6,513),</v>
      </c>
    </row>
    <row r="311" spans="1:3" ht="20.100000000000001" customHeight="1" x14ac:dyDescent="0.25">
      <c r="A311" s="4">
        <v>6</v>
      </c>
      <c r="B311" s="4">
        <v>514</v>
      </c>
      <c r="C311" s="16" t="str">
        <f t="shared" si="6"/>
        <v>(6,514),</v>
      </c>
    </row>
    <row r="312" spans="1:3" ht="20.100000000000001" customHeight="1" x14ac:dyDescent="0.25">
      <c r="A312" s="4">
        <v>6</v>
      </c>
      <c r="B312" s="4">
        <v>515</v>
      </c>
      <c r="C312" s="16" t="str">
        <f t="shared" si="6"/>
        <v>(6,515),</v>
      </c>
    </row>
    <row r="313" spans="1:3" ht="20.100000000000001" customHeight="1" x14ac:dyDescent="0.25">
      <c r="A313" s="4">
        <v>6</v>
      </c>
      <c r="B313" s="4">
        <v>516</v>
      </c>
      <c r="C313" s="16" t="str">
        <f t="shared" si="6"/>
        <v>(6,516),</v>
      </c>
    </row>
    <row r="314" spans="1:3" ht="20.100000000000001" customHeight="1" x14ac:dyDescent="0.25">
      <c r="A314" s="4">
        <v>6</v>
      </c>
      <c r="B314" s="4">
        <v>517</v>
      </c>
      <c r="C314" s="16" t="str">
        <f t="shared" si="6"/>
        <v>(6,517),</v>
      </c>
    </row>
    <row r="315" spans="1:3" ht="20.100000000000001" customHeight="1" x14ac:dyDescent="0.25">
      <c r="A315" s="4">
        <v>6</v>
      </c>
      <c r="B315" s="4">
        <v>518</v>
      </c>
      <c r="C315" s="16" t="str">
        <f t="shared" si="6"/>
        <v>(6,518),</v>
      </c>
    </row>
    <row r="316" spans="1:3" ht="20.100000000000001" customHeight="1" x14ac:dyDescent="0.25">
      <c r="A316" s="4">
        <v>6</v>
      </c>
      <c r="B316" s="4">
        <v>519</v>
      </c>
      <c r="C316" s="16" t="str">
        <f t="shared" si="6"/>
        <v>(6,519),</v>
      </c>
    </row>
    <row r="317" spans="1:3" ht="20.100000000000001" customHeight="1" x14ac:dyDescent="0.25">
      <c r="A317" s="4">
        <v>6</v>
      </c>
      <c r="B317" s="4">
        <v>520</v>
      </c>
      <c r="C317" s="16" t="str">
        <f t="shared" si="6"/>
        <v>(6,520),</v>
      </c>
    </row>
    <row r="318" spans="1:3" ht="20.100000000000001" customHeight="1" x14ac:dyDescent="0.25">
      <c r="A318" s="4">
        <v>3</v>
      </c>
      <c r="B318" s="4">
        <v>521</v>
      </c>
      <c r="C318" s="16" t="str">
        <f t="shared" si="6"/>
        <v>(3,521),</v>
      </c>
    </row>
    <row r="319" spans="1:3" ht="20.100000000000001" customHeight="1" x14ac:dyDescent="0.25">
      <c r="A319" s="4">
        <v>3</v>
      </c>
      <c r="B319" s="4">
        <v>522</v>
      </c>
      <c r="C319" s="16" t="str">
        <f t="shared" si="6"/>
        <v>(3,522),</v>
      </c>
    </row>
    <row r="320" spans="1:3" ht="20.100000000000001" customHeight="1" x14ac:dyDescent="0.25">
      <c r="A320" s="4">
        <v>3</v>
      </c>
      <c r="B320" s="4">
        <v>523</v>
      </c>
      <c r="C320" s="16" t="str">
        <f t="shared" si="6"/>
        <v>(3,523),</v>
      </c>
    </row>
    <row r="321" spans="1:3" ht="20.100000000000001" customHeight="1" x14ac:dyDescent="0.25">
      <c r="A321" s="4">
        <v>3</v>
      </c>
      <c r="B321" s="4">
        <v>524</v>
      </c>
      <c r="C321" s="16" t="str">
        <f t="shared" si="6"/>
        <v>(3,524),</v>
      </c>
    </row>
    <row r="322" spans="1:3" ht="20.100000000000001" customHeight="1" x14ac:dyDescent="0.25">
      <c r="A322" s="4">
        <v>3</v>
      </c>
      <c r="B322" s="4">
        <v>525</v>
      </c>
      <c r="C322" s="16" t="str">
        <f t="shared" si="6"/>
        <v>(3,525),</v>
      </c>
    </row>
    <row r="323" spans="1:3" ht="20.100000000000001" customHeight="1" x14ac:dyDescent="0.25">
      <c r="A323" s="4">
        <v>3</v>
      </c>
      <c r="B323" s="4">
        <v>526</v>
      </c>
      <c r="C323" s="16" t="str">
        <f t="shared" si="6"/>
        <v>(3,526),</v>
      </c>
    </row>
    <row r="324" spans="1:3" ht="20.100000000000001" customHeight="1" x14ac:dyDescent="0.25">
      <c r="A324" s="4">
        <v>3</v>
      </c>
      <c r="B324" s="4">
        <v>527</v>
      </c>
      <c r="C324" s="16" t="str">
        <f t="shared" si="6"/>
        <v>(3,527),</v>
      </c>
    </row>
    <row r="325" spans="1:3" ht="20.100000000000001" customHeight="1" x14ac:dyDescent="0.25">
      <c r="A325" s="4">
        <v>3</v>
      </c>
      <c r="B325" s="4">
        <v>528</v>
      </c>
      <c r="C325" s="16" t="str">
        <f t="shared" si="6"/>
        <v>(3,528),</v>
      </c>
    </row>
    <row r="326" spans="1:3" ht="20.100000000000001" customHeight="1" x14ac:dyDescent="0.25">
      <c r="A326" s="4">
        <v>3</v>
      </c>
      <c r="B326" s="4">
        <v>529</v>
      </c>
      <c r="C326" s="16" t="str">
        <f t="shared" si="6"/>
        <v>(3,529),</v>
      </c>
    </row>
    <row r="327" spans="1:3" ht="20.100000000000001" customHeight="1" x14ac:dyDescent="0.25">
      <c r="A327" s="4">
        <v>3</v>
      </c>
      <c r="B327" s="4">
        <v>530</v>
      </c>
      <c r="C327" s="16" t="str">
        <f t="shared" si="6"/>
        <v>(3,530),</v>
      </c>
    </row>
    <row r="328" spans="1:3" ht="20.100000000000001" customHeight="1" x14ac:dyDescent="0.25">
      <c r="A328" s="4">
        <v>3</v>
      </c>
      <c r="B328" s="4">
        <v>531</v>
      </c>
      <c r="C328" s="16" t="str">
        <f t="shared" si="6"/>
        <v>(3,531),</v>
      </c>
    </row>
    <row r="329" spans="1:3" ht="20.100000000000001" customHeight="1" x14ac:dyDescent="0.25">
      <c r="A329" s="4">
        <v>3</v>
      </c>
      <c r="B329" s="4">
        <v>532</v>
      </c>
      <c r="C329" s="16" t="str">
        <f t="shared" si="6"/>
        <v>(3,532),</v>
      </c>
    </row>
    <row r="330" spans="1:3" ht="20.100000000000001" customHeight="1" x14ac:dyDescent="0.25">
      <c r="A330" s="4">
        <v>3</v>
      </c>
      <c r="B330" s="4">
        <v>533</v>
      </c>
      <c r="C330" s="16" t="str">
        <f t="shared" si="6"/>
        <v>(3,533),</v>
      </c>
    </row>
    <row r="331" spans="1:3" ht="20.100000000000001" customHeight="1" x14ac:dyDescent="0.25">
      <c r="A331" s="4">
        <v>3</v>
      </c>
      <c r="B331" s="4">
        <v>534</v>
      </c>
      <c r="C331" s="16" t="str">
        <f t="shared" si="6"/>
        <v>(3,534),</v>
      </c>
    </row>
    <row r="332" spans="1:3" ht="20.100000000000001" customHeight="1" x14ac:dyDescent="0.25">
      <c r="A332" s="4">
        <v>3</v>
      </c>
      <c r="B332" s="4">
        <v>535</v>
      </c>
      <c r="C332" s="16" t="str">
        <f t="shared" si="6"/>
        <v>(3,535),</v>
      </c>
    </row>
    <row r="333" spans="1:3" ht="20.100000000000001" customHeight="1" x14ac:dyDescent="0.25">
      <c r="A333" s="4">
        <v>3</v>
      </c>
      <c r="B333" s="4">
        <v>536</v>
      </c>
      <c r="C333" s="16" t="str">
        <f t="shared" si="6"/>
        <v>(3,536),</v>
      </c>
    </row>
    <row r="334" spans="1:3" ht="20.100000000000001" customHeight="1" x14ac:dyDescent="0.25">
      <c r="A334" s="4">
        <v>3</v>
      </c>
      <c r="B334" s="4">
        <v>537</v>
      </c>
      <c r="C334" s="16" t="str">
        <f t="shared" si="6"/>
        <v>(3,537),</v>
      </c>
    </row>
    <row r="335" spans="1:3" ht="20.100000000000001" customHeight="1" x14ac:dyDescent="0.25">
      <c r="A335" s="4">
        <v>3</v>
      </c>
      <c r="B335" s="4">
        <v>538</v>
      </c>
      <c r="C335" s="16" t="str">
        <f t="shared" si="6"/>
        <v>(3,538),</v>
      </c>
    </row>
    <row r="336" spans="1:3" ht="20.100000000000001" customHeight="1" x14ac:dyDescent="0.25">
      <c r="A336" s="4">
        <v>3</v>
      </c>
      <c r="B336" s="4">
        <v>539</v>
      </c>
      <c r="C336" s="16" t="str">
        <f t="shared" si="6"/>
        <v>(3,539),</v>
      </c>
    </row>
    <row r="337" spans="1:3" ht="20.100000000000001" customHeight="1" x14ac:dyDescent="0.25">
      <c r="A337" s="4">
        <v>3</v>
      </c>
      <c r="B337" s="4">
        <v>540</v>
      </c>
      <c r="C337" s="16" t="str">
        <f t="shared" si="6"/>
        <v>(3,540),</v>
      </c>
    </row>
    <row r="338" spans="1:3" ht="20.100000000000001" customHeight="1" x14ac:dyDescent="0.25">
      <c r="A338" s="4">
        <v>3</v>
      </c>
      <c r="B338" s="4">
        <v>541</v>
      </c>
      <c r="C338" s="16" t="str">
        <f t="shared" si="6"/>
        <v>(3,541),</v>
      </c>
    </row>
    <row r="339" spans="1:3" ht="20.100000000000001" customHeight="1" x14ac:dyDescent="0.25">
      <c r="A339" s="4">
        <v>3</v>
      </c>
      <c r="B339" s="4">
        <v>542</v>
      </c>
      <c r="C339" s="16" t="str">
        <f t="shared" si="6"/>
        <v>(3,542),</v>
      </c>
    </row>
    <row r="340" spans="1:3" ht="20.100000000000001" customHeight="1" x14ac:dyDescent="0.25">
      <c r="A340" s="4">
        <v>3</v>
      </c>
      <c r="B340" s="4">
        <v>543</v>
      </c>
      <c r="C340" s="16" t="str">
        <f t="shared" si="6"/>
        <v>(3,543),</v>
      </c>
    </row>
    <row r="341" spans="1:3" ht="20.100000000000001" customHeight="1" x14ac:dyDescent="0.25">
      <c r="A341" s="4">
        <v>3</v>
      </c>
      <c r="B341" s="4">
        <v>544</v>
      </c>
      <c r="C341" s="16" t="str">
        <f t="shared" si="6"/>
        <v>(3,544),</v>
      </c>
    </row>
    <row r="342" spans="1:3" ht="20.100000000000001" customHeight="1" x14ac:dyDescent="0.25">
      <c r="A342" s="4">
        <v>8</v>
      </c>
      <c r="B342" s="4">
        <v>545</v>
      </c>
      <c r="C342" s="16" t="str">
        <f t="shared" si="6"/>
        <v>(8,545),</v>
      </c>
    </row>
    <row r="343" spans="1:3" ht="20.100000000000001" customHeight="1" x14ac:dyDescent="0.25">
      <c r="A343" s="4">
        <v>8</v>
      </c>
      <c r="B343" s="4">
        <v>546</v>
      </c>
      <c r="C343" s="16" t="str">
        <f t="shared" ref="C343:C406" si="7">CONCATENATE("(",A343,",",B343,"),")</f>
        <v>(8,546),</v>
      </c>
    </row>
    <row r="344" spans="1:3" ht="20.100000000000001" customHeight="1" x14ac:dyDescent="0.25">
      <c r="A344" s="4">
        <v>8</v>
      </c>
      <c r="B344" s="4">
        <v>547</v>
      </c>
      <c r="C344" s="16" t="str">
        <f t="shared" si="7"/>
        <v>(8,547),</v>
      </c>
    </row>
    <row r="345" spans="1:3" ht="20.100000000000001" customHeight="1" x14ac:dyDescent="0.25">
      <c r="A345" s="4">
        <v>8</v>
      </c>
      <c r="B345" s="4">
        <v>548</v>
      </c>
      <c r="C345" s="16" t="str">
        <f t="shared" si="7"/>
        <v>(8,548),</v>
      </c>
    </row>
    <row r="346" spans="1:3" ht="20.100000000000001" customHeight="1" x14ac:dyDescent="0.25">
      <c r="A346" s="4">
        <v>8</v>
      </c>
      <c r="B346" s="4">
        <v>549</v>
      </c>
      <c r="C346" s="16" t="str">
        <f t="shared" si="7"/>
        <v>(8,549),</v>
      </c>
    </row>
    <row r="347" spans="1:3" ht="20.100000000000001" customHeight="1" x14ac:dyDescent="0.25">
      <c r="A347" s="4">
        <v>8</v>
      </c>
      <c r="B347" s="4">
        <v>550</v>
      </c>
      <c r="C347" s="16" t="str">
        <f t="shared" si="7"/>
        <v>(8,550),</v>
      </c>
    </row>
    <row r="348" spans="1:3" ht="20.100000000000001" customHeight="1" x14ac:dyDescent="0.25">
      <c r="A348" s="4">
        <v>8</v>
      </c>
      <c r="B348" s="4">
        <v>551</v>
      </c>
      <c r="C348" s="16" t="str">
        <f t="shared" si="7"/>
        <v>(8,551),</v>
      </c>
    </row>
    <row r="349" spans="1:3" ht="20.100000000000001" customHeight="1" x14ac:dyDescent="0.25">
      <c r="A349" s="4">
        <v>8</v>
      </c>
      <c r="B349" s="4">
        <v>552</v>
      </c>
      <c r="C349" s="16" t="str">
        <f t="shared" si="7"/>
        <v>(8,552),</v>
      </c>
    </row>
    <row r="350" spans="1:3" ht="20.100000000000001" customHeight="1" x14ac:dyDescent="0.25">
      <c r="A350" s="4">
        <v>8</v>
      </c>
      <c r="B350" s="4">
        <v>553</v>
      </c>
      <c r="C350" s="16" t="str">
        <f t="shared" si="7"/>
        <v>(8,553),</v>
      </c>
    </row>
    <row r="351" spans="1:3" ht="20.100000000000001" customHeight="1" x14ac:dyDescent="0.25">
      <c r="A351" s="4">
        <v>10</v>
      </c>
      <c r="B351" s="4">
        <v>554</v>
      </c>
      <c r="C351" s="16" t="str">
        <f t="shared" si="7"/>
        <v>(10,554),</v>
      </c>
    </row>
    <row r="352" spans="1:3" ht="20.100000000000001" customHeight="1" x14ac:dyDescent="0.25">
      <c r="A352" s="4">
        <v>10</v>
      </c>
      <c r="B352" s="4">
        <v>555</v>
      </c>
      <c r="C352" s="16" t="str">
        <f t="shared" si="7"/>
        <v>(10,555),</v>
      </c>
    </row>
    <row r="353" spans="1:3" ht="20.100000000000001" customHeight="1" x14ac:dyDescent="0.25">
      <c r="A353" s="4">
        <v>10</v>
      </c>
      <c r="B353" s="4">
        <v>556</v>
      </c>
      <c r="C353" s="16" t="str">
        <f t="shared" si="7"/>
        <v>(10,556),</v>
      </c>
    </row>
    <row r="354" spans="1:3" ht="20.100000000000001" customHeight="1" x14ac:dyDescent="0.25">
      <c r="A354" s="4">
        <v>10</v>
      </c>
      <c r="B354" s="4">
        <v>557</v>
      </c>
      <c r="C354" s="16" t="str">
        <f t="shared" si="7"/>
        <v>(10,557),</v>
      </c>
    </row>
    <row r="355" spans="1:3" ht="20.100000000000001" customHeight="1" x14ac:dyDescent="0.25">
      <c r="A355" s="4">
        <v>10</v>
      </c>
      <c r="B355" s="4">
        <v>558</v>
      </c>
      <c r="C355" s="16" t="str">
        <f t="shared" si="7"/>
        <v>(10,558),</v>
      </c>
    </row>
    <row r="356" spans="1:3" ht="20.100000000000001" customHeight="1" x14ac:dyDescent="0.25">
      <c r="A356" s="4">
        <v>10</v>
      </c>
      <c r="B356" s="4">
        <v>559</v>
      </c>
      <c r="C356" s="16" t="str">
        <f t="shared" si="7"/>
        <v>(10,559),</v>
      </c>
    </row>
    <row r="357" spans="1:3" ht="20.100000000000001" customHeight="1" x14ac:dyDescent="0.25">
      <c r="A357" s="4">
        <v>1</v>
      </c>
      <c r="B357" s="4">
        <v>601</v>
      </c>
      <c r="C357" s="16" t="str">
        <f t="shared" si="7"/>
        <v>(1,601),</v>
      </c>
    </row>
    <row r="358" spans="1:3" ht="20.100000000000001" customHeight="1" x14ac:dyDescent="0.25">
      <c r="A358" s="4">
        <v>1</v>
      </c>
      <c r="B358" s="4">
        <v>602</v>
      </c>
      <c r="C358" s="16" t="str">
        <f t="shared" si="7"/>
        <v>(1,602),</v>
      </c>
    </row>
    <row r="359" spans="1:3" ht="20.100000000000001" customHeight="1" x14ac:dyDescent="0.25">
      <c r="A359" s="4">
        <v>1</v>
      </c>
      <c r="B359" s="4">
        <v>603</v>
      </c>
      <c r="C359" s="16" t="str">
        <f t="shared" si="7"/>
        <v>(1,603),</v>
      </c>
    </row>
    <row r="360" spans="1:3" ht="20.100000000000001" customHeight="1" x14ac:dyDescent="0.25">
      <c r="A360" s="4">
        <v>1</v>
      </c>
      <c r="B360" s="4">
        <v>604</v>
      </c>
      <c r="C360" s="16" t="str">
        <f t="shared" si="7"/>
        <v>(1,604),</v>
      </c>
    </row>
    <row r="361" spans="1:3" ht="20.100000000000001" customHeight="1" x14ac:dyDescent="0.25">
      <c r="A361" s="4">
        <v>1</v>
      </c>
      <c r="B361" s="4">
        <v>605</v>
      </c>
      <c r="C361" s="16" t="str">
        <f t="shared" si="7"/>
        <v>(1,605),</v>
      </c>
    </row>
    <row r="362" spans="1:3" ht="20.100000000000001" customHeight="1" x14ac:dyDescent="0.25">
      <c r="A362" s="4">
        <v>1</v>
      </c>
      <c r="B362" s="4">
        <v>606</v>
      </c>
      <c r="C362" s="16" t="str">
        <f t="shared" si="7"/>
        <v>(1,606),</v>
      </c>
    </row>
    <row r="363" spans="1:3" ht="20.100000000000001" customHeight="1" x14ac:dyDescent="0.25">
      <c r="A363" s="4">
        <v>1</v>
      </c>
      <c r="B363" s="4">
        <v>607</v>
      </c>
      <c r="C363" s="16" t="str">
        <f t="shared" si="7"/>
        <v>(1,607),</v>
      </c>
    </row>
    <row r="364" spans="1:3" ht="20.100000000000001" customHeight="1" x14ac:dyDescent="0.25">
      <c r="A364" s="4">
        <v>1</v>
      </c>
      <c r="B364" s="4">
        <v>608</v>
      </c>
      <c r="C364" s="16" t="str">
        <f t="shared" si="7"/>
        <v>(1,608),</v>
      </c>
    </row>
    <row r="365" spans="1:3" ht="20.100000000000001" customHeight="1" x14ac:dyDescent="0.25">
      <c r="A365" s="4">
        <v>6</v>
      </c>
      <c r="B365" s="4">
        <v>609</v>
      </c>
      <c r="C365" s="16" t="str">
        <f t="shared" si="7"/>
        <v>(6,609),</v>
      </c>
    </row>
    <row r="366" spans="1:3" ht="20.100000000000001" customHeight="1" x14ac:dyDescent="0.25">
      <c r="A366" s="4">
        <v>6</v>
      </c>
      <c r="B366" s="4">
        <v>610</v>
      </c>
      <c r="C366" s="16" t="str">
        <f t="shared" si="7"/>
        <v>(6,610),</v>
      </c>
    </row>
    <row r="367" spans="1:3" ht="20.100000000000001" customHeight="1" x14ac:dyDescent="0.25">
      <c r="A367" s="4">
        <v>6</v>
      </c>
      <c r="B367" s="4">
        <v>611</v>
      </c>
      <c r="C367" s="16" t="str">
        <f t="shared" si="7"/>
        <v>(6,611),</v>
      </c>
    </row>
    <row r="368" spans="1:3" ht="20.100000000000001" customHeight="1" x14ac:dyDescent="0.25">
      <c r="A368" s="4">
        <v>6</v>
      </c>
      <c r="B368" s="4">
        <v>612</v>
      </c>
      <c r="C368" s="16" t="str">
        <f t="shared" si="7"/>
        <v>(6,612),</v>
      </c>
    </row>
    <row r="369" spans="1:3" ht="20.100000000000001" customHeight="1" x14ac:dyDescent="0.25">
      <c r="A369" s="4">
        <v>6</v>
      </c>
      <c r="B369" s="4">
        <v>613</v>
      </c>
      <c r="C369" s="16" t="str">
        <f t="shared" si="7"/>
        <v>(6,613),</v>
      </c>
    </row>
    <row r="370" spans="1:3" ht="20.100000000000001" customHeight="1" x14ac:dyDescent="0.25">
      <c r="A370" s="4">
        <v>6</v>
      </c>
      <c r="B370" s="4">
        <v>614</v>
      </c>
      <c r="C370" s="16" t="str">
        <f t="shared" si="7"/>
        <v>(6,614),</v>
      </c>
    </row>
    <row r="371" spans="1:3" ht="20.100000000000001" customHeight="1" x14ac:dyDescent="0.25">
      <c r="A371" s="4">
        <v>6</v>
      </c>
      <c r="B371" s="4">
        <v>615</v>
      </c>
      <c r="C371" s="16" t="str">
        <f t="shared" si="7"/>
        <v>(6,615),</v>
      </c>
    </row>
    <row r="372" spans="1:3" ht="20.100000000000001" customHeight="1" x14ac:dyDescent="0.25">
      <c r="A372" s="4">
        <v>6</v>
      </c>
      <c r="B372" s="4">
        <v>616</v>
      </c>
      <c r="C372" s="16" t="str">
        <f t="shared" si="7"/>
        <v>(6,616),</v>
      </c>
    </row>
    <row r="373" spans="1:3" ht="20.100000000000001" customHeight="1" x14ac:dyDescent="0.25">
      <c r="A373" s="4">
        <v>6</v>
      </c>
      <c r="B373" s="4">
        <v>617</v>
      </c>
      <c r="C373" s="16" t="str">
        <f t="shared" si="7"/>
        <v>(6,617),</v>
      </c>
    </row>
    <row r="374" spans="1:3" ht="20.100000000000001" customHeight="1" x14ac:dyDescent="0.25">
      <c r="A374" s="4">
        <v>6</v>
      </c>
      <c r="B374" s="4">
        <v>618</v>
      </c>
      <c r="C374" s="16" t="str">
        <f t="shared" si="7"/>
        <v>(6,618),</v>
      </c>
    </row>
    <row r="375" spans="1:3" ht="20.100000000000001" customHeight="1" x14ac:dyDescent="0.25">
      <c r="A375" s="4">
        <v>6</v>
      </c>
      <c r="B375" s="4">
        <v>619</v>
      </c>
      <c r="C375" s="16" t="str">
        <f t="shared" si="7"/>
        <v>(6,619),</v>
      </c>
    </row>
    <row r="376" spans="1:3" ht="20.100000000000001" customHeight="1" x14ac:dyDescent="0.25">
      <c r="A376" s="4">
        <v>6</v>
      </c>
      <c r="B376" s="4">
        <v>620</v>
      </c>
      <c r="C376" s="16" t="str">
        <f t="shared" si="7"/>
        <v>(6,620),</v>
      </c>
    </row>
    <row r="377" spans="1:3" ht="20.100000000000001" customHeight="1" x14ac:dyDescent="0.25">
      <c r="A377" s="4">
        <v>3</v>
      </c>
      <c r="B377" s="4">
        <v>621</v>
      </c>
      <c r="C377" s="16" t="str">
        <f t="shared" si="7"/>
        <v>(3,621),</v>
      </c>
    </row>
    <row r="378" spans="1:3" ht="20.100000000000001" customHeight="1" x14ac:dyDescent="0.25">
      <c r="A378" s="4">
        <v>3</v>
      </c>
      <c r="B378" s="4">
        <v>622</v>
      </c>
      <c r="C378" s="16" t="str">
        <f t="shared" si="7"/>
        <v>(3,622),</v>
      </c>
    </row>
    <row r="379" spans="1:3" ht="20.100000000000001" customHeight="1" x14ac:dyDescent="0.25">
      <c r="A379" s="4">
        <v>3</v>
      </c>
      <c r="B379" s="4">
        <v>623</v>
      </c>
      <c r="C379" s="16" t="str">
        <f t="shared" si="7"/>
        <v>(3,623),</v>
      </c>
    </row>
    <row r="380" spans="1:3" ht="20.100000000000001" customHeight="1" x14ac:dyDescent="0.25">
      <c r="A380" s="4">
        <v>3</v>
      </c>
      <c r="B380" s="4">
        <v>624</v>
      </c>
      <c r="C380" s="16" t="str">
        <f t="shared" si="7"/>
        <v>(3,624),</v>
      </c>
    </row>
    <row r="381" spans="1:3" ht="20.100000000000001" customHeight="1" x14ac:dyDescent="0.25">
      <c r="A381" s="4">
        <v>3</v>
      </c>
      <c r="B381" s="4">
        <v>625</v>
      </c>
      <c r="C381" s="16" t="str">
        <f t="shared" si="7"/>
        <v>(3,625),</v>
      </c>
    </row>
    <row r="382" spans="1:3" ht="20.100000000000001" customHeight="1" x14ac:dyDescent="0.25">
      <c r="A382" s="4">
        <v>3</v>
      </c>
      <c r="B382" s="4">
        <v>626</v>
      </c>
      <c r="C382" s="16" t="str">
        <f t="shared" si="7"/>
        <v>(3,626),</v>
      </c>
    </row>
    <row r="383" spans="1:3" ht="20.100000000000001" customHeight="1" x14ac:dyDescent="0.25">
      <c r="A383" s="4">
        <v>3</v>
      </c>
      <c r="B383" s="4">
        <v>627</v>
      </c>
      <c r="C383" s="16" t="str">
        <f t="shared" si="7"/>
        <v>(3,627),</v>
      </c>
    </row>
    <row r="384" spans="1:3" ht="20.100000000000001" customHeight="1" x14ac:dyDescent="0.25">
      <c r="A384" s="4">
        <v>3</v>
      </c>
      <c r="B384" s="4">
        <v>628</v>
      </c>
      <c r="C384" s="16" t="str">
        <f t="shared" si="7"/>
        <v>(3,628),</v>
      </c>
    </row>
    <row r="385" spans="1:3" ht="20.100000000000001" customHeight="1" x14ac:dyDescent="0.25">
      <c r="A385" s="4">
        <v>3</v>
      </c>
      <c r="B385" s="4">
        <v>629</v>
      </c>
      <c r="C385" s="16" t="str">
        <f t="shared" si="7"/>
        <v>(3,629),</v>
      </c>
    </row>
    <row r="386" spans="1:3" ht="20.100000000000001" customHeight="1" x14ac:dyDescent="0.25">
      <c r="A386" s="4">
        <v>3</v>
      </c>
      <c r="B386" s="4">
        <v>630</v>
      </c>
      <c r="C386" s="16" t="str">
        <f t="shared" si="7"/>
        <v>(3,630),</v>
      </c>
    </row>
    <row r="387" spans="1:3" ht="20.100000000000001" customHeight="1" x14ac:dyDescent="0.25">
      <c r="A387" s="4">
        <v>3</v>
      </c>
      <c r="B387" s="4">
        <v>631</v>
      </c>
      <c r="C387" s="16" t="str">
        <f t="shared" si="7"/>
        <v>(3,631),</v>
      </c>
    </row>
    <row r="388" spans="1:3" ht="20.100000000000001" customHeight="1" x14ac:dyDescent="0.25">
      <c r="A388" s="4">
        <v>3</v>
      </c>
      <c r="B388" s="4">
        <v>632</v>
      </c>
      <c r="C388" s="16" t="str">
        <f t="shared" si="7"/>
        <v>(3,632),</v>
      </c>
    </row>
    <row r="389" spans="1:3" ht="20.100000000000001" customHeight="1" x14ac:dyDescent="0.25">
      <c r="A389" s="4">
        <v>3</v>
      </c>
      <c r="B389" s="4">
        <v>633</v>
      </c>
      <c r="C389" s="16" t="str">
        <f t="shared" si="7"/>
        <v>(3,633),</v>
      </c>
    </row>
    <row r="390" spans="1:3" ht="20.100000000000001" customHeight="1" x14ac:dyDescent="0.25">
      <c r="A390" s="4">
        <v>3</v>
      </c>
      <c r="B390" s="4">
        <v>634</v>
      </c>
      <c r="C390" s="16" t="str">
        <f t="shared" si="7"/>
        <v>(3,634),</v>
      </c>
    </row>
    <row r="391" spans="1:3" ht="20.100000000000001" customHeight="1" x14ac:dyDescent="0.25">
      <c r="A391" s="4">
        <v>3</v>
      </c>
      <c r="B391" s="4">
        <v>635</v>
      </c>
      <c r="C391" s="16" t="str">
        <f t="shared" si="7"/>
        <v>(3,635),</v>
      </c>
    </row>
    <row r="392" spans="1:3" ht="20.100000000000001" customHeight="1" x14ac:dyDescent="0.25">
      <c r="A392" s="4">
        <v>3</v>
      </c>
      <c r="B392" s="4">
        <v>636</v>
      </c>
      <c r="C392" s="16" t="str">
        <f t="shared" si="7"/>
        <v>(3,636),</v>
      </c>
    </row>
    <row r="393" spans="1:3" ht="20.100000000000001" customHeight="1" x14ac:dyDescent="0.25">
      <c r="A393" s="4">
        <v>3</v>
      </c>
      <c r="B393" s="4">
        <v>637</v>
      </c>
      <c r="C393" s="16" t="str">
        <f t="shared" si="7"/>
        <v>(3,637),</v>
      </c>
    </row>
    <row r="394" spans="1:3" ht="20.100000000000001" customHeight="1" x14ac:dyDescent="0.25">
      <c r="A394" s="4">
        <v>3</v>
      </c>
      <c r="B394" s="4">
        <v>638</v>
      </c>
      <c r="C394" s="16" t="str">
        <f t="shared" si="7"/>
        <v>(3,638),</v>
      </c>
    </row>
    <row r="395" spans="1:3" ht="20.100000000000001" customHeight="1" x14ac:dyDescent="0.25">
      <c r="A395" s="4">
        <v>3</v>
      </c>
      <c r="B395" s="4">
        <v>639</v>
      </c>
      <c r="C395" s="16" t="str">
        <f t="shared" si="7"/>
        <v>(3,639),</v>
      </c>
    </row>
    <row r="396" spans="1:3" ht="20.100000000000001" customHeight="1" x14ac:dyDescent="0.25">
      <c r="A396" s="4">
        <v>3</v>
      </c>
      <c r="B396" s="4">
        <v>640</v>
      </c>
      <c r="C396" s="16" t="str">
        <f t="shared" si="7"/>
        <v>(3,640),</v>
      </c>
    </row>
    <row r="397" spans="1:3" ht="20.100000000000001" customHeight="1" x14ac:dyDescent="0.25">
      <c r="A397" s="4">
        <v>3</v>
      </c>
      <c r="B397" s="4">
        <v>641</v>
      </c>
      <c r="C397" s="16" t="str">
        <f t="shared" si="7"/>
        <v>(3,641),</v>
      </c>
    </row>
    <row r="398" spans="1:3" ht="20.100000000000001" customHeight="1" x14ac:dyDescent="0.25">
      <c r="A398" s="4">
        <v>3</v>
      </c>
      <c r="B398" s="4">
        <v>642</v>
      </c>
      <c r="C398" s="16" t="str">
        <f t="shared" si="7"/>
        <v>(3,642),</v>
      </c>
    </row>
    <row r="399" spans="1:3" ht="20.100000000000001" customHeight="1" x14ac:dyDescent="0.25">
      <c r="A399" s="4">
        <v>3</v>
      </c>
      <c r="B399" s="4">
        <v>643</v>
      </c>
      <c r="C399" s="16" t="str">
        <f t="shared" si="7"/>
        <v>(3,643),</v>
      </c>
    </row>
    <row r="400" spans="1:3" ht="20.100000000000001" customHeight="1" x14ac:dyDescent="0.25">
      <c r="A400" s="4">
        <v>3</v>
      </c>
      <c r="B400" s="4">
        <v>644</v>
      </c>
      <c r="C400" s="16" t="str">
        <f t="shared" si="7"/>
        <v>(3,644),</v>
      </c>
    </row>
    <row r="401" spans="1:3" ht="20.100000000000001" customHeight="1" x14ac:dyDescent="0.25">
      <c r="A401" s="4">
        <v>8</v>
      </c>
      <c r="B401" s="4">
        <v>645</v>
      </c>
      <c r="C401" s="16" t="str">
        <f t="shared" si="7"/>
        <v>(8,645),</v>
      </c>
    </row>
    <row r="402" spans="1:3" ht="20.100000000000001" customHeight="1" x14ac:dyDescent="0.25">
      <c r="A402" s="4">
        <v>8</v>
      </c>
      <c r="B402" s="4">
        <v>646</v>
      </c>
      <c r="C402" s="16" t="str">
        <f t="shared" si="7"/>
        <v>(8,646),</v>
      </c>
    </row>
    <row r="403" spans="1:3" ht="20.100000000000001" customHeight="1" x14ac:dyDescent="0.25">
      <c r="A403" s="4">
        <v>8</v>
      </c>
      <c r="B403" s="4">
        <v>647</v>
      </c>
      <c r="C403" s="16" t="str">
        <f t="shared" si="7"/>
        <v>(8,647),</v>
      </c>
    </row>
    <row r="404" spans="1:3" ht="20.100000000000001" customHeight="1" x14ac:dyDescent="0.25">
      <c r="A404" s="4">
        <v>8</v>
      </c>
      <c r="B404" s="4">
        <v>648</v>
      </c>
      <c r="C404" s="16" t="str">
        <f t="shared" si="7"/>
        <v>(8,648),</v>
      </c>
    </row>
    <row r="405" spans="1:3" ht="20.100000000000001" customHeight="1" x14ac:dyDescent="0.25">
      <c r="A405" s="4">
        <v>8</v>
      </c>
      <c r="B405" s="4">
        <v>649</v>
      </c>
      <c r="C405" s="16" t="str">
        <f t="shared" si="7"/>
        <v>(8,649),</v>
      </c>
    </row>
    <row r="406" spans="1:3" ht="20.100000000000001" customHeight="1" x14ac:dyDescent="0.25">
      <c r="A406" s="4">
        <v>8</v>
      </c>
      <c r="B406" s="4">
        <v>650</v>
      </c>
      <c r="C406" s="16" t="str">
        <f t="shared" si="7"/>
        <v>(8,650),</v>
      </c>
    </row>
    <row r="407" spans="1:3" ht="20.100000000000001" customHeight="1" x14ac:dyDescent="0.25">
      <c r="A407" s="4">
        <v>8</v>
      </c>
      <c r="B407" s="4">
        <v>651</v>
      </c>
      <c r="C407" s="16" t="str">
        <f t="shared" ref="C407:C470" si="8">CONCATENATE("(",A407,",",B407,"),")</f>
        <v>(8,651),</v>
      </c>
    </row>
    <row r="408" spans="1:3" ht="20.100000000000001" customHeight="1" x14ac:dyDescent="0.25">
      <c r="A408" s="4">
        <v>8</v>
      </c>
      <c r="B408" s="4">
        <v>652</v>
      </c>
      <c r="C408" s="16" t="str">
        <f t="shared" si="8"/>
        <v>(8,652),</v>
      </c>
    </row>
    <row r="409" spans="1:3" ht="20.100000000000001" customHeight="1" x14ac:dyDescent="0.25">
      <c r="A409" s="4">
        <v>8</v>
      </c>
      <c r="B409" s="4">
        <v>653</v>
      </c>
      <c r="C409" s="16" t="str">
        <f t="shared" si="8"/>
        <v>(8,653),</v>
      </c>
    </row>
    <row r="410" spans="1:3" ht="20.100000000000001" customHeight="1" x14ac:dyDescent="0.25">
      <c r="A410" s="4">
        <v>10</v>
      </c>
      <c r="B410" s="4">
        <v>654</v>
      </c>
      <c r="C410" s="16" t="str">
        <f t="shared" si="8"/>
        <v>(10,654),</v>
      </c>
    </row>
    <row r="411" spans="1:3" ht="20.100000000000001" customHeight="1" x14ac:dyDescent="0.25">
      <c r="A411" s="4">
        <v>10</v>
      </c>
      <c r="B411" s="4">
        <v>655</v>
      </c>
      <c r="C411" s="16" t="str">
        <f t="shared" si="8"/>
        <v>(10,655),</v>
      </c>
    </row>
    <row r="412" spans="1:3" ht="20.100000000000001" customHeight="1" x14ac:dyDescent="0.25">
      <c r="A412" s="4">
        <v>10</v>
      </c>
      <c r="B412" s="4">
        <v>656</v>
      </c>
      <c r="C412" s="16" t="str">
        <f t="shared" si="8"/>
        <v>(10,656),</v>
      </c>
    </row>
    <row r="413" spans="1:3" ht="20.100000000000001" customHeight="1" x14ac:dyDescent="0.25">
      <c r="A413" s="4">
        <v>10</v>
      </c>
      <c r="B413" s="4">
        <v>657</v>
      </c>
      <c r="C413" s="16" t="str">
        <f t="shared" si="8"/>
        <v>(10,657),</v>
      </c>
    </row>
    <row r="414" spans="1:3" ht="20.100000000000001" customHeight="1" x14ac:dyDescent="0.25">
      <c r="A414" s="4">
        <v>10</v>
      </c>
      <c r="B414" s="4">
        <v>658</v>
      </c>
      <c r="C414" s="16" t="str">
        <f t="shared" si="8"/>
        <v>(10,658),</v>
      </c>
    </row>
    <row r="415" spans="1:3" ht="20.100000000000001" customHeight="1" x14ac:dyDescent="0.25">
      <c r="A415" s="4">
        <v>10</v>
      </c>
      <c r="B415" s="4">
        <v>659</v>
      </c>
      <c r="C415" s="16" t="str">
        <f t="shared" si="8"/>
        <v>(10,659),</v>
      </c>
    </row>
    <row r="416" spans="1:3" ht="20.100000000000001" customHeight="1" x14ac:dyDescent="0.25">
      <c r="A416" s="4">
        <v>1</v>
      </c>
      <c r="B416" s="4">
        <v>701</v>
      </c>
      <c r="C416" s="16" t="str">
        <f t="shared" si="8"/>
        <v>(1,701),</v>
      </c>
    </row>
    <row r="417" spans="1:3" ht="20.100000000000001" customHeight="1" x14ac:dyDescent="0.25">
      <c r="A417" s="4">
        <v>1</v>
      </c>
      <c r="B417" s="4">
        <v>702</v>
      </c>
      <c r="C417" s="16" t="str">
        <f t="shared" si="8"/>
        <v>(1,702),</v>
      </c>
    </row>
    <row r="418" spans="1:3" ht="20.100000000000001" customHeight="1" x14ac:dyDescent="0.25">
      <c r="A418" s="4">
        <v>1</v>
      </c>
      <c r="B418" s="4">
        <v>703</v>
      </c>
      <c r="C418" s="16" t="str">
        <f t="shared" si="8"/>
        <v>(1,703),</v>
      </c>
    </row>
    <row r="419" spans="1:3" ht="20.100000000000001" customHeight="1" x14ac:dyDescent="0.25">
      <c r="A419" s="4">
        <v>1</v>
      </c>
      <c r="B419" s="4">
        <v>704</v>
      </c>
      <c r="C419" s="16" t="str">
        <f t="shared" si="8"/>
        <v>(1,704),</v>
      </c>
    </row>
    <row r="420" spans="1:3" ht="20.100000000000001" customHeight="1" x14ac:dyDescent="0.25">
      <c r="A420" s="4">
        <v>1</v>
      </c>
      <c r="B420" s="4">
        <v>705</v>
      </c>
      <c r="C420" s="16" t="str">
        <f t="shared" si="8"/>
        <v>(1,705),</v>
      </c>
    </row>
    <row r="421" spans="1:3" ht="20.100000000000001" customHeight="1" x14ac:dyDescent="0.25">
      <c r="A421" s="4">
        <v>1</v>
      </c>
      <c r="B421" s="4">
        <v>706</v>
      </c>
      <c r="C421" s="16" t="str">
        <f t="shared" si="8"/>
        <v>(1,706),</v>
      </c>
    </row>
    <row r="422" spans="1:3" ht="20.100000000000001" customHeight="1" x14ac:dyDescent="0.25">
      <c r="A422" s="4">
        <v>1</v>
      </c>
      <c r="B422" s="4">
        <v>707</v>
      </c>
      <c r="C422" s="16" t="str">
        <f t="shared" si="8"/>
        <v>(1,707),</v>
      </c>
    </row>
    <row r="423" spans="1:3" ht="20.100000000000001" customHeight="1" x14ac:dyDescent="0.25">
      <c r="A423" s="4">
        <v>1</v>
      </c>
      <c r="B423" s="4">
        <v>708</v>
      </c>
      <c r="C423" s="16" t="str">
        <f t="shared" si="8"/>
        <v>(1,708),</v>
      </c>
    </row>
    <row r="424" spans="1:3" ht="20.100000000000001" customHeight="1" x14ac:dyDescent="0.25">
      <c r="A424" s="4">
        <v>7</v>
      </c>
      <c r="B424" s="4">
        <v>709</v>
      </c>
      <c r="C424" s="16" t="str">
        <f t="shared" si="8"/>
        <v>(7,709),</v>
      </c>
    </row>
    <row r="425" spans="1:3" ht="20.100000000000001" customHeight="1" x14ac:dyDescent="0.25">
      <c r="A425" s="4">
        <v>7</v>
      </c>
      <c r="B425" s="4">
        <v>710</v>
      </c>
      <c r="C425" s="16" t="str">
        <f t="shared" si="8"/>
        <v>(7,710),</v>
      </c>
    </row>
    <row r="426" spans="1:3" ht="20.100000000000001" customHeight="1" x14ac:dyDescent="0.25">
      <c r="A426" s="4">
        <v>7</v>
      </c>
      <c r="B426" s="4">
        <v>711</v>
      </c>
      <c r="C426" s="16" t="str">
        <f t="shared" si="8"/>
        <v>(7,711),</v>
      </c>
    </row>
    <row r="427" spans="1:3" ht="20.100000000000001" customHeight="1" x14ac:dyDescent="0.25">
      <c r="A427" s="4">
        <v>7</v>
      </c>
      <c r="B427" s="4">
        <v>712</v>
      </c>
      <c r="C427" s="16" t="str">
        <f t="shared" si="8"/>
        <v>(7,712),</v>
      </c>
    </row>
    <row r="428" spans="1:3" ht="20.100000000000001" customHeight="1" x14ac:dyDescent="0.25">
      <c r="A428" s="4">
        <v>7</v>
      </c>
      <c r="B428" s="4">
        <v>713</v>
      </c>
      <c r="C428" s="16" t="str">
        <f t="shared" si="8"/>
        <v>(7,713),</v>
      </c>
    </row>
    <row r="429" spans="1:3" ht="20.100000000000001" customHeight="1" x14ac:dyDescent="0.25">
      <c r="A429" s="4">
        <v>7</v>
      </c>
      <c r="B429" s="4">
        <v>714</v>
      </c>
      <c r="C429" s="16" t="str">
        <f t="shared" si="8"/>
        <v>(7,714),</v>
      </c>
    </row>
    <row r="430" spans="1:3" ht="20.100000000000001" customHeight="1" x14ac:dyDescent="0.25">
      <c r="A430" s="4">
        <v>7</v>
      </c>
      <c r="B430" s="4">
        <v>715</v>
      </c>
      <c r="C430" s="16" t="str">
        <f t="shared" si="8"/>
        <v>(7,715),</v>
      </c>
    </row>
    <row r="431" spans="1:3" ht="20.100000000000001" customHeight="1" x14ac:dyDescent="0.25">
      <c r="A431" s="4">
        <v>7</v>
      </c>
      <c r="B431" s="4">
        <v>716</v>
      </c>
      <c r="C431" s="16" t="str">
        <f t="shared" si="8"/>
        <v>(7,716),</v>
      </c>
    </row>
    <row r="432" spans="1:3" ht="20.100000000000001" customHeight="1" x14ac:dyDescent="0.25">
      <c r="A432" s="4">
        <v>7</v>
      </c>
      <c r="B432" s="4">
        <v>717</v>
      </c>
      <c r="C432" s="16" t="str">
        <f t="shared" si="8"/>
        <v>(7,717),</v>
      </c>
    </row>
    <row r="433" spans="1:3" ht="20.100000000000001" customHeight="1" x14ac:dyDescent="0.25">
      <c r="A433" s="4">
        <v>7</v>
      </c>
      <c r="B433" s="4">
        <v>718</v>
      </c>
      <c r="C433" s="16" t="str">
        <f t="shared" si="8"/>
        <v>(7,718),</v>
      </c>
    </row>
    <row r="434" spans="1:3" ht="20.100000000000001" customHeight="1" x14ac:dyDescent="0.25">
      <c r="A434" s="4">
        <v>7</v>
      </c>
      <c r="B434" s="4">
        <v>719</v>
      </c>
      <c r="C434" s="16" t="str">
        <f t="shared" si="8"/>
        <v>(7,719),</v>
      </c>
    </row>
    <row r="435" spans="1:3" ht="20.100000000000001" customHeight="1" x14ac:dyDescent="0.25">
      <c r="A435" s="4">
        <v>7</v>
      </c>
      <c r="B435" s="4">
        <v>720</v>
      </c>
      <c r="C435" s="16" t="str">
        <f t="shared" si="8"/>
        <v>(7,720),</v>
      </c>
    </row>
    <row r="436" spans="1:3" ht="20.100000000000001" customHeight="1" x14ac:dyDescent="0.25">
      <c r="A436" s="4">
        <v>4</v>
      </c>
      <c r="B436" s="4">
        <v>721</v>
      </c>
      <c r="C436" s="16" t="str">
        <f t="shared" si="8"/>
        <v>(4,721),</v>
      </c>
    </row>
    <row r="437" spans="1:3" ht="20.100000000000001" customHeight="1" x14ac:dyDescent="0.25">
      <c r="A437" s="4">
        <v>4</v>
      </c>
      <c r="B437" s="4">
        <v>722</v>
      </c>
      <c r="C437" s="16" t="str">
        <f t="shared" si="8"/>
        <v>(4,722),</v>
      </c>
    </row>
    <row r="438" spans="1:3" ht="20.100000000000001" customHeight="1" x14ac:dyDescent="0.25">
      <c r="A438" s="4">
        <v>4</v>
      </c>
      <c r="B438" s="4">
        <v>723</v>
      </c>
      <c r="C438" s="16" t="str">
        <f t="shared" si="8"/>
        <v>(4,723),</v>
      </c>
    </row>
    <row r="439" spans="1:3" ht="20.100000000000001" customHeight="1" x14ac:dyDescent="0.25">
      <c r="A439" s="4">
        <v>4</v>
      </c>
      <c r="B439" s="4">
        <v>724</v>
      </c>
      <c r="C439" s="16" t="str">
        <f t="shared" si="8"/>
        <v>(4,724),</v>
      </c>
    </row>
    <row r="440" spans="1:3" ht="20.100000000000001" customHeight="1" x14ac:dyDescent="0.25">
      <c r="A440" s="4">
        <v>4</v>
      </c>
      <c r="B440" s="4">
        <v>725</v>
      </c>
      <c r="C440" s="16" t="str">
        <f t="shared" si="8"/>
        <v>(4,725),</v>
      </c>
    </row>
    <row r="441" spans="1:3" ht="20.100000000000001" customHeight="1" x14ac:dyDescent="0.25">
      <c r="A441" s="4">
        <v>4</v>
      </c>
      <c r="B441" s="4">
        <v>726</v>
      </c>
      <c r="C441" s="16" t="str">
        <f t="shared" si="8"/>
        <v>(4,726),</v>
      </c>
    </row>
    <row r="442" spans="1:3" ht="20.100000000000001" customHeight="1" x14ac:dyDescent="0.25">
      <c r="A442" s="4">
        <v>4</v>
      </c>
      <c r="B442" s="4">
        <v>727</v>
      </c>
      <c r="C442" s="16" t="str">
        <f t="shared" si="8"/>
        <v>(4,727),</v>
      </c>
    </row>
    <row r="443" spans="1:3" ht="20.100000000000001" customHeight="1" x14ac:dyDescent="0.25">
      <c r="A443" s="4">
        <v>4</v>
      </c>
      <c r="B443" s="4">
        <v>728</v>
      </c>
      <c r="C443" s="16" t="str">
        <f t="shared" si="8"/>
        <v>(4,728),</v>
      </c>
    </row>
    <row r="444" spans="1:3" ht="20.100000000000001" customHeight="1" x14ac:dyDescent="0.25">
      <c r="A444" s="4">
        <v>4</v>
      </c>
      <c r="B444" s="4">
        <v>729</v>
      </c>
      <c r="C444" s="16" t="str">
        <f t="shared" si="8"/>
        <v>(4,729),</v>
      </c>
    </row>
    <row r="445" spans="1:3" ht="20.100000000000001" customHeight="1" x14ac:dyDescent="0.25">
      <c r="A445" s="4">
        <v>4</v>
      </c>
      <c r="B445" s="4">
        <v>730</v>
      </c>
      <c r="C445" s="16" t="str">
        <f t="shared" si="8"/>
        <v>(4,730),</v>
      </c>
    </row>
    <row r="446" spans="1:3" ht="20.100000000000001" customHeight="1" x14ac:dyDescent="0.25">
      <c r="A446" s="4">
        <v>4</v>
      </c>
      <c r="B446" s="4">
        <v>731</v>
      </c>
      <c r="C446" s="16" t="str">
        <f t="shared" si="8"/>
        <v>(4,731),</v>
      </c>
    </row>
    <row r="447" spans="1:3" ht="20.100000000000001" customHeight="1" x14ac:dyDescent="0.25">
      <c r="A447" s="4">
        <v>4</v>
      </c>
      <c r="B447" s="4">
        <v>732</v>
      </c>
      <c r="C447" s="16" t="str">
        <f t="shared" si="8"/>
        <v>(4,732),</v>
      </c>
    </row>
    <row r="448" spans="1:3" ht="20.100000000000001" customHeight="1" x14ac:dyDescent="0.25">
      <c r="A448" s="4">
        <v>4</v>
      </c>
      <c r="B448" s="4">
        <v>733</v>
      </c>
      <c r="C448" s="16" t="str">
        <f t="shared" si="8"/>
        <v>(4,733),</v>
      </c>
    </row>
    <row r="449" spans="1:3" ht="20.100000000000001" customHeight="1" x14ac:dyDescent="0.25">
      <c r="A449" s="4">
        <v>4</v>
      </c>
      <c r="B449" s="4">
        <v>734</v>
      </c>
      <c r="C449" s="16" t="str">
        <f t="shared" si="8"/>
        <v>(4,734),</v>
      </c>
    </row>
    <row r="450" spans="1:3" ht="20.100000000000001" customHeight="1" x14ac:dyDescent="0.25">
      <c r="A450" s="4">
        <v>4</v>
      </c>
      <c r="B450" s="4">
        <v>735</v>
      </c>
      <c r="C450" s="16" t="str">
        <f t="shared" si="8"/>
        <v>(4,735),</v>
      </c>
    </row>
    <row r="451" spans="1:3" ht="20.100000000000001" customHeight="1" x14ac:dyDescent="0.25">
      <c r="A451" s="4">
        <v>4</v>
      </c>
      <c r="B451" s="4">
        <v>736</v>
      </c>
      <c r="C451" s="16" t="str">
        <f t="shared" si="8"/>
        <v>(4,736),</v>
      </c>
    </row>
    <row r="452" spans="1:3" ht="20.100000000000001" customHeight="1" x14ac:dyDescent="0.25">
      <c r="A452" s="4">
        <v>4</v>
      </c>
      <c r="B452" s="4">
        <v>737</v>
      </c>
      <c r="C452" s="16" t="str">
        <f t="shared" si="8"/>
        <v>(4,737),</v>
      </c>
    </row>
    <row r="453" spans="1:3" ht="20.100000000000001" customHeight="1" x14ac:dyDescent="0.25">
      <c r="A453" s="4">
        <v>4</v>
      </c>
      <c r="B453" s="4">
        <v>738</v>
      </c>
      <c r="C453" s="16" t="str">
        <f t="shared" si="8"/>
        <v>(4,738),</v>
      </c>
    </row>
    <row r="454" spans="1:3" ht="20.100000000000001" customHeight="1" x14ac:dyDescent="0.25">
      <c r="A454" s="4">
        <v>4</v>
      </c>
      <c r="B454" s="4">
        <v>739</v>
      </c>
      <c r="C454" s="16" t="str">
        <f t="shared" si="8"/>
        <v>(4,739),</v>
      </c>
    </row>
    <row r="455" spans="1:3" ht="20.100000000000001" customHeight="1" x14ac:dyDescent="0.25">
      <c r="A455" s="4">
        <v>4</v>
      </c>
      <c r="B455" s="4">
        <v>740</v>
      </c>
      <c r="C455" s="16" t="str">
        <f t="shared" si="8"/>
        <v>(4,740),</v>
      </c>
    </row>
    <row r="456" spans="1:3" ht="20.100000000000001" customHeight="1" x14ac:dyDescent="0.25">
      <c r="A456" s="4">
        <v>4</v>
      </c>
      <c r="B456" s="4">
        <v>741</v>
      </c>
      <c r="C456" s="16" t="str">
        <f t="shared" si="8"/>
        <v>(4,741),</v>
      </c>
    </row>
    <row r="457" spans="1:3" ht="20.100000000000001" customHeight="1" x14ac:dyDescent="0.25">
      <c r="A457" s="4">
        <v>4</v>
      </c>
      <c r="B457" s="4">
        <v>742</v>
      </c>
      <c r="C457" s="16" t="str">
        <f t="shared" si="8"/>
        <v>(4,742),</v>
      </c>
    </row>
    <row r="458" spans="1:3" ht="20.100000000000001" customHeight="1" x14ac:dyDescent="0.25">
      <c r="A458" s="4">
        <v>4</v>
      </c>
      <c r="B458" s="4">
        <v>743</v>
      </c>
      <c r="C458" s="16" t="str">
        <f t="shared" si="8"/>
        <v>(4,743),</v>
      </c>
    </row>
    <row r="459" spans="1:3" ht="20.100000000000001" customHeight="1" x14ac:dyDescent="0.25">
      <c r="A459" s="4">
        <v>4</v>
      </c>
      <c r="B459" s="4">
        <v>744</v>
      </c>
      <c r="C459" s="16" t="str">
        <f t="shared" si="8"/>
        <v>(4,744),</v>
      </c>
    </row>
    <row r="460" spans="1:3" ht="20.100000000000001" customHeight="1" x14ac:dyDescent="0.25">
      <c r="A460" s="4">
        <v>11</v>
      </c>
      <c r="B460" s="4">
        <v>745</v>
      </c>
      <c r="C460" s="16" t="str">
        <f t="shared" si="8"/>
        <v>(11,745),</v>
      </c>
    </row>
    <row r="461" spans="1:3" ht="20.100000000000001" customHeight="1" x14ac:dyDescent="0.25">
      <c r="A461" s="4">
        <v>11</v>
      </c>
      <c r="B461" s="4">
        <v>746</v>
      </c>
      <c r="C461" s="16" t="str">
        <f t="shared" si="8"/>
        <v>(11,746),</v>
      </c>
    </row>
    <row r="462" spans="1:3" ht="20.100000000000001" customHeight="1" x14ac:dyDescent="0.25">
      <c r="A462" s="4">
        <v>11</v>
      </c>
      <c r="B462" s="4">
        <v>747</v>
      </c>
      <c r="C462" s="16" t="str">
        <f t="shared" si="8"/>
        <v>(11,747),</v>
      </c>
    </row>
    <row r="463" spans="1:3" ht="20.100000000000001" customHeight="1" x14ac:dyDescent="0.25">
      <c r="A463" s="4">
        <v>11</v>
      </c>
      <c r="B463" s="4">
        <v>748</v>
      </c>
      <c r="C463" s="16" t="str">
        <f t="shared" si="8"/>
        <v>(11,748),</v>
      </c>
    </row>
    <row r="464" spans="1:3" ht="20.100000000000001" customHeight="1" x14ac:dyDescent="0.25">
      <c r="A464" s="4">
        <v>11</v>
      </c>
      <c r="B464" s="4">
        <v>749</v>
      </c>
      <c r="C464" s="16" t="str">
        <f t="shared" si="8"/>
        <v>(11,749),</v>
      </c>
    </row>
    <row r="465" spans="1:3" ht="20.100000000000001" customHeight="1" x14ac:dyDescent="0.25">
      <c r="A465" s="4">
        <v>11</v>
      </c>
      <c r="B465" s="4">
        <v>750</v>
      </c>
      <c r="C465" s="16" t="str">
        <f t="shared" si="8"/>
        <v>(11,750),</v>
      </c>
    </row>
    <row r="466" spans="1:3" ht="20.100000000000001" customHeight="1" x14ac:dyDescent="0.25">
      <c r="A466" s="4">
        <v>11</v>
      </c>
      <c r="B466" s="4">
        <v>751</v>
      </c>
      <c r="C466" s="16" t="str">
        <f t="shared" si="8"/>
        <v>(11,751),</v>
      </c>
    </row>
    <row r="467" spans="1:3" ht="20.100000000000001" customHeight="1" x14ac:dyDescent="0.25">
      <c r="A467" s="4">
        <v>11</v>
      </c>
      <c r="B467" s="4">
        <v>752</v>
      </c>
      <c r="C467" s="16" t="str">
        <f t="shared" si="8"/>
        <v>(11,752),</v>
      </c>
    </row>
    <row r="468" spans="1:3" ht="20.100000000000001" customHeight="1" x14ac:dyDescent="0.25">
      <c r="A468" s="4">
        <v>11</v>
      </c>
      <c r="B468" s="4">
        <v>753</v>
      </c>
      <c r="C468" s="16" t="str">
        <f t="shared" si="8"/>
        <v>(11,753),</v>
      </c>
    </row>
    <row r="469" spans="1:3" ht="20.100000000000001" customHeight="1" x14ac:dyDescent="0.25">
      <c r="A469" s="4">
        <v>11</v>
      </c>
      <c r="B469" s="4">
        <v>754</v>
      </c>
      <c r="C469" s="16" t="str">
        <f t="shared" si="8"/>
        <v>(11,754),</v>
      </c>
    </row>
    <row r="470" spans="1:3" ht="20.100000000000001" customHeight="1" x14ac:dyDescent="0.25">
      <c r="A470" s="4">
        <v>11</v>
      </c>
      <c r="B470" s="4">
        <v>755</v>
      </c>
      <c r="C470" s="16" t="str">
        <f t="shared" si="8"/>
        <v>(11,755),</v>
      </c>
    </row>
    <row r="471" spans="1:3" ht="20.100000000000001" customHeight="1" x14ac:dyDescent="0.25">
      <c r="A471" s="4">
        <v>11</v>
      </c>
      <c r="B471" s="4">
        <v>756</v>
      </c>
      <c r="C471" s="16" t="str">
        <f t="shared" ref="C471:C474" si="9">CONCATENATE("(",A471,",",B471,"),")</f>
        <v>(11,756),</v>
      </c>
    </row>
    <row r="472" spans="1:3" ht="20.100000000000001" customHeight="1" x14ac:dyDescent="0.25">
      <c r="A472" s="4">
        <v>11</v>
      </c>
      <c r="B472" s="4">
        <v>757</v>
      </c>
      <c r="C472" s="16" t="str">
        <f t="shared" si="9"/>
        <v>(11,757),</v>
      </c>
    </row>
    <row r="473" spans="1:3" ht="20.100000000000001" customHeight="1" x14ac:dyDescent="0.25">
      <c r="A473" s="4">
        <v>11</v>
      </c>
      <c r="B473" s="4">
        <v>758</v>
      </c>
      <c r="C473" s="16" t="str">
        <f t="shared" si="9"/>
        <v>(11,758),</v>
      </c>
    </row>
    <row r="474" spans="1:3" ht="20.100000000000001" customHeight="1" x14ac:dyDescent="0.25">
      <c r="A474" s="4">
        <v>11</v>
      </c>
      <c r="B474" s="4">
        <v>759</v>
      </c>
      <c r="C474" s="16" t="str">
        <f t="shared" si="9"/>
        <v>(11,759),</v>
      </c>
    </row>
  </sheetData>
  <autoFilter ref="A2:B62"/>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1:F474"/>
  <sheetViews>
    <sheetView topLeftCell="A446" workbookViewId="0">
      <selection activeCell="B3" sqref="B3:B474"/>
    </sheetView>
  </sheetViews>
  <sheetFormatPr baseColWidth="10" defaultColWidth="10.85546875" defaultRowHeight="15.75" x14ac:dyDescent="0.25"/>
  <cols>
    <col min="1" max="1" width="4.42578125" style="2" customWidth="1"/>
    <col min="2" max="2" width="35.7109375" style="2" customWidth="1"/>
    <col min="3" max="3" width="50.7109375" style="2" customWidth="1"/>
    <col min="4" max="4" width="25.7109375" style="2" customWidth="1"/>
    <col min="5" max="5" width="10.7109375" style="2" customWidth="1"/>
    <col min="6" max="6" width="131.140625" style="2" bestFit="1" customWidth="1"/>
    <col min="7" max="7" width="25" style="2" bestFit="1" customWidth="1"/>
    <col min="8" max="8" width="4.42578125" style="2" customWidth="1"/>
    <col min="9" max="9" width="66.140625" style="2" bestFit="1" customWidth="1"/>
    <col min="10" max="10" width="18.5703125" style="2" bestFit="1" customWidth="1"/>
    <col min="11" max="11" width="5.5703125" style="2" customWidth="1"/>
    <col min="12" max="16384" width="10.85546875" style="2"/>
  </cols>
  <sheetData>
    <row r="1" spans="1:6" ht="20.100000000000001" customHeight="1" x14ac:dyDescent="0.25">
      <c r="A1" s="1" t="s">
        <v>37</v>
      </c>
      <c r="B1" s="1" t="s">
        <v>4572</v>
      </c>
      <c r="C1" s="1" t="s">
        <v>5263</v>
      </c>
      <c r="D1" s="1" t="s">
        <v>5783</v>
      </c>
      <c r="E1" s="1" t="s">
        <v>5784</v>
      </c>
      <c r="F1" s="1" t="s">
        <v>5597</v>
      </c>
    </row>
    <row r="2" spans="1:6" ht="20.100000000000001" customHeight="1" x14ac:dyDescent="0.25">
      <c r="A2" s="1" t="s">
        <v>44</v>
      </c>
      <c r="B2" s="1" t="s">
        <v>41</v>
      </c>
      <c r="C2" s="1" t="s">
        <v>6092</v>
      </c>
      <c r="D2" s="1" t="s">
        <v>43</v>
      </c>
      <c r="E2" s="1" t="s">
        <v>53</v>
      </c>
      <c r="F2" s="1" t="s">
        <v>6093</v>
      </c>
    </row>
    <row r="3" spans="1:6" ht="20.100000000000001" customHeight="1" x14ac:dyDescent="0.25">
      <c r="A3" s="3">
        <v>1</v>
      </c>
      <c r="B3" s="4" t="str">
        <f>CONCATENATE(D3,":",E3)</f>
        <v>PARAMETER:MANAGE</v>
      </c>
      <c r="C3" s="4" t="str">
        <f t="shared" ref="C3:C34" si="0">CONCATENATE(LOWER(D3)," management")</f>
        <v>parameter management</v>
      </c>
      <c r="D3" s="4" t="s">
        <v>6368</v>
      </c>
      <c r="E3" s="5" t="s">
        <v>6418</v>
      </c>
      <c r="F3" s="16" t="str">
        <f t="shared" ref="F3:F66" si="1">CONCATENATE("(",A3,",'",B3,"','",C3,"','",D3,"','",E3,"'),")</f>
        <v>(1,'PARAMETER:MANAGE','parameter management','PARAMETER','MANAGE'),</v>
      </c>
    </row>
    <row r="4" spans="1:6" ht="20.100000000000001" customHeight="1" x14ac:dyDescent="0.25">
      <c r="A4" s="3">
        <v>2</v>
      </c>
      <c r="B4" s="4" t="str">
        <f t="shared" ref="B4:B67" si="2">CONCATENATE(D4,":",E4)</f>
        <v>FILE:MANAGE</v>
      </c>
      <c r="C4" s="4" t="str">
        <f t="shared" si="0"/>
        <v>file management</v>
      </c>
      <c r="D4" s="4" t="s">
        <v>6369</v>
      </c>
      <c r="E4" s="5" t="s">
        <v>6418</v>
      </c>
      <c r="F4" s="16" t="str">
        <f t="shared" si="1"/>
        <v>(2,'FILE:MANAGE','file management','FILE','MANAGE'),</v>
      </c>
    </row>
    <row r="5" spans="1:6" ht="20.100000000000001" customHeight="1" x14ac:dyDescent="0.25">
      <c r="A5" s="3">
        <v>3</v>
      </c>
      <c r="B5" s="4" t="str">
        <f t="shared" si="2"/>
        <v>GROUP:MANAGE</v>
      </c>
      <c r="C5" s="4" t="str">
        <f t="shared" si="0"/>
        <v>group management</v>
      </c>
      <c r="D5" s="4" t="s">
        <v>5745</v>
      </c>
      <c r="E5" s="5" t="s">
        <v>6418</v>
      </c>
      <c r="F5" s="16" t="str">
        <f t="shared" si="1"/>
        <v>(3,'GROUP:MANAGE','group management','GROUP','MANAGE'),</v>
      </c>
    </row>
    <row r="6" spans="1:6" ht="20.100000000000001" customHeight="1" x14ac:dyDescent="0.25">
      <c r="A6" s="3">
        <v>4</v>
      </c>
      <c r="B6" s="4" t="str">
        <f t="shared" si="2"/>
        <v>USER:MANAGE</v>
      </c>
      <c r="C6" s="4" t="str">
        <f t="shared" si="0"/>
        <v>user management</v>
      </c>
      <c r="D6" s="4" t="s">
        <v>5746</v>
      </c>
      <c r="E6" s="5" t="s">
        <v>6418</v>
      </c>
      <c r="F6" s="16" t="str">
        <f t="shared" si="1"/>
        <v>(4,'USER:MANAGE','user management','USER','MANAGE'),</v>
      </c>
    </row>
    <row r="7" spans="1:6" ht="20.100000000000001" customHeight="1" x14ac:dyDescent="0.25">
      <c r="A7" s="3">
        <v>5</v>
      </c>
      <c r="B7" s="4" t="str">
        <f t="shared" si="2"/>
        <v>ROLE:MANAGE</v>
      </c>
      <c r="C7" s="4" t="str">
        <f t="shared" si="0"/>
        <v>role management</v>
      </c>
      <c r="D7" s="4" t="s">
        <v>5747</v>
      </c>
      <c r="E7" s="5" t="s">
        <v>6418</v>
      </c>
      <c r="F7" s="16" t="str">
        <f t="shared" si="1"/>
        <v>(5,'ROLE:MANAGE','role management','ROLE','MANAGE'),</v>
      </c>
    </row>
    <row r="8" spans="1:6" ht="20.100000000000001" customHeight="1" x14ac:dyDescent="0.25">
      <c r="A8" s="3">
        <v>6</v>
      </c>
      <c r="B8" s="4" t="str">
        <f t="shared" si="2"/>
        <v>PERMISSION:MANAGE</v>
      </c>
      <c r="C8" s="4" t="str">
        <f t="shared" si="0"/>
        <v>permission management</v>
      </c>
      <c r="D8" s="4" t="s">
        <v>5748</v>
      </c>
      <c r="E8" s="5" t="s">
        <v>6418</v>
      </c>
      <c r="F8" s="16" t="str">
        <f t="shared" si="1"/>
        <v>(6,'PERMISSION:MANAGE','permission management','PERMISSION','MANAGE'),</v>
      </c>
    </row>
    <row r="9" spans="1:6" ht="20.100000000000001" customHeight="1" x14ac:dyDescent="0.25">
      <c r="A9" s="3">
        <v>7</v>
      </c>
      <c r="B9" s="4" t="str">
        <f t="shared" si="2"/>
        <v>AUTHORITY:MANAGE</v>
      </c>
      <c r="C9" s="4" t="str">
        <f t="shared" si="0"/>
        <v>authority management</v>
      </c>
      <c r="D9" s="4" t="s">
        <v>5749</v>
      </c>
      <c r="E9" s="5" t="s">
        <v>6418</v>
      </c>
      <c r="F9" s="16" t="str">
        <f t="shared" si="1"/>
        <v>(7,'AUTHORITY:MANAGE','authority management','AUTHORITY','MANAGE'),</v>
      </c>
    </row>
    <row r="10" spans="1:6" ht="20.100000000000001" customHeight="1" x14ac:dyDescent="0.25">
      <c r="A10" s="3">
        <v>8</v>
      </c>
      <c r="B10" s="4" t="str">
        <f t="shared" si="2"/>
        <v>AUDIT:MANAGE</v>
      </c>
      <c r="C10" s="4" t="str">
        <f t="shared" si="0"/>
        <v>audit management</v>
      </c>
      <c r="D10" s="4" t="s">
        <v>5750</v>
      </c>
      <c r="E10" s="5" t="s">
        <v>6418</v>
      </c>
      <c r="F10" s="16" t="str">
        <f t="shared" si="1"/>
        <v>(8,'AUDIT:MANAGE','audit management','AUDIT','MANAGE'),</v>
      </c>
    </row>
    <row r="11" spans="1:6" ht="20.100000000000001" customHeight="1" x14ac:dyDescent="0.25">
      <c r="A11" s="3">
        <v>9</v>
      </c>
      <c r="B11" s="4" t="str">
        <f t="shared" si="2"/>
        <v>STRUCTURE_TYPE:MANAGE</v>
      </c>
      <c r="C11" s="4" t="str">
        <f t="shared" si="0"/>
        <v>structure_type management</v>
      </c>
      <c r="D11" s="4" t="s">
        <v>5755</v>
      </c>
      <c r="E11" s="5" t="s">
        <v>6418</v>
      </c>
      <c r="F11" s="16" t="str">
        <f t="shared" si="1"/>
        <v>(9,'STRUCTURE_TYPE:MANAGE','structure_type management','STRUCTURE_TYPE','MANAGE'),</v>
      </c>
    </row>
    <row r="12" spans="1:6" ht="20.100000000000001" customHeight="1" x14ac:dyDescent="0.25">
      <c r="A12" s="3">
        <v>10</v>
      </c>
      <c r="B12" s="4" t="str">
        <f t="shared" si="2"/>
        <v>ZONE:MANAGE</v>
      </c>
      <c r="C12" s="4" t="str">
        <f t="shared" si="0"/>
        <v>zone management</v>
      </c>
      <c r="D12" s="4" t="s">
        <v>5767</v>
      </c>
      <c r="E12" s="5" t="s">
        <v>6418</v>
      </c>
      <c r="F12" s="16" t="str">
        <f t="shared" si="1"/>
        <v>(10,'ZONE:MANAGE','zone management','ZONE','MANAGE'),</v>
      </c>
    </row>
    <row r="13" spans="1:6" ht="20.100000000000001" customHeight="1" x14ac:dyDescent="0.25">
      <c r="A13" s="3">
        <v>11</v>
      </c>
      <c r="B13" s="4" t="str">
        <f t="shared" si="2"/>
        <v>COUNTRY:MANAGE</v>
      </c>
      <c r="C13" s="4" t="str">
        <f t="shared" si="0"/>
        <v>country management</v>
      </c>
      <c r="D13" s="4" t="s">
        <v>5752</v>
      </c>
      <c r="E13" s="5" t="s">
        <v>6418</v>
      </c>
      <c r="F13" s="16" t="str">
        <f t="shared" si="1"/>
        <v>(11,'COUNTRY:MANAGE','country management','COUNTRY','MANAGE'),</v>
      </c>
    </row>
    <row r="14" spans="1:6" ht="20.100000000000001" customHeight="1" x14ac:dyDescent="0.25">
      <c r="A14" s="3">
        <v>12</v>
      </c>
      <c r="B14" s="4" t="str">
        <f t="shared" si="2"/>
        <v>STATE:MANAGE</v>
      </c>
      <c r="C14" s="4" t="str">
        <f t="shared" si="0"/>
        <v>state management</v>
      </c>
      <c r="D14" s="4" t="s">
        <v>5753</v>
      </c>
      <c r="E14" s="5" t="s">
        <v>6418</v>
      </c>
      <c r="F14" s="16" t="str">
        <f t="shared" si="1"/>
        <v>(12,'STATE:MANAGE','state management','STATE','MANAGE'),</v>
      </c>
    </row>
    <row r="15" spans="1:6" ht="20.100000000000001" customHeight="1" x14ac:dyDescent="0.25">
      <c r="A15" s="3">
        <v>13</v>
      </c>
      <c r="B15" s="4" t="str">
        <f t="shared" si="2"/>
        <v>DISTRICT:MANAGE</v>
      </c>
      <c r="C15" s="4" t="str">
        <f t="shared" si="0"/>
        <v>district management</v>
      </c>
      <c r="D15" s="4" t="s">
        <v>5787</v>
      </c>
      <c r="E15" s="5" t="s">
        <v>6418</v>
      </c>
      <c r="F15" s="16" t="str">
        <f t="shared" si="1"/>
        <v>(13,'DISTRICT:MANAGE','district management','DISTRICT','MANAGE'),</v>
      </c>
    </row>
    <row r="16" spans="1:6" ht="20.100000000000001" customHeight="1" x14ac:dyDescent="0.25">
      <c r="A16" s="3">
        <v>14</v>
      </c>
      <c r="B16" s="4" t="str">
        <f t="shared" si="2"/>
        <v>LOCALITY:MANAGE</v>
      </c>
      <c r="C16" s="4" t="str">
        <f t="shared" si="0"/>
        <v>locality management</v>
      </c>
      <c r="D16" s="4" t="s">
        <v>5754</v>
      </c>
      <c r="E16" s="5" t="s">
        <v>6418</v>
      </c>
      <c r="F16" s="16" t="str">
        <f t="shared" si="1"/>
        <v>(14,'LOCALITY:MANAGE','locality management','LOCALITY','MANAGE'),</v>
      </c>
    </row>
    <row r="17" spans="1:6" ht="20.100000000000001" customHeight="1" x14ac:dyDescent="0.25">
      <c r="A17" s="3">
        <v>15</v>
      </c>
      <c r="B17" s="4" t="str">
        <f t="shared" si="2"/>
        <v>LOCATION:MANAGE</v>
      </c>
      <c r="C17" s="4" t="str">
        <f t="shared" si="0"/>
        <v>location management</v>
      </c>
      <c r="D17" s="4" t="s">
        <v>5768</v>
      </c>
      <c r="E17" s="5" t="s">
        <v>6418</v>
      </c>
      <c r="F17" s="16" t="str">
        <f t="shared" si="1"/>
        <v>(15,'LOCATION:MANAGE','location management','LOCATION','MANAGE'),</v>
      </c>
    </row>
    <row r="18" spans="1:6" ht="20.100000000000001" customHeight="1" x14ac:dyDescent="0.25">
      <c r="A18" s="3">
        <v>16</v>
      </c>
      <c r="B18" s="4" t="str">
        <f t="shared" si="2"/>
        <v>COORDINATE:MANAGE</v>
      </c>
      <c r="C18" s="4" t="str">
        <f t="shared" si="0"/>
        <v>coordinate management</v>
      </c>
      <c r="D18" s="4" t="s">
        <v>6370</v>
      </c>
      <c r="E18" s="5" t="s">
        <v>6418</v>
      </c>
      <c r="F18" s="16" t="str">
        <f t="shared" si="1"/>
        <v>(16,'COORDINATE:MANAGE','coordinate management','COORDINATE','MANAGE'),</v>
      </c>
    </row>
    <row r="19" spans="1:6" ht="20.100000000000001" customHeight="1" x14ac:dyDescent="0.25">
      <c r="A19" s="3">
        <v>17</v>
      </c>
      <c r="B19" s="4" t="str">
        <f t="shared" si="2"/>
        <v>STRUCTURE:MANAGE</v>
      </c>
      <c r="C19" s="4" t="str">
        <f t="shared" si="0"/>
        <v>structure management</v>
      </c>
      <c r="D19" s="4" t="s">
        <v>5756</v>
      </c>
      <c r="E19" s="5" t="s">
        <v>6418</v>
      </c>
      <c r="F19" s="16" t="str">
        <f t="shared" si="1"/>
        <v>(17,'STRUCTURE:MANAGE','structure management','STRUCTURE','MANAGE'),</v>
      </c>
    </row>
    <row r="20" spans="1:6" ht="20.100000000000001" customHeight="1" x14ac:dyDescent="0.25">
      <c r="A20" s="3">
        <v>18</v>
      </c>
      <c r="B20" s="4" t="str">
        <f t="shared" si="2"/>
        <v>JOB:MANAGE</v>
      </c>
      <c r="C20" s="4" t="str">
        <f t="shared" si="0"/>
        <v>job management</v>
      </c>
      <c r="D20" s="4" t="s">
        <v>5757</v>
      </c>
      <c r="E20" s="5" t="s">
        <v>6418</v>
      </c>
      <c r="F20" s="16" t="str">
        <f t="shared" si="1"/>
        <v>(18,'JOB:MANAGE','job management','JOB','MANAGE'),</v>
      </c>
    </row>
    <row r="21" spans="1:6" ht="20.100000000000001" customHeight="1" x14ac:dyDescent="0.25">
      <c r="A21" s="3">
        <v>19</v>
      </c>
      <c r="B21" s="4" t="str">
        <f t="shared" si="2"/>
        <v>PERSON:MANAGE</v>
      </c>
      <c r="C21" s="4" t="str">
        <f t="shared" si="0"/>
        <v>person management</v>
      </c>
      <c r="D21" s="4" t="s">
        <v>5758</v>
      </c>
      <c r="E21" s="5" t="s">
        <v>6418</v>
      </c>
      <c r="F21" s="16" t="str">
        <f t="shared" si="1"/>
        <v>(19,'PERSON:MANAGE','person management','PERSON','MANAGE'),</v>
      </c>
    </row>
    <row r="22" spans="1:6" ht="20.100000000000001" customHeight="1" x14ac:dyDescent="0.25">
      <c r="A22" s="3">
        <v>20</v>
      </c>
      <c r="B22" s="4" t="str">
        <f t="shared" si="2"/>
        <v>EMPLOYEE:MANAGE</v>
      </c>
      <c r="C22" s="4" t="str">
        <f t="shared" si="0"/>
        <v>employee management</v>
      </c>
      <c r="D22" s="4" t="s">
        <v>5759</v>
      </c>
      <c r="E22" s="5" t="s">
        <v>6418</v>
      </c>
      <c r="F22" s="16" t="str">
        <f t="shared" si="1"/>
        <v>(20,'EMPLOYEE:MANAGE','employee management','EMPLOYEE','MANAGE'),</v>
      </c>
    </row>
    <row r="23" spans="1:6" ht="20.100000000000001" customHeight="1" x14ac:dyDescent="0.25">
      <c r="A23" s="3">
        <v>21</v>
      </c>
      <c r="B23" s="4" t="str">
        <f t="shared" si="2"/>
        <v>COMPANY_TYPE:MANAGE</v>
      </c>
      <c r="C23" s="4" t="str">
        <f t="shared" si="0"/>
        <v>company_type management</v>
      </c>
      <c r="D23" s="4" t="s">
        <v>5760</v>
      </c>
      <c r="E23" s="5" t="s">
        <v>6418</v>
      </c>
      <c r="F23" s="16" t="str">
        <f t="shared" si="1"/>
        <v>(21,'COMPANY_TYPE:MANAGE','company_type management','COMPANY_TYPE','MANAGE'),</v>
      </c>
    </row>
    <row r="24" spans="1:6" ht="20.100000000000001" customHeight="1" x14ac:dyDescent="0.25">
      <c r="A24" s="3">
        <v>22</v>
      </c>
      <c r="B24" s="4" t="str">
        <f t="shared" si="2"/>
        <v>PARTNER_TYPE:MANAGE</v>
      </c>
      <c r="C24" s="4" t="str">
        <f t="shared" si="0"/>
        <v>partner_type management</v>
      </c>
      <c r="D24" s="4" t="s">
        <v>5761</v>
      </c>
      <c r="E24" s="5" t="s">
        <v>6418</v>
      </c>
      <c r="F24" s="16" t="str">
        <f t="shared" si="1"/>
        <v>(22,'PARTNER_TYPE:MANAGE','partner_type management','PARTNER_TYPE','MANAGE'),</v>
      </c>
    </row>
    <row r="25" spans="1:6" ht="20.100000000000001" customHeight="1" x14ac:dyDescent="0.25">
      <c r="A25" s="3">
        <v>23</v>
      </c>
      <c r="B25" s="4" t="str">
        <f t="shared" si="2"/>
        <v>VENDOR_TYPE:MANAGE</v>
      </c>
      <c r="C25" s="4" t="str">
        <f t="shared" si="0"/>
        <v>vendor_type management</v>
      </c>
      <c r="D25" s="4" t="s">
        <v>5762</v>
      </c>
      <c r="E25" s="5" t="s">
        <v>6418</v>
      </c>
      <c r="F25" s="16" t="str">
        <f t="shared" si="1"/>
        <v>(23,'VENDOR_TYPE:MANAGE','vendor_type management','VENDOR_TYPE','MANAGE'),</v>
      </c>
    </row>
    <row r="26" spans="1:6" ht="20.100000000000001" customHeight="1" x14ac:dyDescent="0.25">
      <c r="A26" s="3">
        <v>24</v>
      </c>
      <c r="B26" s="4" t="str">
        <f t="shared" si="2"/>
        <v>FACILITY_TYPE:MANAGE</v>
      </c>
      <c r="C26" s="4" t="str">
        <f t="shared" si="0"/>
        <v>facility_type management</v>
      </c>
      <c r="D26" s="4" t="s">
        <v>5763</v>
      </c>
      <c r="E26" s="5" t="s">
        <v>6418</v>
      </c>
      <c r="F26" s="16" t="str">
        <f t="shared" si="1"/>
        <v>(24,'FACILITY_TYPE:MANAGE','facility_type management','FACILITY_TYPE','MANAGE'),</v>
      </c>
    </row>
    <row r="27" spans="1:6" ht="20.100000000000001" customHeight="1" x14ac:dyDescent="0.25">
      <c r="A27" s="3">
        <v>25</v>
      </c>
      <c r="B27" s="4" t="str">
        <f t="shared" si="2"/>
        <v>STATION_TYPE:MANAGE</v>
      </c>
      <c r="C27" s="4" t="str">
        <f t="shared" si="0"/>
        <v>station_type management</v>
      </c>
      <c r="D27" s="4" t="s">
        <v>5764</v>
      </c>
      <c r="E27" s="5" t="s">
        <v>6418</v>
      </c>
      <c r="F27" s="16" t="str">
        <f t="shared" si="1"/>
        <v>(25,'STATION_TYPE:MANAGE','station_type management','STATION_TYPE','MANAGE'),</v>
      </c>
    </row>
    <row r="28" spans="1:6" ht="20.100000000000001" customHeight="1" x14ac:dyDescent="0.25">
      <c r="A28" s="3">
        <v>26</v>
      </c>
      <c r="B28" s="4" t="str">
        <f t="shared" si="2"/>
        <v>TERMINAL_TYPE:MANAGE</v>
      </c>
      <c r="C28" s="4" t="str">
        <f t="shared" si="0"/>
        <v>terminal_type management</v>
      </c>
      <c r="D28" s="4" t="s">
        <v>5765</v>
      </c>
      <c r="E28" s="5" t="s">
        <v>6418</v>
      </c>
      <c r="F28" s="16" t="str">
        <f t="shared" si="1"/>
        <v>(26,'TERMINAL_TYPE:MANAGE','terminal_type management','TERMINAL_TYPE','MANAGE'),</v>
      </c>
    </row>
    <row r="29" spans="1:6" ht="20.100000000000001" customHeight="1" x14ac:dyDescent="0.25">
      <c r="A29" s="3">
        <v>27</v>
      </c>
      <c r="B29" s="4" t="str">
        <f t="shared" si="2"/>
        <v>PROCESSING_PLANT_TYPE:MANAGE</v>
      </c>
      <c r="C29" s="4" t="str">
        <f t="shared" si="0"/>
        <v>processing_plant_type management</v>
      </c>
      <c r="D29" s="4" t="s">
        <v>5788</v>
      </c>
      <c r="E29" s="5" t="s">
        <v>6418</v>
      </c>
      <c r="F29" s="16" t="str">
        <f t="shared" si="1"/>
        <v>(27,'PROCESSING_PLANT_TYPE:MANAGE','processing_plant_type management','PROCESSING_PLANT_TYPE','MANAGE'),</v>
      </c>
    </row>
    <row r="30" spans="1:6" ht="20.100000000000001" customHeight="1" x14ac:dyDescent="0.25">
      <c r="A30" s="3">
        <v>28</v>
      </c>
      <c r="B30" s="4" t="str">
        <f t="shared" si="2"/>
        <v>PRODUCTION_FIELD_TYPE:MANAGE</v>
      </c>
      <c r="C30" s="4" t="str">
        <f t="shared" si="0"/>
        <v>production_field_type management</v>
      </c>
      <c r="D30" s="4" t="s">
        <v>5789</v>
      </c>
      <c r="E30" s="5" t="s">
        <v>6418</v>
      </c>
      <c r="F30" s="16" t="str">
        <f t="shared" si="1"/>
        <v>(28,'PRODUCTION_FIELD_TYPE:MANAGE','production_field_type management','PRODUCTION_FIELD_TYPE','MANAGE'),</v>
      </c>
    </row>
    <row r="31" spans="1:6" ht="20.100000000000001" customHeight="1" x14ac:dyDescent="0.25">
      <c r="A31" s="3">
        <v>29</v>
      </c>
      <c r="B31" s="4" t="str">
        <f t="shared" si="2"/>
        <v>EQUIPMENT_TYPE:MANAGE</v>
      </c>
      <c r="C31" s="4" t="str">
        <f t="shared" si="0"/>
        <v>equipment_type management</v>
      </c>
      <c r="D31" s="4" t="s">
        <v>5766</v>
      </c>
      <c r="E31" s="5" t="s">
        <v>6418</v>
      </c>
      <c r="F31" s="16" t="str">
        <f t="shared" si="1"/>
        <v>(29,'EQUIPMENT_TYPE:MANAGE','equipment_type management','EQUIPMENT_TYPE','MANAGE'),</v>
      </c>
    </row>
    <row r="32" spans="1:6" ht="20.100000000000001" customHeight="1" x14ac:dyDescent="0.25">
      <c r="A32" s="3">
        <v>30</v>
      </c>
      <c r="B32" s="4" t="str">
        <f t="shared" si="2"/>
        <v>PRODUCT:MANAGE</v>
      </c>
      <c r="C32" s="4" t="str">
        <f t="shared" si="0"/>
        <v>product management</v>
      </c>
      <c r="D32" s="4" t="s">
        <v>5769</v>
      </c>
      <c r="E32" s="5" t="s">
        <v>6418</v>
      </c>
      <c r="F32" s="16" t="str">
        <f t="shared" si="1"/>
        <v>(30,'PRODUCT:MANAGE','product management','PRODUCT','MANAGE'),</v>
      </c>
    </row>
    <row r="33" spans="1:6" ht="20.100000000000001" customHeight="1" x14ac:dyDescent="0.25">
      <c r="A33" s="3">
        <v>31</v>
      </c>
      <c r="B33" s="4" t="str">
        <f t="shared" si="2"/>
        <v>OPERATIONAL_STATUS:MANAGE</v>
      </c>
      <c r="C33" s="4" t="str">
        <f t="shared" si="0"/>
        <v>operational_status management</v>
      </c>
      <c r="D33" s="4" t="s">
        <v>5770</v>
      </c>
      <c r="E33" s="5" t="s">
        <v>6418</v>
      </c>
      <c r="F33" s="16" t="str">
        <f t="shared" si="1"/>
        <v>(31,'OPERATIONAL_STATUS:MANAGE','operational_status management','OPERATIONAL_STATUS','MANAGE'),</v>
      </c>
    </row>
    <row r="34" spans="1:6" ht="20.100000000000001" customHeight="1" x14ac:dyDescent="0.25">
      <c r="A34" s="3">
        <v>32</v>
      </c>
      <c r="B34" s="4" t="str">
        <f t="shared" si="2"/>
        <v>ALLOY:MANAGE</v>
      </c>
      <c r="C34" s="4" t="str">
        <f t="shared" si="0"/>
        <v>alloy management</v>
      </c>
      <c r="D34" s="4" t="s">
        <v>5771</v>
      </c>
      <c r="E34" s="5" t="s">
        <v>6418</v>
      </c>
      <c r="F34" s="16" t="str">
        <f t="shared" si="1"/>
        <v>(32,'ALLOY:MANAGE','alloy management','ALLOY','MANAGE'),</v>
      </c>
    </row>
    <row r="35" spans="1:6" ht="20.100000000000001" customHeight="1" x14ac:dyDescent="0.25">
      <c r="A35" s="3">
        <v>33</v>
      </c>
      <c r="B35" s="4" t="str">
        <f t="shared" si="2"/>
        <v>PARTNER:MANAGE</v>
      </c>
      <c r="C35" s="4" t="str">
        <f t="shared" ref="C35:C61" si="3">CONCATENATE(LOWER(D35)," management")</f>
        <v>partner management</v>
      </c>
      <c r="D35" s="4" t="s">
        <v>5772</v>
      </c>
      <c r="E35" s="5" t="s">
        <v>6418</v>
      </c>
      <c r="F35" s="16" t="str">
        <f t="shared" si="1"/>
        <v>(33,'PARTNER:MANAGE','partner management','PARTNER','MANAGE'),</v>
      </c>
    </row>
    <row r="36" spans="1:6" ht="20.100000000000001" customHeight="1" x14ac:dyDescent="0.25">
      <c r="A36" s="3">
        <v>34</v>
      </c>
      <c r="B36" s="4" t="str">
        <f t="shared" si="2"/>
        <v>VENDOR:MANAGE</v>
      </c>
      <c r="C36" s="4" t="str">
        <f t="shared" si="3"/>
        <v>vendor management</v>
      </c>
      <c r="D36" s="4" t="s">
        <v>5773</v>
      </c>
      <c r="E36" s="5" t="s">
        <v>6418</v>
      </c>
      <c r="F36" s="16" t="str">
        <f t="shared" si="1"/>
        <v>(34,'VENDOR:MANAGE','vendor management','VENDOR','MANAGE'),</v>
      </c>
    </row>
    <row r="37" spans="1:6" ht="20.100000000000001" customHeight="1" x14ac:dyDescent="0.25">
      <c r="A37" s="3">
        <v>35</v>
      </c>
      <c r="B37" s="4" t="str">
        <f t="shared" si="2"/>
        <v>INFRASTRUCTURE:MANAGE</v>
      </c>
      <c r="C37" s="4" t="str">
        <f t="shared" si="3"/>
        <v>infrastructure management</v>
      </c>
      <c r="D37" s="4" t="s">
        <v>5774</v>
      </c>
      <c r="E37" s="5" t="s">
        <v>6418</v>
      </c>
      <c r="F37" s="16" t="str">
        <f t="shared" si="1"/>
        <v>(35,'INFRASTRUCTURE:MANAGE','infrastructure management','INFRASTRUCTURE','MANAGE'),</v>
      </c>
    </row>
    <row r="38" spans="1:6" ht="20.100000000000001" customHeight="1" x14ac:dyDescent="0.25">
      <c r="A38" s="3">
        <v>36</v>
      </c>
      <c r="B38" s="4" t="str">
        <f t="shared" si="2"/>
        <v>FACILITY:MANAGE</v>
      </c>
      <c r="C38" s="4" t="str">
        <f t="shared" si="3"/>
        <v>facility management</v>
      </c>
      <c r="D38" s="4" t="s">
        <v>5775</v>
      </c>
      <c r="E38" s="5" t="s">
        <v>6418</v>
      </c>
      <c r="F38" s="16" t="str">
        <f t="shared" si="1"/>
        <v>(36,'FACILITY:MANAGE','facility management','FACILITY','MANAGE'),</v>
      </c>
    </row>
    <row r="39" spans="1:6" ht="20.100000000000001" customHeight="1" x14ac:dyDescent="0.25">
      <c r="A39" s="3">
        <v>37</v>
      </c>
      <c r="B39" s="4" t="str">
        <f t="shared" si="2"/>
        <v>PIPELINE_SYSTEM:MANAGE</v>
      </c>
      <c r="C39" s="4" t="str">
        <f t="shared" si="3"/>
        <v>pipeline_system management</v>
      </c>
      <c r="D39" s="4" t="s">
        <v>5776</v>
      </c>
      <c r="E39" s="5" t="s">
        <v>6418</v>
      </c>
      <c r="F39" s="16" t="str">
        <f t="shared" si="1"/>
        <v>(37,'PIPELINE_SYSTEM:MANAGE','pipeline_system management','PIPELINE_SYSTEM','MANAGE'),</v>
      </c>
    </row>
    <row r="40" spans="1:6" ht="20.100000000000001" customHeight="1" x14ac:dyDescent="0.25">
      <c r="A40" s="3">
        <v>38</v>
      </c>
      <c r="B40" s="4" t="str">
        <f t="shared" si="2"/>
        <v>PIPELINE:MANAGE</v>
      </c>
      <c r="C40" s="4" t="str">
        <f t="shared" si="3"/>
        <v>pipeline management</v>
      </c>
      <c r="D40" s="4" t="s">
        <v>5777</v>
      </c>
      <c r="E40" s="5" t="s">
        <v>6418</v>
      </c>
      <c r="F40" s="16" t="str">
        <f t="shared" si="1"/>
        <v>(38,'PIPELINE:MANAGE','pipeline management','PIPELINE','MANAGE'),</v>
      </c>
    </row>
    <row r="41" spans="1:6" ht="20.100000000000001" customHeight="1" x14ac:dyDescent="0.25">
      <c r="A41" s="3">
        <v>39</v>
      </c>
      <c r="B41" s="4" t="str">
        <f t="shared" si="2"/>
        <v>PIPELINE_SEGMENT:MANAGE</v>
      </c>
      <c r="C41" s="4" t="str">
        <f t="shared" si="3"/>
        <v>pipeline_segment management</v>
      </c>
      <c r="D41" s="4" t="s">
        <v>5778</v>
      </c>
      <c r="E41" s="5" t="s">
        <v>6418</v>
      </c>
      <c r="F41" s="16" t="str">
        <f t="shared" si="1"/>
        <v>(39,'PIPELINE_SEGMENT:MANAGE','pipeline_segment management','PIPELINE_SEGMENT','MANAGE'),</v>
      </c>
    </row>
    <row r="42" spans="1:6" ht="20.100000000000001" customHeight="1" x14ac:dyDescent="0.25">
      <c r="A42" s="3">
        <v>40</v>
      </c>
      <c r="B42" s="4" t="str">
        <f t="shared" si="2"/>
        <v>STATION:MANAGE</v>
      </c>
      <c r="C42" s="4" t="str">
        <f t="shared" si="3"/>
        <v>station management</v>
      </c>
      <c r="D42" s="4" t="s">
        <v>5779</v>
      </c>
      <c r="E42" s="5" t="s">
        <v>6418</v>
      </c>
      <c r="F42" s="16" t="str">
        <f t="shared" si="1"/>
        <v>(40,'STATION:MANAGE','station management','STATION','MANAGE'),</v>
      </c>
    </row>
    <row r="43" spans="1:6" ht="20.100000000000001" customHeight="1" x14ac:dyDescent="0.25">
      <c r="A43" s="3">
        <v>41</v>
      </c>
      <c r="B43" s="4" t="str">
        <f t="shared" si="2"/>
        <v>TERMINAL:MANAGE</v>
      </c>
      <c r="C43" s="4" t="str">
        <f t="shared" si="3"/>
        <v>terminal management</v>
      </c>
      <c r="D43" s="4" t="s">
        <v>5780</v>
      </c>
      <c r="E43" s="5" t="s">
        <v>6418</v>
      </c>
      <c r="F43" s="16" t="str">
        <f t="shared" si="1"/>
        <v>(41,'TERMINAL:MANAGE','terminal management','TERMINAL','MANAGE'),</v>
      </c>
    </row>
    <row r="44" spans="1:6" ht="20.100000000000001" customHeight="1" x14ac:dyDescent="0.25">
      <c r="A44" s="3">
        <v>42</v>
      </c>
      <c r="B44" s="4" t="str">
        <f t="shared" si="2"/>
        <v>PROCESSING_PLANT:MANAGE</v>
      </c>
      <c r="C44" s="4" t="str">
        <f t="shared" si="3"/>
        <v>processing_plant management</v>
      </c>
      <c r="D44" s="4" t="s">
        <v>5790</v>
      </c>
      <c r="E44" s="5" t="s">
        <v>6418</v>
      </c>
      <c r="F44" s="16" t="str">
        <f t="shared" si="1"/>
        <v>(42,'PROCESSING_PLANT:MANAGE','processing_plant management','PROCESSING_PLANT','MANAGE'),</v>
      </c>
    </row>
    <row r="45" spans="1:6" ht="20.100000000000001" customHeight="1" x14ac:dyDescent="0.25">
      <c r="A45" s="3">
        <v>43</v>
      </c>
      <c r="B45" s="4" t="str">
        <f t="shared" si="2"/>
        <v>PRODUCTION_FIELD:MANAGE</v>
      </c>
      <c r="C45" s="4" t="str">
        <f t="shared" si="3"/>
        <v>production_field management</v>
      </c>
      <c r="D45" s="4" t="s">
        <v>5791</v>
      </c>
      <c r="E45" s="5" t="s">
        <v>6418</v>
      </c>
      <c r="F45" s="16" t="str">
        <f t="shared" si="1"/>
        <v>(43,'PRODUCTION_FIELD:MANAGE','production_field management','PRODUCTION_FIELD','MANAGE'),</v>
      </c>
    </row>
    <row r="46" spans="1:6" ht="20.100000000000001" customHeight="1" x14ac:dyDescent="0.25">
      <c r="A46" s="3">
        <v>44</v>
      </c>
      <c r="B46" s="4" t="str">
        <f t="shared" si="2"/>
        <v>EQUIPMENT:MANAGE</v>
      </c>
      <c r="C46" s="4" t="str">
        <f t="shared" si="3"/>
        <v>equipment management</v>
      </c>
      <c r="D46" s="4" t="s">
        <v>5781</v>
      </c>
      <c r="E46" s="5" t="s">
        <v>6418</v>
      </c>
      <c r="F46" s="16" t="str">
        <f t="shared" si="1"/>
        <v>(44,'EQUIPMENT:MANAGE','equipment management','EQUIPMENT','MANAGE'),</v>
      </c>
    </row>
    <row r="47" spans="1:6" ht="20.100000000000001" customHeight="1" x14ac:dyDescent="0.25">
      <c r="A47" s="3">
        <v>45</v>
      </c>
      <c r="B47" s="4" t="str">
        <f t="shared" si="2"/>
        <v>EVENT_TYPE:MANAGE</v>
      </c>
      <c r="C47" s="4" t="str">
        <f t="shared" si="3"/>
        <v>event_type management</v>
      </c>
      <c r="D47" s="4" t="s">
        <v>6372</v>
      </c>
      <c r="E47" s="5" t="s">
        <v>6418</v>
      </c>
      <c r="F47" s="16" t="str">
        <f t="shared" si="1"/>
        <v>(45,'EVENT_TYPE:MANAGE','event_type management','EVENT_TYPE','MANAGE'),</v>
      </c>
    </row>
    <row r="48" spans="1:6" ht="20.100000000000001" customHeight="1" x14ac:dyDescent="0.25">
      <c r="A48" s="3">
        <v>46</v>
      </c>
      <c r="B48" s="4" t="str">
        <f t="shared" si="2"/>
        <v>OPERATION_TYPE:MANAGE</v>
      </c>
      <c r="C48" s="4" t="str">
        <f t="shared" si="3"/>
        <v>operation_type management</v>
      </c>
      <c r="D48" s="4" t="s">
        <v>6371</v>
      </c>
      <c r="E48" s="5" t="s">
        <v>6418</v>
      </c>
      <c r="F48" s="16" t="str">
        <f t="shared" si="1"/>
        <v>(46,'OPERATION_TYPE:MANAGE','operation_type management','OPERATION_TYPE','MANAGE'),</v>
      </c>
    </row>
    <row r="49" spans="1:6" ht="20.100000000000001" customHeight="1" x14ac:dyDescent="0.25">
      <c r="A49" s="3">
        <v>47</v>
      </c>
      <c r="B49" s="4" t="str">
        <f t="shared" si="2"/>
        <v>EVENT_STATUS:MANAGE</v>
      </c>
      <c r="C49" s="4" t="str">
        <f t="shared" si="3"/>
        <v>event_status management</v>
      </c>
      <c r="D49" s="4" t="s">
        <v>6375</v>
      </c>
      <c r="E49" s="5" t="s">
        <v>6418</v>
      </c>
      <c r="F49" s="16" t="str">
        <f t="shared" si="1"/>
        <v>(47,'EVENT_STATUS:MANAGE','event_status management','EVENT_STATUS','MANAGE'),</v>
      </c>
    </row>
    <row r="50" spans="1:6" ht="20.100000000000001" customHeight="1" x14ac:dyDescent="0.25">
      <c r="A50" s="3">
        <v>48</v>
      </c>
      <c r="B50" s="4" t="str">
        <f t="shared" si="2"/>
        <v>ALERT_STATUS:MANAGE</v>
      </c>
      <c r="C50" s="4" t="str">
        <f t="shared" si="3"/>
        <v>alert_status management</v>
      </c>
      <c r="D50" s="4" t="s">
        <v>6373</v>
      </c>
      <c r="E50" s="45" t="s">
        <v>6418</v>
      </c>
      <c r="F50" s="16" t="str">
        <f t="shared" si="1"/>
        <v>(48,'ALERT_STATUS:MANAGE','alert_status management','ALERT_STATUS','MANAGE'),</v>
      </c>
    </row>
    <row r="51" spans="1:6" ht="20.100000000000001" customHeight="1" x14ac:dyDescent="0.25">
      <c r="A51" s="3">
        <v>49</v>
      </c>
      <c r="B51" s="4" t="str">
        <f t="shared" si="2"/>
        <v>SEVERITY:MANAGE</v>
      </c>
      <c r="C51" s="4" t="str">
        <f t="shared" si="3"/>
        <v>severity management</v>
      </c>
      <c r="D51" s="4" t="s">
        <v>6377</v>
      </c>
      <c r="E51" s="5" t="s">
        <v>6418</v>
      </c>
      <c r="F51" s="16" t="str">
        <f t="shared" si="1"/>
        <v>(49,'SEVERITY:MANAGE','severity management','SEVERITY','MANAGE'),</v>
      </c>
    </row>
    <row r="52" spans="1:6" ht="20.100000000000001" customHeight="1" x14ac:dyDescent="0.25">
      <c r="A52" s="3">
        <v>50</v>
      </c>
      <c r="B52" s="4" t="str">
        <f t="shared" si="2"/>
        <v>DATA_SOURCE:MANAGE</v>
      </c>
      <c r="C52" s="4" t="str">
        <f t="shared" si="3"/>
        <v>data_source management</v>
      </c>
      <c r="D52" s="4" t="s">
        <v>6374</v>
      </c>
      <c r="E52" s="5" t="s">
        <v>6418</v>
      </c>
      <c r="F52" s="16" t="str">
        <f t="shared" si="1"/>
        <v>(50,'DATA_SOURCE:MANAGE','data_source management','DATA_SOURCE','MANAGE'),</v>
      </c>
    </row>
    <row r="53" spans="1:6" ht="20.100000000000001" customHeight="1" x14ac:dyDescent="0.25">
      <c r="A53" s="3">
        <v>51</v>
      </c>
      <c r="B53" s="4" t="str">
        <f t="shared" si="2"/>
        <v>QUALITY_FLAG:MANAGE</v>
      </c>
      <c r="C53" s="4" t="str">
        <f t="shared" si="3"/>
        <v>quality_flag management</v>
      </c>
      <c r="D53" s="4" t="s">
        <v>6376</v>
      </c>
      <c r="E53" s="5" t="s">
        <v>6418</v>
      </c>
      <c r="F53" s="16" t="str">
        <f t="shared" si="1"/>
        <v>(51,'QUALITY_FLAG:MANAGE','quality_flag management','QUALITY_FLAG','MANAGE'),</v>
      </c>
    </row>
    <row r="54" spans="1:6" ht="20.100000000000001" customHeight="1" x14ac:dyDescent="0.25">
      <c r="A54" s="3">
        <v>52</v>
      </c>
      <c r="B54" s="4" t="str">
        <f t="shared" si="2"/>
        <v>VALIDATION_STATUS:MANAGE</v>
      </c>
      <c r="C54" s="4" t="str">
        <f t="shared" si="3"/>
        <v>validation_status management</v>
      </c>
      <c r="D54" s="4" t="s">
        <v>6378</v>
      </c>
      <c r="E54" s="5" t="s">
        <v>6418</v>
      </c>
      <c r="F54" s="16" t="str">
        <f t="shared" si="1"/>
        <v>(52,'VALIDATION_STATUS:MANAGE','validation_status management','VALIDATION_STATUS','MANAGE'),</v>
      </c>
    </row>
    <row r="55" spans="1:6" ht="20.100000000000001" customHeight="1" x14ac:dyDescent="0.25">
      <c r="A55" s="3">
        <v>53</v>
      </c>
      <c r="B55" s="4" t="str">
        <f t="shared" si="2"/>
        <v>READING_SLOT:MANAGE</v>
      </c>
      <c r="C55" s="4" t="str">
        <f t="shared" si="3"/>
        <v>reading_slot management</v>
      </c>
      <c r="D55" s="4" t="s">
        <v>6379</v>
      </c>
      <c r="E55" s="5" t="s">
        <v>6418</v>
      </c>
      <c r="F55" s="16" t="str">
        <f t="shared" si="1"/>
        <v>(53,'READING_SLOT:MANAGE','reading_slot management','READING_SLOT','MANAGE'),</v>
      </c>
    </row>
    <row r="56" spans="1:6" ht="20.100000000000001" customHeight="1" x14ac:dyDescent="0.25">
      <c r="A56" s="3">
        <v>54</v>
      </c>
      <c r="B56" s="4" t="str">
        <f t="shared" si="2"/>
        <v>FLOW_OPERATION:MANAGE</v>
      </c>
      <c r="C56" s="4" t="str">
        <f t="shared" si="3"/>
        <v>flow_operation management</v>
      </c>
      <c r="D56" s="4" t="s">
        <v>6380</v>
      </c>
      <c r="E56" s="5" t="s">
        <v>6418</v>
      </c>
      <c r="F56" s="16" t="str">
        <f t="shared" si="1"/>
        <v>(54,'FLOW_OPERATION:MANAGE','flow_operation management','FLOW_OPERATION','MANAGE'),</v>
      </c>
    </row>
    <row r="57" spans="1:6" ht="20.100000000000001" customHeight="1" x14ac:dyDescent="0.25">
      <c r="A57" s="3">
        <v>55</v>
      </c>
      <c r="B57" s="4" t="str">
        <f t="shared" si="2"/>
        <v>FLOW_FORECAST:MANAGE</v>
      </c>
      <c r="C57" s="4" t="str">
        <f t="shared" si="3"/>
        <v>flow_forecast management</v>
      </c>
      <c r="D57" s="4" t="s">
        <v>6381</v>
      </c>
      <c r="E57" s="5" t="s">
        <v>6418</v>
      </c>
      <c r="F57" s="16" t="str">
        <f t="shared" si="1"/>
        <v>(55,'FLOW_FORECAST:MANAGE','flow_forecast management','FLOW_FORECAST','MANAGE'),</v>
      </c>
    </row>
    <row r="58" spans="1:6" ht="20.100000000000001" customHeight="1" x14ac:dyDescent="0.25">
      <c r="A58" s="3">
        <v>56</v>
      </c>
      <c r="B58" s="4" t="str">
        <f t="shared" si="2"/>
        <v>FLOW_READING:MANAGE</v>
      </c>
      <c r="C58" s="4" t="str">
        <f t="shared" si="3"/>
        <v>flow_reading management</v>
      </c>
      <c r="D58" s="4" t="s">
        <v>6382</v>
      </c>
      <c r="E58" s="5" t="s">
        <v>6418</v>
      </c>
      <c r="F58" s="16" t="str">
        <f t="shared" si="1"/>
        <v>(56,'FLOW_READING:MANAGE','flow_reading management','FLOW_READING','MANAGE'),</v>
      </c>
    </row>
    <row r="59" spans="1:6" ht="20.100000000000001" customHeight="1" x14ac:dyDescent="0.25">
      <c r="A59" s="3">
        <v>57</v>
      </c>
      <c r="B59" s="4" t="str">
        <f t="shared" si="2"/>
        <v>FLOW_EVENT:MANAGE</v>
      </c>
      <c r="C59" s="4" t="str">
        <f t="shared" si="3"/>
        <v>flow_event management</v>
      </c>
      <c r="D59" s="4" t="s">
        <v>6385</v>
      </c>
      <c r="E59" s="5" t="s">
        <v>6418</v>
      </c>
      <c r="F59" s="16" t="str">
        <f t="shared" si="1"/>
        <v>(57,'FLOW_EVENT:MANAGE','flow_event management','FLOW_EVENT','MANAGE'),</v>
      </c>
    </row>
    <row r="60" spans="1:6" ht="20.100000000000001" customHeight="1" x14ac:dyDescent="0.25">
      <c r="A60" s="3">
        <v>58</v>
      </c>
      <c r="B60" s="4" t="str">
        <f t="shared" si="2"/>
        <v>FLOW_ALERT:MANAGE</v>
      </c>
      <c r="C60" s="4" t="str">
        <f t="shared" si="3"/>
        <v>flow_alert management</v>
      </c>
      <c r="D60" s="4" t="s">
        <v>6384</v>
      </c>
      <c r="E60" s="5" t="s">
        <v>6418</v>
      </c>
      <c r="F60" s="16" t="str">
        <f t="shared" si="1"/>
        <v>(58,'FLOW_ALERT:MANAGE','flow_alert management','FLOW_ALERT','MANAGE'),</v>
      </c>
    </row>
    <row r="61" spans="1:6" ht="20.100000000000001" customHeight="1" x14ac:dyDescent="0.25">
      <c r="A61" s="3">
        <v>59</v>
      </c>
      <c r="B61" s="4" t="str">
        <f t="shared" si="2"/>
        <v>FLOW_THRESHOLD:MANAGE</v>
      </c>
      <c r="C61" s="4" t="str">
        <f t="shared" si="3"/>
        <v>flow_threshold management</v>
      </c>
      <c r="D61" s="4" t="s">
        <v>6383</v>
      </c>
      <c r="E61" s="5" t="s">
        <v>6418</v>
      </c>
      <c r="F61" s="16" t="str">
        <f t="shared" si="1"/>
        <v>(59,'FLOW_THRESHOLD:MANAGE','flow_threshold management','FLOW_THRESHOLD','MANAGE'),</v>
      </c>
    </row>
    <row r="62" spans="1:6" ht="20.100000000000001" customHeight="1" x14ac:dyDescent="0.25">
      <c r="A62" s="3">
        <v>101</v>
      </c>
      <c r="B62" s="4" t="str">
        <f t="shared" si="2"/>
        <v>PARAMETER:EXECUTE</v>
      </c>
      <c r="C62" s="4" t="str">
        <f t="shared" ref="C62:C93" si="4">CONCATENATE(LOWER(D62)," execution")</f>
        <v>parameter execution</v>
      </c>
      <c r="D62" s="4" t="s">
        <v>6368</v>
      </c>
      <c r="E62" s="5" t="s">
        <v>6419</v>
      </c>
      <c r="F62" s="16" t="str">
        <f t="shared" si="1"/>
        <v>(101,'PARAMETER:EXECUTE','parameter execution','PARAMETER','EXECUTE'),</v>
      </c>
    </row>
    <row r="63" spans="1:6" ht="20.100000000000001" customHeight="1" x14ac:dyDescent="0.25">
      <c r="A63" s="3">
        <v>102</v>
      </c>
      <c r="B63" s="4" t="str">
        <f t="shared" si="2"/>
        <v>FILE:EXECUTE</v>
      </c>
      <c r="C63" s="4" t="str">
        <f t="shared" si="4"/>
        <v>file execution</v>
      </c>
      <c r="D63" s="4" t="s">
        <v>6369</v>
      </c>
      <c r="E63" s="5" t="s">
        <v>6419</v>
      </c>
      <c r="F63" s="16" t="str">
        <f t="shared" si="1"/>
        <v>(102,'FILE:EXECUTE','file execution','FILE','EXECUTE'),</v>
      </c>
    </row>
    <row r="64" spans="1:6" ht="20.100000000000001" customHeight="1" x14ac:dyDescent="0.25">
      <c r="A64" s="3">
        <v>103</v>
      </c>
      <c r="B64" s="4" t="str">
        <f t="shared" si="2"/>
        <v>GROUP:EXECUTE</v>
      </c>
      <c r="C64" s="4" t="str">
        <f t="shared" si="4"/>
        <v>group execution</v>
      </c>
      <c r="D64" s="4" t="s">
        <v>5745</v>
      </c>
      <c r="E64" s="5" t="s">
        <v>6419</v>
      </c>
      <c r="F64" s="16" t="str">
        <f t="shared" si="1"/>
        <v>(103,'GROUP:EXECUTE','group execution','GROUP','EXECUTE'),</v>
      </c>
    </row>
    <row r="65" spans="1:6" ht="20.100000000000001" customHeight="1" x14ac:dyDescent="0.25">
      <c r="A65" s="3">
        <v>104</v>
      </c>
      <c r="B65" s="4" t="str">
        <f t="shared" si="2"/>
        <v>USER:EXECUTE</v>
      </c>
      <c r="C65" s="4" t="str">
        <f t="shared" si="4"/>
        <v>user execution</v>
      </c>
      <c r="D65" s="4" t="s">
        <v>5746</v>
      </c>
      <c r="E65" s="5" t="s">
        <v>6419</v>
      </c>
      <c r="F65" s="16" t="str">
        <f t="shared" si="1"/>
        <v>(104,'USER:EXECUTE','user execution','USER','EXECUTE'),</v>
      </c>
    </row>
    <row r="66" spans="1:6" ht="20.100000000000001" customHeight="1" x14ac:dyDescent="0.25">
      <c r="A66" s="3">
        <v>105</v>
      </c>
      <c r="B66" s="4" t="str">
        <f t="shared" si="2"/>
        <v>ROLE:EXECUTE</v>
      </c>
      <c r="C66" s="4" t="str">
        <f t="shared" si="4"/>
        <v>role execution</v>
      </c>
      <c r="D66" s="4" t="s">
        <v>5747</v>
      </c>
      <c r="E66" s="5" t="s">
        <v>6419</v>
      </c>
      <c r="F66" s="16" t="str">
        <f t="shared" si="1"/>
        <v>(105,'ROLE:EXECUTE','role execution','ROLE','EXECUTE'),</v>
      </c>
    </row>
    <row r="67" spans="1:6" ht="20.100000000000001" customHeight="1" x14ac:dyDescent="0.25">
      <c r="A67" s="3">
        <v>106</v>
      </c>
      <c r="B67" s="4" t="str">
        <f t="shared" si="2"/>
        <v>PERMISSION:EXECUTE</v>
      </c>
      <c r="C67" s="4" t="str">
        <f t="shared" si="4"/>
        <v>permission execution</v>
      </c>
      <c r="D67" s="4" t="s">
        <v>5748</v>
      </c>
      <c r="E67" s="5" t="s">
        <v>6419</v>
      </c>
      <c r="F67" s="16" t="str">
        <f t="shared" ref="F67:F130" si="5">CONCATENATE("(",A67,",'",B67,"','",C67,"','",D67,"','",E67,"'),")</f>
        <v>(106,'PERMISSION:EXECUTE','permission execution','PERMISSION','EXECUTE'),</v>
      </c>
    </row>
    <row r="68" spans="1:6" ht="20.100000000000001" customHeight="1" x14ac:dyDescent="0.25">
      <c r="A68" s="3">
        <v>107</v>
      </c>
      <c r="B68" s="4" t="str">
        <f t="shared" ref="B68:B131" si="6">CONCATENATE(D68,":",E68)</f>
        <v>AUTHORITY:EXECUTE</v>
      </c>
      <c r="C68" s="4" t="str">
        <f t="shared" si="4"/>
        <v>authority execution</v>
      </c>
      <c r="D68" s="4" t="s">
        <v>5749</v>
      </c>
      <c r="E68" s="5" t="s">
        <v>6419</v>
      </c>
      <c r="F68" s="16" t="str">
        <f t="shared" si="5"/>
        <v>(107,'AUTHORITY:EXECUTE','authority execution','AUTHORITY','EXECUTE'),</v>
      </c>
    </row>
    <row r="69" spans="1:6" ht="20.100000000000001" customHeight="1" x14ac:dyDescent="0.25">
      <c r="A69" s="3">
        <v>108</v>
      </c>
      <c r="B69" s="4" t="str">
        <f t="shared" si="6"/>
        <v>AUDIT:EXECUTE</v>
      </c>
      <c r="C69" s="4" t="str">
        <f t="shared" si="4"/>
        <v>audit execution</v>
      </c>
      <c r="D69" s="4" t="s">
        <v>5750</v>
      </c>
      <c r="E69" s="5" t="s">
        <v>6419</v>
      </c>
      <c r="F69" s="16" t="str">
        <f t="shared" si="5"/>
        <v>(108,'AUDIT:EXECUTE','audit execution','AUDIT','EXECUTE'),</v>
      </c>
    </row>
    <row r="70" spans="1:6" ht="20.100000000000001" customHeight="1" x14ac:dyDescent="0.25">
      <c r="A70" s="3">
        <v>109</v>
      </c>
      <c r="B70" s="4" t="str">
        <f t="shared" si="6"/>
        <v>STRUCTURE_TYPE:EXECUTE</v>
      </c>
      <c r="C70" s="4" t="str">
        <f t="shared" si="4"/>
        <v>structure_type execution</v>
      </c>
      <c r="D70" s="4" t="s">
        <v>5755</v>
      </c>
      <c r="E70" s="5" t="s">
        <v>6419</v>
      </c>
      <c r="F70" s="16" t="str">
        <f t="shared" si="5"/>
        <v>(109,'STRUCTURE_TYPE:EXECUTE','structure_type execution','STRUCTURE_TYPE','EXECUTE'),</v>
      </c>
    </row>
    <row r="71" spans="1:6" ht="20.100000000000001" customHeight="1" x14ac:dyDescent="0.25">
      <c r="A71" s="3">
        <v>110</v>
      </c>
      <c r="B71" s="4" t="str">
        <f t="shared" si="6"/>
        <v>ZONE:EXECUTE</v>
      </c>
      <c r="C71" s="4" t="str">
        <f t="shared" si="4"/>
        <v>zone execution</v>
      </c>
      <c r="D71" s="4" t="s">
        <v>5767</v>
      </c>
      <c r="E71" s="5" t="s">
        <v>6419</v>
      </c>
      <c r="F71" s="16" t="str">
        <f t="shared" si="5"/>
        <v>(110,'ZONE:EXECUTE','zone execution','ZONE','EXECUTE'),</v>
      </c>
    </row>
    <row r="72" spans="1:6" ht="20.100000000000001" customHeight="1" x14ac:dyDescent="0.25">
      <c r="A72" s="3">
        <v>111</v>
      </c>
      <c r="B72" s="4" t="str">
        <f t="shared" si="6"/>
        <v>COUNTRY:EXECUTE</v>
      </c>
      <c r="C72" s="4" t="str">
        <f t="shared" si="4"/>
        <v>country execution</v>
      </c>
      <c r="D72" s="4" t="s">
        <v>5752</v>
      </c>
      <c r="E72" s="5" t="s">
        <v>6419</v>
      </c>
      <c r="F72" s="16" t="str">
        <f t="shared" si="5"/>
        <v>(111,'COUNTRY:EXECUTE','country execution','COUNTRY','EXECUTE'),</v>
      </c>
    </row>
    <row r="73" spans="1:6" ht="20.100000000000001" customHeight="1" x14ac:dyDescent="0.25">
      <c r="A73" s="3">
        <v>112</v>
      </c>
      <c r="B73" s="4" t="str">
        <f t="shared" si="6"/>
        <v>STATE:EXECUTE</v>
      </c>
      <c r="C73" s="4" t="str">
        <f t="shared" si="4"/>
        <v>state execution</v>
      </c>
      <c r="D73" s="4" t="s">
        <v>5753</v>
      </c>
      <c r="E73" s="5" t="s">
        <v>6419</v>
      </c>
      <c r="F73" s="16" t="str">
        <f t="shared" si="5"/>
        <v>(112,'STATE:EXECUTE','state execution','STATE','EXECUTE'),</v>
      </c>
    </row>
    <row r="74" spans="1:6" ht="20.100000000000001" customHeight="1" x14ac:dyDescent="0.25">
      <c r="A74" s="3">
        <v>113</v>
      </c>
      <c r="B74" s="4" t="str">
        <f t="shared" si="6"/>
        <v>DISTRICT:EXECUTE</v>
      </c>
      <c r="C74" s="4" t="str">
        <f t="shared" si="4"/>
        <v>district execution</v>
      </c>
      <c r="D74" s="4" t="s">
        <v>5787</v>
      </c>
      <c r="E74" s="5" t="s">
        <v>6419</v>
      </c>
      <c r="F74" s="16" t="str">
        <f t="shared" si="5"/>
        <v>(113,'DISTRICT:EXECUTE','district execution','DISTRICT','EXECUTE'),</v>
      </c>
    </row>
    <row r="75" spans="1:6" ht="20.100000000000001" customHeight="1" x14ac:dyDescent="0.25">
      <c r="A75" s="3">
        <v>114</v>
      </c>
      <c r="B75" s="4" t="str">
        <f t="shared" si="6"/>
        <v>LOCALITY:EXECUTE</v>
      </c>
      <c r="C75" s="4" t="str">
        <f t="shared" si="4"/>
        <v>locality execution</v>
      </c>
      <c r="D75" s="4" t="s">
        <v>5754</v>
      </c>
      <c r="E75" s="5" t="s">
        <v>6419</v>
      </c>
      <c r="F75" s="16" t="str">
        <f t="shared" si="5"/>
        <v>(114,'LOCALITY:EXECUTE','locality execution','LOCALITY','EXECUTE'),</v>
      </c>
    </row>
    <row r="76" spans="1:6" ht="20.100000000000001" customHeight="1" x14ac:dyDescent="0.25">
      <c r="A76" s="3">
        <v>115</v>
      </c>
      <c r="B76" s="4" t="str">
        <f t="shared" si="6"/>
        <v>LOCATION:EXECUTE</v>
      </c>
      <c r="C76" s="4" t="str">
        <f t="shared" si="4"/>
        <v>location execution</v>
      </c>
      <c r="D76" s="4" t="s">
        <v>5768</v>
      </c>
      <c r="E76" s="5" t="s">
        <v>6419</v>
      </c>
      <c r="F76" s="16" t="str">
        <f t="shared" si="5"/>
        <v>(115,'LOCATION:EXECUTE','location execution','LOCATION','EXECUTE'),</v>
      </c>
    </row>
    <row r="77" spans="1:6" ht="20.100000000000001" customHeight="1" x14ac:dyDescent="0.25">
      <c r="A77" s="3">
        <v>116</v>
      </c>
      <c r="B77" s="4" t="str">
        <f t="shared" si="6"/>
        <v>COORDINATE:EXECUTE</v>
      </c>
      <c r="C77" s="4" t="str">
        <f t="shared" si="4"/>
        <v>coordinate execution</v>
      </c>
      <c r="D77" s="4" t="s">
        <v>6370</v>
      </c>
      <c r="E77" s="5" t="s">
        <v>6419</v>
      </c>
      <c r="F77" s="16" t="str">
        <f t="shared" si="5"/>
        <v>(116,'COORDINATE:EXECUTE','coordinate execution','COORDINATE','EXECUTE'),</v>
      </c>
    </row>
    <row r="78" spans="1:6" ht="20.100000000000001" customHeight="1" x14ac:dyDescent="0.25">
      <c r="A78" s="3">
        <v>117</v>
      </c>
      <c r="B78" s="4" t="str">
        <f t="shared" si="6"/>
        <v>STRUCTURE:EXECUTE</v>
      </c>
      <c r="C78" s="4" t="str">
        <f t="shared" si="4"/>
        <v>structure execution</v>
      </c>
      <c r="D78" s="4" t="s">
        <v>5756</v>
      </c>
      <c r="E78" s="5" t="s">
        <v>6419</v>
      </c>
      <c r="F78" s="16" t="str">
        <f t="shared" si="5"/>
        <v>(117,'STRUCTURE:EXECUTE','structure execution','STRUCTURE','EXECUTE'),</v>
      </c>
    </row>
    <row r="79" spans="1:6" ht="20.100000000000001" customHeight="1" x14ac:dyDescent="0.25">
      <c r="A79" s="3">
        <v>118</v>
      </c>
      <c r="B79" s="4" t="str">
        <f t="shared" si="6"/>
        <v>JOB:EXECUTE</v>
      </c>
      <c r="C79" s="4" t="str">
        <f t="shared" si="4"/>
        <v>job execution</v>
      </c>
      <c r="D79" s="4" t="s">
        <v>5757</v>
      </c>
      <c r="E79" s="5" t="s">
        <v>6419</v>
      </c>
      <c r="F79" s="16" t="str">
        <f t="shared" si="5"/>
        <v>(118,'JOB:EXECUTE','job execution','JOB','EXECUTE'),</v>
      </c>
    </row>
    <row r="80" spans="1:6" ht="20.100000000000001" customHeight="1" x14ac:dyDescent="0.25">
      <c r="A80" s="3">
        <v>119</v>
      </c>
      <c r="B80" s="4" t="str">
        <f t="shared" si="6"/>
        <v>PERSON:EXECUTE</v>
      </c>
      <c r="C80" s="4" t="str">
        <f t="shared" si="4"/>
        <v>person execution</v>
      </c>
      <c r="D80" s="4" t="s">
        <v>5758</v>
      </c>
      <c r="E80" s="5" t="s">
        <v>6419</v>
      </c>
      <c r="F80" s="16" t="str">
        <f t="shared" si="5"/>
        <v>(119,'PERSON:EXECUTE','person execution','PERSON','EXECUTE'),</v>
      </c>
    </row>
    <row r="81" spans="1:6" ht="20.100000000000001" customHeight="1" x14ac:dyDescent="0.25">
      <c r="A81" s="3">
        <v>120</v>
      </c>
      <c r="B81" s="4" t="str">
        <f t="shared" si="6"/>
        <v>EMPLOYEE:EXECUTE</v>
      </c>
      <c r="C81" s="4" t="str">
        <f t="shared" si="4"/>
        <v>employee execution</v>
      </c>
      <c r="D81" s="4" t="s">
        <v>5759</v>
      </c>
      <c r="E81" s="5" t="s">
        <v>6419</v>
      </c>
      <c r="F81" s="16" t="str">
        <f t="shared" si="5"/>
        <v>(120,'EMPLOYEE:EXECUTE','employee execution','EMPLOYEE','EXECUTE'),</v>
      </c>
    </row>
    <row r="82" spans="1:6" ht="20.100000000000001" customHeight="1" x14ac:dyDescent="0.25">
      <c r="A82" s="3">
        <v>121</v>
      </c>
      <c r="B82" s="4" t="str">
        <f t="shared" si="6"/>
        <v>COMPANY_TYPE:EXECUTE</v>
      </c>
      <c r="C82" s="4" t="str">
        <f t="shared" si="4"/>
        <v>company_type execution</v>
      </c>
      <c r="D82" s="4" t="s">
        <v>5760</v>
      </c>
      <c r="E82" s="5" t="s">
        <v>6419</v>
      </c>
      <c r="F82" s="16" t="str">
        <f t="shared" si="5"/>
        <v>(121,'COMPANY_TYPE:EXECUTE','company_type execution','COMPANY_TYPE','EXECUTE'),</v>
      </c>
    </row>
    <row r="83" spans="1:6" ht="20.100000000000001" customHeight="1" x14ac:dyDescent="0.25">
      <c r="A83" s="3">
        <v>122</v>
      </c>
      <c r="B83" s="4" t="str">
        <f t="shared" si="6"/>
        <v>PARTNER_TYPE:EXECUTE</v>
      </c>
      <c r="C83" s="4" t="str">
        <f t="shared" si="4"/>
        <v>partner_type execution</v>
      </c>
      <c r="D83" s="4" t="s">
        <v>5761</v>
      </c>
      <c r="E83" s="5" t="s">
        <v>6419</v>
      </c>
      <c r="F83" s="16" t="str">
        <f t="shared" si="5"/>
        <v>(122,'PARTNER_TYPE:EXECUTE','partner_type execution','PARTNER_TYPE','EXECUTE'),</v>
      </c>
    </row>
    <row r="84" spans="1:6" ht="20.100000000000001" customHeight="1" x14ac:dyDescent="0.25">
      <c r="A84" s="3">
        <v>123</v>
      </c>
      <c r="B84" s="4" t="str">
        <f t="shared" si="6"/>
        <v>VENDOR_TYPE:EXECUTE</v>
      </c>
      <c r="C84" s="4" t="str">
        <f t="shared" si="4"/>
        <v>vendor_type execution</v>
      </c>
      <c r="D84" s="4" t="s">
        <v>5762</v>
      </c>
      <c r="E84" s="5" t="s">
        <v>6419</v>
      </c>
      <c r="F84" s="16" t="str">
        <f t="shared" si="5"/>
        <v>(123,'VENDOR_TYPE:EXECUTE','vendor_type execution','VENDOR_TYPE','EXECUTE'),</v>
      </c>
    </row>
    <row r="85" spans="1:6" ht="20.100000000000001" customHeight="1" x14ac:dyDescent="0.25">
      <c r="A85" s="3">
        <v>124</v>
      </c>
      <c r="B85" s="4" t="str">
        <f t="shared" si="6"/>
        <v>FACILITY_TYPE:EXECUTE</v>
      </c>
      <c r="C85" s="4" t="str">
        <f t="shared" si="4"/>
        <v>facility_type execution</v>
      </c>
      <c r="D85" s="4" t="s">
        <v>5763</v>
      </c>
      <c r="E85" s="5" t="s">
        <v>6419</v>
      </c>
      <c r="F85" s="16" t="str">
        <f t="shared" si="5"/>
        <v>(124,'FACILITY_TYPE:EXECUTE','facility_type execution','FACILITY_TYPE','EXECUTE'),</v>
      </c>
    </row>
    <row r="86" spans="1:6" ht="20.100000000000001" customHeight="1" x14ac:dyDescent="0.25">
      <c r="A86" s="3">
        <v>125</v>
      </c>
      <c r="B86" s="4" t="str">
        <f t="shared" si="6"/>
        <v>STATION_TYPE:EXECUTE</v>
      </c>
      <c r="C86" s="4" t="str">
        <f t="shared" si="4"/>
        <v>station_type execution</v>
      </c>
      <c r="D86" s="4" t="s">
        <v>5764</v>
      </c>
      <c r="E86" s="5" t="s">
        <v>6419</v>
      </c>
      <c r="F86" s="16" t="str">
        <f t="shared" si="5"/>
        <v>(125,'STATION_TYPE:EXECUTE','station_type execution','STATION_TYPE','EXECUTE'),</v>
      </c>
    </row>
    <row r="87" spans="1:6" ht="20.100000000000001" customHeight="1" x14ac:dyDescent="0.25">
      <c r="A87" s="3">
        <v>126</v>
      </c>
      <c r="B87" s="4" t="str">
        <f t="shared" si="6"/>
        <v>TERMINAL_TYPE:EXECUTE</v>
      </c>
      <c r="C87" s="4" t="str">
        <f t="shared" si="4"/>
        <v>terminal_type execution</v>
      </c>
      <c r="D87" s="4" t="s">
        <v>5765</v>
      </c>
      <c r="E87" s="5" t="s">
        <v>6419</v>
      </c>
      <c r="F87" s="16" t="str">
        <f t="shared" si="5"/>
        <v>(126,'TERMINAL_TYPE:EXECUTE','terminal_type execution','TERMINAL_TYPE','EXECUTE'),</v>
      </c>
    </row>
    <row r="88" spans="1:6" ht="20.100000000000001" customHeight="1" x14ac:dyDescent="0.25">
      <c r="A88" s="3">
        <v>127</v>
      </c>
      <c r="B88" s="4" t="str">
        <f t="shared" si="6"/>
        <v>PROCESSING_PLANT_TYPE:EXECUTE</v>
      </c>
      <c r="C88" s="4" t="str">
        <f t="shared" si="4"/>
        <v>processing_plant_type execution</v>
      </c>
      <c r="D88" s="4" t="s">
        <v>5788</v>
      </c>
      <c r="E88" s="5" t="s">
        <v>6419</v>
      </c>
      <c r="F88" s="16" t="str">
        <f t="shared" si="5"/>
        <v>(127,'PROCESSING_PLANT_TYPE:EXECUTE','processing_plant_type execution','PROCESSING_PLANT_TYPE','EXECUTE'),</v>
      </c>
    </row>
    <row r="89" spans="1:6" ht="20.100000000000001" customHeight="1" x14ac:dyDescent="0.25">
      <c r="A89" s="3">
        <v>128</v>
      </c>
      <c r="B89" s="4" t="str">
        <f t="shared" si="6"/>
        <v>PRODUCTION_FIELD_TYPE:EXECUTE</v>
      </c>
      <c r="C89" s="4" t="str">
        <f t="shared" si="4"/>
        <v>production_field_type execution</v>
      </c>
      <c r="D89" s="4" t="s">
        <v>5789</v>
      </c>
      <c r="E89" s="5" t="s">
        <v>6419</v>
      </c>
      <c r="F89" s="16" t="str">
        <f t="shared" si="5"/>
        <v>(128,'PRODUCTION_FIELD_TYPE:EXECUTE','production_field_type execution','PRODUCTION_FIELD_TYPE','EXECUTE'),</v>
      </c>
    </row>
    <row r="90" spans="1:6" ht="20.100000000000001" customHeight="1" x14ac:dyDescent="0.25">
      <c r="A90" s="3">
        <v>129</v>
      </c>
      <c r="B90" s="4" t="str">
        <f t="shared" si="6"/>
        <v>EQUIPMENT_TYPE:EXECUTE</v>
      </c>
      <c r="C90" s="4" t="str">
        <f t="shared" si="4"/>
        <v>equipment_type execution</v>
      </c>
      <c r="D90" s="4" t="s">
        <v>5766</v>
      </c>
      <c r="E90" s="5" t="s">
        <v>6419</v>
      </c>
      <c r="F90" s="16" t="str">
        <f t="shared" si="5"/>
        <v>(129,'EQUIPMENT_TYPE:EXECUTE','equipment_type execution','EQUIPMENT_TYPE','EXECUTE'),</v>
      </c>
    </row>
    <row r="91" spans="1:6" ht="20.100000000000001" customHeight="1" x14ac:dyDescent="0.25">
      <c r="A91" s="3">
        <v>130</v>
      </c>
      <c r="B91" s="4" t="str">
        <f t="shared" si="6"/>
        <v>PRODUCT:EXECUTE</v>
      </c>
      <c r="C91" s="4" t="str">
        <f t="shared" si="4"/>
        <v>product execution</v>
      </c>
      <c r="D91" s="4" t="s">
        <v>5769</v>
      </c>
      <c r="E91" s="5" t="s">
        <v>6419</v>
      </c>
      <c r="F91" s="16" t="str">
        <f t="shared" si="5"/>
        <v>(130,'PRODUCT:EXECUTE','product execution','PRODUCT','EXECUTE'),</v>
      </c>
    </row>
    <row r="92" spans="1:6" ht="20.100000000000001" customHeight="1" x14ac:dyDescent="0.25">
      <c r="A92" s="3">
        <v>131</v>
      </c>
      <c r="B92" s="4" t="str">
        <f t="shared" si="6"/>
        <v>OPERATIONAL_STATUS:EXECUTE</v>
      </c>
      <c r="C92" s="4" t="str">
        <f t="shared" si="4"/>
        <v>operational_status execution</v>
      </c>
      <c r="D92" s="4" t="s">
        <v>5770</v>
      </c>
      <c r="E92" s="5" t="s">
        <v>6419</v>
      </c>
      <c r="F92" s="16" t="str">
        <f t="shared" si="5"/>
        <v>(131,'OPERATIONAL_STATUS:EXECUTE','operational_status execution','OPERATIONAL_STATUS','EXECUTE'),</v>
      </c>
    </row>
    <row r="93" spans="1:6" ht="20.100000000000001" customHeight="1" x14ac:dyDescent="0.25">
      <c r="A93" s="3">
        <v>132</v>
      </c>
      <c r="B93" s="4" t="str">
        <f t="shared" si="6"/>
        <v>ALLOY:EXECUTE</v>
      </c>
      <c r="C93" s="4" t="str">
        <f t="shared" si="4"/>
        <v>alloy execution</v>
      </c>
      <c r="D93" s="4" t="s">
        <v>5771</v>
      </c>
      <c r="E93" s="5" t="s">
        <v>6419</v>
      </c>
      <c r="F93" s="16" t="str">
        <f t="shared" si="5"/>
        <v>(132,'ALLOY:EXECUTE','alloy execution','ALLOY','EXECUTE'),</v>
      </c>
    </row>
    <row r="94" spans="1:6" ht="20.100000000000001" customHeight="1" x14ac:dyDescent="0.25">
      <c r="A94" s="3">
        <v>133</v>
      </c>
      <c r="B94" s="4" t="str">
        <f t="shared" si="6"/>
        <v>PARTNER:EXECUTE</v>
      </c>
      <c r="C94" s="4" t="str">
        <f t="shared" ref="C94:C120" si="7">CONCATENATE(LOWER(D94)," execution")</f>
        <v>partner execution</v>
      </c>
      <c r="D94" s="4" t="s">
        <v>5772</v>
      </c>
      <c r="E94" s="5" t="s">
        <v>6419</v>
      </c>
      <c r="F94" s="16" t="str">
        <f t="shared" si="5"/>
        <v>(133,'PARTNER:EXECUTE','partner execution','PARTNER','EXECUTE'),</v>
      </c>
    </row>
    <row r="95" spans="1:6" ht="20.100000000000001" customHeight="1" x14ac:dyDescent="0.25">
      <c r="A95" s="3">
        <v>134</v>
      </c>
      <c r="B95" s="4" t="str">
        <f t="shared" si="6"/>
        <v>VENDOR:EXECUTE</v>
      </c>
      <c r="C95" s="4" t="str">
        <f t="shared" si="7"/>
        <v>vendor execution</v>
      </c>
      <c r="D95" s="4" t="s">
        <v>5773</v>
      </c>
      <c r="E95" s="5" t="s">
        <v>6419</v>
      </c>
      <c r="F95" s="16" t="str">
        <f t="shared" si="5"/>
        <v>(134,'VENDOR:EXECUTE','vendor execution','VENDOR','EXECUTE'),</v>
      </c>
    </row>
    <row r="96" spans="1:6" ht="20.100000000000001" customHeight="1" x14ac:dyDescent="0.25">
      <c r="A96" s="3">
        <v>135</v>
      </c>
      <c r="B96" s="4" t="str">
        <f t="shared" si="6"/>
        <v>INFRASTRUCTURE:EXECUTE</v>
      </c>
      <c r="C96" s="4" t="str">
        <f t="shared" si="7"/>
        <v>infrastructure execution</v>
      </c>
      <c r="D96" s="4" t="s">
        <v>5774</v>
      </c>
      <c r="E96" s="5" t="s">
        <v>6419</v>
      </c>
      <c r="F96" s="16" t="str">
        <f t="shared" si="5"/>
        <v>(135,'INFRASTRUCTURE:EXECUTE','infrastructure execution','INFRASTRUCTURE','EXECUTE'),</v>
      </c>
    </row>
    <row r="97" spans="1:6" ht="20.100000000000001" customHeight="1" x14ac:dyDescent="0.25">
      <c r="A97" s="3">
        <v>136</v>
      </c>
      <c r="B97" s="4" t="str">
        <f t="shared" si="6"/>
        <v>FACILITY:EXECUTE</v>
      </c>
      <c r="C97" s="4" t="str">
        <f t="shared" si="7"/>
        <v>facility execution</v>
      </c>
      <c r="D97" s="4" t="s">
        <v>5775</v>
      </c>
      <c r="E97" s="5" t="s">
        <v>6419</v>
      </c>
      <c r="F97" s="16" t="str">
        <f t="shared" si="5"/>
        <v>(136,'FACILITY:EXECUTE','facility execution','FACILITY','EXECUTE'),</v>
      </c>
    </row>
    <row r="98" spans="1:6" ht="20.100000000000001" customHeight="1" x14ac:dyDescent="0.25">
      <c r="A98" s="3">
        <v>137</v>
      </c>
      <c r="B98" s="4" t="str">
        <f t="shared" si="6"/>
        <v>PIPELINE_SYSTEM:EXECUTE</v>
      </c>
      <c r="C98" s="4" t="str">
        <f t="shared" si="7"/>
        <v>pipeline_system execution</v>
      </c>
      <c r="D98" s="4" t="s">
        <v>5776</v>
      </c>
      <c r="E98" s="5" t="s">
        <v>6419</v>
      </c>
      <c r="F98" s="16" t="str">
        <f t="shared" si="5"/>
        <v>(137,'PIPELINE_SYSTEM:EXECUTE','pipeline_system execution','PIPELINE_SYSTEM','EXECUTE'),</v>
      </c>
    </row>
    <row r="99" spans="1:6" ht="20.100000000000001" customHeight="1" x14ac:dyDescent="0.25">
      <c r="A99" s="3">
        <v>138</v>
      </c>
      <c r="B99" s="4" t="str">
        <f t="shared" si="6"/>
        <v>PIPELINE:EXECUTE</v>
      </c>
      <c r="C99" s="4" t="str">
        <f t="shared" si="7"/>
        <v>pipeline execution</v>
      </c>
      <c r="D99" s="4" t="s">
        <v>5777</v>
      </c>
      <c r="E99" s="5" t="s">
        <v>6419</v>
      </c>
      <c r="F99" s="16" t="str">
        <f t="shared" si="5"/>
        <v>(138,'PIPELINE:EXECUTE','pipeline execution','PIPELINE','EXECUTE'),</v>
      </c>
    </row>
    <row r="100" spans="1:6" ht="20.100000000000001" customHeight="1" x14ac:dyDescent="0.25">
      <c r="A100" s="3">
        <v>139</v>
      </c>
      <c r="B100" s="4" t="str">
        <f t="shared" si="6"/>
        <v>PIPELINE_SEGMENT:EXECUTE</v>
      </c>
      <c r="C100" s="4" t="str">
        <f t="shared" si="7"/>
        <v>pipeline_segment execution</v>
      </c>
      <c r="D100" s="4" t="s">
        <v>5778</v>
      </c>
      <c r="E100" s="5" t="s">
        <v>6419</v>
      </c>
      <c r="F100" s="16" t="str">
        <f t="shared" si="5"/>
        <v>(139,'PIPELINE_SEGMENT:EXECUTE','pipeline_segment execution','PIPELINE_SEGMENT','EXECUTE'),</v>
      </c>
    </row>
    <row r="101" spans="1:6" ht="20.100000000000001" customHeight="1" x14ac:dyDescent="0.25">
      <c r="A101" s="3">
        <v>140</v>
      </c>
      <c r="B101" s="4" t="str">
        <f t="shared" si="6"/>
        <v>STATION:EXECUTE</v>
      </c>
      <c r="C101" s="4" t="str">
        <f t="shared" si="7"/>
        <v>station execution</v>
      </c>
      <c r="D101" s="4" t="s">
        <v>5779</v>
      </c>
      <c r="E101" s="5" t="s">
        <v>6419</v>
      </c>
      <c r="F101" s="16" t="str">
        <f t="shared" si="5"/>
        <v>(140,'STATION:EXECUTE','station execution','STATION','EXECUTE'),</v>
      </c>
    </row>
    <row r="102" spans="1:6" ht="20.100000000000001" customHeight="1" x14ac:dyDescent="0.25">
      <c r="A102" s="3">
        <v>141</v>
      </c>
      <c r="B102" s="4" t="str">
        <f t="shared" si="6"/>
        <v>TERMINAL:EXECUTE</v>
      </c>
      <c r="C102" s="4" t="str">
        <f t="shared" si="7"/>
        <v>terminal execution</v>
      </c>
      <c r="D102" s="4" t="s">
        <v>5780</v>
      </c>
      <c r="E102" s="5" t="s">
        <v>6419</v>
      </c>
      <c r="F102" s="16" t="str">
        <f t="shared" si="5"/>
        <v>(141,'TERMINAL:EXECUTE','terminal execution','TERMINAL','EXECUTE'),</v>
      </c>
    </row>
    <row r="103" spans="1:6" ht="20.100000000000001" customHeight="1" x14ac:dyDescent="0.25">
      <c r="A103" s="3">
        <v>142</v>
      </c>
      <c r="B103" s="4" t="str">
        <f t="shared" si="6"/>
        <v>PROCESSING_PLANT:EXECUTE</v>
      </c>
      <c r="C103" s="4" t="str">
        <f t="shared" si="7"/>
        <v>processing_plant execution</v>
      </c>
      <c r="D103" s="4" t="s">
        <v>5790</v>
      </c>
      <c r="E103" s="5" t="s">
        <v>6419</v>
      </c>
      <c r="F103" s="16" t="str">
        <f t="shared" si="5"/>
        <v>(142,'PROCESSING_PLANT:EXECUTE','processing_plant execution','PROCESSING_PLANT','EXECUTE'),</v>
      </c>
    </row>
    <row r="104" spans="1:6" ht="20.100000000000001" customHeight="1" x14ac:dyDescent="0.25">
      <c r="A104" s="3">
        <v>143</v>
      </c>
      <c r="B104" s="4" t="str">
        <f t="shared" si="6"/>
        <v>PRODUCTION_FIELD:EXECUTE</v>
      </c>
      <c r="C104" s="4" t="str">
        <f t="shared" si="7"/>
        <v>production_field execution</v>
      </c>
      <c r="D104" s="4" t="s">
        <v>5791</v>
      </c>
      <c r="E104" s="5" t="s">
        <v>6419</v>
      </c>
      <c r="F104" s="16" t="str">
        <f t="shared" si="5"/>
        <v>(143,'PRODUCTION_FIELD:EXECUTE','production_field execution','PRODUCTION_FIELD','EXECUTE'),</v>
      </c>
    </row>
    <row r="105" spans="1:6" ht="20.100000000000001" customHeight="1" x14ac:dyDescent="0.25">
      <c r="A105" s="3">
        <v>144</v>
      </c>
      <c r="B105" s="4" t="str">
        <f t="shared" si="6"/>
        <v>EQUIPMENT:EXECUTE</v>
      </c>
      <c r="C105" s="4" t="str">
        <f t="shared" si="7"/>
        <v>equipment execution</v>
      </c>
      <c r="D105" s="4" t="s">
        <v>5781</v>
      </c>
      <c r="E105" s="5" t="s">
        <v>6419</v>
      </c>
      <c r="F105" s="16" t="str">
        <f t="shared" si="5"/>
        <v>(144,'EQUIPMENT:EXECUTE','equipment execution','EQUIPMENT','EXECUTE'),</v>
      </c>
    </row>
    <row r="106" spans="1:6" ht="20.100000000000001" customHeight="1" x14ac:dyDescent="0.25">
      <c r="A106" s="3">
        <v>145</v>
      </c>
      <c r="B106" s="4" t="str">
        <f t="shared" si="6"/>
        <v>EVENT_TYPE:EXECUTE</v>
      </c>
      <c r="C106" s="4" t="str">
        <f t="shared" si="7"/>
        <v>event_type execution</v>
      </c>
      <c r="D106" s="4" t="s">
        <v>6372</v>
      </c>
      <c r="E106" s="5" t="s">
        <v>6419</v>
      </c>
      <c r="F106" s="16" t="str">
        <f t="shared" si="5"/>
        <v>(145,'EVENT_TYPE:EXECUTE','event_type execution','EVENT_TYPE','EXECUTE'),</v>
      </c>
    </row>
    <row r="107" spans="1:6" ht="20.100000000000001" customHeight="1" x14ac:dyDescent="0.25">
      <c r="A107" s="3">
        <v>146</v>
      </c>
      <c r="B107" s="4" t="str">
        <f t="shared" si="6"/>
        <v>OPERATION_TYPE:EXECUTE</v>
      </c>
      <c r="C107" s="4" t="str">
        <f t="shared" si="7"/>
        <v>operation_type execution</v>
      </c>
      <c r="D107" s="4" t="s">
        <v>6371</v>
      </c>
      <c r="E107" s="5" t="s">
        <v>6419</v>
      </c>
      <c r="F107" s="16" t="str">
        <f t="shared" si="5"/>
        <v>(146,'OPERATION_TYPE:EXECUTE','operation_type execution','OPERATION_TYPE','EXECUTE'),</v>
      </c>
    </row>
    <row r="108" spans="1:6" ht="20.100000000000001" customHeight="1" x14ac:dyDescent="0.25">
      <c r="A108" s="3">
        <v>147</v>
      </c>
      <c r="B108" s="4" t="str">
        <f t="shared" si="6"/>
        <v>EVENT_STATUS:EXECUTE</v>
      </c>
      <c r="C108" s="4" t="str">
        <f t="shared" si="7"/>
        <v>event_status execution</v>
      </c>
      <c r="D108" s="4" t="s">
        <v>6375</v>
      </c>
      <c r="E108" s="5" t="s">
        <v>6419</v>
      </c>
      <c r="F108" s="16" t="str">
        <f t="shared" si="5"/>
        <v>(147,'EVENT_STATUS:EXECUTE','event_status execution','EVENT_STATUS','EXECUTE'),</v>
      </c>
    </row>
    <row r="109" spans="1:6" ht="20.100000000000001" customHeight="1" x14ac:dyDescent="0.25">
      <c r="A109" s="3">
        <v>148</v>
      </c>
      <c r="B109" s="4" t="str">
        <f t="shared" si="6"/>
        <v>ALERT_STATUS:EXECUTE</v>
      </c>
      <c r="C109" s="4" t="str">
        <f t="shared" si="7"/>
        <v>alert_status execution</v>
      </c>
      <c r="D109" s="4" t="s">
        <v>6373</v>
      </c>
      <c r="E109" s="45" t="s">
        <v>6419</v>
      </c>
      <c r="F109" s="16" t="str">
        <f t="shared" si="5"/>
        <v>(148,'ALERT_STATUS:EXECUTE','alert_status execution','ALERT_STATUS','EXECUTE'),</v>
      </c>
    </row>
    <row r="110" spans="1:6" ht="20.100000000000001" customHeight="1" x14ac:dyDescent="0.25">
      <c r="A110" s="3">
        <v>149</v>
      </c>
      <c r="B110" s="4" t="str">
        <f t="shared" si="6"/>
        <v>SEVERITY:EXECUTE</v>
      </c>
      <c r="C110" s="4" t="str">
        <f t="shared" si="7"/>
        <v>severity execution</v>
      </c>
      <c r="D110" s="4" t="s">
        <v>6377</v>
      </c>
      <c r="E110" s="5" t="s">
        <v>6419</v>
      </c>
      <c r="F110" s="16" t="str">
        <f t="shared" si="5"/>
        <v>(149,'SEVERITY:EXECUTE','severity execution','SEVERITY','EXECUTE'),</v>
      </c>
    </row>
    <row r="111" spans="1:6" ht="20.100000000000001" customHeight="1" x14ac:dyDescent="0.25">
      <c r="A111" s="3">
        <v>150</v>
      </c>
      <c r="B111" s="4" t="str">
        <f t="shared" si="6"/>
        <v>DATA_SOURCE:EXECUTE</v>
      </c>
      <c r="C111" s="4" t="str">
        <f t="shared" si="7"/>
        <v>data_source execution</v>
      </c>
      <c r="D111" s="4" t="s">
        <v>6374</v>
      </c>
      <c r="E111" s="5" t="s">
        <v>6419</v>
      </c>
      <c r="F111" s="16" t="str">
        <f t="shared" si="5"/>
        <v>(150,'DATA_SOURCE:EXECUTE','data_source execution','DATA_SOURCE','EXECUTE'),</v>
      </c>
    </row>
    <row r="112" spans="1:6" ht="20.100000000000001" customHeight="1" x14ac:dyDescent="0.25">
      <c r="A112" s="3">
        <v>151</v>
      </c>
      <c r="B112" s="4" t="str">
        <f t="shared" si="6"/>
        <v>QUALITY_FLAG:EXECUTE</v>
      </c>
      <c r="C112" s="4" t="str">
        <f t="shared" si="7"/>
        <v>quality_flag execution</v>
      </c>
      <c r="D112" s="4" t="s">
        <v>6376</v>
      </c>
      <c r="E112" s="5" t="s">
        <v>6419</v>
      </c>
      <c r="F112" s="16" t="str">
        <f t="shared" si="5"/>
        <v>(151,'QUALITY_FLAG:EXECUTE','quality_flag execution','QUALITY_FLAG','EXECUTE'),</v>
      </c>
    </row>
    <row r="113" spans="1:6" ht="20.100000000000001" customHeight="1" x14ac:dyDescent="0.25">
      <c r="A113" s="3">
        <v>152</v>
      </c>
      <c r="B113" s="4" t="str">
        <f t="shared" si="6"/>
        <v>VALIDATION_STATUS:EXECUTE</v>
      </c>
      <c r="C113" s="4" t="str">
        <f t="shared" si="7"/>
        <v>validation_status execution</v>
      </c>
      <c r="D113" s="4" t="s">
        <v>6378</v>
      </c>
      <c r="E113" s="5" t="s">
        <v>6419</v>
      </c>
      <c r="F113" s="16" t="str">
        <f t="shared" si="5"/>
        <v>(152,'VALIDATION_STATUS:EXECUTE','validation_status execution','VALIDATION_STATUS','EXECUTE'),</v>
      </c>
    </row>
    <row r="114" spans="1:6" ht="20.100000000000001" customHeight="1" x14ac:dyDescent="0.25">
      <c r="A114" s="3">
        <v>153</v>
      </c>
      <c r="B114" s="4" t="str">
        <f t="shared" si="6"/>
        <v>READING_SLOT:EXECUTE</v>
      </c>
      <c r="C114" s="4" t="str">
        <f t="shared" si="7"/>
        <v>reading_slot execution</v>
      </c>
      <c r="D114" s="4" t="s">
        <v>6379</v>
      </c>
      <c r="E114" s="5" t="s">
        <v>6419</v>
      </c>
      <c r="F114" s="16" t="str">
        <f t="shared" si="5"/>
        <v>(153,'READING_SLOT:EXECUTE','reading_slot execution','READING_SLOT','EXECUTE'),</v>
      </c>
    </row>
    <row r="115" spans="1:6" ht="20.100000000000001" customHeight="1" x14ac:dyDescent="0.25">
      <c r="A115" s="3">
        <v>154</v>
      </c>
      <c r="B115" s="4" t="str">
        <f t="shared" si="6"/>
        <v>FLOW_OPERATION:EXECUTE</v>
      </c>
      <c r="C115" s="4" t="str">
        <f t="shared" si="7"/>
        <v>flow_operation execution</v>
      </c>
      <c r="D115" s="4" t="s">
        <v>6380</v>
      </c>
      <c r="E115" s="5" t="s">
        <v>6419</v>
      </c>
      <c r="F115" s="16" t="str">
        <f t="shared" si="5"/>
        <v>(154,'FLOW_OPERATION:EXECUTE','flow_operation execution','FLOW_OPERATION','EXECUTE'),</v>
      </c>
    </row>
    <row r="116" spans="1:6" ht="20.100000000000001" customHeight="1" x14ac:dyDescent="0.25">
      <c r="A116" s="3">
        <v>155</v>
      </c>
      <c r="B116" s="4" t="str">
        <f t="shared" si="6"/>
        <v>FLOW_FORECAST:EXECUTE</v>
      </c>
      <c r="C116" s="4" t="str">
        <f t="shared" si="7"/>
        <v>flow_forecast execution</v>
      </c>
      <c r="D116" s="4" t="s">
        <v>6381</v>
      </c>
      <c r="E116" s="5" t="s">
        <v>6419</v>
      </c>
      <c r="F116" s="16" t="str">
        <f t="shared" si="5"/>
        <v>(155,'FLOW_FORECAST:EXECUTE','flow_forecast execution','FLOW_FORECAST','EXECUTE'),</v>
      </c>
    </row>
    <row r="117" spans="1:6" ht="20.100000000000001" customHeight="1" x14ac:dyDescent="0.25">
      <c r="A117" s="3">
        <v>156</v>
      </c>
      <c r="B117" s="4" t="str">
        <f t="shared" si="6"/>
        <v>FLOW_READING:EXECUTE</v>
      </c>
      <c r="C117" s="4" t="str">
        <f t="shared" si="7"/>
        <v>flow_reading execution</v>
      </c>
      <c r="D117" s="4" t="s">
        <v>6382</v>
      </c>
      <c r="E117" s="5" t="s">
        <v>6419</v>
      </c>
      <c r="F117" s="16" t="str">
        <f t="shared" si="5"/>
        <v>(156,'FLOW_READING:EXECUTE','flow_reading execution','FLOW_READING','EXECUTE'),</v>
      </c>
    </row>
    <row r="118" spans="1:6" ht="20.100000000000001" customHeight="1" x14ac:dyDescent="0.25">
      <c r="A118" s="3">
        <v>157</v>
      </c>
      <c r="B118" s="4" t="str">
        <f t="shared" si="6"/>
        <v>FLOW_EVENT:EXECUTE</v>
      </c>
      <c r="C118" s="4" t="str">
        <f t="shared" si="7"/>
        <v>flow_event execution</v>
      </c>
      <c r="D118" s="4" t="s">
        <v>6385</v>
      </c>
      <c r="E118" s="5" t="s">
        <v>6419</v>
      </c>
      <c r="F118" s="16" t="str">
        <f t="shared" si="5"/>
        <v>(157,'FLOW_EVENT:EXECUTE','flow_event execution','FLOW_EVENT','EXECUTE'),</v>
      </c>
    </row>
    <row r="119" spans="1:6" ht="20.100000000000001" customHeight="1" x14ac:dyDescent="0.25">
      <c r="A119" s="3">
        <v>158</v>
      </c>
      <c r="B119" s="4" t="str">
        <f t="shared" si="6"/>
        <v>FLOW_ALERT:EXECUTE</v>
      </c>
      <c r="C119" s="4" t="str">
        <f t="shared" si="7"/>
        <v>flow_alert execution</v>
      </c>
      <c r="D119" s="4" t="s">
        <v>6384</v>
      </c>
      <c r="E119" s="5" t="s">
        <v>6419</v>
      </c>
      <c r="F119" s="16" t="str">
        <f t="shared" si="5"/>
        <v>(158,'FLOW_ALERT:EXECUTE','flow_alert execution','FLOW_ALERT','EXECUTE'),</v>
      </c>
    </row>
    <row r="120" spans="1:6" ht="20.100000000000001" customHeight="1" x14ac:dyDescent="0.25">
      <c r="A120" s="3">
        <v>159</v>
      </c>
      <c r="B120" s="4" t="str">
        <f t="shared" si="6"/>
        <v>FLOW_THRESHOLD:EXECUTE</v>
      </c>
      <c r="C120" s="4" t="str">
        <f t="shared" si="7"/>
        <v>flow_threshold execution</v>
      </c>
      <c r="D120" s="4" t="s">
        <v>6383</v>
      </c>
      <c r="E120" s="5" t="s">
        <v>6419</v>
      </c>
      <c r="F120" s="16" t="str">
        <f t="shared" si="5"/>
        <v>(159,'FLOW_THRESHOLD:EXECUTE','flow_threshold execution','FLOW_THRESHOLD','EXECUTE'),</v>
      </c>
    </row>
    <row r="121" spans="1:6" ht="20.100000000000001" customHeight="1" x14ac:dyDescent="0.25">
      <c r="A121" s="3">
        <v>201</v>
      </c>
      <c r="B121" s="4" t="str">
        <f t="shared" si="6"/>
        <v>PARAMETER:APPROVE</v>
      </c>
      <c r="C121" s="4" t="str">
        <f t="shared" ref="C121:C152" si="8">CONCATENATE(LOWER(D121)," approval")</f>
        <v>parameter approval</v>
      </c>
      <c r="D121" s="4" t="s">
        <v>6368</v>
      </c>
      <c r="E121" s="5" t="s">
        <v>6420</v>
      </c>
      <c r="F121" s="16" t="str">
        <f t="shared" si="5"/>
        <v>(201,'PARAMETER:APPROVE','parameter approval','PARAMETER','APPROVE'),</v>
      </c>
    </row>
    <row r="122" spans="1:6" ht="20.100000000000001" customHeight="1" x14ac:dyDescent="0.25">
      <c r="A122" s="3">
        <v>202</v>
      </c>
      <c r="B122" s="4" t="str">
        <f t="shared" si="6"/>
        <v>FILE:APPROVE</v>
      </c>
      <c r="C122" s="4" t="str">
        <f t="shared" si="8"/>
        <v>file approval</v>
      </c>
      <c r="D122" s="4" t="s">
        <v>6369</v>
      </c>
      <c r="E122" s="5" t="s">
        <v>6420</v>
      </c>
      <c r="F122" s="16" t="str">
        <f t="shared" si="5"/>
        <v>(202,'FILE:APPROVE','file approval','FILE','APPROVE'),</v>
      </c>
    </row>
    <row r="123" spans="1:6" ht="20.100000000000001" customHeight="1" x14ac:dyDescent="0.25">
      <c r="A123" s="3">
        <v>203</v>
      </c>
      <c r="B123" s="4" t="str">
        <f t="shared" si="6"/>
        <v>GROUP:APPROVE</v>
      </c>
      <c r="C123" s="4" t="str">
        <f t="shared" si="8"/>
        <v>group approval</v>
      </c>
      <c r="D123" s="4" t="s">
        <v>5745</v>
      </c>
      <c r="E123" s="5" t="s">
        <v>6420</v>
      </c>
      <c r="F123" s="16" t="str">
        <f t="shared" si="5"/>
        <v>(203,'GROUP:APPROVE','group approval','GROUP','APPROVE'),</v>
      </c>
    </row>
    <row r="124" spans="1:6" ht="20.100000000000001" customHeight="1" x14ac:dyDescent="0.25">
      <c r="A124" s="3">
        <v>204</v>
      </c>
      <c r="B124" s="4" t="str">
        <f t="shared" si="6"/>
        <v>USER:APPROVE</v>
      </c>
      <c r="C124" s="4" t="str">
        <f t="shared" si="8"/>
        <v>user approval</v>
      </c>
      <c r="D124" s="4" t="s">
        <v>5746</v>
      </c>
      <c r="E124" s="5" t="s">
        <v>6420</v>
      </c>
      <c r="F124" s="16" t="str">
        <f t="shared" si="5"/>
        <v>(204,'USER:APPROVE','user approval','USER','APPROVE'),</v>
      </c>
    </row>
    <row r="125" spans="1:6" ht="20.100000000000001" customHeight="1" x14ac:dyDescent="0.25">
      <c r="A125" s="3">
        <v>205</v>
      </c>
      <c r="B125" s="4" t="str">
        <f t="shared" si="6"/>
        <v>ROLE:APPROVE</v>
      </c>
      <c r="C125" s="4" t="str">
        <f t="shared" si="8"/>
        <v>role approval</v>
      </c>
      <c r="D125" s="4" t="s">
        <v>5747</v>
      </c>
      <c r="E125" s="5" t="s">
        <v>6420</v>
      </c>
      <c r="F125" s="16" t="str">
        <f t="shared" si="5"/>
        <v>(205,'ROLE:APPROVE','role approval','ROLE','APPROVE'),</v>
      </c>
    </row>
    <row r="126" spans="1:6" ht="20.100000000000001" customHeight="1" x14ac:dyDescent="0.25">
      <c r="A126" s="3">
        <v>206</v>
      </c>
      <c r="B126" s="4" t="str">
        <f t="shared" si="6"/>
        <v>PERMISSION:APPROVE</v>
      </c>
      <c r="C126" s="4" t="str">
        <f t="shared" si="8"/>
        <v>permission approval</v>
      </c>
      <c r="D126" s="4" t="s">
        <v>5748</v>
      </c>
      <c r="E126" s="5" t="s">
        <v>6420</v>
      </c>
      <c r="F126" s="16" t="str">
        <f t="shared" si="5"/>
        <v>(206,'PERMISSION:APPROVE','permission approval','PERMISSION','APPROVE'),</v>
      </c>
    </row>
    <row r="127" spans="1:6" ht="20.100000000000001" customHeight="1" x14ac:dyDescent="0.25">
      <c r="A127" s="3">
        <v>207</v>
      </c>
      <c r="B127" s="4" t="str">
        <f t="shared" si="6"/>
        <v>AUTHORITY:APPROVE</v>
      </c>
      <c r="C127" s="4" t="str">
        <f t="shared" si="8"/>
        <v>authority approval</v>
      </c>
      <c r="D127" s="4" t="s">
        <v>5749</v>
      </c>
      <c r="E127" s="5" t="s">
        <v>6420</v>
      </c>
      <c r="F127" s="16" t="str">
        <f t="shared" si="5"/>
        <v>(207,'AUTHORITY:APPROVE','authority approval','AUTHORITY','APPROVE'),</v>
      </c>
    </row>
    <row r="128" spans="1:6" ht="20.100000000000001" customHeight="1" x14ac:dyDescent="0.25">
      <c r="A128" s="3">
        <v>208</v>
      </c>
      <c r="B128" s="4" t="str">
        <f t="shared" si="6"/>
        <v>AUDIT:APPROVE</v>
      </c>
      <c r="C128" s="4" t="str">
        <f t="shared" si="8"/>
        <v>audit approval</v>
      </c>
      <c r="D128" s="4" t="s">
        <v>5750</v>
      </c>
      <c r="E128" s="5" t="s">
        <v>6420</v>
      </c>
      <c r="F128" s="16" t="str">
        <f t="shared" si="5"/>
        <v>(208,'AUDIT:APPROVE','audit approval','AUDIT','APPROVE'),</v>
      </c>
    </row>
    <row r="129" spans="1:6" ht="20.100000000000001" customHeight="1" x14ac:dyDescent="0.25">
      <c r="A129" s="3">
        <v>209</v>
      </c>
      <c r="B129" s="4" t="str">
        <f t="shared" si="6"/>
        <v>STRUCTURE_TYPE:APPROVE</v>
      </c>
      <c r="C129" s="4" t="str">
        <f t="shared" si="8"/>
        <v>structure_type approval</v>
      </c>
      <c r="D129" s="4" t="s">
        <v>5755</v>
      </c>
      <c r="E129" s="5" t="s">
        <v>6420</v>
      </c>
      <c r="F129" s="16" t="str">
        <f t="shared" si="5"/>
        <v>(209,'STRUCTURE_TYPE:APPROVE','structure_type approval','STRUCTURE_TYPE','APPROVE'),</v>
      </c>
    </row>
    <row r="130" spans="1:6" ht="20.100000000000001" customHeight="1" x14ac:dyDescent="0.25">
      <c r="A130" s="3">
        <v>210</v>
      </c>
      <c r="B130" s="4" t="str">
        <f t="shared" si="6"/>
        <v>ZONE:APPROVE</v>
      </c>
      <c r="C130" s="4" t="str">
        <f t="shared" si="8"/>
        <v>zone approval</v>
      </c>
      <c r="D130" s="4" t="s">
        <v>5767</v>
      </c>
      <c r="E130" s="5" t="s">
        <v>6420</v>
      </c>
      <c r="F130" s="16" t="str">
        <f t="shared" si="5"/>
        <v>(210,'ZONE:APPROVE','zone approval','ZONE','APPROVE'),</v>
      </c>
    </row>
    <row r="131" spans="1:6" ht="20.100000000000001" customHeight="1" x14ac:dyDescent="0.25">
      <c r="A131" s="3">
        <v>211</v>
      </c>
      <c r="B131" s="4" t="str">
        <f t="shared" si="6"/>
        <v>COUNTRY:APPROVE</v>
      </c>
      <c r="C131" s="4" t="str">
        <f t="shared" si="8"/>
        <v>country approval</v>
      </c>
      <c r="D131" s="4" t="s">
        <v>5752</v>
      </c>
      <c r="E131" s="5" t="s">
        <v>6420</v>
      </c>
      <c r="F131" s="16" t="str">
        <f t="shared" ref="F131:F194" si="9">CONCATENATE("(",A131,",'",B131,"','",C131,"','",D131,"','",E131,"'),")</f>
        <v>(211,'COUNTRY:APPROVE','country approval','COUNTRY','APPROVE'),</v>
      </c>
    </row>
    <row r="132" spans="1:6" ht="20.100000000000001" customHeight="1" x14ac:dyDescent="0.25">
      <c r="A132" s="3">
        <v>212</v>
      </c>
      <c r="B132" s="4" t="str">
        <f t="shared" ref="B132:B190" si="10">CONCATENATE(D132,":",E132)</f>
        <v>STATE:APPROVE</v>
      </c>
      <c r="C132" s="4" t="str">
        <f t="shared" si="8"/>
        <v>state approval</v>
      </c>
      <c r="D132" s="4" t="s">
        <v>5753</v>
      </c>
      <c r="E132" s="5" t="s">
        <v>6420</v>
      </c>
      <c r="F132" s="16" t="str">
        <f t="shared" si="9"/>
        <v>(212,'STATE:APPROVE','state approval','STATE','APPROVE'),</v>
      </c>
    </row>
    <row r="133" spans="1:6" ht="20.100000000000001" customHeight="1" x14ac:dyDescent="0.25">
      <c r="A133" s="3">
        <v>213</v>
      </c>
      <c r="B133" s="4" t="str">
        <f t="shared" si="10"/>
        <v>DISTRICT:APPROVE</v>
      </c>
      <c r="C133" s="4" t="str">
        <f t="shared" si="8"/>
        <v>district approval</v>
      </c>
      <c r="D133" s="4" t="s">
        <v>5787</v>
      </c>
      <c r="E133" s="5" t="s">
        <v>6420</v>
      </c>
      <c r="F133" s="16" t="str">
        <f t="shared" si="9"/>
        <v>(213,'DISTRICT:APPROVE','district approval','DISTRICT','APPROVE'),</v>
      </c>
    </row>
    <row r="134" spans="1:6" ht="20.100000000000001" customHeight="1" x14ac:dyDescent="0.25">
      <c r="A134" s="3">
        <v>214</v>
      </c>
      <c r="B134" s="4" t="str">
        <f t="shared" si="10"/>
        <v>LOCALITY:APPROVE</v>
      </c>
      <c r="C134" s="4" t="str">
        <f t="shared" si="8"/>
        <v>locality approval</v>
      </c>
      <c r="D134" s="4" t="s">
        <v>5754</v>
      </c>
      <c r="E134" s="5" t="s">
        <v>6420</v>
      </c>
      <c r="F134" s="16" t="str">
        <f t="shared" si="9"/>
        <v>(214,'LOCALITY:APPROVE','locality approval','LOCALITY','APPROVE'),</v>
      </c>
    </row>
    <row r="135" spans="1:6" ht="20.100000000000001" customHeight="1" x14ac:dyDescent="0.25">
      <c r="A135" s="3">
        <v>215</v>
      </c>
      <c r="B135" s="4" t="str">
        <f t="shared" si="10"/>
        <v>LOCATION:APPROVE</v>
      </c>
      <c r="C135" s="4" t="str">
        <f t="shared" si="8"/>
        <v>location approval</v>
      </c>
      <c r="D135" s="4" t="s">
        <v>5768</v>
      </c>
      <c r="E135" s="5" t="s">
        <v>6420</v>
      </c>
      <c r="F135" s="16" t="str">
        <f t="shared" si="9"/>
        <v>(215,'LOCATION:APPROVE','location approval','LOCATION','APPROVE'),</v>
      </c>
    </row>
    <row r="136" spans="1:6" ht="20.100000000000001" customHeight="1" x14ac:dyDescent="0.25">
      <c r="A136" s="3">
        <v>216</v>
      </c>
      <c r="B136" s="4" t="str">
        <f t="shared" si="10"/>
        <v>COORDINATE:APPROVE</v>
      </c>
      <c r="C136" s="4" t="str">
        <f t="shared" si="8"/>
        <v>coordinate approval</v>
      </c>
      <c r="D136" s="4" t="s">
        <v>6370</v>
      </c>
      <c r="E136" s="5" t="s">
        <v>6420</v>
      </c>
      <c r="F136" s="16" t="str">
        <f t="shared" si="9"/>
        <v>(216,'COORDINATE:APPROVE','coordinate approval','COORDINATE','APPROVE'),</v>
      </c>
    </row>
    <row r="137" spans="1:6" ht="20.100000000000001" customHeight="1" x14ac:dyDescent="0.25">
      <c r="A137" s="3">
        <v>217</v>
      </c>
      <c r="B137" s="4" t="str">
        <f t="shared" si="10"/>
        <v>STRUCTURE:APPROVE</v>
      </c>
      <c r="C137" s="4" t="str">
        <f t="shared" si="8"/>
        <v>structure approval</v>
      </c>
      <c r="D137" s="4" t="s">
        <v>5756</v>
      </c>
      <c r="E137" s="5" t="s">
        <v>6420</v>
      </c>
      <c r="F137" s="16" t="str">
        <f t="shared" si="9"/>
        <v>(217,'STRUCTURE:APPROVE','structure approval','STRUCTURE','APPROVE'),</v>
      </c>
    </row>
    <row r="138" spans="1:6" ht="20.100000000000001" customHeight="1" x14ac:dyDescent="0.25">
      <c r="A138" s="3">
        <v>218</v>
      </c>
      <c r="B138" s="4" t="str">
        <f t="shared" si="10"/>
        <v>JOB:APPROVE</v>
      </c>
      <c r="C138" s="4" t="str">
        <f t="shared" si="8"/>
        <v>job approval</v>
      </c>
      <c r="D138" s="4" t="s">
        <v>5757</v>
      </c>
      <c r="E138" s="5" t="s">
        <v>6420</v>
      </c>
      <c r="F138" s="16" t="str">
        <f t="shared" si="9"/>
        <v>(218,'JOB:APPROVE','job approval','JOB','APPROVE'),</v>
      </c>
    </row>
    <row r="139" spans="1:6" ht="20.100000000000001" customHeight="1" x14ac:dyDescent="0.25">
      <c r="A139" s="3">
        <v>219</v>
      </c>
      <c r="B139" s="4" t="str">
        <f t="shared" si="10"/>
        <v>PERSON:APPROVE</v>
      </c>
      <c r="C139" s="4" t="str">
        <f t="shared" si="8"/>
        <v>person approval</v>
      </c>
      <c r="D139" s="4" t="s">
        <v>5758</v>
      </c>
      <c r="E139" s="5" t="s">
        <v>6420</v>
      </c>
      <c r="F139" s="16" t="str">
        <f t="shared" si="9"/>
        <v>(219,'PERSON:APPROVE','person approval','PERSON','APPROVE'),</v>
      </c>
    </row>
    <row r="140" spans="1:6" ht="20.100000000000001" customHeight="1" x14ac:dyDescent="0.25">
      <c r="A140" s="3">
        <v>220</v>
      </c>
      <c r="B140" s="4" t="str">
        <f t="shared" si="10"/>
        <v>EMPLOYEE:APPROVE</v>
      </c>
      <c r="C140" s="4" t="str">
        <f t="shared" si="8"/>
        <v>employee approval</v>
      </c>
      <c r="D140" s="4" t="s">
        <v>5759</v>
      </c>
      <c r="E140" s="5" t="s">
        <v>6420</v>
      </c>
      <c r="F140" s="16" t="str">
        <f t="shared" si="9"/>
        <v>(220,'EMPLOYEE:APPROVE','employee approval','EMPLOYEE','APPROVE'),</v>
      </c>
    </row>
    <row r="141" spans="1:6" ht="20.100000000000001" customHeight="1" x14ac:dyDescent="0.25">
      <c r="A141" s="3">
        <v>221</v>
      </c>
      <c r="B141" s="4" t="str">
        <f t="shared" si="10"/>
        <v>COMPANY_TYPE:APPROVE</v>
      </c>
      <c r="C141" s="4" t="str">
        <f t="shared" si="8"/>
        <v>company_type approval</v>
      </c>
      <c r="D141" s="4" t="s">
        <v>5760</v>
      </c>
      <c r="E141" s="5" t="s">
        <v>6420</v>
      </c>
      <c r="F141" s="16" t="str">
        <f t="shared" si="9"/>
        <v>(221,'COMPANY_TYPE:APPROVE','company_type approval','COMPANY_TYPE','APPROVE'),</v>
      </c>
    </row>
    <row r="142" spans="1:6" ht="20.100000000000001" customHeight="1" x14ac:dyDescent="0.25">
      <c r="A142" s="3">
        <v>222</v>
      </c>
      <c r="B142" s="4" t="str">
        <f t="shared" si="10"/>
        <v>PARTNER_TYPE:APPROVE</v>
      </c>
      <c r="C142" s="4" t="str">
        <f t="shared" si="8"/>
        <v>partner_type approval</v>
      </c>
      <c r="D142" s="4" t="s">
        <v>5761</v>
      </c>
      <c r="E142" s="5" t="s">
        <v>6420</v>
      </c>
      <c r="F142" s="16" t="str">
        <f t="shared" si="9"/>
        <v>(222,'PARTNER_TYPE:APPROVE','partner_type approval','PARTNER_TYPE','APPROVE'),</v>
      </c>
    </row>
    <row r="143" spans="1:6" ht="20.100000000000001" customHeight="1" x14ac:dyDescent="0.25">
      <c r="A143" s="3">
        <v>223</v>
      </c>
      <c r="B143" s="4" t="str">
        <f t="shared" si="10"/>
        <v>VENDOR_TYPE:APPROVE</v>
      </c>
      <c r="C143" s="4" t="str">
        <f t="shared" si="8"/>
        <v>vendor_type approval</v>
      </c>
      <c r="D143" s="4" t="s">
        <v>5762</v>
      </c>
      <c r="E143" s="5" t="s">
        <v>6420</v>
      </c>
      <c r="F143" s="16" t="str">
        <f t="shared" si="9"/>
        <v>(223,'VENDOR_TYPE:APPROVE','vendor_type approval','VENDOR_TYPE','APPROVE'),</v>
      </c>
    </row>
    <row r="144" spans="1:6" ht="20.100000000000001" customHeight="1" x14ac:dyDescent="0.25">
      <c r="A144" s="3">
        <v>224</v>
      </c>
      <c r="B144" s="4" t="str">
        <f t="shared" si="10"/>
        <v>FACILITY_TYPE:APPROVE</v>
      </c>
      <c r="C144" s="4" t="str">
        <f t="shared" si="8"/>
        <v>facility_type approval</v>
      </c>
      <c r="D144" s="4" t="s">
        <v>5763</v>
      </c>
      <c r="E144" s="5" t="s">
        <v>6420</v>
      </c>
      <c r="F144" s="16" t="str">
        <f t="shared" si="9"/>
        <v>(224,'FACILITY_TYPE:APPROVE','facility_type approval','FACILITY_TYPE','APPROVE'),</v>
      </c>
    </row>
    <row r="145" spans="1:6" ht="20.100000000000001" customHeight="1" x14ac:dyDescent="0.25">
      <c r="A145" s="3">
        <v>225</v>
      </c>
      <c r="B145" s="4" t="str">
        <f t="shared" si="10"/>
        <v>STATION_TYPE:APPROVE</v>
      </c>
      <c r="C145" s="4" t="str">
        <f t="shared" si="8"/>
        <v>station_type approval</v>
      </c>
      <c r="D145" s="4" t="s">
        <v>5764</v>
      </c>
      <c r="E145" s="5" t="s">
        <v>6420</v>
      </c>
      <c r="F145" s="16" t="str">
        <f t="shared" si="9"/>
        <v>(225,'STATION_TYPE:APPROVE','station_type approval','STATION_TYPE','APPROVE'),</v>
      </c>
    </row>
    <row r="146" spans="1:6" ht="20.100000000000001" customHeight="1" x14ac:dyDescent="0.25">
      <c r="A146" s="3">
        <v>226</v>
      </c>
      <c r="B146" s="4" t="str">
        <f t="shared" si="10"/>
        <v>TERMINAL_TYPE:APPROVE</v>
      </c>
      <c r="C146" s="4" t="str">
        <f t="shared" si="8"/>
        <v>terminal_type approval</v>
      </c>
      <c r="D146" s="4" t="s">
        <v>5765</v>
      </c>
      <c r="E146" s="5" t="s">
        <v>6420</v>
      </c>
      <c r="F146" s="16" t="str">
        <f t="shared" si="9"/>
        <v>(226,'TERMINAL_TYPE:APPROVE','terminal_type approval','TERMINAL_TYPE','APPROVE'),</v>
      </c>
    </row>
    <row r="147" spans="1:6" ht="20.100000000000001" customHeight="1" x14ac:dyDescent="0.25">
      <c r="A147" s="3">
        <v>227</v>
      </c>
      <c r="B147" s="4" t="str">
        <f t="shared" si="10"/>
        <v>PROCESSING_PLANT_TYPE:APPROVE</v>
      </c>
      <c r="C147" s="4" t="str">
        <f t="shared" si="8"/>
        <v>processing_plant_type approval</v>
      </c>
      <c r="D147" s="4" t="s">
        <v>5788</v>
      </c>
      <c r="E147" s="5" t="s">
        <v>6420</v>
      </c>
      <c r="F147" s="16" t="str">
        <f t="shared" si="9"/>
        <v>(227,'PROCESSING_PLANT_TYPE:APPROVE','processing_plant_type approval','PROCESSING_PLANT_TYPE','APPROVE'),</v>
      </c>
    </row>
    <row r="148" spans="1:6" ht="20.100000000000001" customHeight="1" x14ac:dyDescent="0.25">
      <c r="A148" s="3">
        <v>228</v>
      </c>
      <c r="B148" s="4" t="str">
        <f t="shared" si="10"/>
        <v>PRODUCTION_FIELD_TYPE:APPROVE</v>
      </c>
      <c r="C148" s="4" t="str">
        <f t="shared" si="8"/>
        <v>production_field_type approval</v>
      </c>
      <c r="D148" s="4" t="s">
        <v>5789</v>
      </c>
      <c r="E148" s="5" t="s">
        <v>6420</v>
      </c>
      <c r="F148" s="16" t="str">
        <f t="shared" si="9"/>
        <v>(228,'PRODUCTION_FIELD_TYPE:APPROVE','production_field_type approval','PRODUCTION_FIELD_TYPE','APPROVE'),</v>
      </c>
    </row>
    <row r="149" spans="1:6" ht="20.100000000000001" customHeight="1" x14ac:dyDescent="0.25">
      <c r="A149" s="3">
        <v>229</v>
      </c>
      <c r="B149" s="4" t="str">
        <f t="shared" si="10"/>
        <v>EQUIPMENT_TYPE:APPROVE</v>
      </c>
      <c r="C149" s="4" t="str">
        <f t="shared" si="8"/>
        <v>equipment_type approval</v>
      </c>
      <c r="D149" s="4" t="s">
        <v>5766</v>
      </c>
      <c r="E149" s="5" t="s">
        <v>6420</v>
      </c>
      <c r="F149" s="16" t="str">
        <f t="shared" si="9"/>
        <v>(229,'EQUIPMENT_TYPE:APPROVE','equipment_type approval','EQUIPMENT_TYPE','APPROVE'),</v>
      </c>
    </row>
    <row r="150" spans="1:6" ht="20.100000000000001" customHeight="1" x14ac:dyDescent="0.25">
      <c r="A150" s="3">
        <v>230</v>
      </c>
      <c r="B150" s="4" t="str">
        <f t="shared" si="10"/>
        <v>PRODUCT:APPROVE</v>
      </c>
      <c r="C150" s="4" t="str">
        <f t="shared" si="8"/>
        <v>product approval</v>
      </c>
      <c r="D150" s="4" t="s">
        <v>5769</v>
      </c>
      <c r="E150" s="5" t="s">
        <v>6420</v>
      </c>
      <c r="F150" s="16" t="str">
        <f t="shared" si="9"/>
        <v>(230,'PRODUCT:APPROVE','product approval','PRODUCT','APPROVE'),</v>
      </c>
    </row>
    <row r="151" spans="1:6" ht="20.100000000000001" customHeight="1" x14ac:dyDescent="0.25">
      <c r="A151" s="3">
        <v>231</v>
      </c>
      <c r="B151" s="4" t="str">
        <f t="shared" si="10"/>
        <v>OPERATIONAL_STATUS:APPROVE</v>
      </c>
      <c r="C151" s="4" t="str">
        <f t="shared" si="8"/>
        <v>operational_status approval</v>
      </c>
      <c r="D151" s="4" t="s">
        <v>5770</v>
      </c>
      <c r="E151" s="5" t="s">
        <v>6420</v>
      </c>
      <c r="F151" s="16" t="str">
        <f t="shared" si="9"/>
        <v>(231,'OPERATIONAL_STATUS:APPROVE','operational_status approval','OPERATIONAL_STATUS','APPROVE'),</v>
      </c>
    </row>
    <row r="152" spans="1:6" ht="20.100000000000001" customHeight="1" x14ac:dyDescent="0.25">
      <c r="A152" s="3">
        <v>232</v>
      </c>
      <c r="B152" s="4" t="str">
        <f t="shared" si="10"/>
        <v>ALLOY:APPROVE</v>
      </c>
      <c r="C152" s="4" t="str">
        <f t="shared" si="8"/>
        <v>alloy approval</v>
      </c>
      <c r="D152" s="4" t="s">
        <v>5771</v>
      </c>
      <c r="E152" s="5" t="s">
        <v>6420</v>
      </c>
      <c r="F152" s="16" t="str">
        <f t="shared" si="9"/>
        <v>(232,'ALLOY:APPROVE','alloy approval','ALLOY','APPROVE'),</v>
      </c>
    </row>
    <row r="153" spans="1:6" ht="20.100000000000001" customHeight="1" x14ac:dyDescent="0.25">
      <c r="A153" s="3">
        <v>233</v>
      </c>
      <c r="B153" s="4" t="str">
        <f t="shared" si="10"/>
        <v>PARTNER:APPROVE</v>
      </c>
      <c r="C153" s="4" t="str">
        <f t="shared" ref="C153:C179" si="11">CONCATENATE(LOWER(D153)," approval")</f>
        <v>partner approval</v>
      </c>
      <c r="D153" s="4" t="s">
        <v>5772</v>
      </c>
      <c r="E153" s="5" t="s">
        <v>6420</v>
      </c>
      <c r="F153" s="16" t="str">
        <f t="shared" si="9"/>
        <v>(233,'PARTNER:APPROVE','partner approval','PARTNER','APPROVE'),</v>
      </c>
    </row>
    <row r="154" spans="1:6" ht="20.100000000000001" customHeight="1" x14ac:dyDescent="0.25">
      <c r="A154" s="3">
        <v>234</v>
      </c>
      <c r="B154" s="4" t="str">
        <f t="shared" si="10"/>
        <v>VENDOR:APPROVE</v>
      </c>
      <c r="C154" s="4" t="str">
        <f t="shared" si="11"/>
        <v>vendor approval</v>
      </c>
      <c r="D154" s="4" t="s">
        <v>5773</v>
      </c>
      <c r="E154" s="5" t="s">
        <v>6420</v>
      </c>
      <c r="F154" s="16" t="str">
        <f t="shared" si="9"/>
        <v>(234,'VENDOR:APPROVE','vendor approval','VENDOR','APPROVE'),</v>
      </c>
    </row>
    <row r="155" spans="1:6" ht="20.100000000000001" customHeight="1" x14ac:dyDescent="0.25">
      <c r="A155" s="3">
        <v>235</v>
      </c>
      <c r="B155" s="4" t="str">
        <f t="shared" si="10"/>
        <v>INFRASTRUCTURE:APPROVE</v>
      </c>
      <c r="C155" s="4" t="str">
        <f t="shared" si="11"/>
        <v>infrastructure approval</v>
      </c>
      <c r="D155" s="4" t="s">
        <v>5774</v>
      </c>
      <c r="E155" s="5" t="s">
        <v>6420</v>
      </c>
      <c r="F155" s="16" t="str">
        <f t="shared" si="9"/>
        <v>(235,'INFRASTRUCTURE:APPROVE','infrastructure approval','INFRASTRUCTURE','APPROVE'),</v>
      </c>
    </row>
    <row r="156" spans="1:6" ht="20.100000000000001" customHeight="1" x14ac:dyDescent="0.25">
      <c r="A156" s="3">
        <v>236</v>
      </c>
      <c r="B156" s="4" t="str">
        <f t="shared" si="10"/>
        <v>FACILITY:APPROVE</v>
      </c>
      <c r="C156" s="4" t="str">
        <f t="shared" si="11"/>
        <v>facility approval</v>
      </c>
      <c r="D156" s="4" t="s">
        <v>5775</v>
      </c>
      <c r="E156" s="5" t="s">
        <v>6420</v>
      </c>
      <c r="F156" s="16" t="str">
        <f t="shared" si="9"/>
        <v>(236,'FACILITY:APPROVE','facility approval','FACILITY','APPROVE'),</v>
      </c>
    </row>
    <row r="157" spans="1:6" ht="20.100000000000001" customHeight="1" x14ac:dyDescent="0.25">
      <c r="A157" s="3">
        <v>237</v>
      </c>
      <c r="B157" s="4" t="str">
        <f t="shared" si="10"/>
        <v>PIPELINE_SYSTEM:APPROVE</v>
      </c>
      <c r="C157" s="4" t="str">
        <f t="shared" si="11"/>
        <v>pipeline_system approval</v>
      </c>
      <c r="D157" s="4" t="s">
        <v>5776</v>
      </c>
      <c r="E157" s="5" t="s">
        <v>6420</v>
      </c>
      <c r="F157" s="16" t="str">
        <f t="shared" si="9"/>
        <v>(237,'PIPELINE_SYSTEM:APPROVE','pipeline_system approval','PIPELINE_SYSTEM','APPROVE'),</v>
      </c>
    </row>
    <row r="158" spans="1:6" ht="20.100000000000001" customHeight="1" x14ac:dyDescent="0.25">
      <c r="A158" s="3">
        <v>238</v>
      </c>
      <c r="B158" s="4" t="str">
        <f t="shared" si="10"/>
        <v>PIPELINE:APPROVE</v>
      </c>
      <c r="C158" s="4" t="str">
        <f t="shared" si="11"/>
        <v>pipeline approval</v>
      </c>
      <c r="D158" s="4" t="s">
        <v>5777</v>
      </c>
      <c r="E158" s="5" t="s">
        <v>6420</v>
      </c>
      <c r="F158" s="16" t="str">
        <f t="shared" si="9"/>
        <v>(238,'PIPELINE:APPROVE','pipeline approval','PIPELINE','APPROVE'),</v>
      </c>
    </row>
    <row r="159" spans="1:6" ht="20.100000000000001" customHeight="1" x14ac:dyDescent="0.25">
      <c r="A159" s="3">
        <v>239</v>
      </c>
      <c r="B159" s="4" t="str">
        <f t="shared" si="10"/>
        <v>PIPELINE_SEGMENT:APPROVE</v>
      </c>
      <c r="C159" s="4" t="str">
        <f t="shared" si="11"/>
        <v>pipeline_segment approval</v>
      </c>
      <c r="D159" s="4" t="s">
        <v>5778</v>
      </c>
      <c r="E159" s="5" t="s">
        <v>6420</v>
      </c>
      <c r="F159" s="16" t="str">
        <f t="shared" si="9"/>
        <v>(239,'PIPELINE_SEGMENT:APPROVE','pipeline_segment approval','PIPELINE_SEGMENT','APPROVE'),</v>
      </c>
    </row>
    <row r="160" spans="1:6" ht="20.100000000000001" customHeight="1" x14ac:dyDescent="0.25">
      <c r="A160" s="3">
        <v>240</v>
      </c>
      <c r="B160" s="4" t="str">
        <f t="shared" si="10"/>
        <v>STATION:APPROVE</v>
      </c>
      <c r="C160" s="4" t="str">
        <f t="shared" si="11"/>
        <v>station approval</v>
      </c>
      <c r="D160" s="4" t="s">
        <v>5779</v>
      </c>
      <c r="E160" s="5" t="s">
        <v>6420</v>
      </c>
      <c r="F160" s="16" t="str">
        <f t="shared" si="9"/>
        <v>(240,'STATION:APPROVE','station approval','STATION','APPROVE'),</v>
      </c>
    </row>
    <row r="161" spans="1:6" ht="20.100000000000001" customHeight="1" x14ac:dyDescent="0.25">
      <c r="A161" s="3">
        <v>241</v>
      </c>
      <c r="B161" s="4" t="str">
        <f t="shared" si="10"/>
        <v>TERMINAL:APPROVE</v>
      </c>
      <c r="C161" s="4" t="str">
        <f t="shared" si="11"/>
        <v>terminal approval</v>
      </c>
      <c r="D161" s="4" t="s">
        <v>5780</v>
      </c>
      <c r="E161" s="5" t="s">
        <v>6420</v>
      </c>
      <c r="F161" s="16" t="str">
        <f t="shared" si="9"/>
        <v>(241,'TERMINAL:APPROVE','terminal approval','TERMINAL','APPROVE'),</v>
      </c>
    </row>
    <row r="162" spans="1:6" ht="20.100000000000001" customHeight="1" x14ac:dyDescent="0.25">
      <c r="A162" s="3">
        <v>242</v>
      </c>
      <c r="B162" s="4" t="str">
        <f t="shared" si="10"/>
        <v>PROCESSING_PLANT:APPROVE</v>
      </c>
      <c r="C162" s="4" t="str">
        <f t="shared" si="11"/>
        <v>processing_plant approval</v>
      </c>
      <c r="D162" s="4" t="s">
        <v>5790</v>
      </c>
      <c r="E162" s="5" t="s">
        <v>6420</v>
      </c>
      <c r="F162" s="16" t="str">
        <f t="shared" si="9"/>
        <v>(242,'PROCESSING_PLANT:APPROVE','processing_plant approval','PROCESSING_PLANT','APPROVE'),</v>
      </c>
    </row>
    <row r="163" spans="1:6" ht="20.100000000000001" customHeight="1" x14ac:dyDescent="0.25">
      <c r="A163" s="3">
        <v>243</v>
      </c>
      <c r="B163" s="4" t="str">
        <f t="shared" si="10"/>
        <v>PRODUCTION_FIELD:APPROVE</v>
      </c>
      <c r="C163" s="4" t="str">
        <f t="shared" si="11"/>
        <v>production_field approval</v>
      </c>
      <c r="D163" s="4" t="s">
        <v>5791</v>
      </c>
      <c r="E163" s="5" t="s">
        <v>6420</v>
      </c>
      <c r="F163" s="16" t="str">
        <f t="shared" si="9"/>
        <v>(243,'PRODUCTION_FIELD:APPROVE','production_field approval','PRODUCTION_FIELD','APPROVE'),</v>
      </c>
    </row>
    <row r="164" spans="1:6" ht="20.100000000000001" customHeight="1" x14ac:dyDescent="0.25">
      <c r="A164" s="3">
        <v>244</v>
      </c>
      <c r="B164" s="4" t="str">
        <f t="shared" si="10"/>
        <v>EQUIPMENT:APPROVE</v>
      </c>
      <c r="C164" s="4" t="str">
        <f t="shared" si="11"/>
        <v>equipment approval</v>
      </c>
      <c r="D164" s="4" t="s">
        <v>5781</v>
      </c>
      <c r="E164" s="5" t="s">
        <v>6420</v>
      </c>
      <c r="F164" s="16" t="str">
        <f t="shared" si="9"/>
        <v>(244,'EQUIPMENT:APPROVE','equipment approval','EQUIPMENT','APPROVE'),</v>
      </c>
    </row>
    <row r="165" spans="1:6" ht="20.100000000000001" customHeight="1" x14ac:dyDescent="0.25">
      <c r="A165" s="3">
        <v>245</v>
      </c>
      <c r="B165" s="4" t="str">
        <f t="shared" si="10"/>
        <v>EVENT_TYPE:APPROVE</v>
      </c>
      <c r="C165" s="4" t="str">
        <f t="shared" si="11"/>
        <v>event_type approval</v>
      </c>
      <c r="D165" s="4" t="s">
        <v>6372</v>
      </c>
      <c r="E165" s="5" t="s">
        <v>6420</v>
      </c>
      <c r="F165" s="16" t="str">
        <f t="shared" si="9"/>
        <v>(245,'EVENT_TYPE:APPROVE','event_type approval','EVENT_TYPE','APPROVE'),</v>
      </c>
    </row>
    <row r="166" spans="1:6" ht="20.100000000000001" customHeight="1" x14ac:dyDescent="0.25">
      <c r="A166" s="3">
        <v>246</v>
      </c>
      <c r="B166" s="4" t="str">
        <f t="shared" si="10"/>
        <v>OPERATION_TYPE:APPROVE</v>
      </c>
      <c r="C166" s="4" t="str">
        <f t="shared" si="11"/>
        <v>operation_type approval</v>
      </c>
      <c r="D166" s="4" t="s">
        <v>6371</v>
      </c>
      <c r="E166" s="5" t="s">
        <v>6420</v>
      </c>
      <c r="F166" s="16" t="str">
        <f t="shared" si="9"/>
        <v>(246,'OPERATION_TYPE:APPROVE','operation_type approval','OPERATION_TYPE','APPROVE'),</v>
      </c>
    </row>
    <row r="167" spans="1:6" ht="20.100000000000001" customHeight="1" x14ac:dyDescent="0.25">
      <c r="A167" s="3">
        <v>247</v>
      </c>
      <c r="B167" s="4" t="str">
        <f t="shared" si="10"/>
        <v>EVENT_STATUS:APPROVE</v>
      </c>
      <c r="C167" s="4" t="str">
        <f t="shared" si="11"/>
        <v>event_status approval</v>
      </c>
      <c r="D167" s="4" t="s">
        <v>6375</v>
      </c>
      <c r="E167" s="5" t="s">
        <v>6420</v>
      </c>
      <c r="F167" s="16" t="str">
        <f t="shared" si="9"/>
        <v>(247,'EVENT_STATUS:APPROVE','event_status approval','EVENT_STATUS','APPROVE'),</v>
      </c>
    </row>
    <row r="168" spans="1:6" ht="20.100000000000001" customHeight="1" x14ac:dyDescent="0.25">
      <c r="A168" s="3">
        <v>248</v>
      </c>
      <c r="B168" s="4" t="str">
        <f t="shared" si="10"/>
        <v>ALERT_STATUS:APPROVE</v>
      </c>
      <c r="C168" s="4" t="str">
        <f t="shared" si="11"/>
        <v>alert_status approval</v>
      </c>
      <c r="D168" s="4" t="s">
        <v>6373</v>
      </c>
      <c r="E168" s="45" t="s">
        <v>6420</v>
      </c>
      <c r="F168" s="16" t="str">
        <f t="shared" si="9"/>
        <v>(248,'ALERT_STATUS:APPROVE','alert_status approval','ALERT_STATUS','APPROVE'),</v>
      </c>
    </row>
    <row r="169" spans="1:6" ht="20.100000000000001" customHeight="1" x14ac:dyDescent="0.25">
      <c r="A169" s="3">
        <v>249</v>
      </c>
      <c r="B169" s="4" t="str">
        <f t="shared" si="10"/>
        <v>SEVERITY:APPROVE</v>
      </c>
      <c r="C169" s="4" t="str">
        <f t="shared" si="11"/>
        <v>severity approval</v>
      </c>
      <c r="D169" s="4" t="s">
        <v>6377</v>
      </c>
      <c r="E169" s="5" t="s">
        <v>6420</v>
      </c>
      <c r="F169" s="16" t="str">
        <f t="shared" si="9"/>
        <v>(249,'SEVERITY:APPROVE','severity approval','SEVERITY','APPROVE'),</v>
      </c>
    </row>
    <row r="170" spans="1:6" ht="20.100000000000001" customHeight="1" x14ac:dyDescent="0.25">
      <c r="A170" s="3">
        <v>250</v>
      </c>
      <c r="B170" s="4" t="str">
        <f t="shared" si="10"/>
        <v>DATA_SOURCE:APPROVE</v>
      </c>
      <c r="C170" s="4" t="str">
        <f t="shared" si="11"/>
        <v>data_source approval</v>
      </c>
      <c r="D170" s="4" t="s">
        <v>6374</v>
      </c>
      <c r="E170" s="5" t="s">
        <v>6420</v>
      </c>
      <c r="F170" s="16" t="str">
        <f t="shared" si="9"/>
        <v>(250,'DATA_SOURCE:APPROVE','data_source approval','DATA_SOURCE','APPROVE'),</v>
      </c>
    </row>
    <row r="171" spans="1:6" ht="20.100000000000001" customHeight="1" x14ac:dyDescent="0.25">
      <c r="A171" s="3">
        <v>251</v>
      </c>
      <c r="B171" s="4" t="str">
        <f t="shared" si="10"/>
        <v>QUALITY_FLAG:APPROVE</v>
      </c>
      <c r="C171" s="4" t="str">
        <f t="shared" si="11"/>
        <v>quality_flag approval</v>
      </c>
      <c r="D171" s="4" t="s">
        <v>6376</v>
      </c>
      <c r="E171" s="5" t="s">
        <v>6420</v>
      </c>
      <c r="F171" s="16" t="str">
        <f t="shared" si="9"/>
        <v>(251,'QUALITY_FLAG:APPROVE','quality_flag approval','QUALITY_FLAG','APPROVE'),</v>
      </c>
    </row>
    <row r="172" spans="1:6" ht="20.100000000000001" customHeight="1" x14ac:dyDescent="0.25">
      <c r="A172" s="3">
        <v>252</v>
      </c>
      <c r="B172" s="4" t="str">
        <f t="shared" si="10"/>
        <v>VALIDATION_STATUS:APPROVE</v>
      </c>
      <c r="C172" s="4" t="str">
        <f t="shared" si="11"/>
        <v>validation_status approval</v>
      </c>
      <c r="D172" s="4" t="s">
        <v>6378</v>
      </c>
      <c r="E172" s="5" t="s">
        <v>6420</v>
      </c>
      <c r="F172" s="16" t="str">
        <f t="shared" si="9"/>
        <v>(252,'VALIDATION_STATUS:APPROVE','validation_status approval','VALIDATION_STATUS','APPROVE'),</v>
      </c>
    </row>
    <row r="173" spans="1:6" ht="20.100000000000001" customHeight="1" x14ac:dyDescent="0.25">
      <c r="A173" s="3">
        <v>253</v>
      </c>
      <c r="B173" s="4" t="str">
        <f t="shared" si="10"/>
        <v>READING_SLOT:APPROVE</v>
      </c>
      <c r="C173" s="4" t="str">
        <f t="shared" si="11"/>
        <v>reading_slot approval</v>
      </c>
      <c r="D173" s="4" t="s">
        <v>6379</v>
      </c>
      <c r="E173" s="5" t="s">
        <v>6420</v>
      </c>
      <c r="F173" s="16" t="str">
        <f t="shared" si="9"/>
        <v>(253,'READING_SLOT:APPROVE','reading_slot approval','READING_SLOT','APPROVE'),</v>
      </c>
    </row>
    <row r="174" spans="1:6" ht="20.100000000000001" customHeight="1" x14ac:dyDescent="0.25">
      <c r="A174" s="3">
        <v>254</v>
      </c>
      <c r="B174" s="4" t="str">
        <f t="shared" si="10"/>
        <v>FLOW_OPERATION:APPROVE</v>
      </c>
      <c r="C174" s="4" t="str">
        <f t="shared" si="11"/>
        <v>flow_operation approval</v>
      </c>
      <c r="D174" s="4" t="s">
        <v>6380</v>
      </c>
      <c r="E174" s="5" t="s">
        <v>6420</v>
      </c>
      <c r="F174" s="16" t="str">
        <f t="shared" si="9"/>
        <v>(254,'FLOW_OPERATION:APPROVE','flow_operation approval','FLOW_OPERATION','APPROVE'),</v>
      </c>
    </row>
    <row r="175" spans="1:6" ht="20.100000000000001" customHeight="1" x14ac:dyDescent="0.25">
      <c r="A175" s="3">
        <v>255</v>
      </c>
      <c r="B175" s="4" t="str">
        <f t="shared" si="10"/>
        <v>FLOW_FORECAST:APPROVE</v>
      </c>
      <c r="C175" s="4" t="str">
        <f t="shared" si="11"/>
        <v>flow_forecast approval</v>
      </c>
      <c r="D175" s="4" t="s">
        <v>6381</v>
      </c>
      <c r="E175" s="5" t="s">
        <v>6420</v>
      </c>
      <c r="F175" s="16" t="str">
        <f t="shared" si="9"/>
        <v>(255,'FLOW_FORECAST:APPROVE','flow_forecast approval','FLOW_FORECAST','APPROVE'),</v>
      </c>
    </row>
    <row r="176" spans="1:6" ht="20.100000000000001" customHeight="1" x14ac:dyDescent="0.25">
      <c r="A176" s="3">
        <v>256</v>
      </c>
      <c r="B176" s="4" t="str">
        <f t="shared" si="10"/>
        <v>FLOW_READING:APPROVE</v>
      </c>
      <c r="C176" s="4" t="str">
        <f t="shared" si="11"/>
        <v>flow_reading approval</v>
      </c>
      <c r="D176" s="4" t="s">
        <v>6382</v>
      </c>
      <c r="E176" s="5" t="s">
        <v>6420</v>
      </c>
      <c r="F176" s="16" t="str">
        <f t="shared" si="9"/>
        <v>(256,'FLOW_READING:APPROVE','flow_reading approval','FLOW_READING','APPROVE'),</v>
      </c>
    </row>
    <row r="177" spans="1:6" ht="20.100000000000001" customHeight="1" x14ac:dyDescent="0.25">
      <c r="A177" s="3">
        <v>257</v>
      </c>
      <c r="B177" s="4" t="str">
        <f t="shared" si="10"/>
        <v>FLOW_EVENT:APPROVE</v>
      </c>
      <c r="C177" s="4" t="str">
        <f t="shared" si="11"/>
        <v>flow_event approval</v>
      </c>
      <c r="D177" s="4" t="s">
        <v>6385</v>
      </c>
      <c r="E177" s="5" t="s">
        <v>6420</v>
      </c>
      <c r="F177" s="16" t="str">
        <f t="shared" si="9"/>
        <v>(257,'FLOW_EVENT:APPROVE','flow_event approval','FLOW_EVENT','APPROVE'),</v>
      </c>
    </row>
    <row r="178" spans="1:6" ht="20.100000000000001" customHeight="1" x14ac:dyDescent="0.25">
      <c r="A178" s="3">
        <v>258</v>
      </c>
      <c r="B178" s="4" t="str">
        <f t="shared" si="10"/>
        <v>FLOW_ALERT:APPROVE</v>
      </c>
      <c r="C178" s="4" t="str">
        <f t="shared" si="11"/>
        <v>flow_alert approval</v>
      </c>
      <c r="D178" s="4" t="s">
        <v>6384</v>
      </c>
      <c r="E178" s="5" t="s">
        <v>6420</v>
      </c>
      <c r="F178" s="16" t="str">
        <f t="shared" si="9"/>
        <v>(258,'FLOW_ALERT:APPROVE','flow_alert approval','FLOW_ALERT','APPROVE'),</v>
      </c>
    </row>
    <row r="179" spans="1:6" ht="20.100000000000001" customHeight="1" x14ac:dyDescent="0.25">
      <c r="A179" s="3">
        <v>259</v>
      </c>
      <c r="B179" s="4" t="str">
        <f t="shared" si="10"/>
        <v>FLOW_THRESHOLD:APPROVE</v>
      </c>
      <c r="C179" s="4" t="str">
        <f t="shared" si="11"/>
        <v>flow_threshold approval</v>
      </c>
      <c r="D179" s="4" t="s">
        <v>6383</v>
      </c>
      <c r="E179" s="5" t="s">
        <v>6420</v>
      </c>
      <c r="F179" s="16" t="str">
        <f t="shared" si="9"/>
        <v>(259,'FLOW_THRESHOLD:APPROVE','flow_threshold approval','FLOW_THRESHOLD','APPROVE'),</v>
      </c>
    </row>
    <row r="180" spans="1:6" ht="20.100000000000001" customHeight="1" x14ac:dyDescent="0.25">
      <c r="A180" s="3">
        <v>301</v>
      </c>
      <c r="B180" s="4" t="str">
        <f t="shared" si="10"/>
        <v>PARAMETER:DELETE</v>
      </c>
      <c r="C180" s="4" t="str">
        <f t="shared" ref="C180:C211" si="12">CONCATENATE(LOWER(D180)," delete")</f>
        <v>parameter delete</v>
      </c>
      <c r="D180" s="4" t="s">
        <v>6368</v>
      </c>
      <c r="E180" s="5" t="s">
        <v>6421</v>
      </c>
      <c r="F180" s="16" t="str">
        <f t="shared" si="9"/>
        <v>(301,'PARAMETER:DELETE','parameter delete','PARAMETER','DELETE'),</v>
      </c>
    </row>
    <row r="181" spans="1:6" ht="20.100000000000001" customHeight="1" x14ac:dyDescent="0.25">
      <c r="A181" s="3">
        <v>302</v>
      </c>
      <c r="B181" s="4" t="str">
        <f t="shared" si="10"/>
        <v>FILE:DELETE</v>
      </c>
      <c r="C181" s="4" t="str">
        <f t="shared" si="12"/>
        <v>file delete</v>
      </c>
      <c r="D181" s="4" t="s">
        <v>6369</v>
      </c>
      <c r="E181" s="5" t="s">
        <v>6421</v>
      </c>
      <c r="F181" s="16" t="str">
        <f t="shared" si="9"/>
        <v>(302,'FILE:DELETE','file delete','FILE','DELETE'),</v>
      </c>
    </row>
    <row r="182" spans="1:6" ht="20.100000000000001" customHeight="1" x14ac:dyDescent="0.25">
      <c r="A182" s="3">
        <v>303</v>
      </c>
      <c r="B182" s="4" t="str">
        <f t="shared" si="10"/>
        <v>GROUP:DELETE</v>
      </c>
      <c r="C182" s="4" t="str">
        <f t="shared" si="12"/>
        <v>group delete</v>
      </c>
      <c r="D182" s="4" t="s">
        <v>5745</v>
      </c>
      <c r="E182" s="5" t="s">
        <v>6421</v>
      </c>
      <c r="F182" s="16" t="str">
        <f t="shared" si="9"/>
        <v>(303,'GROUP:DELETE','group delete','GROUP','DELETE'),</v>
      </c>
    </row>
    <row r="183" spans="1:6" ht="20.100000000000001" customHeight="1" x14ac:dyDescent="0.25">
      <c r="A183" s="3">
        <v>304</v>
      </c>
      <c r="B183" s="4" t="str">
        <f t="shared" si="10"/>
        <v>USER:DELETE</v>
      </c>
      <c r="C183" s="4" t="str">
        <f t="shared" si="12"/>
        <v>user delete</v>
      </c>
      <c r="D183" s="4" t="s">
        <v>5746</v>
      </c>
      <c r="E183" s="5" t="s">
        <v>6421</v>
      </c>
      <c r="F183" s="16" t="str">
        <f t="shared" si="9"/>
        <v>(304,'USER:DELETE','user delete','USER','DELETE'),</v>
      </c>
    </row>
    <row r="184" spans="1:6" ht="20.100000000000001" customHeight="1" x14ac:dyDescent="0.25">
      <c r="A184" s="3">
        <v>305</v>
      </c>
      <c r="B184" s="4" t="str">
        <f t="shared" si="10"/>
        <v>ROLE:DELETE</v>
      </c>
      <c r="C184" s="4" t="str">
        <f t="shared" si="12"/>
        <v>role delete</v>
      </c>
      <c r="D184" s="4" t="s">
        <v>5747</v>
      </c>
      <c r="E184" s="5" t="s">
        <v>6421</v>
      </c>
      <c r="F184" s="16" t="str">
        <f t="shared" si="9"/>
        <v>(305,'ROLE:DELETE','role delete','ROLE','DELETE'),</v>
      </c>
    </row>
    <row r="185" spans="1:6" ht="20.100000000000001" customHeight="1" x14ac:dyDescent="0.25">
      <c r="A185" s="3">
        <v>306</v>
      </c>
      <c r="B185" s="4" t="str">
        <f t="shared" si="10"/>
        <v>PERMISSION:DELETE</v>
      </c>
      <c r="C185" s="4" t="str">
        <f t="shared" si="12"/>
        <v>permission delete</v>
      </c>
      <c r="D185" s="4" t="s">
        <v>5748</v>
      </c>
      <c r="E185" s="5" t="s">
        <v>6421</v>
      </c>
      <c r="F185" s="16" t="str">
        <f t="shared" si="9"/>
        <v>(306,'PERMISSION:DELETE','permission delete','PERMISSION','DELETE'),</v>
      </c>
    </row>
    <row r="186" spans="1:6" ht="20.100000000000001" customHeight="1" x14ac:dyDescent="0.25">
      <c r="A186" s="3">
        <v>307</v>
      </c>
      <c r="B186" s="4" t="str">
        <f t="shared" si="10"/>
        <v>AUTHORITY:DELETE</v>
      </c>
      <c r="C186" s="4" t="str">
        <f t="shared" si="12"/>
        <v>authority delete</v>
      </c>
      <c r="D186" s="4" t="s">
        <v>5749</v>
      </c>
      <c r="E186" s="5" t="s">
        <v>6421</v>
      </c>
      <c r="F186" s="16" t="str">
        <f t="shared" si="9"/>
        <v>(307,'AUTHORITY:DELETE','authority delete','AUTHORITY','DELETE'),</v>
      </c>
    </row>
    <row r="187" spans="1:6" ht="20.100000000000001" customHeight="1" x14ac:dyDescent="0.25">
      <c r="A187" s="3">
        <v>308</v>
      </c>
      <c r="B187" s="4" t="str">
        <f t="shared" si="10"/>
        <v>AUDIT:DELETE</v>
      </c>
      <c r="C187" s="4" t="str">
        <f t="shared" si="12"/>
        <v>audit delete</v>
      </c>
      <c r="D187" s="4" t="s">
        <v>5750</v>
      </c>
      <c r="E187" s="5" t="s">
        <v>6421</v>
      </c>
      <c r="F187" s="16" t="str">
        <f t="shared" si="9"/>
        <v>(308,'AUDIT:DELETE','audit delete','AUDIT','DELETE'),</v>
      </c>
    </row>
    <row r="188" spans="1:6" ht="20.100000000000001" customHeight="1" x14ac:dyDescent="0.25">
      <c r="A188" s="3">
        <v>309</v>
      </c>
      <c r="B188" s="4" t="str">
        <f t="shared" si="10"/>
        <v>STRUCTURE_TYPE:DELETE</v>
      </c>
      <c r="C188" s="4" t="str">
        <f t="shared" si="12"/>
        <v>structure_type delete</v>
      </c>
      <c r="D188" s="4" t="s">
        <v>5755</v>
      </c>
      <c r="E188" s="5" t="s">
        <v>6421</v>
      </c>
      <c r="F188" s="16" t="str">
        <f t="shared" si="9"/>
        <v>(309,'STRUCTURE_TYPE:DELETE','structure_type delete','STRUCTURE_TYPE','DELETE'),</v>
      </c>
    </row>
    <row r="189" spans="1:6" ht="20.100000000000001" customHeight="1" x14ac:dyDescent="0.25">
      <c r="A189" s="3">
        <v>310</v>
      </c>
      <c r="B189" s="4" t="str">
        <f t="shared" si="10"/>
        <v>ZONE:DELETE</v>
      </c>
      <c r="C189" s="4" t="str">
        <f t="shared" si="12"/>
        <v>zone delete</v>
      </c>
      <c r="D189" s="4" t="s">
        <v>5767</v>
      </c>
      <c r="E189" s="5" t="s">
        <v>6421</v>
      </c>
      <c r="F189" s="16" t="str">
        <f t="shared" si="9"/>
        <v>(310,'ZONE:DELETE','zone delete','ZONE','DELETE'),</v>
      </c>
    </row>
    <row r="190" spans="1:6" ht="20.100000000000001" customHeight="1" x14ac:dyDescent="0.25">
      <c r="A190" s="3">
        <v>311</v>
      </c>
      <c r="B190" s="4" t="str">
        <f t="shared" si="10"/>
        <v>COUNTRY:DELETE</v>
      </c>
      <c r="C190" s="4" t="str">
        <f t="shared" si="12"/>
        <v>country delete</v>
      </c>
      <c r="D190" s="4" t="s">
        <v>5752</v>
      </c>
      <c r="E190" s="5" t="s">
        <v>6421</v>
      </c>
      <c r="F190" s="16" t="str">
        <f t="shared" si="9"/>
        <v>(311,'COUNTRY:DELETE','country delete','COUNTRY','DELETE'),</v>
      </c>
    </row>
    <row r="191" spans="1:6" ht="20.100000000000001" customHeight="1" x14ac:dyDescent="0.25">
      <c r="A191" s="3">
        <v>312</v>
      </c>
      <c r="B191" s="4" t="str">
        <f t="shared" ref="B191:B249" si="13">CONCATENATE(D191,":",E191)</f>
        <v>STATE:DELETE</v>
      </c>
      <c r="C191" s="4" t="str">
        <f t="shared" si="12"/>
        <v>state delete</v>
      </c>
      <c r="D191" s="4" t="s">
        <v>5753</v>
      </c>
      <c r="E191" s="5" t="s">
        <v>6421</v>
      </c>
      <c r="F191" s="16" t="str">
        <f t="shared" si="9"/>
        <v>(312,'STATE:DELETE','state delete','STATE','DELETE'),</v>
      </c>
    </row>
    <row r="192" spans="1:6" ht="20.100000000000001" customHeight="1" x14ac:dyDescent="0.25">
      <c r="A192" s="3">
        <v>313</v>
      </c>
      <c r="B192" s="4" t="str">
        <f t="shared" si="13"/>
        <v>DISTRICT:DELETE</v>
      </c>
      <c r="C192" s="4" t="str">
        <f t="shared" si="12"/>
        <v>district delete</v>
      </c>
      <c r="D192" s="4" t="s">
        <v>5787</v>
      </c>
      <c r="E192" s="5" t="s">
        <v>6421</v>
      </c>
      <c r="F192" s="16" t="str">
        <f t="shared" si="9"/>
        <v>(313,'DISTRICT:DELETE','district delete','DISTRICT','DELETE'),</v>
      </c>
    </row>
    <row r="193" spans="1:6" ht="20.100000000000001" customHeight="1" x14ac:dyDescent="0.25">
      <c r="A193" s="3">
        <v>314</v>
      </c>
      <c r="B193" s="4" t="str">
        <f t="shared" si="13"/>
        <v>LOCALITY:DELETE</v>
      </c>
      <c r="C193" s="4" t="str">
        <f t="shared" si="12"/>
        <v>locality delete</v>
      </c>
      <c r="D193" s="4" t="s">
        <v>5754</v>
      </c>
      <c r="E193" s="5" t="s">
        <v>6421</v>
      </c>
      <c r="F193" s="16" t="str">
        <f t="shared" si="9"/>
        <v>(314,'LOCALITY:DELETE','locality delete','LOCALITY','DELETE'),</v>
      </c>
    </row>
    <row r="194" spans="1:6" ht="20.100000000000001" customHeight="1" x14ac:dyDescent="0.25">
      <c r="A194" s="3">
        <v>315</v>
      </c>
      <c r="B194" s="4" t="str">
        <f t="shared" si="13"/>
        <v>LOCATION:DELETE</v>
      </c>
      <c r="C194" s="4" t="str">
        <f t="shared" si="12"/>
        <v>location delete</v>
      </c>
      <c r="D194" s="4" t="s">
        <v>5768</v>
      </c>
      <c r="E194" s="5" t="s">
        <v>6421</v>
      </c>
      <c r="F194" s="16" t="str">
        <f t="shared" si="9"/>
        <v>(315,'LOCATION:DELETE','location delete','LOCATION','DELETE'),</v>
      </c>
    </row>
    <row r="195" spans="1:6" ht="20.100000000000001" customHeight="1" x14ac:dyDescent="0.25">
      <c r="A195" s="3">
        <v>316</v>
      </c>
      <c r="B195" s="4" t="str">
        <f t="shared" si="13"/>
        <v>COORDINATE:DELETE</v>
      </c>
      <c r="C195" s="4" t="str">
        <f t="shared" si="12"/>
        <v>coordinate delete</v>
      </c>
      <c r="D195" s="4" t="s">
        <v>6370</v>
      </c>
      <c r="E195" s="5" t="s">
        <v>6421</v>
      </c>
      <c r="F195" s="16" t="str">
        <f t="shared" ref="F195:F258" si="14">CONCATENATE("(",A195,",'",B195,"','",C195,"','",D195,"','",E195,"'),")</f>
        <v>(316,'COORDINATE:DELETE','coordinate delete','COORDINATE','DELETE'),</v>
      </c>
    </row>
    <row r="196" spans="1:6" ht="20.100000000000001" customHeight="1" x14ac:dyDescent="0.25">
      <c r="A196" s="3">
        <v>317</v>
      </c>
      <c r="B196" s="4" t="str">
        <f t="shared" si="13"/>
        <v>STRUCTURE:DELETE</v>
      </c>
      <c r="C196" s="4" t="str">
        <f t="shared" si="12"/>
        <v>structure delete</v>
      </c>
      <c r="D196" s="4" t="s">
        <v>5756</v>
      </c>
      <c r="E196" s="5" t="s">
        <v>6421</v>
      </c>
      <c r="F196" s="16" t="str">
        <f t="shared" si="14"/>
        <v>(317,'STRUCTURE:DELETE','structure delete','STRUCTURE','DELETE'),</v>
      </c>
    </row>
    <row r="197" spans="1:6" ht="20.100000000000001" customHeight="1" x14ac:dyDescent="0.25">
      <c r="A197" s="3">
        <v>318</v>
      </c>
      <c r="B197" s="4" t="str">
        <f t="shared" si="13"/>
        <v>JOB:DELETE</v>
      </c>
      <c r="C197" s="4" t="str">
        <f t="shared" si="12"/>
        <v>job delete</v>
      </c>
      <c r="D197" s="4" t="s">
        <v>5757</v>
      </c>
      <c r="E197" s="5" t="s">
        <v>6421</v>
      </c>
      <c r="F197" s="16" t="str">
        <f t="shared" si="14"/>
        <v>(318,'JOB:DELETE','job delete','JOB','DELETE'),</v>
      </c>
    </row>
    <row r="198" spans="1:6" ht="20.100000000000001" customHeight="1" x14ac:dyDescent="0.25">
      <c r="A198" s="3">
        <v>319</v>
      </c>
      <c r="B198" s="4" t="str">
        <f t="shared" si="13"/>
        <v>PERSON:DELETE</v>
      </c>
      <c r="C198" s="4" t="str">
        <f t="shared" si="12"/>
        <v>person delete</v>
      </c>
      <c r="D198" s="4" t="s">
        <v>5758</v>
      </c>
      <c r="E198" s="5" t="s">
        <v>6421</v>
      </c>
      <c r="F198" s="16" t="str">
        <f t="shared" si="14"/>
        <v>(319,'PERSON:DELETE','person delete','PERSON','DELETE'),</v>
      </c>
    </row>
    <row r="199" spans="1:6" ht="20.100000000000001" customHeight="1" x14ac:dyDescent="0.25">
      <c r="A199" s="3">
        <v>320</v>
      </c>
      <c r="B199" s="4" t="str">
        <f t="shared" si="13"/>
        <v>EMPLOYEE:DELETE</v>
      </c>
      <c r="C199" s="4" t="str">
        <f t="shared" si="12"/>
        <v>employee delete</v>
      </c>
      <c r="D199" s="4" t="s">
        <v>5759</v>
      </c>
      <c r="E199" s="5" t="s">
        <v>6421</v>
      </c>
      <c r="F199" s="16" t="str">
        <f t="shared" si="14"/>
        <v>(320,'EMPLOYEE:DELETE','employee delete','EMPLOYEE','DELETE'),</v>
      </c>
    </row>
    <row r="200" spans="1:6" ht="20.100000000000001" customHeight="1" x14ac:dyDescent="0.25">
      <c r="A200" s="3">
        <v>321</v>
      </c>
      <c r="B200" s="4" t="str">
        <f t="shared" si="13"/>
        <v>COMPANY_TYPE:DELETE</v>
      </c>
      <c r="C200" s="4" t="str">
        <f t="shared" si="12"/>
        <v>company_type delete</v>
      </c>
      <c r="D200" s="4" t="s">
        <v>5760</v>
      </c>
      <c r="E200" s="5" t="s">
        <v>6421</v>
      </c>
      <c r="F200" s="16" t="str">
        <f t="shared" si="14"/>
        <v>(321,'COMPANY_TYPE:DELETE','company_type delete','COMPANY_TYPE','DELETE'),</v>
      </c>
    </row>
    <row r="201" spans="1:6" ht="20.100000000000001" customHeight="1" x14ac:dyDescent="0.25">
      <c r="A201" s="3">
        <v>322</v>
      </c>
      <c r="B201" s="4" t="str">
        <f t="shared" si="13"/>
        <v>PARTNER_TYPE:DELETE</v>
      </c>
      <c r="C201" s="4" t="str">
        <f t="shared" si="12"/>
        <v>partner_type delete</v>
      </c>
      <c r="D201" s="4" t="s">
        <v>5761</v>
      </c>
      <c r="E201" s="5" t="s">
        <v>6421</v>
      </c>
      <c r="F201" s="16" t="str">
        <f t="shared" si="14"/>
        <v>(322,'PARTNER_TYPE:DELETE','partner_type delete','PARTNER_TYPE','DELETE'),</v>
      </c>
    </row>
    <row r="202" spans="1:6" ht="20.100000000000001" customHeight="1" x14ac:dyDescent="0.25">
      <c r="A202" s="3">
        <v>323</v>
      </c>
      <c r="B202" s="4" t="str">
        <f t="shared" si="13"/>
        <v>VENDOR_TYPE:DELETE</v>
      </c>
      <c r="C202" s="4" t="str">
        <f t="shared" si="12"/>
        <v>vendor_type delete</v>
      </c>
      <c r="D202" s="4" t="s">
        <v>5762</v>
      </c>
      <c r="E202" s="5" t="s">
        <v>6421</v>
      </c>
      <c r="F202" s="16" t="str">
        <f t="shared" si="14"/>
        <v>(323,'VENDOR_TYPE:DELETE','vendor_type delete','VENDOR_TYPE','DELETE'),</v>
      </c>
    </row>
    <row r="203" spans="1:6" ht="20.100000000000001" customHeight="1" x14ac:dyDescent="0.25">
      <c r="A203" s="3">
        <v>324</v>
      </c>
      <c r="B203" s="4" t="str">
        <f t="shared" si="13"/>
        <v>FACILITY_TYPE:DELETE</v>
      </c>
      <c r="C203" s="4" t="str">
        <f t="shared" si="12"/>
        <v>facility_type delete</v>
      </c>
      <c r="D203" s="4" t="s">
        <v>5763</v>
      </c>
      <c r="E203" s="5" t="s">
        <v>6421</v>
      </c>
      <c r="F203" s="16" t="str">
        <f t="shared" si="14"/>
        <v>(324,'FACILITY_TYPE:DELETE','facility_type delete','FACILITY_TYPE','DELETE'),</v>
      </c>
    </row>
    <row r="204" spans="1:6" ht="20.100000000000001" customHeight="1" x14ac:dyDescent="0.25">
      <c r="A204" s="3">
        <v>325</v>
      </c>
      <c r="B204" s="4" t="str">
        <f t="shared" si="13"/>
        <v>STATION_TYPE:DELETE</v>
      </c>
      <c r="C204" s="4" t="str">
        <f t="shared" si="12"/>
        <v>station_type delete</v>
      </c>
      <c r="D204" s="4" t="s">
        <v>5764</v>
      </c>
      <c r="E204" s="5" t="s">
        <v>6421</v>
      </c>
      <c r="F204" s="16" t="str">
        <f t="shared" si="14"/>
        <v>(325,'STATION_TYPE:DELETE','station_type delete','STATION_TYPE','DELETE'),</v>
      </c>
    </row>
    <row r="205" spans="1:6" ht="20.100000000000001" customHeight="1" x14ac:dyDescent="0.25">
      <c r="A205" s="3">
        <v>326</v>
      </c>
      <c r="B205" s="4" t="str">
        <f t="shared" si="13"/>
        <v>TERMINAL_TYPE:DELETE</v>
      </c>
      <c r="C205" s="4" t="str">
        <f t="shared" si="12"/>
        <v>terminal_type delete</v>
      </c>
      <c r="D205" s="4" t="s">
        <v>5765</v>
      </c>
      <c r="E205" s="5" t="s">
        <v>6421</v>
      </c>
      <c r="F205" s="16" t="str">
        <f t="shared" si="14"/>
        <v>(326,'TERMINAL_TYPE:DELETE','terminal_type delete','TERMINAL_TYPE','DELETE'),</v>
      </c>
    </row>
    <row r="206" spans="1:6" ht="20.100000000000001" customHeight="1" x14ac:dyDescent="0.25">
      <c r="A206" s="3">
        <v>327</v>
      </c>
      <c r="B206" s="4" t="str">
        <f t="shared" si="13"/>
        <v>PROCESSING_PLANT_TYPE:DELETE</v>
      </c>
      <c r="C206" s="4" t="str">
        <f t="shared" si="12"/>
        <v>processing_plant_type delete</v>
      </c>
      <c r="D206" s="4" t="s">
        <v>5788</v>
      </c>
      <c r="E206" s="5" t="s">
        <v>6421</v>
      </c>
      <c r="F206" s="16" t="str">
        <f t="shared" si="14"/>
        <v>(327,'PROCESSING_PLANT_TYPE:DELETE','processing_plant_type delete','PROCESSING_PLANT_TYPE','DELETE'),</v>
      </c>
    </row>
    <row r="207" spans="1:6" ht="20.100000000000001" customHeight="1" x14ac:dyDescent="0.25">
      <c r="A207" s="3">
        <v>328</v>
      </c>
      <c r="B207" s="4" t="str">
        <f t="shared" si="13"/>
        <v>PRODUCTION_FIELD_TYPE:DELETE</v>
      </c>
      <c r="C207" s="4" t="str">
        <f t="shared" si="12"/>
        <v>production_field_type delete</v>
      </c>
      <c r="D207" s="4" t="s">
        <v>5789</v>
      </c>
      <c r="E207" s="5" t="s">
        <v>6421</v>
      </c>
      <c r="F207" s="16" t="str">
        <f t="shared" si="14"/>
        <v>(328,'PRODUCTION_FIELD_TYPE:DELETE','production_field_type delete','PRODUCTION_FIELD_TYPE','DELETE'),</v>
      </c>
    </row>
    <row r="208" spans="1:6" ht="20.100000000000001" customHeight="1" x14ac:dyDescent="0.25">
      <c r="A208" s="3">
        <v>329</v>
      </c>
      <c r="B208" s="4" t="str">
        <f t="shared" si="13"/>
        <v>EQUIPMENT_TYPE:DELETE</v>
      </c>
      <c r="C208" s="4" t="str">
        <f t="shared" si="12"/>
        <v>equipment_type delete</v>
      </c>
      <c r="D208" s="4" t="s">
        <v>5766</v>
      </c>
      <c r="E208" s="5" t="s">
        <v>6421</v>
      </c>
      <c r="F208" s="16" t="str">
        <f t="shared" si="14"/>
        <v>(329,'EQUIPMENT_TYPE:DELETE','equipment_type delete','EQUIPMENT_TYPE','DELETE'),</v>
      </c>
    </row>
    <row r="209" spans="1:6" ht="20.100000000000001" customHeight="1" x14ac:dyDescent="0.25">
      <c r="A209" s="3">
        <v>330</v>
      </c>
      <c r="B209" s="4" t="str">
        <f t="shared" si="13"/>
        <v>PRODUCT:DELETE</v>
      </c>
      <c r="C209" s="4" t="str">
        <f t="shared" si="12"/>
        <v>product delete</v>
      </c>
      <c r="D209" s="4" t="s">
        <v>5769</v>
      </c>
      <c r="E209" s="5" t="s">
        <v>6421</v>
      </c>
      <c r="F209" s="16" t="str">
        <f t="shared" si="14"/>
        <v>(330,'PRODUCT:DELETE','product delete','PRODUCT','DELETE'),</v>
      </c>
    </row>
    <row r="210" spans="1:6" ht="20.100000000000001" customHeight="1" x14ac:dyDescent="0.25">
      <c r="A210" s="3">
        <v>331</v>
      </c>
      <c r="B210" s="4" t="str">
        <f t="shared" si="13"/>
        <v>OPERATIONAL_STATUS:DELETE</v>
      </c>
      <c r="C210" s="4" t="str">
        <f t="shared" si="12"/>
        <v>operational_status delete</v>
      </c>
      <c r="D210" s="4" t="s">
        <v>5770</v>
      </c>
      <c r="E210" s="5" t="s">
        <v>6421</v>
      </c>
      <c r="F210" s="16" t="str">
        <f t="shared" si="14"/>
        <v>(331,'OPERATIONAL_STATUS:DELETE','operational_status delete','OPERATIONAL_STATUS','DELETE'),</v>
      </c>
    </row>
    <row r="211" spans="1:6" ht="20.100000000000001" customHeight="1" x14ac:dyDescent="0.25">
      <c r="A211" s="3">
        <v>332</v>
      </c>
      <c r="B211" s="4" t="str">
        <f t="shared" si="13"/>
        <v>ALLOY:DELETE</v>
      </c>
      <c r="C211" s="4" t="str">
        <f t="shared" si="12"/>
        <v>alloy delete</v>
      </c>
      <c r="D211" s="4" t="s">
        <v>5771</v>
      </c>
      <c r="E211" s="5" t="s">
        <v>6421</v>
      </c>
      <c r="F211" s="16" t="str">
        <f t="shared" si="14"/>
        <v>(332,'ALLOY:DELETE','alloy delete','ALLOY','DELETE'),</v>
      </c>
    </row>
    <row r="212" spans="1:6" ht="20.100000000000001" customHeight="1" x14ac:dyDescent="0.25">
      <c r="A212" s="3">
        <v>333</v>
      </c>
      <c r="B212" s="4" t="str">
        <f t="shared" si="13"/>
        <v>PARTNER:DELETE</v>
      </c>
      <c r="C212" s="4" t="str">
        <f t="shared" ref="C212:C238" si="15">CONCATENATE(LOWER(D212)," delete")</f>
        <v>partner delete</v>
      </c>
      <c r="D212" s="4" t="s">
        <v>5772</v>
      </c>
      <c r="E212" s="5" t="s">
        <v>6421</v>
      </c>
      <c r="F212" s="16" t="str">
        <f t="shared" si="14"/>
        <v>(333,'PARTNER:DELETE','partner delete','PARTNER','DELETE'),</v>
      </c>
    </row>
    <row r="213" spans="1:6" ht="20.100000000000001" customHeight="1" x14ac:dyDescent="0.25">
      <c r="A213" s="3">
        <v>334</v>
      </c>
      <c r="B213" s="4" t="str">
        <f t="shared" si="13"/>
        <v>VENDOR:DELETE</v>
      </c>
      <c r="C213" s="4" t="str">
        <f t="shared" si="15"/>
        <v>vendor delete</v>
      </c>
      <c r="D213" s="4" t="s">
        <v>5773</v>
      </c>
      <c r="E213" s="5" t="s">
        <v>6421</v>
      </c>
      <c r="F213" s="16" t="str">
        <f t="shared" si="14"/>
        <v>(334,'VENDOR:DELETE','vendor delete','VENDOR','DELETE'),</v>
      </c>
    </row>
    <row r="214" spans="1:6" ht="20.100000000000001" customHeight="1" x14ac:dyDescent="0.25">
      <c r="A214" s="3">
        <v>335</v>
      </c>
      <c r="B214" s="4" t="str">
        <f t="shared" si="13"/>
        <v>INFRASTRUCTURE:DELETE</v>
      </c>
      <c r="C214" s="4" t="str">
        <f t="shared" si="15"/>
        <v>infrastructure delete</v>
      </c>
      <c r="D214" s="4" t="s">
        <v>5774</v>
      </c>
      <c r="E214" s="5" t="s">
        <v>6421</v>
      </c>
      <c r="F214" s="16" t="str">
        <f t="shared" si="14"/>
        <v>(335,'INFRASTRUCTURE:DELETE','infrastructure delete','INFRASTRUCTURE','DELETE'),</v>
      </c>
    </row>
    <row r="215" spans="1:6" ht="20.100000000000001" customHeight="1" x14ac:dyDescent="0.25">
      <c r="A215" s="3">
        <v>336</v>
      </c>
      <c r="B215" s="4" t="str">
        <f t="shared" si="13"/>
        <v>FACILITY:DELETE</v>
      </c>
      <c r="C215" s="4" t="str">
        <f t="shared" si="15"/>
        <v>facility delete</v>
      </c>
      <c r="D215" s="4" t="s">
        <v>5775</v>
      </c>
      <c r="E215" s="5" t="s">
        <v>6421</v>
      </c>
      <c r="F215" s="16" t="str">
        <f t="shared" si="14"/>
        <v>(336,'FACILITY:DELETE','facility delete','FACILITY','DELETE'),</v>
      </c>
    </row>
    <row r="216" spans="1:6" ht="20.100000000000001" customHeight="1" x14ac:dyDescent="0.25">
      <c r="A216" s="3">
        <v>337</v>
      </c>
      <c r="B216" s="4" t="str">
        <f t="shared" si="13"/>
        <v>PIPELINE_SYSTEM:DELETE</v>
      </c>
      <c r="C216" s="4" t="str">
        <f t="shared" si="15"/>
        <v>pipeline_system delete</v>
      </c>
      <c r="D216" s="4" t="s">
        <v>5776</v>
      </c>
      <c r="E216" s="5" t="s">
        <v>6421</v>
      </c>
      <c r="F216" s="16" t="str">
        <f t="shared" si="14"/>
        <v>(337,'PIPELINE_SYSTEM:DELETE','pipeline_system delete','PIPELINE_SYSTEM','DELETE'),</v>
      </c>
    </row>
    <row r="217" spans="1:6" ht="20.100000000000001" customHeight="1" x14ac:dyDescent="0.25">
      <c r="A217" s="3">
        <v>338</v>
      </c>
      <c r="B217" s="4" t="str">
        <f t="shared" si="13"/>
        <v>PIPELINE:DELETE</v>
      </c>
      <c r="C217" s="4" t="str">
        <f t="shared" si="15"/>
        <v>pipeline delete</v>
      </c>
      <c r="D217" s="4" t="s">
        <v>5777</v>
      </c>
      <c r="E217" s="5" t="s">
        <v>6421</v>
      </c>
      <c r="F217" s="16" t="str">
        <f t="shared" si="14"/>
        <v>(338,'PIPELINE:DELETE','pipeline delete','PIPELINE','DELETE'),</v>
      </c>
    </row>
    <row r="218" spans="1:6" ht="20.100000000000001" customHeight="1" x14ac:dyDescent="0.25">
      <c r="A218" s="3">
        <v>339</v>
      </c>
      <c r="B218" s="4" t="str">
        <f t="shared" si="13"/>
        <v>PIPELINE_SEGMENT:DELETE</v>
      </c>
      <c r="C218" s="4" t="str">
        <f t="shared" si="15"/>
        <v>pipeline_segment delete</v>
      </c>
      <c r="D218" s="4" t="s">
        <v>5778</v>
      </c>
      <c r="E218" s="5" t="s">
        <v>6421</v>
      </c>
      <c r="F218" s="16" t="str">
        <f t="shared" si="14"/>
        <v>(339,'PIPELINE_SEGMENT:DELETE','pipeline_segment delete','PIPELINE_SEGMENT','DELETE'),</v>
      </c>
    </row>
    <row r="219" spans="1:6" ht="20.100000000000001" customHeight="1" x14ac:dyDescent="0.25">
      <c r="A219" s="3">
        <v>340</v>
      </c>
      <c r="B219" s="4" t="str">
        <f t="shared" si="13"/>
        <v>STATION:DELETE</v>
      </c>
      <c r="C219" s="4" t="str">
        <f t="shared" si="15"/>
        <v>station delete</v>
      </c>
      <c r="D219" s="4" t="s">
        <v>5779</v>
      </c>
      <c r="E219" s="5" t="s">
        <v>6421</v>
      </c>
      <c r="F219" s="16" t="str">
        <f t="shared" si="14"/>
        <v>(340,'STATION:DELETE','station delete','STATION','DELETE'),</v>
      </c>
    </row>
    <row r="220" spans="1:6" ht="20.100000000000001" customHeight="1" x14ac:dyDescent="0.25">
      <c r="A220" s="3">
        <v>341</v>
      </c>
      <c r="B220" s="4" t="str">
        <f t="shared" si="13"/>
        <v>TERMINAL:DELETE</v>
      </c>
      <c r="C220" s="4" t="str">
        <f t="shared" si="15"/>
        <v>terminal delete</v>
      </c>
      <c r="D220" s="4" t="s">
        <v>5780</v>
      </c>
      <c r="E220" s="5" t="s">
        <v>6421</v>
      </c>
      <c r="F220" s="16" t="str">
        <f t="shared" si="14"/>
        <v>(341,'TERMINAL:DELETE','terminal delete','TERMINAL','DELETE'),</v>
      </c>
    </row>
    <row r="221" spans="1:6" ht="20.100000000000001" customHeight="1" x14ac:dyDescent="0.25">
      <c r="A221" s="3">
        <v>342</v>
      </c>
      <c r="B221" s="4" t="str">
        <f t="shared" si="13"/>
        <v>PROCESSING_PLANT:DELETE</v>
      </c>
      <c r="C221" s="4" t="str">
        <f t="shared" si="15"/>
        <v>processing_plant delete</v>
      </c>
      <c r="D221" s="4" t="s">
        <v>5790</v>
      </c>
      <c r="E221" s="5" t="s">
        <v>6421</v>
      </c>
      <c r="F221" s="16" t="str">
        <f t="shared" si="14"/>
        <v>(342,'PROCESSING_PLANT:DELETE','processing_plant delete','PROCESSING_PLANT','DELETE'),</v>
      </c>
    </row>
    <row r="222" spans="1:6" ht="20.100000000000001" customHeight="1" x14ac:dyDescent="0.25">
      <c r="A222" s="3">
        <v>343</v>
      </c>
      <c r="B222" s="4" t="str">
        <f t="shared" si="13"/>
        <v>PRODUCTION_FIELD:DELETE</v>
      </c>
      <c r="C222" s="4" t="str">
        <f t="shared" si="15"/>
        <v>production_field delete</v>
      </c>
      <c r="D222" s="4" t="s">
        <v>5791</v>
      </c>
      <c r="E222" s="5" t="s">
        <v>6421</v>
      </c>
      <c r="F222" s="16" t="str">
        <f t="shared" si="14"/>
        <v>(343,'PRODUCTION_FIELD:DELETE','production_field delete','PRODUCTION_FIELD','DELETE'),</v>
      </c>
    </row>
    <row r="223" spans="1:6" ht="20.100000000000001" customHeight="1" x14ac:dyDescent="0.25">
      <c r="A223" s="3">
        <v>344</v>
      </c>
      <c r="B223" s="4" t="str">
        <f t="shared" si="13"/>
        <v>EQUIPMENT:DELETE</v>
      </c>
      <c r="C223" s="4" t="str">
        <f t="shared" si="15"/>
        <v>equipment delete</v>
      </c>
      <c r="D223" s="4" t="s">
        <v>5781</v>
      </c>
      <c r="E223" s="5" t="s">
        <v>6421</v>
      </c>
      <c r="F223" s="16" t="str">
        <f t="shared" si="14"/>
        <v>(344,'EQUIPMENT:DELETE','equipment delete','EQUIPMENT','DELETE'),</v>
      </c>
    </row>
    <row r="224" spans="1:6" ht="20.100000000000001" customHeight="1" x14ac:dyDescent="0.25">
      <c r="A224" s="3">
        <v>345</v>
      </c>
      <c r="B224" s="4" t="str">
        <f t="shared" si="13"/>
        <v>EVENT_TYPE:DELETE</v>
      </c>
      <c r="C224" s="4" t="str">
        <f t="shared" si="15"/>
        <v>event_type delete</v>
      </c>
      <c r="D224" s="4" t="s">
        <v>6372</v>
      </c>
      <c r="E224" s="5" t="s">
        <v>6421</v>
      </c>
      <c r="F224" s="16" t="str">
        <f t="shared" si="14"/>
        <v>(345,'EVENT_TYPE:DELETE','event_type delete','EVENT_TYPE','DELETE'),</v>
      </c>
    </row>
    <row r="225" spans="1:6" ht="20.100000000000001" customHeight="1" x14ac:dyDescent="0.25">
      <c r="A225" s="3">
        <v>346</v>
      </c>
      <c r="B225" s="4" t="str">
        <f t="shared" si="13"/>
        <v>OPERATION_TYPE:DELETE</v>
      </c>
      <c r="C225" s="4" t="str">
        <f t="shared" si="15"/>
        <v>operation_type delete</v>
      </c>
      <c r="D225" s="4" t="s">
        <v>6371</v>
      </c>
      <c r="E225" s="5" t="s">
        <v>6421</v>
      </c>
      <c r="F225" s="16" t="str">
        <f t="shared" si="14"/>
        <v>(346,'OPERATION_TYPE:DELETE','operation_type delete','OPERATION_TYPE','DELETE'),</v>
      </c>
    </row>
    <row r="226" spans="1:6" ht="20.100000000000001" customHeight="1" x14ac:dyDescent="0.25">
      <c r="A226" s="3">
        <v>347</v>
      </c>
      <c r="B226" s="4" t="str">
        <f t="shared" si="13"/>
        <v>EVENT_STATUS:DELETE</v>
      </c>
      <c r="C226" s="4" t="str">
        <f t="shared" si="15"/>
        <v>event_status delete</v>
      </c>
      <c r="D226" s="4" t="s">
        <v>6375</v>
      </c>
      <c r="E226" s="5" t="s">
        <v>6421</v>
      </c>
      <c r="F226" s="16" t="str">
        <f t="shared" si="14"/>
        <v>(347,'EVENT_STATUS:DELETE','event_status delete','EVENT_STATUS','DELETE'),</v>
      </c>
    </row>
    <row r="227" spans="1:6" ht="20.100000000000001" customHeight="1" x14ac:dyDescent="0.25">
      <c r="A227" s="3">
        <v>348</v>
      </c>
      <c r="B227" s="4" t="str">
        <f t="shared" si="13"/>
        <v>ALERT_STATUS:DELETE</v>
      </c>
      <c r="C227" s="4" t="str">
        <f t="shared" si="15"/>
        <v>alert_status delete</v>
      </c>
      <c r="D227" s="4" t="s">
        <v>6373</v>
      </c>
      <c r="E227" s="45" t="s">
        <v>6421</v>
      </c>
      <c r="F227" s="16" t="str">
        <f t="shared" si="14"/>
        <v>(348,'ALERT_STATUS:DELETE','alert_status delete','ALERT_STATUS','DELETE'),</v>
      </c>
    </row>
    <row r="228" spans="1:6" ht="20.100000000000001" customHeight="1" x14ac:dyDescent="0.25">
      <c r="A228" s="3">
        <v>349</v>
      </c>
      <c r="B228" s="4" t="str">
        <f t="shared" si="13"/>
        <v>SEVERITY:DELETE</v>
      </c>
      <c r="C228" s="4" t="str">
        <f t="shared" si="15"/>
        <v>severity delete</v>
      </c>
      <c r="D228" s="4" t="s">
        <v>6377</v>
      </c>
      <c r="E228" s="5" t="s">
        <v>6421</v>
      </c>
      <c r="F228" s="16" t="str">
        <f t="shared" si="14"/>
        <v>(349,'SEVERITY:DELETE','severity delete','SEVERITY','DELETE'),</v>
      </c>
    </row>
    <row r="229" spans="1:6" ht="20.100000000000001" customHeight="1" x14ac:dyDescent="0.25">
      <c r="A229" s="3">
        <v>350</v>
      </c>
      <c r="B229" s="4" t="str">
        <f t="shared" si="13"/>
        <v>DATA_SOURCE:DELETE</v>
      </c>
      <c r="C229" s="4" t="str">
        <f t="shared" si="15"/>
        <v>data_source delete</v>
      </c>
      <c r="D229" s="4" t="s">
        <v>6374</v>
      </c>
      <c r="E229" s="5" t="s">
        <v>6421</v>
      </c>
      <c r="F229" s="16" t="str">
        <f t="shared" si="14"/>
        <v>(350,'DATA_SOURCE:DELETE','data_source delete','DATA_SOURCE','DELETE'),</v>
      </c>
    </row>
    <row r="230" spans="1:6" ht="20.100000000000001" customHeight="1" x14ac:dyDescent="0.25">
      <c r="A230" s="3">
        <v>351</v>
      </c>
      <c r="B230" s="4" t="str">
        <f t="shared" si="13"/>
        <v>QUALITY_FLAG:DELETE</v>
      </c>
      <c r="C230" s="4" t="str">
        <f t="shared" si="15"/>
        <v>quality_flag delete</v>
      </c>
      <c r="D230" s="4" t="s">
        <v>6376</v>
      </c>
      <c r="E230" s="5" t="s">
        <v>6421</v>
      </c>
      <c r="F230" s="16" t="str">
        <f t="shared" si="14"/>
        <v>(351,'QUALITY_FLAG:DELETE','quality_flag delete','QUALITY_FLAG','DELETE'),</v>
      </c>
    </row>
    <row r="231" spans="1:6" ht="20.100000000000001" customHeight="1" x14ac:dyDescent="0.25">
      <c r="A231" s="3">
        <v>352</v>
      </c>
      <c r="B231" s="4" t="str">
        <f t="shared" si="13"/>
        <v>VALIDATION_STATUS:DELETE</v>
      </c>
      <c r="C231" s="4" t="str">
        <f t="shared" si="15"/>
        <v>validation_status delete</v>
      </c>
      <c r="D231" s="4" t="s">
        <v>6378</v>
      </c>
      <c r="E231" s="5" t="s">
        <v>6421</v>
      </c>
      <c r="F231" s="16" t="str">
        <f t="shared" si="14"/>
        <v>(352,'VALIDATION_STATUS:DELETE','validation_status delete','VALIDATION_STATUS','DELETE'),</v>
      </c>
    </row>
    <row r="232" spans="1:6" ht="20.100000000000001" customHeight="1" x14ac:dyDescent="0.25">
      <c r="A232" s="3">
        <v>353</v>
      </c>
      <c r="B232" s="4" t="str">
        <f t="shared" si="13"/>
        <v>READING_SLOT:DELETE</v>
      </c>
      <c r="C232" s="4" t="str">
        <f t="shared" si="15"/>
        <v>reading_slot delete</v>
      </c>
      <c r="D232" s="4" t="s">
        <v>6379</v>
      </c>
      <c r="E232" s="5" t="s">
        <v>6421</v>
      </c>
      <c r="F232" s="16" t="str">
        <f t="shared" si="14"/>
        <v>(353,'READING_SLOT:DELETE','reading_slot delete','READING_SLOT','DELETE'),</v>
      </c>
    </row>
    <row r="233" spans="1:6" ht="20.100000000000001" customHeight="1" x14ac:dyDescent="0.25">
      <c r="A233" s="3">
        <v>354</v>
      </c>
      <c r="B233" s="4" t="str">
        <f t="shared" si="13"/>
        <v>FLOW_OPERATION:DELETE</v>
      </c>
      <c r="C233" s="4" t="str">
        <f t="shared" si="15"/>
        <v>flow_operation delete</v>
      </c>
      <c r="D233" s="4" t="s">
        <v>6380</v>
      </c>
      <c r="E233" s="5" t="s">
        <v>6421</v>
      </c>
      <c r="F233" s="16" t="str">
        <f t="shared" si="14"/>
        <v>(354,'FLOW_OPERATION:DELETE','flow_operation delete','FLOW_OPERATION','DELETE'),</v>
      </c>
    </row>
    <row r="234" spans="1:6" ht="20.100000000000001" customHeight="1" x14ac:dyDescent="0.25">
      <c r="A234" s="3">
        <v>355</v>
      </c>
      <c r="B234" s="4" t="str">
        <f t="shared" si="13"/>
        <v>FLOW_FORECAST:DELETE</v>
      </c>
      <c r="C234" s="4" t="str">
        <f t="shared" si="15"/>
        <v>flow_forecast delete</v>
      </c>
      <c r="D234" s="4" t="s">
        <v>6381</v>
      </c>
      <c r="E234" s="5" t="s">
        <v>6421</v>
      </c>
      <c r="F234" s="16" t="str">
        <f t="shared" si="14"/>
        <v>(355,'FLOW_FORECAST:DELETE','flow_forecast delete','FLOW_FORECAST','DELETE'),</v>
      </c>
    </row>
    <row r="235" spans="1:6" ht="20.100000000000001" customHeight="1" x14ac:dyDescent="0.25">
      <c r="A235" s="3">
        <v>356</v>
      </c>
      <c r="B235" s="4" t="str">
        <f t="shared" si="13"/>
        <v>FLOW_READING:DELETE</v>
      </c>
      <c r="C235" s="4" t="str">
        <f t="shared" si="15"/>
        <v>flow_reading delete</v>
      </c>
      <c r="D235" s="4" t="s">
        <v>6382</v>
      </c>
      <c r="E235" s="5" t="s">
        <v>6421</v>
      </c>
      <c r="F235" s="16" t="str">
        <f t="shared" si="14"/>
        <v>(356,'FLOW_READING:DELETE','flow_reading delete','FLOW_READING','DELETE'),</v>
      </c>
    </row>
    <row r="236" spans="1:6" ht="20.100000000000001" customHeight="1" x14ac:dyDescent="0.25">
      <c r="A236" s="3">
        <v>357</v>
      </c>
      <c r="B236" s="4" t="str">
        <f t="shared" si="13"/>
        <v>FLOW_EVENT:DELETE</v>
      </c>
      <c r="C236" s="4" t="str">
        <f t="shared" si="15"/>
        <v>flow_event delete</v>
      </c>
      <c r="D236" s="4" t="s">
        <v>6385</v>
      </c>
      <c r="E236" s="5" t="s">
        <v>6421</v>
      </c>
      <c r="F236" s="16" t="str">
        <f t="shared" si="14"/>
        <v>(357,'FLOW_EVENT:DELETE','flow_event delete','FLOW_EVENT','DELETE'),</v>
      </c>
    </row>
    <row r="237" spans="1:6" ht="20.100000000000001" customHeight="1" x14ac:dyDescent="0.25">
      <c r="A237" s="3">
        <v>358</v>
      </c>
      <c r="B237" s="4" t="str">
        <f t="shared" si="13"/>
        <v>FLOW_ALERT:DELETE</v>
      </c>
      <c r="C237" s="4" t="str">
        <f t="shared" si="15"/>
        <v>flow_alert delete</v>
      </c>
      <c r="D237" s="4" t="s">
        <v>6384</v>
      </c>
      <c r="E237" s="5" t="s">
        <v>6421</v>
      </c>
      <c r="F237" s="16" t="str">
        <f t="shared" si="14"/>
        <v>(358,'FLOW_ALERT:DELETE','flow_alert delete','FLOW_ALERT','DELETE'),</v>
      </c>
    </row>
    <row r="238" spans="1:6" ht="20.100000000000001" customHeight="1" x14ac:dyDescent="0.25">
      <c r="A238" s="3">
        <v>359</v>
      </c>
      <c r="B238" s="4" t="str">
        <f t="shared" si="13"/>
        <v>FLOW_THRESHOLD:DELETE</v>
      </c>
      <c r="C238" s="4" t="str">
        <f t="shared" si="15"/>
        <v>flow_threshold delete</v>
      </c>
      <c r="D238" s="4" t="s">
        <v>6383</v>
      </c>
      <c r="E238" s="5" t="s">
        <v>6421</v>
      </c>
      <c r="F238" s="16" t="str">
        <f t="shared" si="14"/>
        <v>(359,'FLOW_THRESHOLD:DELETE','flow_threshold delete','FLOW_THRESHOLD','DELETE'),</v>
      </c>
    </row>
    <row r="239" spans="1:6" ht="20.100000000000001" customHeight="1" x14ac:dyDescent="0.25">
      <c r="A239" s="3">
        <v>401</v>
      </c>
      <c r="B239" s="4" t="str">
        <f t="shared" si="13"/>
        <v>PARAMETER:UPDATE</v>
      </c>
      <c r="C239" s="4" t="str">
        <f t="shared" ref="C239:C270" si="16">CONCATENATE(LOWER(D239)," updating")</f>
        <v>parameter updating</v>
      </c>
      <c r="D239" s="4" t="s">
        <v>6368</v>
      </c>
      <c r="E239" s="5" t="s">
        <v>6422</v>
      </c>
      <c r="F239" s="16" t="str">
        <f t="shared" si="14"/>
        <v>(401,'PARAMETER:UPDATE','parameter updating','PARAMETER','UPDATE'),</v>
      </c>
    </row>
    <row r="240" spans="1:6" ht="20.100000000000001" customHeight="1" x14ac:dyDescent="0.25">
      <c r="A240" s="3">
        <v>402</v>
      </c>
      <c r="B240" s="4" t="str">
        <f t="shared" si="13"/>
        <v>FILE:UPDATE</v>
      </c>
      <c r="C240" s="4" t="str">
        <f t="shared" si="16"/>
        <v>file updating</v>
      </c>
      <c r="D240" s="4" t="s">
        <v>6369</v>
      </c>
      <c r="E240" s="5" t="s">
        <v>6422</v>
      </c>
      <c r="F240" s="16" t="str">
        <f t="shared" si="14"/>
        <v>(402,'FILE:UPDATE','file updating','FILE','UPDATE'),</v>
      </c>
    </row>
    <row r="241" spans="1:6" ht="20.100000000000001" customHeight="1" x14ac:dyDescent="0.25">
      <c r="A241" s="3">
        <v>403</v>
      </c>
      <c r="B241" s="4" t="str">
        <f t="shared" si="13"/>
        <v>GROUP:UPDATE</v>
      </c>
      <c r="C241" s="4" t="str">
        <f t="shared" si="16"/>
        <v>group updating</v>
      </c>
      <c r="D241" s="4" t="s">
        <v>5745</v>
      </c>
      <c r="E241" s="5" t="s">
        <v>6422</v>
      </c>
      <c r="F241" s="16" t="str">
        <f t="shared" si="14"/>
        <v>(403,'GROUP:UPDATE','group updating','GROUP','UPDATE'),</v>
      </c>
    </row>
    <row r="242" spans="1:6" ht="20.100000000000001" customHeight="1" x14ac:dyDescent="0.25">
      <c r="A242" s="3">
        <v>404</v>
      </c>
      <c r="B242" s="4" t="str">
        <f t="shared" si="13"/>
        <v>USER:UPDATE</v>
      </c>
      <c r="C242" s="4" t="str">
        <f t="shared" si="16"/>
        <v>user updating</v>
      </c>
      <c r="D242" s="4" t="s">
        <v>5746</v>
      </c>
      <c r="E242" s="5" t="s">
        <v>6422</v>
      </c>
      <c r="F242" s="16" t="str">
        <f t="shared" si="14"/>
        <v>(404,'USER:UPDATE','user updating','USER','UPDATE'),</v>
      </c>
    </row>
    <row r="243" spans="1:6" ht="20.100000000000001" customHeight="1" x14ac:dyDescent="0.25">
      <c r="A243" s="3">
        <v>405</v>
      </c>
      <c r="B243" s="4" t="str">
        <f t="shared" si="13"/>
        <v>ROLE:UPDATE</v>
      </c>
      <c r="C243" s="4" t="str">
        <f t="shared" si="16"/>
        <v>role updating</v>
      </c>
      <c r="D243" s="4" t="s">
        <v>5747</v>
      </c>
      <c r="E243" s="5" t="s">
        <v>6422</v>
      </c>
      <c r="F243" s="16" t="str">
        <f t="shared" si="14"/>
        <v>(405,'ROLE:UPDATE','role updating','ROLE','UPDATE'),</v>
      </c>
    </row>
    <row r="244" spans="1:6" ht="20.100000000000001" customHeight="1" x14ac:dyDescent="0.25">
      <c r="A244" s="3">
        <v>406</v>
      </c>
      <c r="B244" s="4" t="str">
        <f t="shared" si="13"/>
        <v>PERMISSION:UPDATE</v>
      </c>
      <c r="C244" s="4" t="str">
        <f t="shared" si="16"/>
        <v>permission updating</v>
      </c>
      <c r="D244" s="4" t="s">
        <v>5748</v>
      </c>
      <c r="E244" s="5" t="s">
        <v>6422</v>
      </c>
      <c r="F244" s="16" t="str">
        <f t="shared" si="14"/>
        <v>(406,'PERMISSION:UPDATE','permission updating','PERMISSION','UPDATE'),</v>
      </c>
    </row>
    <row r="245" spans="1:6" ht="20.100000000000001" customHeight="1" x14ac:dyDescent="0.25">
      <c r="A245" s="3">
        <v>407</v>
      </c>
      <c r="B245" s="4" t="str">
        <f t="shared" si="13"/>
        <v>AUTHORITY:UPDATE</v>
      </c>
      <c r="C245" s="4" t="str">
        <f t="shared" si="16"/>
        <v>authority updating</v>
      </c>
      <c r="D245" s="4" t="s">
        <v>5749</v>
      </c>
      <c r="E245" s="5" t="s">
        <v>6422</v>
      </c>
      <c r="F245" s="16" t="str">
        <f t="shared" si="14"/>
        <v>(407,'AUTHORITY:UPDATE','authority updating','AUTHORITY','UPDATE'),</v>
      </c>
    </row>
    <row r="246" spans="1:6" ht="20.100000000000001" customHeight="1" x14ac:dyDescent="0.25">
      <c r="A246" s="3">
        <v>408</v>
      </c>
      <c r="B246" s="4" t="str">
        <f t="shared" si="13"/>
        <v>AUDIT:UPDATE</v>
      </c>
      <c r="C246" s="4" t="str">
        <f t="shared" si="16"/>
        <v>audit updating</v>
      </c>
      <c r="D246" s="4" t="s">
        <v>5750</v>
      </c>
      <c r="E246" s="5" t="s">
        <v>6422</v>
      </c>
      <c r="F246" s="16" t="str">
        <f t="shared" si="14"/>
        <v>(408,'AUDIT:UPDATE','audit updating','AUDIT','UPDATE'),</v>
      </c>
    </row>
    <row r="247" spans="1:6" ht="20.100000000000001" customHeight="1" x14ac:dyDescent="0.25">
      <c r="A247" s="3">
        <v>409</v>
      </c>
      <c r="B247" s="4" t="str">
        <f t="shared" si="13"/>
        <v>STRUCTURE_TYPE:UPDATE</v>
      </c>
      <c r="C247" s="4" t="str">
        <f t="shared" si="16"/>
        <v>structure_type updating</v>
      </c>
      <c r="D247" s="4" t="s">
        <v>5755</v>
      </c>
      <c r="E247" s="5" t="s">
        <v>6422</v>
      </c>
      <c r="F247" s="16" t="str">
        <f t="shared" si="14"/>
        <v>(409,'STRUCTURE_TYPE:UPDATE','structure_type updating','STRUCTURE_TYPE','UPDATE'),</v>
      </c>
    </row>
    <row r="248" spans="1:6" ht="20.100000000000001" customHeight="1" x14ac:dyDescent="0.25">
      <c r="A248" s="3">
        <v>410</v>
      </c>
      <c r="B248" s="4" t="str">
        <f t="shared" si="13"/>
        <v>ZONE:UPDATE</v>
      </c>
      <c r="C248" s="4" t="str">
        <f t="shared" si="16"/>
        <v>zone updating</v>
      </c>
      <c r="D248" s="4" t="s">
        <v>5767</v>
      </c>
      <c r="E248" s="5" t="s">
        <v>6422</v>
      </c>
      <c r="F248" s="16" t="str">
        <f t="shared" si="14"/>
        <v>(410,'ZONE:UPDATE','zone updating','ZONE','UPDATE'),</v>
      </c>
    </row>
    <row r="249" spans="1:6" ht="20.100000000000001" customHeight="1" x14ac:dyDescent="0.25">
      <c r="A249" s="3">
        <v>411</v>
      </c>
      <c r="B249" s="4" t="str">
        <f t="shared" si="13"/>
        <v>COUNTRY:UPDATE</v>
      </c>
      <c r="C249" s="4" t="str">
        <f t="shared" si="16"/>
        <v>country updating</v>
      </c>
      <c r="D249" s="4" t="s">
        <v>5752</v>
      </c>
      <c r="E249" s="5" t="s">
        <v>6422</v>
      </c>
      <c r="F249" s="16" t="str">
        <f t="shared" si="14"/>
        <v>(411,'COUNTRY:UPDATE','country updating','COUNTRY','UPDATE'),</v>
      </c>
    </row>
    <row r="250" spans="1:6" ht="20.100000000000001" customHeight="1" x14ac:dyDescent="0.25">
      <c r="A250" s="3">
        <v>412</v>
      </c>
      <c r="B250" s="4" t="str">
        <f t="shared" ref="B250:B308" si="17">CONCATENATE(D250,":",E250)</f>
        <v>STATE:UPDATE</v>
      </c>
      <c r="C250" s="4" t="str">
        <f t="shared" si="16"/>
        <v>state updating</v>
      </c>
      <c r="D250" s="4" t="s">
        <v>5753</v>
      </c>
      <c r="E250" s="5" t="s">
        <v>6422</v>
      </c>
      <c r="F250" s="16" t="str">
        <f t="shared" si="14"/>
        <v>(412,'STATE:UPDATE','state updating','STATE','UPDATE'),</v>
      </c>
    </row>
    <row r="251" spans="1:6" ht="20.100000000000001" customHeight="1" x14ac:dyDescent="0.25">
      <c r="A251" s="3">
        <v>413</v>
      </c>
      <c r="B251" s="4" t="str">
        <f t="shared" si="17"/>
        <v>DISTRICT:UPDATE</v>
      </c>
      <c r="C251" s="4" t="str">
        <f t="shared" si="16"/>
        <v>district updating</v>
      </c>
      <c r="D251" s="4" t="s">
        <v>5787</v>
      </c>
      <c r="E251" s="5" t="s">
        <v>6422</v>
      </c>
      <c r="F251" s="16" t="str">
        <f t="shared" si="14"/>
        <v>(413,'DISTRICT:UPDATE','district updating','DISTRICT','UPDATE'),</v>
      </c>
    </row>
    <row r="252" spans="1:6" ht="20.100000000000001" customHeight="1" x14ac:dyDescent="0.25">
      <c r="A252" s="3">
        <v>414</v>
      </c>
      <c r="B252" s="4" t="str">
        <f t="shared" si="17"/>
        <v>LOCALITY:UPDATE</v>
      </c>
      <c r="C252" s="4" t="str">
        <f t="shared" si="16"/>
        <v>locality updating</v>
      </c>
      <c r="D252" s="4" t="s">
        <v>5754</v>
      </c>
      <c r="E252" s="5" t="s">
        <v>6422</v>
      </c>
      <c r="F252" s="16" t="str">
        <f t="shared" si="14"/>
        <v>(414,'LOCALITY:UPDATE','locality updating','LOCALITY','UPDATE'),</v>
      </c>
    </row>
    <row r="253" spans="1:6" ht="20.100000000000001" customHeight="1" x14ac:dyDescent="0.25">
      <c r="A253" s="3">
        <v>415</v>
      </c>
      <c r="B253" s="4" t="str">
        <f t="shared" si="17"/>
        <v>LOCATION:UPDATE</v>
      </c>
      <c r="C253" s="4" t="str">
        <f t="shared" si="16"/>
        <v>location updating</v>
      </c>
      <c r="D253" s="4" t="s">
        <v>5768</v>
      </c>
      <c r="E253" s="5" t="s">
        <v>6422</v>
      </c>
      <c r="F253" s="16" t="str">
        <f t="shared" si="14"/>
        <v>(415,'LOCATION:UPDATE','location updating','LOCATION','UPDATE'),</v>
      </c>
    </row>
    <row r="254" spans="1:6" ht="20.100000000000001" customHeight="1" x14ac:dyDescent="0.25">
      <c r="A254" s="3">
        <v>416</v>
      </c>
      <c r="B254" s="4" t="str">
        <f t="shared" si="17"/>
        <v>COORDINATE:UPDATE</v>
      </c>
      <c r="C254" s="4" t="str">
        <f t="shared" si="16"/>
        <v>coordinate updating</v>
      </c>
      <c r="D254" s="4" t="s">
        <v>6370</v>
      </c>
      <c r="E254" s="5" t="s">
        <v>6422</v>
      </c>
      <c r="F254" s="16" t="str">
        <f t="shared" si="14"/>
        <v>(416,'COORDINATE:UPDATE','coordinate updating','COORDINATE','UPDATE'),</v>
      </c>
    </row>
    <row r="255" spans="1:6" ht="20.100000000000001" customHeight="1" x14ac:dyDescent="0.25">
      <c r="A255" s="3">
        <v>417</v>
      </c>
      <c r="B255" s="4" t="str">
        <f t="shared" si="17"/>
        <v>STRUCTURE:UPDATE</v>
      </c>
      <c r="C255" s="4" t="str">
        <f t="shared" si="16"/>
        <v>structure updating</v>
      </c>
      <c r="D255" s="4" t="s">
        <v>5756</v>
      </c>
      <c r="E255" s="5" t="s">
        <v>6422</v>
      </c>
      <c r="F255" s="16" t="str">
        <f t="shared" si="14"/>
        <v>(417,'STRUCTURE:UPDATE','structure updating','STRUCTURE','UPDATE'),</v>
      </c>
    </row>
    <row r="256" spans="1:6" ht="20.100000000000001" customHeight="1" x14ac:dyDescent="0.25">
      <c r="A256" s="3">
        <v>418</v>
      </c>
      <c r="B256" s="4" t="str">
        <f t="shared" si="17"/>
        <v>JOB:UPDATE</v>
      </c>
      <c r="C256" s="4" t="str">
        <f t="shared" si="16"/>
        <v>job updating</v>
      </c>
      <c r="D256" s="4" t="s">
        <v>5757</v>
      </c>
      <c r="E256" s="5" t="s">
        <v>6422</v>
      </c>
      <c r="F256" s="16" t="str">
        <f t="shared" si="14"/>
        <v>(418,'JOB:UPDATE','job updating','JOB','UPDATE'),</v>
      </c>
    </row>
    <row r="257" spans="1:6" ht="20.100000000000001" customHeight="1" x14ac:dyDescent="0.25">
      <c r="A257" s="3">
        <v>419</v>
      </c>
      <c r="B257" s="4" t="str">
        <f t="shared" si="17"/>
        <v>PERSON:UPDATE</v>
      </c>
      <c r="C257" s="4" t="str">
        <f t="shared" si="16"/>
        <v>person updating</v>
      </c>
      <c r="D257" s="4" t="s">
        <v>5758</v>
      </c>
      <c r="E257" s="5" t="s">
        <v>6422</v>
      </c>
      <c r="F257" s="16" t="str">
        <f t="shared" si="14"/>
        <v>(419,'PERSON:UPDATE','person updating','PERSON','UPDATE'),</v>
      </c>
    </row>
    <row r="258" spans="1:6" ht="20.100000000000001" customHeight="1" x14ac:dyDescent="0.25">
      <c r="A258" s="3">
        <v>420</v>
      </c>
      <c r="B258" s="4" t="str">
        <f t="shared" si="17"/>
        <v>EMPLOYEE:UPDATE</v>
      </c>
      <c r="C258" s="4" t="str">
        <f t="shared" si="16"/>
        <v>employee updating</v>
      </c>
      <c r="D258" s="4" t="s">
        <v>5759</v>
      </c>
      <c r="E258" s="5" t="s">
        <v>6422</v>
      </c>
      <c r="F258" s="16" t="str">
        <f t="shared" si="14"/>
        <v>(420,'EMPLOYEE:UPDATE','employee updating','EMPLOYEE','UPDATE'),</v>
      </c>
    </row>
    <row r="259" spans="1:6" ht="20.100000000000001" customHeight="1" x14ac:dyDescent="0.25">
      <c r="A259" s="3">
        <v>421</v>
      </c>
      <c r="B259" s="4" t="str">
        <f t="shared" si="17"/>
        <v>COMPANY_TYPE:UPDATE</v>
      </c>
      <c r="C259" s="4" t="str">
        <f t="shared" si="16"/>
        <v>company_type updating</v>
      </c>
      <c r="D259" s="4" t="s">
        <v>5760</v>
      </c>
      <c r="E259" s="5" t="s">
        <v>6422</v>
      </c>
      <c r="F259" s="16" t="str">
        <f t="shared" ref="F259:F322" si="18">CONCATENATE("(",A259,",'",B259,"','",C259,"','",D259,"','",E259,"'),")</f>
        <v>(421,'COMPANY_TYPE:UPDATE','company_type updating','COMPANY_TYPE','UPDATE'),</v>
      </c>
    </row>
    <row r="260" spans="1:6" ht="20.100000000000001" customHeight="1" x14ac:dyDescent="0.25">
      <c r="A260" s="3">
        <v>422</v>
      </c>
      <c r="B260" s="4" t="str">
        <f t="shared" si="17"/>
        <v>PARTNER_TYPE:UPDATE</v>
      </c>
      <c r="C260" s="4" t="str">
        <f t="shared" si="16"/>
        <v>partner_type updating</v>
      </c>
      <c r="D260" s="4" t="s">
        <v>5761</v>
      </c>
      <c r="E260" s="5" t="s">
        <v>6422</v>
      </c>
      <c r="F260" s="16" t="str">
        <f t="shared" si="18"/>
        <v>(422,'PARTNER_TYPE:UPDATE','partner_type updating','PARTNER_TYPE','UPDATE'),</v>
      </c>
    </row>
    <row r="261" spans="1:6" ht="20.100000000000001" customHeight="1" x14ac:dyDescent="0.25">
      <c r="A261" s="3">
        <v>423</v>
      </c>
      <c r="B261" s="4" t="str">
        <f t="shared" si="17"/>
        <v>VENDOR_TYPE:UPDATE</v>
      </c>
      <c r="C261" s="4" t="str">
        <f t="shared" si="16"/>
        <v>vendor_type updating</v>
      </c>
      <c r="D261" s="4" t="s">
        <v>5762</v>
      </c>
      <c r="E261" s="5" t="s">
        <v>6422</v>
      </c>
      <c r="F261" s="16" t="str">
        <f t="shared" si="18"/>
        <v>(423,'VENDOR_TYPE:UPDATE','vendor_type updating','VENDOR_TYPE','UPDATE'),</v>
      </c>
    </row>
    <row r="262" spans="1:6" ht="20.100000000000001" customHeight="1" x14ac:dyDescent="0.25">
      <c r="A262" s="3">
        <v>424</v>
      </c>
      <c r="B262" s="4" t="str">
        <f t="shared" si="17"/>
        <v>FACILITY_TYPE:UPDATE</v>
      </c>
      <c r="C262" s="4" t="str">
        <f t="shared" si="16"/>
        <v>facility_type updating</v>
      </c>
      <c r="D262" s="4" t="s">
        <v>5763</v>
      </c>
      <c r="E262" s="5" t="s">
        <v>6422</v>
      </c>
      <c r="F262" s="16" t="str">
        <f t="shared" si="18"/>
        <v>(424,'FACILITY_TYPE:UPDATE','facility_type updating','FACILITY_TYPE','UPDATE'),</v>
      </c>
    </row>
    <row r="263" spans="1:6" ht="20.100000000000001" customHeight="1" x14ac:dyDescent="0.25">
      <c r="A263" s="3">
        <v>425</v>
      </c>
      <c r="B263" s="4" t="str">
        <f t="shared" si="17"/>
        <v>STATION_TYPE:UPDATE</v>
      </c>
      <c r="C263" s="4" t="str">
        <f t="shared" si="16"/>
        <v>station_type updating</v>
      </c>
      <c r="D263" s="4" t="s">
        <v>5764</v>
      </c>
      <c r="E263" s="5" t="s">
        <v>6422</v>
      </c>
      <c r="F263" s="16" t="str">
        <f t="shared" si="18"/>
        <v>(425,'STATION_TYPE:UPDATE','station_type updating','STATION_TYPE','UPDATE'),</v>
      </c>
    </row>
    <row r="264" spans="1:6" ht="20.100000000000001" customHeight="1" x14ac:dyDescent="0.25">
      <c r="A264" s="3">
        <v>426</v>
      </c>
      <c r="B264" s="4" t="str">
        <f t="shared" si="17"/>
        <v>TERMINAL_TYPE:UPDATE</v>
      </c>
      <c r="C264" s="4" t="str">
        <f t="shared" si="16"/>
        <v>terminal_type updating</v>
      </c>
      <c r="D264" s="4" t="s">
        <v>5765</v>
      </c>
      <c r="E264" s="5" t="s">
        <v>6422</v>
      </c>
      <c r="F264" s="16" t="str">
        <f t="shared" si="18"/>
        <v>(426,'TERMINAL_TYPE:UPDATE','terminal_type updating','TERMINAL_TYPE','UPDATE'),</v>
      </c>
    </row>
    <row r="265" spans="1:6" ht="20.100000000000001" customHeight="1" x14ac:dyDescent="0.25">
      <c r="A265" s="3">
        <v>427</v>
      </c>
      <c r="B265" s="4" t="str">
        <f t="shared" si="17"/>
        <v>PROCESSING_PLANT_TYPE:UPDATE</v>
      </c>
      <c r="C265" s="4" t="str">
        <f t="shared" si="16"/>
        <v>processing_plant_type updating</v>
      </c>
      <c r="D265" s="4" t="s">
        <v>5788</v>
      </c>
      <c r="E265" s="5" t="s">
        <v>6422</v>
      </c>
      <c r="F265" s="16" t="str">
        <f t="shared" si="18"/>
        <v>(427,'PROCESSING_PLANT_TYPE:UPDATE','processing_plant_type updating','PROCESSING_PLANT_TYPE','UPDATE'),</v>
      </c>
    </row>
    <row r="266" spans="1:6" ht="20.100000000000001" customHeight="1" x14ac:dyDescent="0.25">
      <c r="A266" s="3">
        <v>428</v>
      </c>
      <c r="B266" s="4" t="str">
        <f t="shared" si="17"/>
        <v>PRODUCTION_FIELD_TYPE:UPDATE</v>
      </c>
      <c r="C266" s="4" t="str">
        <f t="shared" si="16"/>
        <v>production_field_type updating</v>
      </c>
      <c r="D266" s="4" t="s">
        <v>5789</v>
      </c>
      <c r="E266" s="5" t="s">
        <v>6422</v>
      </c>
      <c r="F266" s="16" t="str">
        <f t="shared" si="18"/>
        <v>(428,'PRODUCTION_FIELD_TYPE:UPDATE','production_field_type updating','PRODUCTION_FIELD_TYPE','UPDATE'),</v>
      </c>
    </row>
    <row r="267" spans="1:6" ht="20.100000000000001" customHeight="1" x14ac:dyDescent="0.25">
      <c r="A267" s="3">
        <v>429</v>
      </c>
      <c r="B267" s="4" t="str">
        <f t="shared" si="17"/>
        <v>EQUIPMENT_TYPE:UPDATE</v>
      </c>
      <c r="C267" s="4" t="str">
        <f t="shared" si="16"/>
        <v>equipment_type updating</v>
      </c>
      <c r="D267" s="4" t="s">
        <v>5766</v>
      </c>
      <c r="E267" s="5" t="s">
        <v>6422</v>
      </c>
      <c r="F267" s="16" t="str">
        <f t="shared" si="18"/>
        <v>(429,'EQUIPMENT_TYPE:UPDATE','equipment_type updating','EQUIPMENT_TYPE','UPDATE'),</v>
      </c>
    </row>
    <row r="268" spans="1:6" ht="20.100000000000001" customHeight="1" x14ac:dyDescent="0.25">
      <c r="A268" s="3">
        <v>430</v>
      </c>
      <c r="B268" s="4" t="str">
        <f t="shared" si="17"/>
        <v>PRODUCT:UPDATE</v>
      </c>
      <c r="C268" s="4" t="str">
        <f t="shared" si="16"/>
        <v>product updating</v>
      </c>
      <c r="D268" s="4" t="s">
        <v>5769</v>
      </c>
      <c r="E268" s="5" t="s">
        <v>6422</v>
      </c>
      <c r="F268" s="16" t="str">
        <f t="shared" si="18"/>
        <v>(430,'PRODUCT:UPDATE','product updating','PRODUCT','UPDATE'),</v>
      </c>
    </row>
    <row r="269" spans="1:6" ht="20.100000000000001" customHeight="1" x14ac:dyDescent="0.25">
      <c r="A269" s="3">
        <v>431</v>
      </c>
      <c r="B269" s="4" t="str">
        <f t="shared" si="17"/>
        <v>OPERATIONAL_STATUS:UPDATE</v>
      </c>
      <c r="C269" s="4" t="str">
        <f t="shared" si="16"/>
        <v>operational_status updating</v>
      </c>
      <c r="D269" s="4" t="s">
        <v>5770</v>
      </c>
      <c r="E269" s="5" t="s">
        <v>6422</v>
      </c>
      <c r="F269" s="16" t="str">
        <f t="shared" si="18"/>
        <v>(431,'OPERATIONAL_STATUS:UPDATE','operational_status updating','OPERATIONAL_STATUS','UPDATE'),</v>
      </c>
    </row>
    <row r="270" spans="1:6" ht="20.100000000000001" customHeight="1" x14ac:dyDescent="0.25">
      <c r="A270" s="3">
        <v>432</v>
      </c>
      <c r="B270" s="4" t="str">
        <f t="shared" si="17"/>
        <v>ALLOY:UPDATE</v>
      </c>
      <c r="C270" s="4" t="str">
        <f t="shared" si="16"/>
        <v>alloy updating</v>
      </c>
      <c r="D270" s="4" t="s">
        <v>5771</v>
      </c>
      <c r="E270" s="5" t="s">
        <v>6422</v>
      </c>
      <c r="F270" s="16" t="str">
        <f t="shared" si="18"/>
        <v>(432,'ALLOY:UPDATE','alloy updating','ALLOY','UPDATE'),</v>
      </c>
    </row>
    <row r="271" spans="1:6" ht="20.100000000000001" customHeight="1" x14ac:dyDescent="0.25">
      <c r="A271" s="3">
        <v>433</v>
      </c>
      <c r="B271" s="4" t="str">
        <f t="shared" si="17"/>
        <v>PARTNER:UPDATE</v>
      </c>
      <c r="C271" s="4" t="str">
        <f t="shared" ref="C271:C297" si="19">CONCATENATE(LOWER(D271)," updating")</f>
        <v>partner updating</v>
      </c>
      <c r="D271" s="4" t="s">
        <v>5772</v>
      </c>
      <c r="E271" s="5" t="s">
        <v>6422</v>
      </c>
      <c r="F271" s="16" t="str">
        <f t="shared" si="18"/>
        <v>(433,'PARTNER:UPDATE','partner updating','PARTNER','UPDATE'),</v>
      </c>
    </row>
    <row r="272" spans="1:6" ht="20.100000000000001" customHeight="1" x14ac:dyDescent="0.25">
      <c r="A272" s="3">
        <v>434</v>
      </c>
      <c r="B272" s="4" t="str">
        <f t="shared" si="17"/>
        <v>VENDOR:UPDATE</v>
      </c>
      <c r="C272" s="4" t="str">
        <f t="shared" si="19"/>
        <v>vendor updating</v>
      </c>
      <c r="D272" s="4" t="s">
        <v>5773</v>
      </c>
      <c r="E272" s="5" t="s">
        <v>6422</v>
      </c>
      <c r="F272" s="16" t="str">
        <f t="shared" si="18"/>
        <v>(434,'VENDOR:UPDATE','vendor updating','VENDOR','UPDATE'),</v>
      </c>
    </row>
    <row r="273" spans="1:6" ht="20.100000000000001" customHeight="1" x14ac:dyDescent="0.25">
      <c r="A273" s="3">
        <v>435</v>
      </c>
      <c r="B273" s="4" t="str">
        <f t="shared" si="17"/>
        <v>INFRASTRUCTURE:UPDATE</v>
      </c>
      <c r="C273" s="4" t="str">
        <f t="shared" si="19"/>
        <v>infrastructure updating</v>
      </c>
      <c r="D273" s="4" t="s">
        <v>5774</v>
      </c>
      <c r="E273" s="5" t="s">
        <v>6422</v>
      </c>
      <c r="F273" s="16" t="str">
        <f t="shared" si="18"/>
        <v>(435,'INFRASTRUCTURE:UPDATE','infrastructure updating','INFRASTRUCTURE','UPDATE'),</v>
      </c>
    </row>
    <row r="274" spans="1:6" ht="20.100000000000001" customHeight="1" x14ac:dyDescent="0.25">
      <c r="A274" s="3">
        <v>436</v>
      </c>
      <c r="B274" s="4" t="str">
        <f t="shared" si="17"/>
        <v>FACILITY:UPDATE</v>
      </c>
      <c r="C274" s="4" t="str">
        <f t="shared" si="19"/>
        <v>facility updating</v>
      </c>
      <c r="D274" s="4" t="s">
        <v>5775</v>
      </c>
      <c r="E274" s="5" t="s">
        <v>6422</v>
      </c>
      <c r="F274" s="16" t="str">
        <f t="shared" si="18"/>
        <v>(436,'FACILITY:UPDATE','facility updating','FACILITY','UPDATE'),</v>
      </c>
    </row>
    <row r="275" spans="1:6" ht="20.100000000000001" customHeight="1" x14ac:dyDescent="0.25">
      <c r="A275" s="3">
        <v>437</v>
      </c>
      <c r="B275" s="4" t="str">
        <f t="shared" si="17"/>
        <v>PIPELINE_SYSTEM:UPDATE</v>
      </c>
      <c r="C275" s="4" t="str">
        <f t="shared" si="19"/>
        <v>pipeline_system updating</v>
      </c>
      <c r="D275" s="4" t="s">
        <v>5776</v>
      </c>
      <c r="E275" s="5" t="s">
        <v>6422</v>
      </c>
      <c r="F275" s="16" t="str">
        <f t="shared" si="18"/>
        <v>(437,'PIPELINE_SYSTEM:UPDATE','pipeline_system updating','PIPELINE_SYSTEM','UPDATE'),</v>
      </c>
    </row>
    <row r="276" spans="1:6" ht="20.100000000000001" customHeight="1" x14ac:dyDescent="0.25">
      <c r="A276" s="3">
        <v>438</v>
      </c>
      <c r="B276" s="4" t="str">
        <f t="shared" si="17"/>
        <v>PIPELINE:UPDATE</v>
      </c>
      <c r="C276" s="4" t="str">
        <f t="shared" si="19"/>
        <v>pipeline updating</v>
      </c>
      <c r="D276" s="4" t="s">
        <v>5777</v>
      </c>
      <c r="E276" s="5" t="s">
        <v>6422</v>
      </c>
      <c r="F276" s="16" t="str">
        <f t="shared" si="18"/>
        <v>(438,'PIPELINE:UPDATE','pipeline updating','PIPELINE','UPDATE'),</v>
      </c>
    </row>
    <row r="277" spans="1:6" ht="20.100000000000001" customHeight="1" x14ac:dyDescent="0.25">
      <c r="A277" s="3">
        <v>439</v>
      </c>
      <c r="B277" s="4" t="str">
        <f t="shared" si="17"/>
        <v>PIPELINE_SEGMENT:UPDATE</v>
      </c>
      <c r="C277" s="4" t="str">
        <f t="shared" si="19"/>
        <v>pipeline_segment updating</v>
      </c>
      <c r="D277" s="4" t="s">
        <v>5778</v>
      </c>
      <c r="E277" s="5" t="s">
        <v>6422</v>
      </c>
      <c r="F277" s="16" t="str">
        <f t="shared" si="18"/>
        <v>(439,'PIPELINE_SEGMENT:UPDATE','pipeline_segment updating','PIPELINE_SEGMENT','UPDATE'),</v>
      </c>
    </row>
    <row r="278" spans="1:6" ht="20.100000000000001" customHeight="1" x14ac:dyDescent="0.25">
      <c r="A278" s="3">
        <v>440</v>
      </c>
      <c r="B278" s="4" t="str">
        <f t="shared" si="17"/>
        <v>STATION:UPDATE</v>
      </c>
      <c r="C278" s="4" t="str">
        <f t="shared" si="19"/>
        <v>station updating</v>
      </c>
      <c r="D278" s="4" t="s">
        <v>5779</v>
      </c>
      <c r="E278" s="5" t="s">
        <v>6422</v>
      </c>
      <c r="F278" s="16" t="str">
        <f t="shared" si="18"/>
        <v>(440,'STATION:UPDATE','station updating','STATION','UPDATE'),</v>
      </c>
    </row>
    <row r="279" spans="1:6" ht="20.100000000000001" customHeight="1" x14ac:dyDescent="0.25">
      <c r="A279" s="3">
        <v>441</v>
      </c>
      <c r="B279" s="4" t="str">
        <f t="shared" si="17"/>
        <v>TERMINAL:UPDATE</v>
      </c>
      <c r="C279" s="4" t="str">
        <f t="shared" si="19"/>
        <v>terminal updating</v>
      </c>
      <c r="D279" s="4" t="s">
        <v>5780</v>
      </c>
      <c r="E279" s="5" t="s">
        <v>6422</v>
      </c>
      <c r="F279" s="16" t="str">
        <f t="shared" si="18"/>
        <v>(441,'TERMINAL:UPDATE','terminal updating','TERMINAL','UPDATE'),</v>
      </c>
    </row>
    <row r="280" spans="1:6" ht="20.100000000000001" customHeight="1" x14ac:dyDescent="0.25">
      <c r="A280" s="3">
        <v>442</v>
      </c>
      <c r="B280" s="4" t="str">
        <f t="shared" si="17"/>
        <v>PROCESSING_PLANT:UPDATE</v>
      </c>
      <c r="C280" s="4" t="str">
        <f t="shared" si="19"/>
        <v>processing_plant updating</v>
      </c>
      <c r="D280" s="4" t="s">
        <v>5790</v>
      </c>
      <c r="E280" s="5" t="s">
        <v>6422</v>
      </c>
      <c r="F280" s="16" t="str">
        <f t="shared" si="18"/>
        <v>(442,'PROCESSING_PLANT:UPDATE','processing_plant updating','PROCESSING_PLANT','UPDATE'),</v>
      </c>
    </row>
    <row r="281" spans="1:6" ht="20.100000000000001" customHeight="1" x14ac:dyDescent="0.25">
      <c r="A281" s="3">
        <v>443</v>
      </c>
      <c r="B281" s="4" t="str">
        <f t="shared" si="17"/>
        <v>PRODUCTION_FIELD:UPDATE</v>
      </c>
      <c r="C281" s="4" t="str">
        <f t="shared" si="19"/>
        <v>production_field updating</v>
      </c>
      <c r="D281" s="4" t="s">
        <v>5791</v>
      </c>
      <c r="E281" s="5" t="s">
        <v>6422</v>
      </c>
      <c r="F281" s="16" t="str">
        <f t="shared" si="18"/>
        <v>(443,'PRODUCTION_FIELD:UPDATE','production_field updating','PRODUCTION_FIELD','UPDATE'),</v>
      </c>
    </row>
    <row r="282" spans="1:6" ht="20.100000000000001" customHeight="1" x14ac:dyDescent="0.25">
      <c r="A282" s="3">
        <v>444</v>
      </c>
      <c r="B282" s="4" t="str">
        <f t="shared" si="17"/>
        <v>EQUIPMENT:UPDATE</v>
      </c>
      <c r="C282" s="4" t="str">
        <f t="shared" si="19"/>
        <v>equipment updating</v>
      </c>
      <c r="D282" s="4" t="s">
        <v>5781</v>
      </c>
      <c r="E282" s="5" t="s">
        <v>6422</v>
      </c>
      <c r="F282" s="16" t="str">
        <f t="shared" si="18"/>
        <v>(444,'EQUIPMENT:UPDATE','equipment updating','EQUIPMENT','UPDATE'),</v>
      </c>
    </row>
    <row r="283" spans="1:6" ht="20.100000000000001" customHeight="1" x14ac:dyDescent="0.25">
      <c r="A283" s="3">
        <v>445</v>
      </c>
      <c r="B283" s="4" t="str">
        <f t="shared" si="17"/>
        <v>EVENT_TYPE:UPDATE</v>
      </c>
      <c r="C283" s="4" t="str">
        <f t="shared" si="19"/>
        <v>event_type updating</v>
      </c>
      <c r="D283" s="4" t="s">
        <v>6372</v>
      </c>
      <c r="E283" s="5" t="s">
        <v>6422</v>
      </c>
      <c r="F283" s="16" t="str">
        <f t="shared" si="18"/>
        <v>(445,'EVENT_TYPE:UPDATE','event_type updating','EVENT_TYPE','UPDATE'),</v>
      </c>
    </row>
    <row r="284" spans="1:6" ht="20.100000000000001" customHeight="1" x14ac:dyDescent="0.25">
      <c r="A284" s="3">
        <v>446</v>
      </c>
      <c r="B284" s="4" t="str">
        <f t="shared" si="17"/>
        <v>OPERATION_TYPE:UPDATE</v>
      </c>
      <c r="C284" s="4" t="str">
        <f t="shared" si="19"/>
        <v>operation_type updating</v>
      </c>
      <c r="D284" s="4" t="s">
        <v>6371</v>
      </c>
      <c r="E284" s="5" t="s">
        <v>6422</v>
      </c>
      <c r="F284" s="16" t="str">
        <f t="shared" si="18"/>
        <v>(446,'OPERATION_TYPE:UPDATE','operation_type updating','OPERATION_TYPE','UPDATE'),</v>
      </c>
    </row>
    <row r="285" spans="1:6" ht="20.100000000000001" customHeight="1" x14ac:dyDescent="0.25">
      <c r="A285" s="3">
        <v>447</v>
      </c>
      <c r="B285" s="4" t="str">
        <f t="shared" si="17"/>
        <v>EVENT_STATUS:UPDATE</v>
      </c>
      <c r="C285" s="4" t="str">
        <f t="shared" si="19"/>
        <v>event_status updating</v>
      </c>
      <c r="D285" s="4" t="s">
        <v>6375</v>
      </c>
      <c r="E285" s="5" t="s">
        <v>6422</v>
      </c>
      <c r="F285" s="16" t="str">
        <f t="shared" si="18"/>
        <v>(447,'EVENT_STATUS:UPDATE','event_status updating','EVENT_STATUS','UPDATE'),</v>
      </c>
    </row>
    <row r="286" spans="1:6" ht="20.100000000000001" customHeight="1" x14ac:dyDescent="0.25">
      <c r="A286" s="3">
        <v>448</v>
      </c>
      <c r="B286" s="4" t="str">
        <f t="shared" si="17"/>
        <v>ALERT_STATUS:UPDATE</v>
      </c>
      <c r="C286" s="4" t="str">
        <f t="shared" si="19"/>
        <v>alert_status updating</v>
      </c>
      <c r="D286" s="4" t="s">
        <v>6373</v>
      </c>
      <c r="E286" s="45" t="s">
        <v>6422</v>
      </c>
      <c r="F286" s="16" t="str">
        <f t="shared" si="18"/>
        <v>(448,'ALERT_STATUS:UPDATE','alert_status updating','ALERT_STATUS','UPDATE'),</v>
      </c>
    </row>
    <row r="287" spans="1:6" ht="20.100000000000001" customHeight="1" x14ac:dyDescent="0.25">
      <c r="A287" s="3">
        <v>449</v>
      </c>
      <c r="B287" s="4" t="str">
        <f t="shared" si="17"/>
        <v>SEVERITY:UPDATE</v>
      </c>
      <c r="C287" s="4" t="str">
        <f t="shared" si="19"/>
        <v>severity updating</v>
      </c>
      <c r="D287" s="4" t="s">
        <v>6377</v>
      </c>
      <c r="E287" s="5" t="s">
        <v>6422</v>
      </c>
      <c r="F287" s="16" t="str">
        <f t="shared" si="18"/>
        <v>(449,'SEVERITY:UPDATE','severity updating','SEVERITY','UPDATE'),</v>
      </c>
    </row>
    <row r="288" spans="1:6" ht="20.100000000000001" customHeight="1" x14ac:dyDescent="0.25">
      <c r="A288" s="3">
        <v>450</v>
      </c>
      <c r="B288" s="4" t="str">
        <f t="shared" si="17"/>
        <v>DATA_SOURCE:UPDATE</v>
      </c>
      <c r="C288" s="4" t="str">
        <f t="shared" si="19"/>
        <v>data_source updating</v>
      </c>
      <c r="D288" s="4" t="s">
        <v>6374</v>
      </c>
      <c r="E288" s="5" t="s">
        <v>6422</v>
      </c>
      <c r="F288" s="16" t="str">
        <f t="shared" si="18"/>
        <v>(450,'DATA_SOURCE:UPDATE','data_source updating','DATA_SOURCE','UPDATE'),</v>
      </c>
    </row>
    <row r="289" spans="1:6" ht="20.100000000000001" customHeight="1" x14ac:dyDescent="0.25">
      <c r="A289" s="3">
        <v>451</v>
      </c>
      <c r="B289" s="4" t="str">
        <f t="shared" si="17"/>
        <v>QUALITY_FLAG:UPDATE</v>
      </c>
      <c r="C289" s="4" t="str">
        <f t="shared" si="19"/>
        <v>quality_flag updating</v>
      </c>
      <c r="D289" s="4" t="s">
        <v>6376</v>
      </c>
      <c r="E289" s="5" t="s">
        <v>6422</v>
      </c>
      <c r="F289" s="16" t="str">
        <f t="shared" si="18"/>
        <v>(451,'QUALITY_FLAG:UPDATE','quality_flag updating','QUALITY_FLAG','UPDATE'),</v>
      </c>
    </row>
    <row r="290" spans="1:6" ht="20.100000000000001" customHeight="1" x14ac:dyDescent="0.25">
      <c r="A290" s="3">
        <v>452</v>
      </c>
      <c r="B290" s="4" t="str">
        <f t="shared" si="17"/>
        <v>VALIDATION_STATUS:UPDATE</v>
      </c>
      <c r="C290" s="4" t="str">
        <f t="shared" si="19"/>
        <v>validation_status updating</v>
      </c>
      <c r="D290" s="4" t="s">
        <v>6378</v>
      </c>
      <c r="E290" s="5" t="s">
        <v>6422</v>
      </c>
      <c r="F290" s="16" t="str">
        <f t="shared" si="18"/>
        <v>(452,'VALIDATION_STATUS:UPDATE','validation_status updating','VALIDATION_STATUS','UPDATE'),</v>
      </c>
    </row>
    <row r="291" spans="1:6" ht="20.100000000000001" customHeight="1" x14ac:dyDescent="0.25">
      <c r="A291" s="3">
        <v>453</v>
      </c>
      <c r="B291" s="4" t="str">
        <f t="shared" si="17"/>
        <v>READING_SLOT:UPDATE</v>
      </c>
      <c r="C291" s="4" t="str">
        <f t="shared" si="19"/>
        <v>reading_slot updating</v>
      </c>
      <c r="D291" s="4" t="s">
        <v>6379</v>
      </c>
      <c r="E291" s="5" t="s">
        <v>6422</v>
      </c>
      <c r="F291" s="16" t="str">
        <f t="shared" si="18"/>
        <v>(453,'READING_SLOT:UPDATE','reading_slot updating','READING_SLOT','UPDATE'),</v>
      </c>
    </row>
    <row r="292" spans="1:6" ht="20.100000000000001" customHeight="1" x14ac:dyDescent="0.25">
      <c r="A292" s="3">
        <v>454</v>
      </c>
      <c r="B292" s="4" t="str">
        <f t="shared" si="17"/>
        <v>FLOW_OPERATION:UPDATE</v>
      </c>
      <c r="C292" s="4" t="str">
        <f t="shared" si="19"/>
        <v>flow_operation updating</v>
      </c>
      <c r="D292" s="4" t="s">
        <v>6380</v>
      </c>
      <c r="E292" s="5" t="s">
        <v>6422</v>
      </c>
      <c r="F292" s="16" t="str">
        <f t="shared" si="18"/>
        <v>(454,'FLOW_OPERATION:UPDATE','flow_operation updating','FLOW_OPERATION','UPDATE'),</v>
      </c>
    </row>
    <row r="293" spans="1:6" ht="20.100000000000001" customHeight="1" x14ac:dyDescent="0.25">
      <c r="A293" s="3">
        <v>455</v>
      </c>
      <c r="B293" s="4" t="str">
        <f t="shared" si="17"/>
        <v>FLOW_FORECAST:UPDATE</v>
      </c>
      <c r="C293" s="4" t="str">
        <f t="shared" si="19"/>
        <v>flow_forecast updating</v>
      </c>
      <c r="D293" s="4" t="s">
        <v>6381</v>
      </c>
      <c r="E293" s="5" t="s">
        <v>6422</v>
      </c>
      <c r="F293" s="16" t="str">
        <f t="shared" si="18"/>
        <v>(455,'FLOW_FORECAST:UPDATE','flow_forecast updating','FLOW_FORECAST','UPDATE'),</v>
      </c>
    </row>
    <row r="294" spans="1:6" ht="20.100000000000001" customHeight="1" x14ac:dyDescent="0.25">
      <c r="A294" s="3">
        <v>456</v>
      </c>
      <c r="B294" s="4" t="str">
        <f t="shared" si="17"/>
        <v>FLOW_READING:UPDATE</v>
      </c>
      <c r="C294" s="4" t="str">
        <f t="shared" si="19"/>
        <v>flow_reading updating</v>
      </c>
      <c r="D294" s="4" t="s">
        <v>6382</v>
      </c>
      <c r="E294" s="5" t="s">
        <v>6422</v>
      </c>
      <c r="F294" s="16" t="str">
        <f t="shared" si="18"/>
        <v>(456,'FLOW_READING:UPDATE','flow_reading updating','FLOW_READING','UPDATE'),</v>
      </c>
    </row>
    <row r="295" spans="1:6" ht="20.100000000000001" customHeight="1" x14ac:dyDescent="0.25">
      <c r="A295" s="3">
        <v>457</v>
      </c>
      <c r="B295" s="4" t="str">
        <f t="shared" si="17"/>
        <v>FLOW_EVENT:UPDATE</v>
      </c>
      <c r="C295" s="4" t="str">
        <f t="shared" si="19"/>
        <v>flow_event updating</v>
      </c>
      <c r="D295" s="4" t="s">
        <v>6385</v>
      </c>
      <c r="E295" s="5" t="s">
        <v>6422</v>
      </c>
      <c r="F295" s="16" t="str">
        <f t="shared" si="18"/>
        <v>(457,'FLOW_EVENT:UPDATE','flow_event updating','FLOW_EVENT','UPDATE'),</v>
      </c>
    </row>
    <row r="296" spans="1:6" ht="20.100000000000001" customHeight="1" x14ac:dyDescent="0.25">
      <c r="A296" s="3">
        <v>458</v>
      </c>
      <c r="B296" s="4" t="str">
        <f t="shared" si="17"/>
        <v>FLOW_ALERT:UPDATE</v>
      </c>
      <c r="C296" s="4" t="str">
        <f t="shared" si="19"/>
        <v>flow_alert updating</v>
      </c>
      <c r="D296" s="4" t="s">
        <v>6384</v>
      </c>
      <c r="E296" s="5" t="s">
        <v>6422</v>
      </c>
      <c r="F296" s="16" t="str">
        <f t="shared" si="18"/>
        <v>(458,'FLOW_ALERT:UPDATE','flow_alert updating','FLOW_ALERT','UPDATE'),</v>
      </c>
    </row>
    <row r="297" spans="1:6" ht="20.100000000000001" customHeight="1" x14ac:dyDescent="0.25">
      <c r="A297" s="3">
        <v>459</v>
      </c>
      <c r="B297" s="4" t="str">
        <f t="shared" si="17"/>
        <v>FLOW_THRESHOLD:UPDATE</v>
      </c>
      <c r="C297" s="4" t="str">
        <f t="shared" si="19"/>
        <v>flow_threshold updating</v>
      </c>
      <c r="D297" s="4" t="s">
        <v>6383</v>
      </c>
      <c r="E297" s="5" t="s">
        <v>6422</v>
      </c>
      <c r="F297" s="16" t="str">
        <f t="shared" si="18"/>
        <v>(459,'FLOW_THRESHOLD:UPDATE','flow_threshold updating','FLOW_THRESHOLD','UPDATE'),</v>
      </c>
    </row>
    <row r="298" spans="1:6" ht="20.100000000000001" customHeight="1" x14ac:dyDescent="0.25">
      <c r="A298" s="3">
        <v>501</v>
      </c>
      <c r="B298" s="4" t="str">
        <f t="shared" si="17"/>
        <v>PARAMETER:CREATE</v>
      </c>
      <c r="C298" s="4" t="str">
        <f t="shared" ref="C298:C329" si="20">CONCATENATE(LOWER(D298)," creation")</f>
        <v>parameter creation</v>
      </c>
      <c r="D298" s="4" t="s">
        <v>6368</v>
      </c>
      <c r="E298" s="5" t="s">
        <v>6423</v>
      </c>
      <c r="F298" s="16" t="str">
        <f t="shared" si="18"/>
        <v>(501,'PARAMETER:CREATE','parameter creation','PARAMETER','CREATE'),</v>
      </c>
    </row>
    <row r="299" spans="1:6" ht="20.100000000000001" customHeight="1" x14ac:dyDescent="0.25">
      <c r="A299" s="3">
        <v>502</v>
      </c>
      <c r="B299" s="4" t="str">
        <f t="shared" si="17"/>
        <v>FILE:CREATE</v>
      </c>
      <c r="C299" s="4" t="str">
        <f t="shared" si="20"/>
        <v>file creation</v>
      </c>
      <c r="D299" s="4" t="s">
        <v>6369</v>
      </c>
      <c r="E299" s="5" t="s">
        <v>6423</v>
      </c>
      <c r="F299" s="16" t="str">
        <f t="shared" si="18"/>
        <v>(502,'FILE:CREATE','file creation','FILE','CREATE'),</v>
      </c>
    </row>
    <row r="300" spans="1:6" ht="20.100000000000001" customHeight="1" x14ac:dyDescent="0.25">
      <c r="A300" s="3">
        <v>503</v>
      </c>
      <c r="B300" s="4" t="str">
        <f t="shared" si="17"/>
        <v>GROUP:CREATE</v>
      </c>
      <c r="C300" s="4" t="str">
        <f t="shared" si="20"/>
        <v>group creation</v>
      </c>
      <c r="D300" s="4" t="s">
        <v>5745</v>
      </c>
      <c r="E300" s="5" t="s">
        <v>6423</v>
      </c>
      <c r="F300" s="16" t="str">
        <f t="shared" si="18"/>
        <v>(503,'GROUP:CREATE','group creation','GROUP','CREATE'),</v>
      </c>
    </row>
    <row r="301" spans="1:6" ht="20.100000000000001" customHeight="1" x14ac:dyDescent="0.25">
      <c r="A301" s="3">
        <v>504</v>
      </c>
      <c r="B301" s="4" t="str">
        <f t="shared" si="17"/>
        <v>USER:CREATE</v>
      </c>
      <c r="C301" s="4" t="str">
        <f t="shared" si="20"/>
        <v>user creation</v>
      </c>
      <c r="D301" s="4" t="s">
        <v>5746</v>
      </c>
      <c r="E301" s="5" t="s">
        <v>6423</v>
      </c>
      <c r="F301" s="16" t="str">
        <f t="shared" si="18"/>
        <v>(504,'USER:CREATE','user creation','USER','CREATE'),</v>
      </c>
    </row>
    <row r="302" spans="1:6" ht="20.100000000000001" customHeight="1" x14ac:dyDescent="0.25">
      <c r="A302" s="3">
        <v>505</v>
      </c>
      <c r="B302" s="4" t="str">
        <f t="shared" si="17"/>
        <v>ROLE:CREATE</v>
      </c>
      <c r="C302" s="4" t="str">
        <f t="shared" si="20"/>
        <v>role creation</v>
      </c>
      <c r="D302" s="4" t="s">
        <v>5747</v>
      </c>
      <c r="E302" s="5" t="s">
        <v>6423</v>
      </c>
      <c r="F302" s="16" t="str">
        <f t="shared" si="18"/>
        <v>(505,'ROLE:CREATE','role creation','ROLE','CREATE'),</v>
      </c>
    </row>
    <row r="303" spans="1:6" ht="20.100000000000001" customHeight="1" x14ac:dyDescent="0.25">
      <c r="A303" s="3">
        <v>506</v>
      </c>
      <c r="B303" s="4" t="str">
        <f t="shared" si="17"/>
        <v>PERMISSION:CREATE</v>
      </c>
      <c r="C303" s="4" t="str">
        <f t="shared" si="20"/>
        <v>permission creation</v>
      </c>
      <c r="D303" s="4" t="s">
        <v>5748</v>
      </c>
      <c r="E303" s="5" t="s">
        <v>6423</v>
      </c>
      <c r="F303" s="16" t="str">
        <f t="shared" si="18"/>
        <v>(506,'PERMISSION:CREATE','permission creation','PERMISSION','CREATE'),</v>
      </c>
    </row>
    <row r="304" spans="1:6" ht="20.100000000000001" customHeight="1" x14ac:dyDescent="0.25">
      <c r="A304" s="3">
        <v>507</v>
      </c>
      <c r="B304" s="4" t="str">
        <f t="shared" si="17"/>
        <v>AUTHORITY:CREATE</v>
      </c>
      <c r="C304" s="4" t="str">
        <f t="shared" si="20"/>
        <v>authority creation</v>
      </c>
      <c r="D304" s="4" t="s">
        <v>5749</v>
      </c>
      <c r="E304" s="5" t="s">
        <v>6423</v>
      </c>
      <c r="F304" s="16" t="str">
        <f t="shared" si="18"/>
        <v>(507,'AUTHORITY:CREATE','authority creation','AUTHORITY','CREATE'),</v>
      </c>
    </row>
    <row r="305" spans="1:6" ht="20.100000000000001" customHeight="1" x14ac:dyDescent="0.25">
      <c r="A305" s="3">
        <v>508</v>
      </c>
      <c r="B305" s="4" t="str">
        <f t="shared" si="17"/>
        <v>AUDIT:CREATE</v>
      </c>
      <c r="C305" s="4" t="str">
        <f t="shared" si="20"/>
        <v>audit creation</v>
      </c>
      <c r="D305" s="4" t="s">
        <v>5750</v>
      </c>
      <c r="E305" s="5" t="s">
        <v>6423</v>
      </c>
      <c r="F305" s="16" t="str">
        <f t="shared" si="18"/>
        <v>(508,'AUDIT:CREATE','audit creation','AUDIT','CREATE'),</v>
      </c>
    </row>
    <row r="306" spans="1:6" ht="20.100000000000001" customHeight="1" x14ac:dyDescent="0.25">
      <c r="A306" s="3">
        <v>509</v>
      </c>
      <c r="B306" s="4" t="str">
        <f t="shared" si="17"/>
        <v>STRUCTURE_TYPE:CREATE</v>
      </c>
      <c r="C306" s="4" t="str">
        <f t="shared" si="20"/>
        <v>structure_type creation</v>
      </c>
      <c r="D306" s="4" t="s">
        <v>5755</v>
      </c>
      <c r="E306" s="5" t="s">
        <v>6423</v>
      </c>
      <c r="F306" s="16" t="str">
        <f t="shared" si="18"/>
        <v>(509,'STRUCTURE_TYPE:CREATE','structure_type creation','STRUCTURE_TYPE','CREATE'),</v>
      </c>
    </row>
    <row r="307" spans="1:6" ht="20.100000000000001" customHeight="1" x14ac:dyDescent="0.25">
      <c r="A307" s="3">
        <v>510</v>
      </c>
      <c r="B307" s="4" t="str">
        <f t="shared" si="17"/>
        <v>ZONE:CREATE</v>
      </c>
      <c r="C307" s="4" t="str">
        <f t="shared" si="20"/>
        <v>zone creation</v>
      </c>
      <c r="D307" s="4" t="s">
        <v>5767</v>
      </c>
      <c r="E307" s="5" t="s">
        <v>6423</v>
      </c>
      <c r="F307" s="16" t="str">
        <f t="shared" si="18"/>
        <v>(510,'ZONE:CREATE','zone creation','ZONE','CREATE'),</v>
      </c>
    </row>
    <row r="308" spans="1:6" ht="20.100000000000001" customHeight="1" x14ac:dyDescent="0.25">
      <c r="A308" s="3">
        <v>511</v>
      </c>
      <c r="B308" s="4" t="str">
        <f t="shared" si="17"/>
        <v>COUNTRY:CREATE</v>
      </c>
      <c r="C308" s="4" t="str">
        <f t="shared" si="20"/>
        <v>country creation</v>
      </c>
      <c r="D308" s="4" t="s">
        <v>5752</v>
      </c>
      <c r="E308" s="5" t="s">
        <v>6423</v>
      </c>
      <c r="F308" s="16" t="str">
        <f t="shared" si="18"/>
        <v>(511,'COUNTRY:CREATE','country creation','COUNTRY','CREATE'),</v>
      </c>
    </row>
    <row r="309" spans="1:6" ht="20.100000000000001" customHeight="1" x14ac:dyDescent="0.25">
      <c r="A309" s="3">
        <v>512</v>
      </c>
      <c r="B309" s="4" t="str">
        <f t="shared" ref="B309:B367" si="21">CONCATENATE(D309,":",E309)</f>
        <v>STATE:CREATE</v>
      </c>
      <c r="C309" s="4" t="str">
        <f t="shared" si="20"/>
        <v>state creation</v>
      </c>
      <c r="D309" s="4" t="s">
        <v>5753</v>
      </c>
      <c r="E309" s="5" t="s">
        <v>6423</v>
      </c>
      <c r="F309" s="16" t="str">
        <f t="shared" si="18"/>
        <v>(512,'STATE:CREATE','state creation','STATE','CREATE'),</v>
      </c>
    </row>
    <row r="310" spans="1:6" ht="20.100000000000001" customHeight="1" x14ac:dyDescent="0.25">
      <c r="A310" s="3">
        <v>513</v>
      </c>
      <c r="B310" s="4" t="str">
        <f t="shared" si="21"/>
        <v>DISTRICT:CREATE</v>
      </c>
      <c r="C310" s="4" t="str">
        <f t="shared" si="20"/>
        <v>district creation</v>
      </c>
      <c r="D310" s="4" t="s">
        <v>5787</v>
      </c>
      <c r="E310" s="5" t="s">
        <v>6423</v>
      </c>
      <c r="F310" s="16" t="str">
        <f t="shared" si="18"/>
        <v>(513,'DISTRICT:CREATE','district creation','DISTRICT','CREATE'),</v>
      </c>
    </row>
    <row r="311" spans="1:6" ht="20.100000000000001" customHeight="1" x14ac:dyDescent="0.25">
      <c r="A311" s="3">
        <v>514</v>
      </c>
      <c r="B311" s="4" t="str">
        <f t="shared" si="21"/>
        <v>LOCALITY:CREATE</v>
      </c>
      <c r="C311" s="4" t="str">
        <f t="shared" si="20"/>
        <v>locality creation</v>
      </c>
      <c r="D311" s="4" t="s">
        <v>5754</v>
      </c>
      <c r="E311" s="5" t="s">
        <v>6423</v>
      </c>
      <c r="F311" s="16" t="str">
        <f t="shared" si="18"/>
        <v>(514,'LOCALITY:CREATE','locality creation','LOCALITY','CREATE'),</v>
      </c>
    </row>
    <row r="312" spans="1:6" ht="20.100000000000001" customHeight="1" x14ac:dyDescent="0.25">
      <c r="A312" s="3">
        <v>515</v>
      </c>
      <c r="B312" s="4" t="str">
        <f t="shared" si="21"/>
        <v>LOCATION:CREATE</v>
      </c>
      <c r="C312" s="4" t="str">
        <f t="shared" si="20"/>
        <v>location creation</v>
      </c>
      <c r="D312" s="4" t="s">
        <v>5768</v>
      </c>
      <c r="E312" s="5" t="s">
        <v>6423</v>
      </c>
      <c r="F312" s="16" t="str">
        <f t="shared" si="18"/>
        <v>(515,'LOCATION:CREATE','location creation','LOCATION','CREATE'),</v>
      </c>
    </row>
    <row r="313" spans="1:6" ht="20.100000000000001" customHeight="1" x14ac:dyDescent="0.25">
      <c r="A313" s="3">
        <v>516</v>
      </c>
      <c r="B313" s="4" t="str">
        <f t="shared" si="21"/>
        <v>COORDINATE:CREATE</v>
      </c>
      <c r="C313" s="4" t="str">
        <f t="shared" si="20"/>
        <v>coordinate creation</v>
      </c>
      <c r="D313" s="4" t="s">
        <v>6370</v>
      </c>
      <c r="E313" s="5" t="s">
        <v>6423</v>
      </c>
      <c r="F313" s="16" t="str">
        <f t="shared" si="18"/>
        <v>(516,'COORDINATE:CREATE','coordinate creation','COORDINATE','CREATE'),</v>
      </c>
    </row>
    <row r="314" spans="1:6" ht="20.100000000000001" customHeight="1" x14ac:dyDescent="0.25">
      <c r="A314" s="3">
        <v>517</v>
      </c>
      <c r="B314" s="4" t="str">
        <f t="shared" si="21"/>
        <v>STRUCTURE:CREATE</v>
      </c>
      <c r="C314" s="4" t="str">
        <f t="shared" si="20"/>
        <v>structure creation</v>
      </c>
      <c r="D314" s="4" t="s">
        <v>5756</v>
      </c>
      <c r="E314" s="5" t="s">
        <v>6423</v>
      </c>
      <c r="F314" s="16" t="str">
        <f t="shared" si="18"/>
        <v>(517,'STRUCTURE:CREATE','structure creation','STRUCTURE','CREATE'),</v>
      </c>
    </row>
    <row r="315" spans="1:6" ht="20.100000000000001" customHeight="1" x14ac:dyDescent="0.25">
      <c r="A315" s="3">
        <v>518</v>
      </c>
      <c r="B315" s="4" t="str">
        <f t="shared" si="21"/>
        <v>JOB:CREATE</v>
      </c>
      <c r="C315" s="4" t="str">
        <f t="shared" si="20"/>
        <v>job creation</v>
      </c>
      <c r="D315" s="4" t="s">
        <v>5757</v>
      </c>
      <c r="E315" s="5" t="s">
        <v>6423</v>
      </c>
      <c r="F315" s="16" t="str">
        <f t="shared" si="18"/>
        <v>(518,'JOB:CREATE','job creation','JOB','CREATE'),</v>
      </c>
    </row>
    <row r="316" spans="1:6" ht="20.100000000000001" customHeight="1" x14ac:dyDescent="0.25">
      <c r="A316" s="3">
        <v>519</v>
      </c>
      <c r="B316" s="4" t="str">
        <f t="shared" si="21"/>
        <v>PERSON:CREATE</v>
      </c>
      <c r="C316" s="4" t="str">
        <f t="shared" si="20"/>
        <v>person creation</v>
      </c>
      <c r="D316" s="4" t="s">
        <v>5758</v>
      </c>
      <c r="E316" s="5" t="s">
        <v>6423</v>
      </c>
      <c r="F316" s="16" t="str">
        <f t="shared" si="18"/>
        <v>(519,'PERSON:CREATE','person creation','PERSON','CREATE'),</v>
      </c>
    </row>
    <row r="317" spans="1:6" ht="20.100000000000001" customHeight="1" x14ac:dyDescent="0.25">
      <c r="A317" s="3">
        <v>520</v>
      </c>
      <c r="B317" s="4" t="str">
        <f t="shared" si="21"/>
        <v>EMPLOYEE:CREATE</v>
      </c>
      <c r="C317" s="4" t="str">
        <f t="shared" si="20"/>
        <v>employee creation</v>
      </c>
      <c r="D317" s="4" t="s">
        <v>5759</v>
      </c>
      <c r="E317" s="5" t="s">
        <v>6423</v>
      </c>
      <c r="F317" s="16" t="str">
        <f t="shared" si="18"/>
        <v>(520,'EMPLOYEE:CREATE','employee creation','EMPLOYEE','CREATE'),</v>
      </c>
    </row>
    <row r="318" spans="1:6" ht="20.100000000000001" customHeight="1" x14ac:dyDescent="0.25">
      <c r="A318" s="3">
        <v>521</v>
      </c>
      <c r="B318" s="4" t="str">
        <f t="shared" si="21"/>
        <v>COMPANY_TYPE:CREATE</v>
      </c>
      <c r="C318" s="4" t="str">
        <f t="shared" si="20"/>
        <v>company_type creation</v>
      </c>
      <c r="D318" s="4" t="s">
        <v>5760</v>
      </c>
      <c r="E318" s="5" t="s">
        <v>6423</v>
      </c>
      <c r="F318" s="16" t="str">
        <f t="shared" si="18"/>
        <v>(521,'COMPANY_TYPE:CREATE','company_type creation','COMPANY_TYPE','CREATE'),</v>
      </c>
    </row>
    <row r="319" spans="1:6" ht="20.100000000000001" customHeight="1" x14ac:dyDescent="0.25">
      <c r="A319" s="3">
        <v>522</v>
      </c>
      <c r="B319" s="4" t="str">
        <f t="shared" si="21"/>
        <v>PARTNER_TYPE:CREATE</v>
      </c>
      <c r="C319" s="4" t="str">
        <f t="shared" si="20"/>
        <v>partner_type creation</v>
      </c>
      <c r="D319" s="4" t="s">
        <v>5761</v>
      </c>
      <c r="E319" s="5" t="s">
        <v>6423</v>
      </c>
      <c r="F319" s="16" t="str">
        <f t="shared" si="18"/>
        <v>(522,'PARTNER_TYPE:CREATE','partner_type creation','PARTNER_TYPE','CREATE'),</v>
      </c>
    </row>
    <row r="320" spans="1:6" ht="20.100000000000001" customHeight="1" x14ac:dyDescent="0.25">
      <c r="A320" s="3">
        <v>523</v>
      </c>
      <c r="B320" s="4" t="str">
        <f t="shared" si="21"/>
        <v>VENDOR_TYPE:CREATE</v>
      </c>
      <c r="C320" s="4" t="str">
        <f t="shared" si="20"/>
        <v>vendor_type creation</v>
      </c>
      <c r="D320" s="4" t="s">
        <v>5762</v>
      </c>
      <c r="E320" s="5" t="s">
        <v>6423</v>
      </c>
      <c r="F320" s="16" t="str">
        <f t="shared" si="18"/>
        <v>(523,'VENDOR_TYPE:CREATE','vendor_type creation','VENDOR_TYPE','CREATE'),</v>
      </c>
    </row>
    <row r="321" spans="1:6" ht="20.100000000000001" customHeight="1" x14ac:dyDescent="0.25">
      <c r="A321" s="3">
        <v>524</v>
      </c>
      <c r="B321" s="4" t="str">
        <f t="shared" si="21"/>
        <v>FACILITY_TYPE:CREATE</v>
      </c>
      <c r="C321" s="4" t="str">
        <f t="shared" si="20"/>
        <v>facility_type creation</v>
      </c>
      <c r="D321" s="4" t="s">
        <v>5763</v>
      </c>
      <c r="E321" s="5" t="s">
        <v>6423</v>
      </c>
      <c r="F321" s="16" t="str">
        <f t="shared" si="18"/>
        <v>(524,'FACILITY_TYPE:CREATE','facility_type creation','FACILITY_TYPE','CREATE'),</v>
      </c>
    </row>
    <row r="322" spans="1:6" ht="20.100000000000001" customHeight="1" x14ac:dyDescent="0.25">
      <c r="A322" s="3">
        <v>525</v>
      </c>
      <c r="B322" s="4" t="str">
        <f t="shared" si="21"/>
        <v>STATION_TYPE:CREATE</v>
      </c>
      <c r="C322" s="4" t="str">
        <f t="shared" si="20"/>
        <v>station_type creation</v>
      </c>
      <c r="D322" s="4" t="s">
        <v>5764</v>
      </c>
      <c r="E322" s="5" t="s">
        <v>6423</v>
      </c>
      <c r="F322" s="16" t="str">
        <f t="shared" si="18"/>
        <v>(525,'STATION_TYPE:CREATE','station_type creation','STATION_TYPE','CREATE'),</v>
      </c>
    </row>
    <row r="323" spans="1:6" ht="20.100000000000001" customHeight="1" x14ac:dyDescent="0.25">
      <c r="A323" s="3">
        <v>526</v>
      </c>
      <c r="B323" s="4" t="str">
        <f t="shared" si="21"/>
        <v>TERMINAL_TYPE:CREATE</v>
      </c>
      <c r="C323" s="4" t="str">
        <f t="shared" si="20"/>
        <v>terminal_type creation</v>
      </c>
      <c r="D323" s="4" t="s">
        <v>5765</v>
      </c>
      <c r="E323" s="5" t="s">
        <v>6423</v>
      </c>
      <c r="F323" s="16" t="str">
        <f t="shared" ref="F323:F386" si="22">CONCATENATE("(",A323,",'",B323,"','",C323,"','",D323,"','",E323,"'),")</f>
        <v>(526,'TERMINAL_TYPE:CREATE','terminal_type creation','TERMINAL_TYPE','CREATE'),</v>
      </c>
    </row>
    <row r="324" spans="1:6" ht="20.100000000000001" customHeight="1" x14ac:dyDescent="0.25">
      <c r="A324" s="3">
        <v>527</v>
      </c>
      <c r="B324" s="4" t="str">
        <f t="shared" si="21"/>
        <v>PROCESSING_PLANT_TYPE:CREATE</v>
      </c>
      <c r="C324" s="4" t="str">
        <f t="shared" si="20"/>
        <v>processing_plant_type creation</v>
      </c>
      <c r="D324" s="4" t="s">
        <v>5788</v>
      </c>
      <c r="E324" s="5" t="s">
        <v>6423</v>
      </c>
      <c r="F324" s="16" t="str">
        <f t="shared" si="22"/>
        <v>(527,'PROCESSING_PLANT_TYPE:CREATE','processing_plant_type creation','PROCESSING_PLANT_TYPE','CREATE'),</v>
      </c>
    </row>
    <row r="325" spans="1:6" ht="20.100000000000001" customHeight="1" x14ac:dyDescent="0.25">
      <c r="A325" s="3">
        <v>528</v>
      </c>
      <c r="B325" s="4" t="str">
        <f t="shared" si="21"/>
        <v>PRODUCTION_FIELD_TYPE:CREATE</v>
      </c>
      <c r="C325" s="4" t="str">
        <f t="shared" si="20"/>
        <v>production_field_type creation</v>
      </c>
      <c r="D325" s="4" t="s">
        <v>5789</v>
      </c>
      <c r="E325" s="5" t="s">
        <v>6423</v>
      </c>
      <c r="F325" s="16" t="str">
        <f t="shared" si="22"/>
        <v>(528,'PRODUCTION_FIELD_TYPE:CREATE','production_field_type creation','PRODUCTION_FIELD_TYPE','CREATE'),</v>
      </c>
    </row>
    <row r="326" spans="1:6" ht="20.100000000000001" customHeight="1" x14ac:dyDescent="0.25">
      <c r="A326" s="3">
        <v>529</v>
      </c>
      <c r="B326" s="4" t="str">
        <f t="shared" si="21"/>
        <v>EQUIPMENT_TYPE:CREATE</v>
      </c>
      <c r="C326" s="4" t="str">
        <f t="shared" si="20"/>
        <v>equipment_type creation</v>
      </c>
      <c r="D326" s="4" t="s">
        <v>5766</v>
      </c>
      <c r="E326" s="5" t="s">
        <v>6423</v>
      </c>
      <c r="F326" s="16" t="str">
        <f t="shared" si="22"/>
        <v>(529,'EQUIPMENT_TYPE:CREATE','equipment_type creation','EQUIPMENT_TYPE','CREATE'),</v>
      </c>
    </row>
    <row r="327" spans="1:6" ht="20.100000000000001" customHeight="1" x14ac:dyDescent="0.25">
      <c r="A327" s="3">
        <v>530</v>
      </c>
      <c r="B327" s="4" t="str">
        <f t="shared" si="21"/>
        <v>PRODUCT:CREATE</v>
      </c>
      <c r="C327" s="4" t="str">
        <f t="shared" si="20"/>
        <v>product creation</v>
      </c>
      <c r="D327" s="4" t="s">
        <v>5769</v>
      </c>
      <c r="E327" s="5" t="s">
        <v>6423</v>
      </c>
      <c r="F327" s="16" t="str">
        <f t="shared" si="22"/>
        <v>(530,'PRODUCT:CREATE','product creation','PRODUCT','CREATE'),</v>
      </c>
    </row>
    <row r="328" spans="1:6" ht="20.100000000000001" customHeight="1" x14ac:dyDescent="0.25">
      <c r="A328" s="3">
        <v>531</v>
      </c>
      <c r="B328" s="4" t="str">
        <f t="shared" si="21"/>
        <v>OPERATIONAL_STATUS:CREATE</v>
      </c>
      <c r="C328" s="4" t="str">
        <f t="shared" si="20"/>
        <v>operational_status creation</v>
      </c>
      <c r="D328" s="4" t="s">
        <v>5770</v>
      </c>
      <c r="E328" s="5" t="s">
        <v>6423</v>
      </c>
      <c r="F328" s="16" t="str">
        <f t="shared" si="22"/>
        <v>(531,'OPERATIONAL_STATUS:CREATE','operational_status creation','OPERATIONAL_STATUS','CREATE'),</v>
      </c>
    </row>
    <row r="329" spans="1:6" ht="20.100000000000001" customHeight="1" x14ac:dyDescent="0.25">
      <c r="A329" s="3">
        <v>532</v>
      </c>
      <c r="B329" s="4" t="str">
        <f t="shared" si="21"/>
        <v>ALLOY:CREATE</v>
      </c>
      <c r="C329" s="4" t="str">
        <f t="shared" si="20"/>
        <v>alloy creation</v>
      </c>
      <c r="D329" s="4" t="s">
        <v>5771</v>
      </c>
      <c r="E329" s="5" t="s">
        <v>6423</v>
      </c>
      <c r="F329" s="16" t="str">
        <f t="shared" si="22"/>
        <v>(532,'ALLOY:CREATE','alloy creation','ALLOY','CREATE'),</v>
      </c>
    </row>
    <row r="330" spans="1:6" ht="20.100000000000001" customHeight="1" x14ac:dyDescent="0.25">
      <c r="A330" s="3">
        <v>533</v>
      </c>
      <c r="B330" s="4" t="str">
        <f t="shared" si="21"/>
        <v>PARTNER:CREATE</v>
      </c>
      <c r="C330" s="4" t="str">
        <f t="shared" ref="C330:C356" si="23">CONCATENATE(LOWER(D330)," creation")</f>
        <v>partner creation</v>
      </c>
      <c r="D330" s="4" t="s">
        <v>5772</v>
      </c>
      <c r="E330" s="5" t="s">
        <v>6423</v>
      </c>
      <c r="F330" s="16" t="str">
        <f t="shared" si="22"/>
        <v>(533,'PARTNER:CREATE','partner creation','PARTNER','CREATE'),</v>
      </c>
    </row>
    <row r="331" spans="1:6" ht="20.100000000000001" customHeight="1" x14ac:dyDescent="0.25">
      <c r="A331" s="3">
        <v>534</v>
      </c>
      <c r="B331" s="4" t="str">
        <f t="shared" si="21"/>
        <v>VENDOR:CREATE</v>
      </c>
      <c r="C331" s="4" t="str">
        <f t="shared" si="23"/>
        <v>vendor creation</v>
      </c>
      <c r="D331" s="4" t="s">
        <v>5773</v>
      </c>
      <c r="E331" s="5" t="s">
        <v>6423</v>
      </c>
      <c r="F331" s="16" t="str">
        <f t="shared" si="22"/>
        <v>(534,'VENDOR:CREATE','vendor creation','VENDOR','CREATE'),</v>
      </c>
    </row>
    <row r="332" spans="1:6" ht="20.100000000000001" customHeight="1" x14ac:dyDescent="0.25">
      <c r="A332" s="3">
        <v>535</v>
      </c>
      <c r="B332" s="4" t="str">
        <f t="shared" si="21"/>
        <v>INFRASTRUCTURE:CREATE</v>
      </c>
      <c r="C332" s="4" t="str">
        <f t="shared" si="23"/>
        <v>infrastructure creation</v>
      </c>
      <c r="D332" s="4" t="s">
        <v>5774</v>
      </c>
      <c r="E332" s="5" t="s">
        <v>6423</v>
      </c>
      <c r="F332" s="16" t="str">
        <f t="shared" si="22"/>
        <v>(535,'INFRASTRUCTURE:CREATE','infrastructure creation','INFRASTRUCTURE','CREATE'),</v>
      </c>
    </row>
    <row r="333" spans="1:6" ht="20.100000000000001" customHeight="1" x14ac:dyDescent="0.25">
      <c r="A333" s="3">
        <v>536</v>
      </c>
      <c r="B333" s="4" t="str">
        <f t="shared" si="21"/>
        <v>FACILITY:CREATE</v>
      </c>
      <c r="C333" s="4" t="str">
        <f t="shared" si="23"/>
        <v>facility creation</v>
      </c>
      <c r="D333" s="4" t="s">
        <v>5775</v>
      </c>
      <c r="E333" s="5" t="s">
        <v>6423</v>
      </c>
      <c r="F333" s="16" t="str">
        <f t="shared" si="22"/>
        <v>(536,'FACILITY:CREATE','facility creation','FACILITY','CREATE'),</v>
      </c>
    </row>
    <row r="334" spans="1:6" ht="20.100000000000001" customHeight="1" x14ac:dyDescent="0.25">
      <c r="A334" s="3">
        <v>537</v>
      </c>
      <c r="B334" s="4" t="str">
        <f t="shared" si="21"/>
        <v>PIPELINE_SYSTEM:CREATE</v>
      </c>
      <c r="C334" s="4" t="str">
        <f t="shared" si="23"/>
        <v>pipeline_system creation</v>
      </c>
      <c r="D334" s="4" t="s">
        <v>5776</v>
      </c>
      <c r="E334" s="5" t="s">
        <v>6423</v>
      </c>
      <c r="F334" s="16" t="str">
        <f t="shared" si="22"/>
        <v>(537,'PIPELINE_SYSTEM:CREATE','pipeline_system creation','PIPELINE_SYSTEM','CREATE'),</v>
      </c>
    </row>
    <row r="335" spans="1:6" ht="20.100000000000001" customHeight="1" x14ac:dyDescent="0.25">
      <c r="A335" s="3">
        <v>538</v>
      </c>
      <c r="B335" s="4" t="str">
        <f t="shared" si="21"/>
        <v>PIPELINE:CREATE</v>
      </c>
      <c r="C335" s="4" t="str">
        <f t="shared" si="23"/>
        <v>pipeline creation</v>
      </c>
      <c r="D335" s="4" t="s">
        <v>5777</v>
      </c>
      <c r="E335" s="5" t="s">
        <v>6423</v>
      </c>
      <c r="F335" s="16" t="str">
        <f t="shared" si="22"/>
        <v>(538,'PIPELINE:CREATE','pipeline creation','PIPELINE','CREATE'),</v>
      </c>
    </row>
    <row r="336" spans="1:6" ht="20.100000000000001" customHeight="1" x14ac:dyDescent="0.25">
      <c r="A336" s="3">
        <v>539</v>
      </c>
      <c r="B336" s="4" t="str">
        <f t="shared" si="21"/>
        <v>PIPELINE_SEGMENT:CREATE</v>
      </c>
      <c r="C336" s="4" t="str">
        <f t="shared" si="23"/>
        <v>pipeline_segment creation</v>
      </c>
      <c r="D336" s="4" t="s">
        <v>5778</v>
      </c>
      <c r="E336" s="5" t="s">
        <v>6423</v>
      </c>
      <c r="F336" s="16" t="str">
        <f t="shared" si="22"/>
        <v>(539,'PIPELINE_SEGMENT:CREATE','pipeline_segment creation','PIPELINE_SEGMENT','CREATE'),</v>
      </c>
    </row>
    <row r="337" spans="1:6" ht="20.100000000000001" customHeight="1" x14ac:dyDescent="0.25">
      <c r="A337" s="3">
        <v>540</v>
      </c>
      <c r="B337" s="4" t="str">
        <f t="shared" si="21"/>
        <v>STATION:CREATE</v>
      </c>
      <c r="C337" s="4" t="str">
        <f t="shared" si="23"/>
        <v>station creation</v>
      </c>
      <c r="D337" s="4" t="s">
        <v>5779</v>
      </c>
      <c r="E337" s="5" t="s">
        <v>6423</v>
      </c>
      <c r="F337" s="16" t="str">
        <f t="shared" si="22"/>
        <v>(540,'STATION:CREATE','station creation','STATION','CREATE'),</v>
      </c>
    </row>
    <row r="338" spans="1:6" ht="20.100000000000001" customHeight="1" x14ac:dyDescent="0.25">
      <c r="A338" s="3">
        <v>541</v>
      </c>
      <c r="B338" s="4" t="str">
        <f t="shared" si="21"/>
        <v>TERMINAL:CREATE</v>
      </c>
      <c r="C338" s="4" t="str">
        <f t="shared" si="23"/>
        <v>terminal creation</v>
      </c>
      <c r="D338" s="4" t="s">
        <v>5780</v>
      </c>
      <c r="E338" s="5" t="s">
        <v>6423</v>
      </c>
      <c r="F338" s="16" t="str">
        <f t="shared" si="22"/>
        <v>(541,'TERMINAL:CREATE','terminal creation','TERMINAL','CREATE'),</v>
      </c>
    </row>
    <row r="339" spans="1:6" ht="20.100000000000001" customHeight="1" x14ac:dyDescent="0.25">
      <c r="A339" s="3">
        <v>542</v>
      </c>
      <c r="B339" s="4" t="str">
        <f t="shared" si="21"/>
        <v>PROCESSING_PLANT:CREATE</v>
      </c>
      <c r="C339" s="4" t="str">
        <f t="shared" si="23"/>
        <v>processing_plant creation</v>
      </c>
      <c r="D339" s="4" t="s">
        <v>5790</v>
      </c>
      <c r="E339" s="5" t="s">
        <v>6423</v>
      </c>
      <c r="F339" s="16" t="str">
        <f t="shared" si="22"/>
        <v>(542,'PROCESSING_PLANT:CREATE','processing_plant creation','PROCESSING_PLANT','CREATE'),</v>
      </c>
    </row>
    <row r="340" spans="1:6" ht="20.100000000000001" customHeight="1" x14ac:dyDescent="0.25">
      <c r="A340" s="3">
        <v>543</v>
      </c>
      <c r="B340" s="4" t="str">
        <f t="shared" si="21"/>
        <v>PRODUCTION_FIELD:CREATE</v>
      </c>
      <c r="C340" s="4" t="str">
        <f t="shared" si="23"/>
        <v>production_field creation</v>
      </c>
      <c r="D340" s="4" t="s">
        <v>5791</v>
      </c>
      <c r="E340" s="5" t="s">
        <v>6423</v>
      </c>
      <c r="F340" s="16" t="str">
        <f t="shared" si="22"/>
        <v>(543,'PRODUCTION_FIELD:CREATE','production_field creation','PRODUCTION_FIELD','CREATE'),</v>
      </c>
    </row>
    <row r="341" spans="1:6" ht="20.100000000000001" customHeight="1" x14ac:dyDescent="0.25">
      <c r="A341" s="3">
        <v>544</v>
      </c>
      <c r="B341" s="4" t="str">
        <f t="shared" si="21"/>
        <v>EQUIPMENT:CREATE</v>
      </c>
      <c r="C341" s="4" t="str">
        <f t="shared" si="23"/>
        <v>equipment creation</v>
      </c>
      <c r="D341" s="4" t="s">
        <v>5781</v>
      </c>
      <c r="E341" s="5" t="s">
        <v>6423</v>
      </c>
      <c r="F341" s="16" t="str">
        <f t="shared" si="22"/>
        <v>(544,'EQUIPMENT:CREATE','equipment creation','EQUIPMENT','CREATE'),</v>
      </c>
    </row>
    <row r="342" spans="1:6" ht="20.100000000000001" customHeight="1" x14ac:dyDescent="0.25">
      <c r="A342" s="3">
        <v>545</v>
      </c>
      <c r="B342" s="4" t="str">
        <f t="shared" si="21"/>
        <v>EVENT_TYPE:CREATE</v>
      </c>
      <c r="C342" s="4" t="str">
        <f t="shared" si="23"/>
        <v>event_type creation</v>
      </c>
      <c r="D342" s="4" t="s">
        <v>6372</v>
      </c>
      <c r="E342" s="5" t="s">
        <v>6423</v>
      </c>
      <c r="F342" s="16" t="str">
        <f t="shared" si="22"/>
        <v>(545,'EVENT_TYPE:CREATE','event_type creation','EVENT_TYPE','CREATE'),</v>
      </c>
    </row>
    <row r="343" spans="1:6" ht="20.100000000000001" customHeight="1" x14ac:dyDescent="0.25">
      <c r="A343" s="3">
        <v>546</v>
      </c>
      <c r="B343" s="4" t="str">
        <f t="shared" si="21"/>
        <v>OPERATION_TYPE:CREATE</v>
      </c>
      <c r="C343" s="4" t="str">
        <f t="shared" si="23"/>
        <v>operation_type creation</v>
      </c>
      <c r="D343" s="4" t="s">
        <v>6371</v>
      </c>
      <c r="E343" s="5" t="s">
        <v>6423</v>
      </c>
      <c r="F343" s="16" t="str">
        <f t="shared" si="22"/>
        <v>(546,'OPERATION_TYPE:CREATE','operation_type creation','OPERATION_TYPE','CREATE'),</v>
      </c>
    </row>
    <row r="344" spans="1:6" ht="20.100000000000001" customHeight="1" x14ac:dyDescent="0.25">
      <c r="A344" s="3">
        <v>547</v>
      </c>
      <c r="B344" s="4" t="str">
        <f t="shared" si="21"/>
        <v>EVENT_STATUS:CREATE</v>
      </c>
      <c r="C344" s="4" t="str">
        <f t="shared" si="23"/>
        <v>event_status creation</v>
      </c>
      <c r="D344" s="4" t="s">
        <v>6375</v>
      </c>
      <c r="E344" s="5" t="s">
        <v>6423</v>
      </c>
      <c r="F344" s="16" t="str">
        <f t="shared" si="22"/>
        <v>(547,'EVENT_STATUS:CREATE','event_status creation','EVENT_STATUS','CREATE'),</v>
      </c>
    </row>
    <row r="345" spans="1:6" ht="20.100000000000001" customHeight="1" x14ac:dyDescent="0.25">
      <c r="A345" s="3">
        <v>548</v>
      </c>
      <c r="B345" s="4" t="str">
        <f t="shared" si="21"/>
        <v>ALERT_STATUS:CREATE</v>
      </c>
      <c r="C345" s="4" t="str">
        <f t="shared" si="23"/>
        <v>alert_status creation</v>
      </c>
      <c r="D345" s="4" t="s">
        <v>6373</v>
      </c>
      <c r="E345" s="45" t="s">
        <v>6423</v>
      </c>
      <c r="F345" s="16" t="str">
        <f t="shared" si="22"/>
        <v>(548,'ALERT_STATUS:CREATE','alert_status creation','ALERT_STATUS','CREATE'),</v>
      </c>
    </row>
    <row r="346" spans="1:6" ht="20.100000000000001" customHeight="1" x14ac:dyDescent="0.25">
      <c r="A346" s="3">
        <v>549</v>
      </c>
      <c r="B346" s="4" t="str">
        <f t="shared" si="21"/>
        <v>SEVERITY:CREATE</v>
      </c>
      <c r="C346" s="4" t="str">
        <f t="shared" si="23"/>
        <v>severity creation</v>
      </c>
      <c r="D346" s="4" t="s">
        <v>6377</v>
      </c>
      <c r="E346" s="5" t="s">
        <v>6423</v>
      </c>
      <c r="F346" s="16" t="str">
        <f t="shared" si="22"/>
        <v>(549,'SEVERITY:CREATE','severity creation','SEVERITY','CREATE'),</v>
      </c>
    </row>
    <row r="347" spans="1:6" ht="20.100000000000001" customHeight="1" x14ac:dyDescent="0.25">
      <c r="A347" s="3">
        <v>550</v>
      </c>
      <c r="B347" s="4" t="str">
        <f t="shared" si="21"/>
        <v>DATA_SOURCE:CREATE</v>
      </c>
      <c r="C347" s="4" t="str">
        <f t="shared" si="23"/>
        <v>data_source creation</v>
      </c>
      <c r="D347" s="4" t="s">
        <v>6374</v>
      </c>
      <c r="E347" s="5" t="s">
        <v>6423</v>
      </c>
      <c r="F347" s="16" t="str">
        <f t="shared" si="22"/>
        <v>(550,'DATA_SOURCE:CREATE','data_source creation','DATA_SOURCE','CREATE'),</v>
      </c>
    </row>
    <row r="348" spans="1:6" ht="20.100000000000001" customHeight="1" x14ac:dyDescent="0.25">
      <c r="A348" s="3">
        <v>551</v>
      </c>
      <c r="B348" s="4" t="str">
        <f t="shared" si="21"/>
        <v>QUALITY_FLAG:CREATE</v>
      </c>
      <c r="C348" s="4" t="str">
        <f t="shared" si="23"/>
        <v>quality_flag creation</v>
      </c>
      <c r="D348" s="4" t="s">
        <v>6376</v>
      </c>
      <c r="E348" s="5" t="s">
        <v>6423</v>
      </c>
      <c r="F348" s="16" t="str">
        <f t="shared" si="22"/>
        <v>(551,'QUALITY_FLAG:CREATE','quality_flag creation','QUALITY_FLAG','CREATE'),</v>
      </c>
    </row>
    <row r="349" spans="1:6" ht="20.100000000000001" customHeight="1" x14ac:dyDescent="0.25">
      <c r="A349" s="3">
        <v>552</v>
      </c>
      <c r="B349" s="4" t="str">
        <f t="shared" si="21"/>
        <v>VALIDATION_STATUS:CREATE</v>
      </c>
      <c r="C349" s="4" t="str">
        <f t="shared" si="23"/>
        <v>validation_status creation</v>
      </c>
      <c r="D349" s="4" t="s">
        <v>6378</v>
      </c>
      <c r="E349" s="5" t="s">
        <v>6423</v>
      </c>
      <c r="F349" s="16" t="str">
        <f t="shared" si="22"/>
        <v>(552,'VALIDATION_STATUS:CREATE','validation_status creation','VALIDATION_STATUS','CREATE'),</v>
      </c>
    </row>
    <row r="350" spans="1:6" ht="20.100000000000001" customHeight="1" x14ac:dyDescent="0.25">
      <c r="A350" s="3">
        <v>553</v>
      </c>
      <c r="B350" s="4" t="str">
        <f t="shared" si="21"/>
        <v>READING_SLOT:CREATE</v>
      </c>
      <c r="C350" s="4" t="str">
        <f t="shared" si="23"/>
        <v>reading_slot creation</v>
      </c>
      <c r="D350" s="4" t="s">
        <v>6379</v>
      </c>
      <c r="E350" s="5" t="s">
        <v>6423</v>
      </c>
      <c r="F350" s="16" t="str">
        <f t="shared" si="22"/>
        <v>(553,'READING_SLOT:CREATE','reading_slot creation','READING_SLOT','CREATE'),</v>
      </c>
    </row>
    <row r="351" spans="1:6" ht="20.100000000000001" customHeight="1" x14ac:dyDescent="0.25">
      <c r="A351" s="3">
        <v>554</v>
      </c>
      <c r="B351" s="4" t="str">
        <f t="shared" si="21"/>
        <v>FLOW_OPERATION:CREATE</v>
      </c>
      <c r="C351" s="4" t="str">
        <f t="shared" si="23"/>
        <v>flow_operation creation</v>
      </c>
      <c r="D351" s="4" t="s">
        <v>6380</v>
      </c>
      <c r="E351" s="5" t="s">
        <v>6423</v>
      </c>
      <c r="F351" s="16" t="str">
        <f t="shared" si="22"/>
        <v>(554,'FLOW_OPERATION:CREATE','flow_operation creation','FLOW_OPERATION','CREATE'),</v>
      </c>
    </row>
    <row r="352" spans="1:6" ht="20.100000000000001" customHeight="1" x14ac:dyDescent="0.25">
      <c r="A352" s="3">
        <v>555</v>
      </c>
      <c r="B352" s="4" t="str">
        <f t="shared" si="21"/>
        <v>FLOW_FORECAST:CREATE</v>
      </c>
      <c r="C352" s="4" t="str">
        <f t="shared" si="23"/>
        <v>flow_forecast creation</v>
      </c>
      <c r="D352" s="4" t="s">
        <v>6381</v>
      </c>
      <c r="E352" s="5" t="s">
        <v>6423</v>
      </c>
      <c r="F352" s="16" t="str">
        <f t="shared" si="22"/>
        <v>(555,'FLOW_FORECAST:CREATE','flow_forecast creation','FLOW_FORECAST','CREATE'),</v>
      </c>
    </row>
    <row r="353" spans="1:6" ht="20.100000000000001" customHeight="1" x14ac:dyDescent="0.25">
      <c r="A353" s="3">
        <v>556</v>
      </c>
      <c r="B353" s="4" t="str">
        <f t="shared" si="21"/>
        <v>FLOW_READING:CREATE</v>
      </c>
      <c r="C353" s="4" t="str">
        <f t="shared" si="23"/>
        <v>flow_reading creation</v>
      </c>
      <c r="D353" s="4" t="s">
        <v>6382</v>
      </c>
      <c r="E353" s="5" t="s">
        <v>6423</v>
      </c>
      <c r="F353" s="16" t="str">
        <f t="shared" si="22"/>
        <v>(556,'FLOW_READING:CREATE','flow_reading creation','FLOW_READING','CREATE'),</v>
      </c>
    </row>
    <row r="354" spans="1:6" ht="20.100000000000001" customHeight="1" x14ac:dyDescent="0.25">
      <c r="A354" s="3">
        <v>557</v>
      </c>
      <c r="B354" s="4" t="str">
        <f t="shared" si="21"/>
        <v>FLOW_EVENT:CREATE</v>
      </c>
      <c r="C354" s="4" t="str">
        <f t="shared" si="23"/>
        <v>flow_event creation</v>
      </c>
      <c r="D354" s="4" t="s">
        <v>6385</v>
      </c>
      <c r="E354" s="5" t="s">
        <v>6423</v>
      </c>
      <c r="F354" s="16" t="str">
        <f t="shared" si="22"/>
        <v>(557,'FLOW_EVENT:CREATE','flow_event creation','FLOW_EVENT','CREATE'),</v>
      </c>
    </row>
    <row r="355" spans="1:6" ht="20.100000000000001" customHeight="1" x14ac:dyDescent="0.25">
      <c r="A355" s="3">
        <v>558</v>
      </c>
      <c r="B355" s="4" t="str">
        <f t="shared" si="21"/>
        <v>FLOW_ALERT:CREATE</v>
      </c>
      <c r="C355" s="4" t="str">
        <f t="shared" si="23"/>
        <v>flow_alert creation</v>
      </c>
      <c r="D355" s="4" t="s">
        <v>6384</v>
      </c>
      <c r="E355" s="5" t="s">
        <v>6423</v>
      </c>
      <c r="F355" s="16" t="str">
        <f t="shared" si="22"/>
        <v>(558,'FLOW_ALERT:CREATE','flow_alert creation','FLOW_ALERT','CREATE'),</v>
      </c>
    </row>
    <row r="356" spans="1:6" ht="20.100000000000001" customHeight="1" x14ac:dyDescent="0.25">
      <c r="A356" s="3">
        <v>559</v>
      </c>
      <c r="B356" s="4" t="str">
        <f t="shared" si="21"/>
        <v>FLOW_THRESHOLD:CREATE</v>
      </c>
      <c r="C356" s="4" t="str">
        <f t="shared" si="23"/>
        <v>flow_threshold creation</v>
      </c>
      <c r="D356" s="4" t="s">
        <v>6383</v>
      </c>
      <c r="E356" s="5" t="s">
        <v>6423</v>
      </c>
      <c r="F356" s="16" t="str">
        <f t="shared" si="22"/>
        <v>(559,'FLOW_THRESHOLD:CREATE','flow_threshold creation','FLOW_THRESHOLD','CREATE'),</v>
      </c>
    </row>
    <row r="357" spans="1:6" ht="20.100000000000001" customHeight="1" x14ac:dyDescent="0.25">
      <c r="A357" s="3">
        <v>601</v>
      </c>
      <c r="B357" s="4" t="str">
        <f t="shared" si="21"/>
        <v>PARAMETER:WRITE</v>
      </c>
      <c r="C357" s="4" t="str">
        <f t="shared" ref="C357:C388" si="24">CONCATENATE(LOWER(D357)," editing")</f>
        <v>parameter editing</v>
      </c>
      <c r="D357" s="4" t="s">
        <v>6368</v>
      </c>
      <c r="E357" s="5" t="s">
        <v>6386</v>
      </c>
      <c r="F357" s="16" t="str">
        <f t="shared" si="22"/>
        <v>(601,'PARAMETER:WRITE','parameter editing','PARAMETER','WRITE'),</v>
      </c>
    </row>
    <row r="358" spans="1:6" ht="20.100000000000001" customHeight="1" x14ac:dyDescent="0.25">
      <c r="A358" s="3">
        <v>602</v>
      </c>
      <c r="B358" s="4" t="str">
        <f t="shared" si="21"/>
        <v>FILE:WRITE</v>
      </c>
      <c r="C358" s="4" t="str">
        <f t="shared" si="24"/>
        <v>file editing</v>
      </c>
      <c r="D358" s="4" t="s">
        <v>6369</v>
      </c>
      <c r="E358" s="5" t="s">
        <v>6386</v>
      </c>
      <c r="F358" s="16" t="str">
        <f t="shared" si="22"/>
        <v>(602,'FILE:WRITE','file editing','FILE','WRITE'),</v>
      </c>
    </row>
    <row r="359" spans="1:6" ht="20.100000000000001" customHeight="1" x14ac:dyDescent="0.25">
      <c r="A359" s="3">
        <v>603</v>
      </c>
      <c r="B359" s="4" t="str">
        <f t="shared" si="21"/>
        <v>GROUP:WRITE</v>
      </c>
      <c r="C359" s="4" t="str">
        <f t="shared" si="24"/>
        <v>group editing</v>
      </c>
      <c r="D359" s="4" t="s">
        <v>5745</v>
      </c>
      <c r="E359" s="5" t="s">
        <v>6386</v>
      </c>
      <c r="F359" s="16" t="str">
        <f t="shared" si="22"/>
        <v>(603,'GROUP:WRITE','group editing','GROUP','WRITE'),</v>
      </c>
    </row>
    <row r="360" spans="1:6" ht="20.100000000000001" customHeight="1" x14ac:dyDescent="0.25">
      <c r="A360" s="3">
        <v>604</v>
      </c>
      <c r="B360" s="4" t="str">
        <f t="shared" si="21"/>
        <v>USER:WRITE</v>
      </c>
      <c r="C360" s="4" t="str">
        <f t="shared" si="24"/>
        <v>user editing</v>
      </c>
      <c r="D360" s="4" t="s">
        <v>5746</v>
      </c>
      <c r="E360" s="5" t="s">
        <v>6386</v>
      </c>
      <c r="F360" s="16" t="str">
        <f t="shared" si="22"/>
        <v>(604,'USER:WRITE','user editing','USER','WRITE'),</v>
      </c>
    </row>
    <row r="361" spans="1:6" ht="20.100000000000001" customHeight="1" x14ac:dyDescent="0.25">
      <c r="A361" s="3">
        <v>605</v>
      </c>
      <c r="B361" s="4" t="str">
        <f t="shared" si="21"/>
        <v>ROLE:WRITE</v>
      </c>
      <c r="C361" s="4" t="str">
        <f t="shared" si="24"/>
        <v>role editing</v>
      </c>
      <c r="D361" s="4" t="s">
        <v>5747</v>
      </c>
      <c r="E361" s="5" t="s">
        <v>6386</v>
      </c>
      <c r="F361" s="16" t="str">
        <f t="shared" si="22"/>
        <v>(605,'ROLE:WRITE','role editing','ROLE','WRITE'),</v>
      </c>
    </row>
    <row r="362" spans="1:6" ht="20.100000000000001" customHeight="1" x14ac:dyDescent="0.25">
      <c r="A362" s="3">
        <v>606</v>
      </c>
      <c r="B362" s="4" t="str">
        <f t="shared" si="21"/>
        <v>PERMISSION:WRITE</v>
      </c>
      <c r="C362" s="4" t="str">
        <f t="shared" si="24"/>
        <v>permission editing</v>
      </c>
      <c r="D362" s="4" t="s">
        <v>5748</v>
      </c>
      <c r="E362" s="5" t="s">
        <v>6386</v>
      </c>
      <c r="F362" s="16" t="str">
        <f t="shared" si="22"/>
        <v>(606,'PERMISSION:WRITE','permission editing','PERMISSION','WRITE'),</v>
      </c>
    </row>
    <row r="363" spans="1:6" ht="20.100000000000001" customHeight="1" x14ac:dyDescent="0.25">
      <c r="A363" s="3">
        <v>607</v>
      </c>
      <c r="B363" s="4" t="str">
        <f t="shared" si="21"/>
        <v>AUTHORITY:WRITE</v>
      </c>
      <c r="C363" s="4" t="str">
        <f t="shared" si="24"/>
        <v>authority editing</v>
      </c>
      <c r="D363" s="4" t="s">
        <v>5749</v>
      </c>
      <c r="E363" s="5" t="s">
        <v>6386</v>
      </c>
      <c r="F363" s="16" t="str">
        <f t="shared" si="22"/>
        <v>(607,'AUTHORITY:WRITE','authority editing','AUTHORITY','WRITE'),</v>
      </c>
    </row>
    <row r="364" spans="1:6" ht="20.100000000000001" customHeight="1" x14ac:dyDescent="0.25">
      <c r="A364" s="3">
        <v>608</v>
      </c>
      <c r="B364" s="4" t="str">
        <f t="shared" si="21"/>
        <v>AUDIT:WRITE</v>
      </c>
      <c r="C364" s="4" t="str">
        <f t="shared" si="24"/>
        <v>audit editing</v>
      </c>
      <c r="D364" s="4" t="s">
        <v>5750</v>
      </c>
      <c r="E364" s="5" t="s">
        <v>6386</v>
      </c>
      <c r="F364" s="16" t="str">
        <f t="shared" si="22"/>
        <v>(608,'AUDIT:WRITE','audit editing','AUDIT','WRITE'),</v>
      </c>
    </row>
    <row r="365" spans="1:6" ht="20.100000000000001" customHeight="1" x14ac:dyDescent="0.25">
      <c r="A365" s="3">
        <v>609</v>
      </c>
      <c r="B365" s="4" t="str">
        <f t="shared" si="21"/>
        <v>STRUCTURE_TYPE:WRITE</v>
      </c>
      <c r="C365" s="4" t="str">
        <f t="shared" si="24"/>
        <v>structure_type editing</v>
      </c>
      <c r="D365" s="4" t="s">
        <v>5755</v>
      </c>
      <c r="E365" s="5" t="s">
        <v>6386</v>
      </c>
      <c r="F365" s="16" t="str">
        <f t="shared" si="22"/>
        <v>(609,'STRUCTURE_TYPE:WRITE','structure_type editing','STRUCTURE_TYPE','WRITE'),</v>
      </c>
    </row>
    <row r="366" spans="1:6" ht="20.100000000000001" customHeight="1" x14ac:dyDescent="0.25">
      <c r="A366" s="3">
        <v>610</v>
      </c>
      <c r="B366" s="4" t="str">
        <f t="shared" si="21"/>
        <v>ZONE:WRITE</v>
      </c>
      <c r="C366" s="4" t="str">
        <f t="shared" si="24"/>
        <v>zone editing</v>
      </c>
      <c r="D366" s="4" t="s">
        <v>5767</v>
      </c>
      <c r="E366" s="5" t="s">
        <v>6386</v>
      </c>
      <c r="F366" s="16" t="str">
        <f t="shared" si="22"/>
        <v>(610,'ZONE:WRITE','zone editing','ZONE','WRITE'),</v>
      </c>
    </row>
    <row r="367" spans="1:6" ht="20.100000000000001" customHeight="1" x14ac:dyDescent="0.25">
      <c r="A367" s="3">
        <v>611</v>
      </c>
      <c r="B367" s="4" t="str">
        <f t="shared" si="21"/>
        <v>COUNTRY:WRITE</v>
      </c>
      <c r="C367" s="4" t="str">
        <f t="shared" si="24"/>
        <v>country editing</v>
      </c>
      <c r="D367" s="4" t="s">
        <v>5752</v>
      </c>
      <c r="E367" s="5" t="s">
        <v>6386</v>
      </c>
      <c r="F367" s="16" t="str">
        <f t="shared" si="22"/>
        <v>(611,'COUNTRY:WRITE','country editing','COUNTRY','WRITE'),</v>
      </c>
    </row>
    <row r="368" spans="1:6" ht="20.100000000000001" customHeight="1" x14ac:dyDescent="0.25">
      <c r="A368" s="3">
        <v>612</v>
      </c>
      <c r="B368" s="4" t="str">
        <f t="shared" ref="B368:B426" si="25">CONCATENATE(D368,":",E368)</f>
        <v>STATE:WRITE</v>
      </c>
      <c r="C368" s="4" t="str">
        <f t="shared" si="24"/>
        <v>state editing</v>
      </c>
      <c r="D368" s="4" t="s">
        <v>5753</v>
      </c>
      <c r="E368" s="5" t="s">
        <v>6386</v>
      </c>
      <c r="F368" s="16" t="str">
        <f t="shared" si="22"/>
        <v>(612,'STATE:WRITE','state editing','STATE','WRITE'),</v>
      </c>
    </row>
    <row r="369" spans="1:6" ht="20.100000000000001" customHeight="1" x14ac:dyDescent="0.25">
      <c r="A369" s="3">
        <v>613</v>
      </c>
      <c r="B369" s="4" t="str">
        <f t="shared" si="25"/>
        <v>DISTRICT:WRITE</v>
      </c>
      <c r="C369" s="4" t="str">
        <f t="shared" si="24"/>
        <v>district editing</v>
      </c>
      <c r="D369" s="4" t="s">
        <v>5787</v>
      </c>
      <c r="E369" s="5" t="s">
        <v>6386</v>
      </c>
      <c r="F369" s="16" t="str">
        <f t="shared" si="22"/>
        <v>(613,'DISTRICT:WRITE','district editing','DISTRICT','WRITE'),</v>
      </c>
    </row>
    <row r="370" spans="1:6" ht="20.100000000000001" customHeight="1" x14ac:dyDescent="0.25">
      <c r="A370" s="3">
        <v>614</v>
      </c>
      <c r="B370" s="4" t="str">
        <f t="shared" si="25"/>
        <v>LOCALITY:WRITE</v>
      </c>
      <c r="C370" s="4" t="str">
        <f t="shared" si="24"/>
        <v>locality editing</v>
      </c>
      <c r="D370" s="4" t="s">
        <v>5754</v>
      </c>
      <c r="E370" s="5" t="s">
        <v>6386</v>
      </c>
      <c r="F370" s="16" t="str">
        <f t="shared" si="22"/>
        <v>(614,'LOCALITY:WRITE','locality editing','LOCALITY','WRITE'),</v>
      </c>
    </row>
    <row r="371" spans="1:6" ht="20.100000000000001" customHeight="1" x14ac:dyDescent="0.25">
      <c r="A371" s="3">
        <v>615</v>
      </c>
      <c r="B371" s="4" t="str">
        <f t="shared" si="25"/>
        <v>LOCATION:WRITE</v>
      </c>
      <c r="C371" s="4" t="str">
        <f t="shared" si="24"/>
        <v>location editing</v>
      </c>
      <c r="D371" s="4" t="s">
        <v>5768</v>
      </c>
      <c r="E371" s="5" t="s">
        <v>6386</v>
      </c>
      <c r="F371" s="16" t="str">
        <f t="shared" si="22"/>
        <v>(615,'LOCATION:WRITE','location editing','LOCATION','WRITE'),</v>
      </c>
    </row>
    <row r="372" spans="1:6" ht="20.100000000000001" customHeight="1" x14ac:dyDescent="0.25">
      <c r="A372" s="3">
        <v>616</v>
      </c>
      <c r="B372" s="4" t="str">
        <f t="shared" si="25"/>
        <v>COORDINATE:WRITE</v>
      </c>
      <c r="C372" s="4" t="str">
        <f t="shared" si="24"/>
        <v>coordinate editing</v>
      </c>
      <c r="D372" s="4" t="s">
        <v>6370</v>
      </c>
      <c r="E372" s="5" t="s">
        <v>6386</v>
      </c>
      <c r="F372" s="16" t="str">
        <f t="shared" si="22"/>
        <v>(616,'COORDINATE:WRITE','coordinate editing','COORDINATE','WRITE'),</v>
      </c>
    </row>
    <row r="373" spans="1:6" ht="20.100000000000001" customHeight="1" x14ac:dyDescent="0.25">
      <c r="A373" s="3">
        <v>617</v>
      </c>
      <c r="B373" s="4" t="str">
        <f t="shared" si="25"/>
        <v>STRUCTURE:WRITE</v>
      </c>
      <c r="C373" s="4" t="str">
        <f t="shared" si="24"/>
        <v>structure editing</v>
      </c>
      <c r="D373" s="4" t="s">
        <v>5756</v>
      </c>
      <c r="E373" s="5" t="s">
        <v>6386</v>
      </c>
      <c r="F373" s="16" t="str">
        <f t="shared" si="22"/>
        <v>(617,'STRUCTURE:WRITE','structure editing','STRUCTURE','WRITE'),</v>
      </c>
    </row>
    <row r="374" spans="1:6" ht="20.100000000000001" customHeight="1" x14ac:dyDescent="0.25">
      <c r="A374" s="3">
        <v>618</v>
      </c>
      <c r="B374" s="4" t="str">
        <f t="shared" si="25"/>
        <v>JOB:WRITE</v>
      </c>
      <c r="C374" s="4" t="str">
        <f t="shared" si="24"/>
        <v>job editing</v>
      </c>
      <c r="D374" s="4" t="s">
        <v>5757</v>
      </c>
      <c r="E374" s="5" t="s">
        <v>6386</v>
      </c>
      <c r="F374" s="16" t="str">
        <f t="shared" si="22"/>
        <v>(618,'JOB:WRITE','job editing','JOB','WRITE'),</v>
      </c>
    </row>
    <row r="375" spans="1:6" ht="20.100000000000001" customHeight="1" x14ac:dyDescent="0.25">
      <c r="A375" s="3">
        <v>619</v>
      </c>
      <c r="B375" s="4" t="str">
        <f t="shared" si="25"/>
        <v>PERSON:WRITE</v>
      </c>
      <c r="C375" s="4" t="str">
        <f t="shared" si="24"/>
        <v>person editing</v>
      </c>
      <c r="D375" s="4" t="s">
        <v>5758</v>
      </c>
      <c r="E375" s="5" t="s">
        <v>6386</v>
      </c>
      <c r="F375" s="16" t="str">
        <f t="shared" si="22"/>
        <v>(619,'PERSON:WRITE','person editing','PERSON','WRITE'),</v>
      </c>
    </row>
    <row r="376" spans="1:6" ht="20.100000000000001" customHeight="1" x14ac:dyDescent="0.25">
      <c r="A376" s="3">
        <v>620</v>
      </c>
      <c r="B376" s="4" t="str">
        <f t="shared" si="25"/>
        <v>EMPLOYEE:WRITE</v>
      </c>
      <c r="C376" s="4" t="str">
        <f t="shared" si="24"/>
        <v>employee editing</v>
      </c>
      <c r="D376" s="4" t="s">
        <v>5759</v>
      </c>
      <c r="E376" s="5" t="s">
        <v>6386</v>
      </c>
      <c r="F376" s="16" t="str">
        <f t="shared" si="22"/>
        <v>(620,'EMPLOYEE:WRITE','employee editing','EMPLOYEE','WRITE'),</v>
      </c>
    </row>
    <row r="377" spans="1:6" ht="20.100000000000001" customHeight="1" x14ac:dyDescent="0.25">
      <c r="A377" s="3">
        <v>621</v>
      </c>
      <c r="B377" s="4" t="str">
        <f t="shared" si="25"/>
        <v>COMPANY_TYPE:WRITE</v>
      </c>
      <c r="C377" s="4" t="str">
        <f t="shared" si="24"/>
        <v>company_type editing</v>
      </c>
      <c r="D377" s="4" t="s">
        <v>5760</v>
      </c>
      <c r="E377" s="5" t="s">
        <v>6386</v>
      </c>
      <c r="F377" s="16" t="str">
        <f t="shared" si="22"/>
        <v>(621,'COMPANY_TYPE:WRITE','company_type editing','COMPANY_TYPE','WRITE'),</v>
      </c>
    </row>
    <row r="378" spans="1:6" ht="20.100000000000001" customHeight="1" x14ac:dyDescent="0.25">
      <c r="A378" s="3">
        <v>622</v>
      </c>
      <c r="B378" s="4" t="str">
        <f t="shared" si="25"/>
        <v>PARTNER_TYPE:WRITE</v>
      </c>
      <c r="C378" s="4" t="str">
        <f t="shared" si="24"/>
        <v>partner_type editing</v>
      </c>
      <c r="D378" s="4" t="s">
        <v>5761</v>
      </c>
      <c r="E378" s="5" t="s">
        <v>6386</v>
      </c>
      <c r="F378" s="16" t="str">
        <f t="shared" si="22"/>
        <v>(622,'PARTNER_TYPE:WRITE','partner_type editing','PARTNER_TYPE','WRITE'),</v>
      </c>
    </row>
    <row r="379" spans="1:6" ht="20.100000000000001" customHeight="1" x14ac:dyDescent="0.25">
      <c r="A379" s="3">
        <v>623</v>
      </c>
      <c r="B379" s="4" t="str">
        <f t="shared" si="25"/>
        <v>VENDOR_TYPE:WRITE</v>
      </c>
      <c r="C379" s="4" t="str">
        <f t="shared" si="24"/>
        <v>vendor_type editing</v>
      </c>
      <c r="D379" s="4" t="s">
        <v>5762</v>
      </c>
      <c r="E379" s="5" t="s">
        <v>6386</v>
      </c>
      <c r="F379" s="16" t="str">
        <f t="shared" si="22"/>
        <v>(623,'VENDOR_TYPE:WRITE','vendor_type editing','VENDOR_TYPE','WRITE'),</v>
      </c>
    </row>
    <row r="380" spans="1:6" ht="20.100000000000001" customHeight="1" x14ac:dyDescent="0.25">
      <c r="A380" s="3">
        <v>624</v>
      </c>
      <c r="B380" s="4" t="str">
        <f t="shared" si="25"/>
        <v>FACILITY_TYPE:WRITE</v>
      </c>
      <c r="C380" s="4" t="str">
        <f t="shared" si="24"/>
        <v>facility_type editing</v>
      </c>
      <c r="D380" s="4" t="s">
        <v>5763</v>
      </c>
      <c r="E380" s="5" t="s">
        <v>6386</v>
      </c>
      <c r="F380" s="16" t="str">
        <f t="shared" si="22"/>
        <v>(624,'FACILITY_TYPE:WRITE','facility_type editing','FACILITY_TYPE','WRITE'),</v>
      </c>
    </row>
    <row r="381" spans="1:6" ht="20.100000000000001" customHeight="1" x14ac:dyDescent="0.25">
      <c r="A381" s="3">
        <v>625</v>
      </c>
      <c r="B381" s="4" t="str">
        <f t="shared" si="25"/>
        <v>STATION_TYPE:WRITE</v>
      </c>
      <c r="C381" s="4" t="str">
        <f t="shared" si="24"/>
        <v>station_type editing</v>
      </c>
      <c r="D381" s="4" t="s">
        <v>5764</v>
      </c>
      <c r="E381" s="5" t="s">
        <v>6386</v>
      </c>
      <c r="F381" s="16" t="str">
        <f t="shared" si="22"/>
        <v>(625,'STATION_TYPE:WRITE','station_type editing','STATION_TYPE','WRITE'),</v>
      </c>
    </row>
    <row r="382" spans="1:6" ht="20.100000000000001" customHeight="1" x14ac:dyDescent="0.25">
      <c r="A382" s="3">
        <v>626</v>
      </c>
      <c r="B382" s="4" t="str">
        <f t="shared" si="25"/>
        <v>TERMINAL_TYPE:WRITE</v>
      </c>
      <c r="C382" s="4" t="str">
        <f t="shared" si="24"/>
        <v>terminal_type editing</v>
      </c>
      <c r="D382" s="4" t="s">
        <v>5765</v>
      </c>
      <c r="E382" s="5" t="s">
        <v>6386</v>
      </c>
      <c r="F382" s="16" t="str">
        <f t="shared" si="22"/>
        <v>(626,'TERMINAL_TYPE:WRITE','terminal_type editing','TERMINAL_TYPE','WRITE'),</v>
      </c>
    </row>
    <row r="383" spans="1:6" ht="20.100000000000001" customHeight="1" x14ac:dyDescent="0.25">
      <c r="A383" s="3">
        <v>627</v>
      </c>
      <c r="B383" s="4" t="str">
        <f t="shared" si="25"/>
        <v>PROCESSING_PLANT_TYPE:WRITE</v>
      </c>
      <c r="C383" s="4" t="str">
        <f t="shared" si="24"/>
        <v>processing_plant_type editing</v>
      </c>
      <c r="D383" s="4" t="s">
        <v>5788</v>
      </c>
      <c r="E383" s="5" t="s">
        <v>6386</v>
      </c>
      <c r="F383" s="16" t="str">
        <f t="shared" si="22"/>
        <v>(627,'PROCESSING_PLANT_TYPE:WRITE','processing_plant_type editing','PROCESSING_PLANT_TYPE','WRITE'),</v>
      </c>
    </row>
    <row r="384" spans="1:6" ht="20.100000000000001" customHeight="1" x14ac:dyDescent="0.25">
      <c r="A384" s="3">
        <v>628</v>
      </c>
      <c r="B384" s="4" t="str">
        <f t="shared" si="25"/>
        <v>PRODUCTION_FIELD_TYPE:WRITE</v>
      </c>
      <c r="C384" s="4" t="str">
        <f t="shared" si="24"/>
        <v>production_field_type editing</v>
      </c>
      <c r="D384" s="4" t="s">
        <v>5789</v>
      </c>
      <c r="E384" s="5" t="s">
        <v>6386</v>
      </c>
      <c r="F384" s="16" t="str">
        <f t="shared" si="22"/>
        <v>(628,'PRODUCTION_FIELD_TYPE:WRITE','production_field_type editing','PRODUCTION_FIELD_TYPE','WRITE'),</v>
      </c>
    </row>
    <row r="385" spans="1:6" ht="20.100000000000001" customHeight="1" x14ac:dyDescent="0.25">
      <c r="A385" s="3">
        <v>629</v>
      </c>
      <c r="B385" s="4" t="str">
        <f t="shared" si="25"/>
        <v>EQUIPMENT_TYPE:WRITE</v>
      </c>
      <c r="C385" s="4" t="str">
        <f t="shared" si="24"/>
        <v>equipment_type editing</v>
      </c>
      <c r="D385" s="4" t="s">
        <v>5766</v>
      </c>
      <c r="E385" s="5" t="s">
        <v>6386</v>
      </c>
      <c r="F385" s="16" t="str">
        <f t="shared" si="22"/>
        <v>(629,'EQUIPMENT_TYPE:WRITE','equipment_type editing','EQUIPMENT_TYPE','WRITE'),</v>
      </c>
    </row>
    <row r="386" spans="1:6" ht="20.100000000000001" customHeight="1" x14ac:dyDescent="0.25">
      <c r="A386" s="3">
        <v>630</v>
      </c>
      <c r="B386" s="4" t="str">
        <f t="shared" si="25"/>
        <v>PRODUCT:WRITE</v>
      </c>
      <c r="C386" s="4" t="str">
        <f t="shared" si="24"/>
        <v>product editing</v>
      </c>
      <c r="D386" s="4" t="s">
        <v>5769</v>
      </c>
      <c r="E386" s="5" t="s">
        <v>6386</v>
      </c>
      <c r="F386" s="16" t="str">
        <f t="shared" si="22"/>
        <v>(630,'PRODUCT:WRITE','product editing','PRODUCT','WRITE'),</v>
      </c>
    </row>
    <row r="387" spans="1:6" ht="20.100000000000001" customHeight="1" x14ac:dyDescent="0.25">
      <c r="A387" s="3">
        <v>631</v>
      </c>
      <c r="B387" s="4" t="str">
        <f t="shared" si="25"/>
        <v>OPERATIONAL_STATUS:WRITE</v>
      </c>
      <c r="C387" s="4" t="str">
        <f t="shared" si="24"/>
        <v>operational_status editing</v>
      </c>
      <c r="D387" s="4" t="s">
        <v>5770</v>
      </c>
      <c r="E387" s="5" t="s">
        <v>6386</v>
      </c>
      <c r="F387" s="16" t="str">
        <f t="shared" ref="F387:F450" si="26">CONCATENATE("(",A387,",'",B387,"','",C387,"','",D387,"','",E387,"'),")</f>
        <v>(631,'OPERATIONAL_STATUS:WRITE','operational_status editing','OPERATIONAL_STATUS','WRITE'),</v>
      </c>
    </row>
    <row r="388" spans="1:6" ht="20.100000000000001" customHeight="1" x14ac:dyDescent="0.25">
      <c r="A388" s="3">
        <v>632</v>
      </c>
      <c r="B388" s="4" t="str">
        <f t="shared" si="25"/>
        <v>ALLOY:WRITE</v>
      </c>
      <c r="C388" s="4" t="str">
        <f t="shared" si="24"/>
        <v>alloy editing</v>
      </c>
      <c r="D388" s="4" t="s">
        <v>5771</v>
      </c>
      <c r="E388" s="5" t="s">
        <v>6386</v>
      </c>
      <c r="F388" s="16" t="str">
        <f t="shared" si="26"/>
        <v>(632,'ALLOY:WRITE','alloy editing','ALLOY','WRITE'),</v>
      </c>
    </row>
    <row r="389" spans="1:6" ht="20.100000000000001" customHeight="1" x14ac:dyDescent="0.25">
      <c r="A389" s="3">
        <v>633</v>
      </c>
      <c r="B389" s="4" t="str">
        <f t="shared" si="25"/>
        <v>PARTNER:WRITE</v>
      </c>
      <c r="C389" s="4" t="str">
        <f t="shared" ref="C389:C415" si="27">CONCATENATE(LOWER(D389)," editing")</f>
        <v>partner editing</v>
      </c>
      <c r="D389" s="4" t="s">
        <v>5772</v>
      </c>
      <c r="E389" s="5" t="s">
        <v>6386</v>
      </c>
      <c r="F389" s="16" t="str">
        <f t="shared" si="26"/>
        <v>(633,'PARTNER:WRITE','partner editing','PARTNER','WRITE'),</v>
      </c>
    </row>
    <row r="390" spans="1:6" ht="20.100000000000001" customHeight="1" x14ac:dyDescent="0.25">
      <c r="A390" s="3">
        <v>634</v>
      </c>
      <c r="B390" s="4" t="str">
        <f t="shared" si="25"/>
        <v>VENDOR:WRITE</v>
      </c>
      <c r="C390" s="4" t="str">
        <f t="shared" si="27"/>
        <v>vendor editing</v>
      </c>
      <c r="D390" s="4" t="s">
        <v>5773</v>
      </c>
      <c r="E390" s="5" t="s">
        <v>6386</v>
      </c>
      <c r="F390" s="16" t="str">
        <f t="shared" si="26"/>
        <v>(634,'VENDOR:WRITE','vendor editing','VENDOR','WRITE'),</v>
      </c>
    </row>
    <row r="391" spans="1:6" ht="20.100000000000001" customHeight="1" x14ac:dyDescent="0.25">
      <c r="A391" s="3">
        <v>635</v>
      </c>
      <c r="B391" s="4" t="str">
        <f t="shared" si="25"/>
        <v>INFRASTRUCTURE:WRITE</v>
      </c>
      <c r="C391" s="4" t="str">
        <f t="shared" si="27"/>
        <v>infrastructure editing</v>
      </c>
      <c r="D391" s="4" t="s">
        <v>5774</v>
      </c>
      <c r="E391" s="5" t="s">
        <v>6386</v>
      </c>
      <c r="F391" s="16" t="str">
        <f t="shared" si="26"/>
        <v>(635,'INFRASTRUCTURE:WRITE','infrastructure editing','INFRASTRUCTURE','WRITE'),</v>
      </c>
    </row>
    <row r="392" spans="1:6" ht="20.100000000000001" customHeight="1" x14ac:dyDescent="0.25">
      <c r="A392" s="3">
        <v>636</v>
      </c>
      <c r="B392" s="4" t="str">
        <f t="shared" si="25"/>
        <v>FACILITY:WRITE</v>
      </c>
      <c r="C392" s="4" t="str">
        <f t="shared" si="27"/>
        <v>facility editing</v>
      </c>
      <c r="D392" s="4" t="s">
        <v>5775</v>
      </c>
      <c r="E392" s="5" t="s">
        <v>6386</v>
      </c>
      <c r="F392" s="16" t="str">
        <f t="shared" si="26"/>
        <v>(636,'FACILITY:WRITE','facility editing','FACILITY','WRITE'),</v>
      </c>
    </row>
    <row r="393" spans="1:6" ht="20.100000000000001" customHeight="1" x14ac:dyDescent="0.25">
      <c r="A393" s="3">
        <v>637</v>
      </c>
      <c r="B393" s="4" t="str">
        <f t="shared" si="25"/>
        <v>PIPELINE_SYSTEM:WRITE</v>
      </c>
      <c r="C393" s="4" t="str">
        <f t="shared" si="27"/>
        <v>pipeline_system editing</v>
      </c>
      <c r="D393" s="4" t="s">
        <v>5776</v>
      </c>
      <c r="E393" s="5" t="s">
        <v>6386</v>
      </c>
      <c r="F393" s="16" t="str">
        <f t="shared" si="26"/>
        <v>(637,'PIPELINE_SYSTEM:WRITE','pipeline_system editing','PIPELINE_SYSTEM','WRITE'),</v>
      </c>
    </row>
    <row r="394" spans="1:6" ht="20.100000000000001" customHeight="1" x14ac:dyDescent="0.25">
      <c r="A394" s="3">
        <v>638</v>
      </c>
      <c r="B394" s="4" t="str">
        <f t="shared" si="25"/>
        <v>PIPELINE:WRITE</v>
      </c>
      <c r="C394" s="4" t="str">
        <f t="shared" si="27"/>
        <v>pipeline editing</v>
      </c>
      <c r="D394" s="4" t="s">
        <v>5777</v>
      </c>
      <c r="E394" s="5" t="s">
        <v>6386</v>
      </c>
      <c r="F394" s="16" t="str">
        <f t="shared" si="26"/>
        <v>(638,'PIPELINE:WRITE','pipeline editing','PIPELINE','WRITE'),</v>
      </c>
    </row>
    <row r="395" spans="1:6" ht="20.100000000000001" customHeight="1" x14ac:dyDescent="0.25">
      <c r="A395" s="3">
        <v>639</v>
      </c>
      <c r="B395" s="4" t="str">
        <f t="shared" si="25"/>
        <v>PIPELINE_SEGMENT:WRITE</v>
      </c>
      <c r="C395" s="4" t="str">
        <f t="shared" si="27"/>
        <v>pipeline_segment editing</v>
      </c>
      <c r="D395" s="4" t="s">
        <v>5778</v>
      </c>
      <c r="E395" s="5" t="s">
        <v>6386</v>
      </c>
      <c r="F395" s="16" t="str">
        <f t="shared" si="26"/>
        <v>(639,'PIPELINE_SEGMENT:WRITE','pipeline_segment editing','PIPELINE_SEGMENT','WRITE'),</v>
      </c>
    </row>
    <row r="396" spans="1:6" ht="20.100000000000001" customHeight="1" x14ac:dyDescent="0.25">
      <c r="A396" s="3">
        <v>640</v>
      </c>
      <c r="B396" s="4" t="str">
        <f t="shared" si="25"/>
        <v>STATION:WRITE</v>
      </c>
      <c r="C396" s="4" t="str">
        <f t="shared" si="27"/>
        <v>station editing</v>
      </c>
      <c r="D396" s="4" t="s">
        <v>5779</v>
      </c>
      <c r="E396" s="5" t="s">
        <v>6386</v>
      </c>
      <c r="F396" s="16" t="str">
        <f t="shared" si="26"/>
        <v>(640,'STATION:WRITE','station editing','STATION','WRITE'),</v>
      </c>
    </row>
    <row r="397" spans="1:6" ht="20.100000000000001" customHeight="1" x14ac:dyDescent="0.25">
      <c r="A397" s="3">
        <v>641</v>
      </c>
      <c r="B397" s="4" t="str">
        <f t="shared" si="25"/>
        <v>TERMINAL:WRITE</v>
      </c>
      <c r="C397" s="4" t="str">
        <f t="shared" si="27"/>
        <v>terminal editing</v>
      </c>
      <c r="D397" s="4" t="s">
        <v>5780</v>
      </c>
      <c r="E397" s="5" t="s">
        <v>6386</v>
      </c>
      <c r="F397" s="16" t="str">
        <f t="shared" si="26"/>
        <v>(641,'TERMINAL:WRITE','terminal editing','TERMINAL','WRITE'),</v>
      </c>
    </row>
    <row r="398" spans="1:6" ht="20.100000000000001" customHeight="1" x14ac:dyDescent="0.25">
      <c r="A398" s="3">
        <v>642</v>
      </c>
      <c r="B398" s="4" t="str">
        <f t="shared" si="25"/>
        <v>PROCESSING_PLANT:WRITE</v>
      </c>
      <c r="C398" s="4" t="str">
        <f t="shared" si="27"/>
        <v>processing_plant editing</v>
      </c>
      <c r="D398" s="4" t="s">
        <v>5790</v>
      </c>
      <c r="E398" s="5" t="s">
        <v>6386</v>
      </c>
      <c r="F398" s="16" t="str">
        <f t="shared" si="26"/>
        <v>(642,'PROCESSING_PLANT:WRITE','processing_plant editing','PROCESSING_PLANT','WRITE'),</v>
      </c>
    </row>
    <row r="399" spans="1:6" ht="20.100000000000001" customHeight="1" x14ac:dyDescent="0.25">
      <c r="A399" s="3">
        <v>643</v>
      </c>
      <c r="B399" s="4" t="str">
        <f t="shared" si="25"/>
        <v>PRODUCTION_FIELD:WRITE</v>
      </c>
      <c r="C399" s="4" t="str">
        <f t="shared" si="27"/>
        <v>production_field editing</v>
      </c>
      <c r="D399" s="4" t="s">
        <v>5791</v>
      </c>
      <c r="E399" s="5" t="s">
        <v>6386</v>
      </c>
      <c r="F399" s="16" t="str">
        <f t="shared" si="26"/>
        <v>(643,'PRODUCTION_FIELD:WRITE','production_field editing','PRODUCTION_FIELD','WRITE'),</v>
      </c>
    </row>
    <row r="400" spans="1:6" ht="20.100000000000001" customHeight="1" x14ac:dyDescent="0.25">
      <c r="A400" s="3">
        <v>644</v>
      </c>
      <c r="B400" s="4" t="str">
        <f t="shared" si="25"/>
        <v>EQUIPMENT:WRITE</v>
      </c>
      <c r="C400" s="4" t="str">
        <f t="shared" si="27"/>
        <v>equipment editing</v>
      </c>
      <c r="D400" s="4" t="s">
        <v>5781</v>
      </c>
      <c r="E400" s="5" t="s">
        <v>6386</v>
      </c>
      <c r="F400" s="16" t="str">
        <f t="shared" si="26"/>
        <v>(644,'EQUIPMENT:WRITE','equipment editing','EQUIPMENT','WRITE'),</v>
      </c>
    </row>
    <row r="401" spans="1:6" ht="20.100000000000001" customHeight="1" x14ac:dyDescent="0.25">
      <c r="A401" s="3">
        <v>645</v>
      </c>
      <c r="B401" s="4" t="str">
        <f t="shared" si="25"/>
        <v>EVENT_TYPE:WRITE</v>
      </c>
      <c r="C401" s="4" t="str">
        <f t="shared" si="27"/>
        <v>event_type editing</v>
      </c>
      <c r="D401" s="4" t="s">
        <v>6372</v>
      </c>
      <c r="E401" s="5" t="s">
        <v>6386</v>
      </c>
      <c r="F401" s="16" t="str">
        <f t="shared" si="26"/>
        <v>(645,'EVENT_TYPE:WRITE','event_type editing','EVENT_TYPE','WRITE'),</v>
      </c>
    </row>
    <row r="402" spans="1:6" ht="20.100000000000001" customHeight="1" x14ac:dyDescent="0.25">
      <c r="A402" s="3">
        <v>646</v>
      </c>
      <c r="B402" s="4" t="str">
        <f t="shared" si="25"/>
        <v>OPERATION_TYPE:WRITE</v>
      </c>
      <c r="C402" s="4" t="str">
        <f t="shared" si="27"/>
        <v>operation_type editing</v>
      </c>
      <c r="D402" s="4" t="s">
        <v>6371</v>
      </c>
      <c r="E402" s="5" t="s">
        <v>6386</v>
      </c>
      <c r="F402" s="16" t="str">
        <f t="shared" si="26"/>
        <v>(646,'OPERATION_TYPE:WRITE','operation_type editing','OPERATION_TYPE','WRITE'),</v>
      </c>
    </row>
    <row r="403" spans="1:6" ht="20.100000000000001" customHeight="1" x14ac:dyDescent="0.25">
      <c r="A403" s="3">
        <v>647</v>
      </c>
      <c r="B403" s="4" t="str">
        <f t="shared" si="25"/>
        <v>EVENT_STATUS:WRITE</v>
      </c>
      <c r="C403" s="4" t="str">
        <f t="shared" si="27"/>
        <v>event_status editing</v>
      </c>
      <c r="D403" s="4" t="s">
        <v>6375</v>
      </c>
      <c r="E403" s="5" t="s">
        <v>6386</v>
      </c>
      <c r="F403" s="16" t="str">
        <f t="shared" si="26"/>
        <v>(647,'EVENT_STATUS:WRITE','event_status editing','EVENT_STATUS','WRITE'),</v>
      </c>
    </row>
    <row r="404" spans="1:6" ht="20.100000000000001" customHeight="1" x14ac:dyDescent="0.25">
      <c r="A404" s="3">
        <v>648</v>
      </c>
      <c r="B404" s="4" t="str">
        <f t="shared" si="25"/>
        <v>ALERT_STATUS:WRITE</v>
      </c>
      <c r="C404" s="4" t="str">
        <f t="shared" si="27"/>
        <v>alert_status editing</v>
      </c>
      <c r="D404" s="4" t="s">
        <v>6373</v>
      </c>
      <c r="E404" s="45" t="s">
        <v>6386</v>
      </c>
      <c r="F404" s="16" t="str">
        <f t="shared" si="26"/>
        <v>(648,'ALERT_STATUS:WRITE','alert_status editing','ALERT_STATUS','WRITE'),</v>
      </c>
    </row>
    <row r="405" spans="1:6" ht="20.100000000000001" customHeight="1" x14ac:dyDescent="0.25">
      <c r="A405" s="3">
        <v>649</v>
      </c>
      <c r="B405" s="4" t="str">
        <f t="shared" si="25"/>
        <v>SEVERITY:WRITE</v>
      </c>
      <c r="C405" s="4" t="str">
        <f t="shared" si="27"/>
        <v>severity editing</v>
      </c>
      <c r="D405" s="4" t="s">
        <v>6377</v>
      </c>
      <c r="E405" s="5" t="s">
        <v>6386</v>
      </c>
      <c r="F405" s="16" t="str">
        <f t="shared" si="26"/>
        <v>(649,'SEVERITY:WRITE','severity editing','SEVERITY','WRITE'),</v>
      </c>
    </row>
    <row r="406" spans="1:6" ht="20.100000000000001" customHeight="1" x14ac:dyDescent="0.25">
      <c r="A406" s="3">
        <v>650</v>
      </c>
      <c r="B406" s="4" t="str">
        <f t="shared" si="25"/>
        <v>DATA_SOURCE:WRITE</v>
      </c>
      <c r="C406" s="4" t="str">
        <f t="shared" si="27"/>
        <v>data_source editing</v>
      </c>
      <c r="D406" s="4" t="s">
        <v>6374</v>
      </c>
      <c r="E406" s="5" t="s">
        <v>6386</v>
      </c>
      <c r="F406" s="16" t="str">
        <f t="shared" si="26"/>
        <v>(650,'DATA_SOURCE:WRITE','data_source editing','DATA_SOURCE','WRITE'),</v>
      </c>
    </row>
    <row r="407" spans="1:6" ht="20.100000000000001" customHeight="1" x14ac:dyDescent="0.25">
      <c r="A407" s="3">
        <v>651</v>
      </c>
      <c r="B407" s="4" t="str">
        <f t="shared" si="25"/>
        <v>QUALITY_FLAG:WRITE</v>
      </c>
      <c r="C407" s="4" t="str">
        <f t="shared" si="27"/>
        <v>quality_flag editing</v>
      </c>
      <c r="D407" s="4" t="s">
        <v>6376</v>
      </c>
      <c r="E407" s="5" t="s">
        <v>6386</v>
      </c>
      <c r="F407" s="16" t="str">
        <f t="shared" si="26"/>
        <v>(651,'QUALITY_FLAG:WRITE','quality_flag editing','QUALITY_FLAG','WRITE'),</v>
      </c>
    </row>
    <row r="408" spans="1:6" ht="20.100000000000001" customHeight="1" x14ac:dyDescent="0.25">
      <c r="A408" s="3">
        <v>652</v>
      </c>
      <c r="B408" s="4" t="str">
        <f t="shared" si="25"/>
        <v>VALIDATION_STATUS:WRITE</v>
      </c>
      <c r="C408" s="4" t="str">
        <f t="shared" si="27"/>
        <v>validation_status editing</v>
      </c>
      <c r="D408" s="4" t="s">
        <v>6378</v>
      </c>
      <c r="E408" s="5" t="s">
        <v>6386</v>
      </c>
      <c r="F408" s="16" t="str">
        <f t="shared" si="26"/>
        <v>(652,'VALIDATION_STATUS:WRITE','validation_status editing','VALIDATION_STATUS','WRITE'),</v>
      </c>
    </row>
    <row r="409" spans="1:6" ht="20.100000000000001" customHeight="1" x14ac:dyDescent="0.25">
      <c r="A409" s="3">
        <v>653</v>
      </c>
      <c r="B409" s="4" t="str">
        <f t="shared" si="25"/>
        <v>READING_SLOT:WRITE</v>
      </c>
      <c r="C409" s="4" t="str">
        <f t="shared" si="27"/>
        <v>reading_slot editing</v>
      </c>
      <c r="D409" s="4" t="s">
        <v>6379</v>
      </c>
      <c r="E409" s="5" t="s">
        <v>6386</v>
      </c>
      <c r="F409" s="16" t="str">
        <f t="shared" si="26"/>
        <v>(653,'READING_SLOT:WRITE','reading_slot editing','READING_SLOT','WRITE'),</v>
      </c>
    </row>
    <row r="410" spans="1:6" ht="20.100000000000001" customHeight="1" x14ac:dyDescent="0.25">
      <c r="A410" s="3">
        <v>654</v>
      </c>
      <c r="B410" s="4" t="str">
        <f t="shared" si="25"/>
        <v>FLOW_OPERATION:WRITE</v>
      </c>
      <c r="C410" s="4" t="str">
        <f t="shared" si="27"/>
        <v>flow_operation editing</v>
      </c>
      <c r="D410" s="4" t="s">
        <v>6380</v>
      </c>
      <c r="E410" s="5" t="s">
        <v>6386</v>
      </c>
      <c r="F410" s="16" t="str">
        <f t="shared" si="26"/>
        <v>(654,'FLOW_OPERATION:WRITE','flow_operation editing','FLOW_OPERATION','WRITE'),</v>
      </c>
    </row>
    <row r="411" spans="1:6" ht="20.100000000000001" customHeight="1" x14ac:dyDescent="0.25">
      <c r="A411" s="3">
        <v>655</v>
      </c>
      <c r="B411" s="4" t="str">
        <f t="shared" si="25"/>
        <v>FLOW_FORECAST:WRITE</v>
      </c>
      <c r="C411" s="4" t="str">
        <f t="shared" si="27"/>
        <v>flow_forecast editing</v>
      </c>
      <c r="D411" s="4" t="s">
        <v>6381</v>
      </c>
      <c r="E411" s="5" t="s">
        <v>6386</v>
      </c>
      <c r="F411" s="16" t="str">
        <f t="shared" si="26"/>
        <v>(655,'FLOW_FORECAST:WRITE','flow_forecast editing','FLOW_FORECAST','WRITE'),</v>
      </c>
    </row>
    <row r="412" spans="1:6" ht="20.100000000000001" customHeight="1" x14ac:dyDescent="0.25">
      <c r="A412" s="3">
        <v>656</v>
      </c>
      <c r="B412" s="4" t="str">
        <f t="shared" si="25"/>
        <v>FLOW_READING:WRITE</v>
      </c>
      <c r="C412" s="4" t="str">
        <f t="shared" si="27"/>
        <v>flow_reading editing</v>
      </c>
      <c r="D412" s="4" t="s">
        <v>6382</v>
      </c>
      <c r="E412" s="5" t="s">
        <v>6386</v>
      </c>
      <c r="F412" s="16" t="str">
        <f t="shared" si="26"/>
        <v>(656,'FLOW_READING:WRITE','flow_reading editing','FLOW_READING','WRITE'),</v>
      </c>
    </row>
    <row r="413" spans="1:6" ht="20.100000000000001" customHeight="1" x14ac:dyDescent="0.25">
      <c r="A413" s="3">
        <v>657</v>
      </c>
      <c r="B413" s="4" t="str">
        <f t="shared" si="25"/>
        <v>FLOW_EVENT:WRITE</v>
      </c>
      <c r="C413" s="4" t="str">
        <f t="shared" si="27"/>
        <v>flow_event editing</v>
      </c>
      <c r="D413" s="4" t="s">
        <v>6385</v>
      </c>
      <c r="E413" s="5" t="s">
        <v>6386</v>
      </c>
      <c r="F413" s="16" t="str">
        <f t="shared" si="26"/>
        <v>(657,'FLOW_EVENT:WRITE','flow_event editing','FLOW_EVENT','WRITE'),</v>
      </c>
    </row>
    <row r="414" spans="1:6" ht="20.100000000000001" customHeight="1" x14ac:dyDescent="0.25">
      <c r="A414" s="3">
        <v>658</v>
      </c>
      <c r="B414" s="4" t="str">
        <f t="shared" si="25"/>
        <v>FLOW_ALERT:WRITE</v>
      </c>
      <c r="C414" s="4" t="str">
        <f t="shared" si="27"/>
        <v>flow_alert editing</v>
      </c>
      <c r="D414" s="4" t="s">
        <v>6384</v>
      </c>
      <c r="E414" s="5" t="s">
        <v>6386</v>
      </c>
      <c r="F414" s="16" t="str">
        <f t="shared" si="26"/>
        <v>(658,'FLOW_ALERT:WRITE','flow_alert editing','FLOW_ALERT','WRITE'),</v>
      </c>
    </row>
    <row r="415" spans="1:6" ht="20.100000000000001" customHeight="1" x14ac:dyDescent="0.25">
      <c r="A415" s="3">
        <v>659</v>
      </c>
      <c r="B415" s="4" t="str">
        <f t="shared" si="25"/>
        <v>FLOW_THRESHOLD:WRITE</v>
      </c>
      <c r="C415" s="4" t="str">
        <f t="shared" si="27"/>
        <v>flow_threshold editing</v>
      </c>
      <c r="D415" s="4" t="s">
        <v>6383</v>
      </c>
      <c r="E415" s="5" t="s">
        <v>6386</v>
      </c>
      <c r="F415" s="16" t="str">
        <f t="shared" si="26"/>
        <v>(659,'FLOW_THRESHOLD:WRITE','flow_threshold editing','FLOW_THRESHOLD','WRITE'),</v>
      </c>
    </row>
    <row r="416" spans="1:6" ht="20.100000000000001" customHeight="1" x14ac:dyDescent="0.25">
      <c r="A416" s="3">
        <v>701</v>
      </c>
      <c r="B416" s="4" t="str">
        <f t="shared" si="25"/>
        <v>PARAMETER:READ</v>
      </c>
      <c r="C416" s="4" t="str">
        <f>CONCATENATE(LOWER(D416)," viewing")</f>
        <v>parameter viewing</v>
      </c>
      <c r="D416" s="4" t="s">
        <v>6368</v>
      </c>
      <c r="E416" s="5" t="s">
        <v>5782</v>
      </c>
      <c r="F416" s="16" t="str">
        <f t="shared" si="26"/>
        <v>(701,'PARAMETER:READ','parameter viewing','PARAMETER','READ'),</v>
      </c>
    </row>
    <row r="417" spans="1:6" ht="20.100000000000001" customHeight="1" x14ac:dyDescent="0.25">
      <c r="A417" s="3">
        <v>702</v>
      </c>
      <c r="B417" s="4" t="str">
        <f t="shared" si="25"/>
        <v>FILE:READ</v>
      </c>
      <c r="C417" s="4" t="str">
        <f t="shared" ref="C417:C421" si="28">CONCATENATE(LOWER(D417)," viewing")</f>
        <v>file viewing</v>
      </c>
      <c r="D417" s="4" t="s">
        <v>6369</v>
      </c>
      <c r="E417" s="5" t="s">
        <v>5782</v>
      </c>
      <c r="F417" s="16" t="str">
        <f t="shared" si="26"/>
        <v>(702,'FILE:READ','file viewing','FILE','READ'),</v>
      </c>
    </row>
    <row r="418" spans="1:6" ht="20.100000000000001" customHeight="1" x14ac:dyDescent="0.25">
      <c r="A418" s="3">
        <v>703</v>
      </c>
      <c r="B418" s="4" t="str">
        <f t="shared" si="25"/>
        <v>GROUP:READ</v>
      </c>
      <c r="C418" s="4" t="str">
        <f t="shared" si="28"/>
        <v>group viewing</v>
      </c>
      <c r="D418" s="4" t="s">
        <v>5745</v>
      </c>
      <c r="E418" s="5" t="s">
        <v>5782</v>
      </c>
      <c r="F418" s="16" t="str">
        <f t="shared" si="26"/>
        <v>(703,'GROUP:READ','group viewing','GROUP','READ'),</v>
      </c>
    </row>
    <row r="419" spans="1:6" ht="20.100000000000001" customHeight="1" x14ac:dyDescent="0.25">
      <c r="A419" s="3">
        <v>704</v>
      </c>
      <c r="B419" s="4" t="str">
        <f t="shared" si="25"/>
        <v>USER:READ</v>
      </c>
      <c r="C419" s="4" t="str">
        <f t="shared" si="28"/>
        <v>user viewing</v>
      </c>
      <c r="D419" s="4" t="s">
        <v>5746</v>
      </c>
      <c r="E419" s="5" t="s">
        <v>5782</v>
      </c>
      <c r="F419" s="16" t="str">
        <f t="shared" si="26"/>
        <v>(704,'USER:READ','user viewing','USER','READ'),</v>
      </c>
    </row>
    <row r="420" spans="1:6" ht="20.100000000000001" customHeight="1" x14ac:dyDescent="0.25">
      <c r="A420" s="3">
        <v>705</v>
      </c>
      <c r="B420" s="4" t="str">
        <f t="shared" si="25"/>
        <v>ROLE:READ</v>
      </c>
      <c r="C420" s="4" t="str">
        <f t="shared" si="28"/>
        <v>role viewing</v>
      </c>
      <c r="D420" s="4" t="s">
        <v>5747</v>
      </c>
      <c r="E420" s="5" t="s">
        <v>5782</v>
      </c>
      <c r="F420" s="16" t="str">
        <f t="shared" si="26"/>
        <v>(705,'ROLE:READ','role viewing','ROLE','READ'),</v>
      </c>
    </row>
    <row r="421" spans="1:6" ht="20.100000000000001" customHeight="1" x14ac:dyDescent="0.25">
      <c r="A421" s="3">
        <v>706</v>
      </c>
      <c r="B421" s="4" t="str">
        <f t="shared" si="25"/>
        <v>PERMISSION:READ</v>
      </c>
      <c r="C421" s="4" t="str">
        <f t="shared" si="28"/>
        <v>permission viewing</v>
      </c>
      <c r="D421" s="4" t="s">
        <v>5748</v>
      </c>
      <c r="E421" s="5" t="s">
        <v>5782</v>
      </c>
      <c r="F421" s="16" t="str">
        <f t="shared" si="26"/>
        <v>(706,'PERMISSION:READ','permission viewing','PERMISSION','READ'),</v>
      </c>
    </row>
    <row r="422" spans="1:6" ht="20.100000000000001" customHeight="1" x14ac:dyDescent="0.25">
      <c r="A422" s="3">
        <v>707</v>
      </c>
      <c r="B422" s="4" t="str">
        <f t="shared" si="25"/>
        <v>AUTHORITY:READ</v>
      </c>
      <c r="C422" s="4" t="str">
        <f t="shared" ref="C422:C474" si="29">CONCATENATE(LOWER(D422)," viewing")</f>
        <v>authority viewing</v>
      </c>
      <c r="D422" s="4" t="s">
        <v>5749</v>
      </c>
      <c r="E422" s="5" t="s">
        <v>5782</v>
      </c>
      <c r="F422" s="16" t="str">
        <f t="shared" si="26"/>
        <v>(707,'AUTHORITY:READ','authority viewing','AUTHORITY','READ'),</v>
      </c>
    </row>
    <row r="423" spans="1:6" ht="20.100000000000001" customHeight="1" x14ac:dyDescent="0.25">
      <c r="A423" s="3">
        <v>708</v>
      </c>
      <c r="B423" s="4" t="str">
        <f t="shared" si="25"/>
        <v>AUDIT:READ</v>
      </c>
      <c r="C423" s="4" t="str">
        <f t="shared" si="29"/>
        <v>audit viewing</v>
      </c>
      <c r="D423" s="4" t="s">
        <v>5750</v>
      </c>
      <c r="E423" s="5" t="s">
        <v>5782</v>
      </c>
      <c r="F423" s="16" t="str">
        <f t="shared" si="26"/>
        <v>(708,'AUDIT:READ','audit viewing','AUDIT','READ'),</v>
      </c>
    </row>
    <row r="424" spans="1:6" ht="20.100000000000001" customHeight="1" x14ac:dyDescent="0.25">
      <c r="A424" s="3">
        <v>709</v>
      </c>
      <c r="B424" s="4" t="str">
        <f t="shared" si="25"/>
        <v>STRUCTURE_TYPE:READ</v>
      </c>
      <c r="C424" s="4" t="str">
        <f t="shared" si="29"/>
        <v>structure_type viewing</v>
      </c>
      <c r="D424" s="4" t="s">
        <v>5755</v>
      </c>
      <c r="E424" s="5" t="s">
        <v>5782</v>
      </c>
      <c r="F424" s="16" t="str">
        <f t="shared" si="26"/>
        <v>(709,'STRUCTURE_TYPE:READ','structure_type viewing','STRUCTURE_TYPE','READ'),</v>
      </c>
    </row>
    <row r="425" spans="1:6" ht="20.100000000000001" customHeight="1" x14ac:dyDescent="0.25">
      <c r="A425" s="3">
        <v>710</v>
      </c>
      <c r="B425" s="4" t="str">
        <f t="shared" si="25"/>
        <v>ZONE:READ</v>
      </c>
      <c r="C425" s="4" t="str">
        <f t="shared" si="29"/>
        <v>zone viewing</v>
      </c>
      <c r="D425" s="4" t="s">
        <v>5767</v>
      </c>
      <c r="E425" s="5" t="s">
        <v>5782</v>
      </c>
      <c r="F425" s="16" t="str">
        <f t="shared" si="26"/>
        <v>(710,'ZONE:READ','zone viewing','ZONE','READ'),</v>
      </c>
    </row>
    <row r="426" spans="1:6" ht="20.100000000000001" customHeight="1" x14ac:dyDescent="0.25">
      <c r="A426" s="3">
        <v>711</v>
      </c>
      <c r="B426" s="4" t="str">
        <f t="shared" si="25"/>
        <v>COUNTRY:READ</v>
      </c>
      <c r="C426" s="4" t="str">
        <f t="shared" si="29"/>
        <v>country viewing</v>
      </c>
      <c r="D426" s="4" t="s">
        <v>5752</v>
      </c>
      <c r="E426" s="5" t="s">
        <v>5782</v>
      </c>
      <c r="F426" s="16" t="str">
        <f t="shared" si="26"/>
        <v>(711,'COUNTRY:READ','country viewing','COUNTRY','READ'),</v>
      </c>
    </row>
    <row r="427" spans="1:6" ht="20.100000000000001" customHeight="1" x14ac:dyDescent="0.25">
      <c r="A427" s="3">
        <v>712</v>
      </c>
      <c r="B427" s="4" t="str">
        <f t="shared" ref="B427:B474" si="30">CONCATENATE(D427,":",E427)</f>
        <v>STATE:READ</v>
      </c>
      <c r="C427" s="4" t="str">
        <f t="shared" si="29"/>
        <v>state viewing</v>
      </c>
      <c r="D427" s="4" t="s">
        <v>5753</v>
      </c>
      <c r="E427" s="5" t="s">
        <v>5782</v>
      </c>
      <c r="F427" s="16" t="str">
        <f t="shared" si="26"/>
        <v>(712,'STATE:READ','state viewing','STATE','READ'),</v>
      </c>
    </row>
    <row r="428" spans="1:6" ht="20.100000000000001" customHeight="1" x14ac:dyDescent="0.25">
      <c r="A428" s="3">
        <v>713</v>
      </c>
      <c r="B428" s="4" t="str">
        <f t="shared" si="30"/>
        <v>DISTRICT:READ</v>
      </c>
      <c r="C428" s="4" t="str">
        <f t="shared" si="29"/>
        <v>district viewing</v>
      </c>
      <c r="D428" s="4" t="s">
        <v>5787</v>
      </c>
      <c r="E428" s="5" t="s">
        <v>5782</v>
      </c>
      <c r="F428" s="16" t="str">
        <f t="shared" si="26"/>
        <v>(713,'DISTRICT:READ','district viewing','DISTRICT','READ'),</v>
      </c>
    </row>
    <row r="429" spans="1:6" ht="20.100000000000001" customHeight="1" x14ac:dyDescent="0.25">
      <c r="A429" s="3">
        <v>714</v>
      </c>
      <c r="B429" s="4" t="str">
        <f t="shared" si="30"/>
        <v>LOCALITY:READ</v>
      </c>
      <c r="C429" s="4" t="str">
        <f t="shared" si="29"/>
        <v>locality viewing</v>
      </c>
      <c r="D429" s="4" t="s">
        <v>5754</v>
      </c>
      <c r="E429" s="5" t="s">
        <v>5782</v>
      </c>
      <c r="F429" s="16" t="str">
        <f t="shared" si="26"/>
        <v>(714,'LOCALITY:READ','locality viewing','LOCALITY','READ'),</v>
      </c>
    </row>
    <row r="430" spans="1:6" ht="20.100000000000001" customHeight="1" x14ac:dyDescent="0.25">
      <c r="A430" s="3">
        <v>715</v>
      </c>
      <c r="B430" s="4" t="str">
        <f t="shared" si="30"/>
        <v>LOCATION:READ</v>
      </c>
      <c r="C430" s="4" t="str">
        <f t="shared" si="29"/>
        <v>location viewing</v>
      </c>
      <c r="D430" s="4" t="s">
        <v>5768</v>
      </c>
      <c r="E430" s="5" t="s">
        <v>5782</v>
      </c>
      <c r="F430" s="16" t="str">
        <f t="shared" si="26"/>
        <v>(715,'LOCATION:READ','location viewing','LOCATION','READ'),</v>
      </c>
    </row>
    <row r="431" spans="1:6" ht="20.100000000000001" customHeight="1" x14ac:dyDescent="0.25">
      <c r="A431" s="3">
        <v>716</v>
      </c>
      <c r="B431" s="4" t="str">
        <f t="shared" si="30"/>
        <v>COORDINATE:READ</v>
      </c>
      <c r="C431" s="4" t="str">
        <f t="shared" si="29"/>
        <v>coordinate viewing</v>
      </c>
      <c r="D431" s="4" t="s">
        <v>6370</v>
      </c>
      <c r="E431" s="5" t="s">
        <v>5782</v>
      </c>
      <c r="F431" s="16" t="str">
        <f t="shared" si="26"/>
        <v>(716,'COORDINATE:READ','coordinate viewing','COORDINATE','READ'),</v>
      </c>
    </row>
    <row r="432" spans="1:6" ht="20.100000000000001" customHeight="1" x14ac:dyDescent="0.25">
      <c r="A432" s="3">
        <v>717</v>
      </c>
      <c r="B432" s="4" t="str">
        <f t="shared" si="30"/>
        <v>STRUCTURE:READ</v>
      </c>
      <c r="C432" s="4" t="str">
        <f t="shared" si="29"/>
        <v>structure viewing</v>
      </c>
      <c r="D432" s="4" t="s">
        <v>5756</v>
      </c>
      <c r="E432" s="5" t="s">
        <v>5782</v>
      </c>
      <c r="F432" s="16" t="str">
        <f t="shared" si="26"/>
        <v>(717,'STRUCTURE:READ','structure viewing','STRUCTURE','READ'),</v>
      </c>
    </row>
    <row r="433" spans="1:6" ht="20.100000000000001" customHeight="1" x14ac:dyDescent="0.25">
      <c r="A433" s="3">
        <v>718</v>
      </c>
      <c r="B433" s="4" t="str">
        <f t="shared" si="30"/>
        <v>JOB:READ</v>
      </c>
      <c r="C433" s="4" t="str">
        <f t="shared" si="29"/>
        <v>job viewing</v>
      </c>
      <c r="D433" s="4" t="s">
        <v>5757</v>
      </c>
      <c r="E433" s="5" t="s">
        <v>5782</v>
      </c>
      <c r="F433" s="16" t="str">
        <f t="shared" si="26"/>
        <v>(718,'JOB:READ','job viewing','JOB','READ'),</v>
      </c>
    </row>
    <row r="434" spans="1:6" ht="20.100000000000001" customHeight="1" x14ac:dyDescent="0.25">
      <c r="A434" s="3">
        <v>719</v>
      </c>
      <c r="B434" s="4" t="str">
        <f t="shared" si="30"/>
        <v>PERSON:READ</v>
      </c>
      <c r="C434" s="4" t="str">
        <f t="shared" si="29"/>
        <v>person viewing</v>
      </c>
      <c r="D434" s="4" t="s">
        <v>5758</v>
      </c>
      <c r="E434" s="5" t="s">
        <v>5782</v>
      </c>
      <c r="F434" s="16" t="str">
        <f t="shared" si="26"/>
        <v>(719,'PERSON:READ','person viewing','PERSON','READ'),</v>
      </c>
    </row>
    <row r="435" spans="1:6" ht="20.100000000000001" customHeight="1" x14ac:dyDescent="0.25">
      <c r="A435" s="3">
        <v>720</v>
      </c>
      <c r="B435" s="4" t="str">
        <f t="shared" si="30"/>
        <v>EMPLOYEE:READ</v>
      </c>
      <c r="C435" s="4" t="str">
        <f t="shared" si="29"/>
        <v>employee viewing</v>
      </c>
      <c r="D435" s="4" t="s">
        <v>5759</v>
      </c>
      <c r="E435" s="5" t="s">
        <v>5782</v>
      </c>
      <c r="F435" s="16" t="str">
        <f t="shared" si="26"/>
        <v>(720,'EMPLOYEE:READ','employee viewing','EMPLOYEE','READ'),</v>
      </c>
    </row>
    <row r="436" spans="1:6" ht="20.100000000000001" customHeight="1" x14ac:dyDescent="0.25">
      <c r="A436" s="3">
        <v>721</v>
      </c>
      <c r="B436" s="4" t="str">
        <f t="shared" si="30"/>
        <v>COMPANY_TYPE:READ</v>
      </c>
      <c r="C436" s="4" t="str">
        <f t="shared" si="29"/>
        <v>company_type viewing</v>
      </c>
      <c r="D436" s="4" t="s">
        <v>5760</v>
      </c>
      <c r="E436" s="5" t="s">
        <v>5782</v>
      </c>
      <c r="F436" s="16" t="str">
        <f t="shared" si="26"/>
        <v>(721,'COMPANY_TYPE:READ','company_type viewing','COMPANY_TYPE','READ'),</v>
      </c>
    </row>
    <row r="437" spans="1:6" ht="20.100000000000001" customHeight="1" x14ac:dyDescent="0.25">
      <c r="A437" s="3">
        <v>722</v>
      </c>
      <c r="B437" s="4" t="str">
        <f t="shared" si="30"/>
        <v>PARTNER_TYPE:READ</v>
      </c>
      <c r="C437" s="4" t="str">
        <f t="shared" si="29"/>
        <v>partner_type viewing</v>
      </c>
      <c r="D437" s="4" t="s">
        <v>5761</v>
      </c>
      <c r="E437" s="5" t="s">
        <v>5782</v>
      </c>
      <c r="F437" s="16" t="str">
        <f t="shared" si="26"/>
        <v>(722,'PARTNER_TYPE:READ','partner_type viewing','PARTNER_TYPE','READ'),</v>
      </c>
    </row>
    <row r="438" spans="1:6" ht="20.100000000000001" customHeight="1" x14ac:dyDescent="0.25">
      <c r="A438" s="3">
        <v>723</v>
      </c>
      <c r="B438" s="4" t="str">
        <f t="shared" si="30"/>
        <v>VENDOR_TYPE:READ</v>
      </c>
      <c r="C438" s="4" t="str">
        <f t="shared" si="29"/>
        <v>vendor_type viewing</v>
      </c>
      <c r="D438" s="4" t="s">
        <v>5762</v>
      </c>
      <c r="E438" s="5" t="s">
        <v>5782</v>
      </c>
      <c r="F438" s="16" t="str">
        <f t="shared" si="26"/>
        <v>(723,'VENDOR_TYPE:READ','vendor_type viewing','VENDOR_TYPE','READ'),</v>
      </c>
    </row>
    <row r="439" spans="1:6" ht="20.100000000000001" customHeight="1" x14ac:dyDescent="0.25">
      <c r="A439" s="3">
        <v>724</v>
      </c>
      <c r="B439" s="4" t="str">
        <f t="shared" si="30"/>
        <v>FACILITY_TYPE:READ</v>
      </c>
      <c r="C439" s="4" t="str">
        <f t="shared" si="29"/>
        <v>facility_type viewing</v>
      </c>
      <c r="D439" s="4" t="s">
        <v>5763</v>
      </c>
      <c r="E439" s="5" t="s">
        <v>5782</v>
      </c>
      <c r="F439" s="16" t="str">
        <f t="shared" si="26"/>
        <v>(724,'FACILITY_TYPE:READ','facility_type viewing','FACILITY_TYPE','READ'),</v>
      </c>
    </row>
    <row r="440" spans="1:6" ht="20.100000000000001" customHeight="1" x14ac:dyDescent="0.25">
      <c r="A440" s="3">
        <v>725</v>
      </c>
      <c r="B440" s="4" t="str">
        <f t="shared" si="30"/>
        <v>STATION_TYPE:READ</v>
      </c>
      <c r="C440" s="4" t="str">
        <f t="shared" si="29"/>
        <v>station_type viewing</v>
      </c>
      <c r="D440" s="4" t="s">
        <v>5764</v>
      </c>
      <c r="E440" s="5" t="s">
        <v>5782</v>
      </c>
      <c r="F440" s="16" t="str">
        <f t="shared" si="26"/>
        <v>(725,'STATION_TYPE:READ','station_type viewing','STATION_TYPE','READ'),</v>
      </c>
    </row>
    <row r="441" spans="1:6" ht="20.100000000000001" customHeight="1" x14ac:dyDescent="0.25">
      <c r="A441" s="3">
        <v>726</v>
      </c>
      <c r="B441" s="4" t="str">
        <f t="shared" si="30"/>
        <v>TERMINAL_TYPE:READ</v>
      </c>
      <c r="C441" s="4" t="str">
        <f t="shared" si="29"/>
        <v>terminal_type viewing</v>
      </c>
      <c r="D441" s="4" t="s">
        <v>5765</v>
      </c>
      <c r="E441" s="5" t="s">
        <v>5782</v>
      </c>
      <c r="F441" s="16" t="str">
        <f t="shared" si="26"/>
        <v>(726,'TERMINAL_TYPE:READ','terminal_type viewing','TERMINAL_TYPE','READ'),</v>
      </c>
    </row>
    <row r="442" spans="1:6" ht="20.100000000000001" customHeight="1" x14ac:dyDescent="0.25">
      <c r="A442" s="3">
        <v>727</v>
      </c>
      <c r="B442" s="4" t="str">
        <f t="shared" si="30"/>
        <v>PROCESSING_PLANT_TYPE:READ</v>
      </c>
      <c r="C442" s="4" t="str">
        <f t="shared" si="29"/>
        <v>processing_plant_type viewing</v>
      </c>
      <c r="D442" s="4" t="s">
        <v>5788</v>
      </c>
      <c r="E442" s="5" t="s">
        <v>5782</v>
      </c>
      <c r="F442" s="16" t="str">
        <f t="shared" si="26"/>
        <v>(727,'PROCESSING_PLANT_TYPE:READ','processing_plant_type viewing','PROCESSING_PLANT_TYPE','READ'),</v>
      </c>
    </row>
    <row r="443" spans="1:6" ht="20.100000000000001" customHeight="1" x14ac:dyDescent="0.25">
      <c r="A443" s="3">
        <v>728</v>
      </c>
      <c r="B443" s="4" t="str">
        <f t="shared" si="30"/>
        <v>PRODUCTION_FIELD_TYPE:READ</v>
      </c>
      <c r="C443" s="4" t="str">
        <f t="shared" si="29"/>
        <v>production_field_type viewing</v>
      </c>
      <c r="D443" s="4" t="s">
        <v>5789</v>
      </c>
      <c r="E443" s="5" t="s">
        <v>5782</v>
      </c>
      <c r="F443" s="16" t="str">
        <f t="shared" si="26"/>
        <v>(728,'PRODUCTION_FIELD_TYPE:READ','production_field_type viewing','PRODUCTION_FIELD_TYPE','READ'),</v>
      </c>
    </row>
    <row r="444" spans="1:6" ht="20.100000000000001" customHeight="1" x14ac:dyDescent="0.25">
      <c r="A444" s="3">
        <v>729</v>
      </c>
      <c r="B444" s="4" t="str">
        <f t="shared" si="30"/>
        <v>EQUIPMENT_TYPE:READ</v>
      </c>
      <c r="C444" s="4" t="str">
        <f t="shared" si="29"/>
        <v>equipment_type viewing</v>
      </c>
      <c r="D444" s="4" t="s">
        <v>5766</v>
      </c>
      <c r="E444" s="5" t="s">
        <v>5782</v>
      </c>
      <c r="F444" s="16" t="str">
        <f t="shared" si="26"/>
        <v>(729,'EQUIPMENT_TYPE:READ','equipment_type viewing','EQUIPMENT_TYPE','READ'),</v>
      </c>
    </row>
    <row r="445" spans="1:6" ht="20.100000000000001" customHeight="1" x14ac:dyDescent="0.25">
      <c r="A445" s="3">
        <v>730</v>
      </c>
      <c r="B445" s="4" t="str">
        <f t="shared" si="30"/>
        <v>PRODUCT:READ</v>
      </c>
      <c r="C445" s="4" t="str">
        <f t="shared" si="29"/>
        <v>product viewing</v>
      </c>
      <c r="D445" s="4" t="s">
        <v>5769</v>
      </c>
      <c r="E445" s="5" t="s">
        <v>5782</v>
      </c>
      <c r="F445" s="16" t="str">
        <f t="shared" si="26"/>
        <v>(730,'PRODUCT:READ','product viewing','PRODUCT','READ'),</v>
      </c>
    </row>
    <row r="446" spans="1:6" ht="20.100000000000001" customHeight="1" x14ac:dyDescent="0.25">
      <c r="A446" s="3">
        <v>731</v>
      </c>
      <c r="B446" s="4" t="str">
        <f t="shared" si="30"/>
        <v>OPERATIONAL_STATUS:READ</v>
      </c>
      <c r="C446" s="4" t="str">
        <f t="shared" si="29"/>
        <v>operational_status viewing</v>
      </c>
      <c r="D446" s="4" t="s">
        <v>5770</v>
      </c>
      <c r="E446" s="5" t="s">
        <v>5782</v>
      </c>
      <c r="F446" s="16" t="str">
        <f t="shared" si="26"/>
        <v>(731,'OPERATIONAL_STATUS:READ','operational_status viewing','OPERATIONAL_STATUS','READ'),</v>
      </c>
    </row>
    <row r="447" spans="1:6" ht="20.100000000000001" customHeight="1" x14ac:dyDescent="0.25">
      <c r="A447" s="3">
        <v>732</v>
      </c>
      <c r="B447" s="4" t="str">
        <f t="shared" si="30"/>
        <v>ALLOY:READ</v>
      </c>
      <c r="C447" s="4" t="str">
        <f t="shared" si="29"/>
        <v>alloy viewing</v>
      </c>
      <c r="D447" s="4" t="s">
        <v>5771</v>
      </c>
      <c r="E447" s="5" t="s">
        <v>5782</v>
      </c>
      <c r="F447" s="16" t="str">
        <f t="shared" si="26"/>
        <v>(732,'ALLOY:READ','alloy viewing','ALLOY','READ'),</v>
      </c>
    </row>
    <row r="448" spans="1:6" ht="20.100000000000001" customHeight="1" x14ac:dyDescent="0.25">
      <c r="A448" s="3">
        <v>733</v>
      </c>
      <c r="B448" s="4" t="str">
        <f t="shared" si="30"/>
        <v>PARTNER:READ</v>
      </c>
      <c r="C448" s="4" t="str">
        <f t="shared" si="29"/>
        <v>partner viewing</v>
      </c>
      <c r="D448" s="4" t="s">
        <v>5772</v>
      </c>
      <c r="E448" s="5" t="s">
        <v>5782</v>
      </c>
      <c r="F448" s="16" t="str">
        <f t="shared" si="26"/>
        <v>(733,'PARTNER:READ','partner viewing','PARTNER','READ'),</v>
      </c>
    </row>
    <row r="449" spans="1:6" ht="20.100000000000001" customHeight="1" x14ac:dyDescent="0.25">
      <c r="A449" s="3">
        <v>734</v>
      </c>
      <c r="B449" s="4" t="str">
        <f t="shared" si="30"/>
        <v>VENDOR:READ</v>
      </c>
      <c r="C449" s="4" t="str">
        <f t="shared" si="29"/>
        <v>vendor viewing</v>
      </c>
      <c r="D449" s="4" t="s">
        <v>5773</v>
      </c>
      <c r="E449" s="5" t="s">
        <v>5782</v>
      </c>
      <c r="F449" s="16" t="str">
        <f t="shared" si="26"/>
        <v>(734,'VENDOR:READ','vendor viewing','VENDOR','READ'),</v>
      </c>
    </row>
    <row r="450" spans="1:6" ht="20.100000000000001" customHeight="1" x14ac:dyDescent="0.25">
      <c r="A450" s="3">
        <v>735</v>
      </c>
      <c r="B450" s="4" t="str">
        <f t="shared" si="30"/>
        <v>INFRASTRUCTURE:READ</v>
      </c>
      <c r="C450" s="4" t="str">
        <f t="shared" si="29"/>
        <v>infrastructure viewing</v>
      </c>
      <c r="D450" s="4" t="s">
        <v>5774</v>
      </c>
      <c r="E450" s="5" t="s">
        <v>5782</v>
      </c>
      <c r="F450" s="16" t="str">
        <f t="shared" si="26"/>
        <v>(735,'INFRASTRUCTURE:READ','infrastructure viewing','INFRASTRUCTURE','READ'),</v>
      </c>
    </row>
    <row r="451" spans="1:6" ht="20.100000000000001" customHeight="1" x14ac:dyDescent="0.25">
      <c r="A451" s="3">
        <v>736</v>
      </c>
      <c r="B451" s="4" t="str">
        <f t="shared" si="30"/>
        <v>FACILITY:READ</v>
      </c>
      <c r="C451" s="4" t="str">
        <f t="shared" si="29"/>
        <v>facility viewing</v>
      </c>
      <c r="D451" s="4" t="s">
        <v>5775</v>
      </c>
      <c r="E451" s="5" t="s">
        <v>5782</v>
      </c>
      <c r="F451" s="16" t="str">
        <f t="shared" ref="F451:F474" si="31">CONCATENATE("(",A451,",'",B451,"','",C451,"','",D451,"','",E451,"'),")</f>
        <v>(736,'FACILITY:READ','facility viewing','FACILITY','READ'),</v>
      </c>
    </row>
    <row r="452" spans="1:6" ht="20.100000000000001" customHeight="1" x14ac:dyDescent="0.25">
      <c r="A452" s="3">
        <v>737</v>
      </c>
      <c r="B452" s="4" t="str">
        <f t="shared" si="30"/>
        <v>PIPELINE_SYSTEM:READ</v>
      </c>
      <c r="C452" s="4" t="str">
        <f t="shared" si="29"/>
        <v>pipeline_system viewing</v>
      </c>
      <c r="D452" s="4" t="s">
        <v>5776</v>
      </c>
      <c r="E452" s="5" t="s">
        <v>5782</v>
      </c>
      <c r="F452" s="16" t="str">
        <f t="shared" si="31"/>
        <v>(737,'PIPELINE_SYSTEM:READ','pipeline_system viewing','PIPELINE_SYSTEM','READ'),</v>
      </c>
    </row>
    <row r="453" spans="1:6" ht="20.100000000000001" customHeight="1" x14ac:dyDescent="0.25">
      <c r="A453" s="3">
        <v>738</v>
      </c>
      <c r="B453" s="4" t="str">
        <f t="shared" si="30"/>
        <v>PIPELINE:READ</v>
      </c>
      <c r="C453" s="4" t="str">
        <f t="shared" si="29"/>
        <v>pipeline viewing</v>
      </c>
      <c r="D453" s="4" t="s">
        <v>5777</v>
      </c>
      <c r="E453" s="5" t="s">
        <v>5782</v>
      </c>
      <c r="F453" s="16" t="str">
        <f t="shared" si="31"/>
        <v>(738,'PIPELINE:READ','pipeline viewing','PIPELINE','READ'),</v>
      </c>
    </row>
    <row r="454" spans="1:6" ht="20.100000000000001" customHeight="1" x14ac:dyDescent="0.25">
      <c r="A454" s="3">
        <v>739</v>
      </c>
      <c r="B454" s="4" t="str">
        <f t="shared" si="30"/>
        <v>PIPELINE_SEGMENT:READ</v>
      </c>
      <c r="C454" s="4" t="str">
        <f t="shared" si="29"/>
        <v>pipeline_segment viewing</v>
      </c>
      <c r="D454" s="4" t="s">
        <v>5778</v>
      </c>
      <c r="E454" s="5" t="s">
        <v>5782</v>
      </c>
      <c r="F454" s="16" t="str">
        <f t="shared" si="31"/>
        <v>(739,'PIPELINE_SEGMENT:READ','pipeline_segment viewing','PIPELINE_SEGMENT','READ'),</v>
      </c>
    </row>
    <row r="455" spans="1:6" ht="20.100000000000001" customHeight="1" x14ac:dyDescent="0.25">
      <c r="A455" s="3">
        <v>740</v>
      </c>
      <c r="B455" s="4" t="str">
        <f t="shared" si="30"/>
        <v>STATION:READ</v>
      </c>
      <c r="C455" s="4" t="str">
        <f t="shared" si="29"/>
        <v>station viewing</v>
      </c>
      <c r="D455" s="4" t="s">
        <v>5779</v>
      </c>
      <c r="E455" s="5" t="s">
        <v>5782</v>
      </c>
      <c r="F455" s="16" t="str">
        <f t="shared" si="31"/>
        <v>(740,'STATION:READ','station viewing','STATION','READ'),</v>
      </c>
    </row>
    <row r="456" spans="1:6" ht="20.100000000000001" customHeight="1" x14ac:dyDescent="0.25">
      <c r="A456" s="3">
        <v>741</v>
      </c>
      <c r="B456" s="4" t="str">
        <f t="shared" si="30"/>
        <v>TERMINAL:READ</v>
      </c>
      <c r="C456" s="4" t="str">
        <f t="shared" si="29"/>
        <v>terminal viewing</v>
      </c>
      <c r="D456" s="4" t="s">
        <v>5780</v>
      </c>
      <c r="E456" s="5" t="s">
        <v>5782</v>
      </c>
      <c r="F456" s="16" t="str">
        <f t="shared" si="31"/>
        <v>(741,'TERMINAL:READ','terminal viewing','TERMINAL','READ'),</v>
      </c>
    </row>
    <row r="457" spans="1:6" ht="20.100000000000001" customHeight="1" x14ac:dyDescent="0.25">
      <c r="A457" s="3">
        <v>742</v>
      </c>
      <c r="B457" s="4" t="str">
        <f t="shared" si="30"/>
        <v>PROCESSING_PLANT:READ</v>
      </c>
      <c r="C457" s="4" t="str">
        <f t="shared" si="29"/>
        <v>processing_plant viewing</v>
      </c>
      <c r="D457" s="4" t="s">
        <v>5790</v>
      </c>
      <c r="E457" s="5" t="s">
        <v>5782</v>
      </c>
      <c r="F457" s="16" t="str">
        <f t="shared" si="31"/>
        <v>(742,'PROCESSING_PLANT:READ','processing_plant viewing','PROCESSING_PLANT','READ'),</v>
      </c>
    </row>
    <row r="458" spans="1:6" ht="20.100000000000001" customHeight="1" x14ac:dyDescent="0.25">
      <c r="A458" s="3">
        <v>743</v>
      </c>
      <c r="B458" s="4" t="str">
        <f t="shared" si="30"/>
        <v>PRODUCTION_FIELD:READ</v>
      </c>
      <c r="C458" s="4" t="str">
        <f t="shared" si="29"/>
        <v>production_field viewing</v>
      </c>
      <c r="D458" s="4" t="s">
        <v>5791</v>
      </c>
      <c r="E458" s="5" t="s">
        <v>5782</v>
      </c>
      <c r="F458" s="16" t="str">
        <f t="shared" si="31"/>
        <v>(743,'PRODUCTION_FIELD:READ','production_field viewing','PRODUCTION_FIELD','READ'),</v>
      </c>
    </row>
    <row r="459" spans="1:6" ht="20.100000000000001" customHeight="1" x14ac:dyDescent="0.25">
      <c r="A459" s="3">
        <v>744</v>
      </c>
      <c r="B459" s="4" t="str">
        <f t="shared" si="30"/>
        <v>EQUIPMENT:READ</v>
      </c>
      <c r="C459" s="4" t="str">
        <f t="shared" si="29"/>
        <v>equipment viewing</v>
      </c>
      <c r="D459" s="4" t="s">
        <v>5781</v>
      </c>
      <c r="E459" s="5" t="s">
        <v>5782</v>
      </c>
      <c r="F459" s="16" t="str">
        <f t="shared" si="31"/>
        <v>(744,'EQUIPMENT:READ','equipment viewing','EQUIPMENT','READ'),</v>
      </c>
    </row>
    <row r="460" spans="1:6" ht="20.100000000000001" customHeight="1" x14ac:dyDescent="0.25">
      <c r="A460" s="3">
        <v>745</v>
      </c>
      <c r="B460" s="4" t="str">
        <f t="shared" si="30"/>
        <v>EVENT_TYPE:READ</v>
      </c>
      <c r="C460" s="4" t="str">
        <f t="shared" si="29"/>
        <v>event_type viewing</v>
      </c>
      <c r="D460" s="4" t="s">
        <v>6372</v>
      </c>
      <c r="E460" s="5" t="s">
        <v>5782</v>
      </c>
      <c r="F460" s="16" t="str">
        <f t="shared" si="31"/>
        <v>(745,'EVENT_TYPE:READ','event_type viewing','EVENT_TYPE','READ'),</v>
      </c>
    </row>
    <row r="461" spans="1:6" ht="20.100000000000001" customHeight="1" x14ac:dyDescent="0.25">
      <c r="A461" s="3">
        <v>746</v>
      </c>
      <c r="B461" s="4" t="str">
        <f t="shared" si="30"/>
        <v>OPERATION_TYPE:READ</v>
      </c>
      <c r="C461" s="4" t="str">
        <f t="shared" si="29"/>
        <v>operation_type viewing</v>
      </c>
      <c r="D461" s="4" t="s">
        <v>6371</v>
      </c>
      <c r="E461" s="5" t="s">
        <v>5782</v>
      </c>
      <c r="F461" s="16" t="str">
        <f t="shared" si="31"/>
        <v>(746,'OPERATION_TYPE:READ','operation_type viewing','OPERATION_TYPE','READ'),</v>
      </c>
    </row>
    <row r="462" spans="1:6" ht="20.100000000000001" customHeight="1" x14ac:dyDescent="0.25">
      <c r="A462" s="3">
        <v>747</v>
      </c>
      <c r="B462" s="4" t="str">
        <f t="shared" si="30"/>
        <v>EVENT_STATUS:READ</v>
      </c>
      <c r="C462" s="4" t="str">
        <f t="shared" si="29"/>
        <v>event_status viewing</v>
      </c>
      <c r="D462" s="4" t="s">
        <v>6375</v>
      </c>
      <c r="E462" s="5" t="s">
        <v>5782</v>
      </c>
      <c r="F462" s="16" t="str">
        <f t="shared" si="31"/>
        <v>(747,'EVENT_STATUS:READ','event_status viewing','EVENT_STATUS','READ'),</v>
      </c>
    </row>
    <row r="463" spans="1:6" ht="20.100000000000001" customHeight="1" x14ac:dyDescent="0.25">
      <c r="A463" s="3">
        <v>748</v>
      </c>
      <c r="B463" s="4" t="str">
        <f t="shared" si="30"/>
        <v>ALERT_STATUS:READ</v>
      </c>
      <c r="C463" s="4" t="str">
        <f t="shared" si="29"/>
        <v>alert_status viewing</v>
      </c>
      <c r="D463" s="4" t="s">
        <v>6373</v>
      </c>
      <c r="E463" s="45" t="s">
        <v>5782</v>
      </c>
      <c r="F463" s="16" t="str">
        <f t="shared" si="31"/>
        <v>(748,'ALERT_STATUS:READ','alert_status viewing','ALERT_STATUS','READ'),</v>
      </c>
    </row>
    <row r="464" spans="1:6" ht="20.100000000000001" customHeight="1" x14ac:dyDescent="0.25">
      <c r="A464" s="3">
        <v>749</v>
      </c>
      <c r="B464" s="4" t="str">
        <f t="shared" si="30"/>
        <v>SEVERITY:READ</v>
      </c>
      <c r="C464" s="4" t="str">
        <f t="shared" si="29"/>
        <v>severity viewing</v>
      </c>
      <c r="D464" s="4" t="s">
        <v>6377</v>
      </c>
      <c r="E464" s="5" t="s">
        <v>5782</v>
      </c>
      <c r="F464" s="16" t="str">
        <f t="shared" si="31"/>
        <v>(749,'SEVERITY:READ','severity viewing','SEVERITY','READ'),</v>
      </c>
    </row>
    <row r="465" spans="1:6" ht="20.100000000000001" customHeight="1" x14ac:dyDescent="0.25">
      <c r="A465" s="3">
        <v>750</v>
      </c>
      <c r="B465" s="4" t="str">
        <f t="shared" si="30"/>
        <v>DATA_SOURCE:READ</v>
      </c>
      <c r="C465" s="4" t="str">
        <f t="shared" si="29"/>
        <v>data_source viewing</v>
      </c>
      <c r="D465" s="4" t="s">
        <v>6374</v>
      </c>
      <c r="E465" s="5" t="s">
        <v>5782</v>
      </c>
      <c r="F465" s="16" t="str">
        <f t="shared" si="31"/>
        <v>(750,'DATA_SOURCE:READ','data_source viewing','DATA_SOURCE','READ'),</v>
      </c>
    </row>
    <row r="466" spans="1:6" ht="20.100000000000001" customHeight="1" x14ac:dyDescent="0.25">
      <c r="A466" s="3">
        <v>751</v>
      </c>
      <c r="B466" s="4" t="str">
        <f t="shared" si="30"/>
        <v>QUALITY_FLAG:READ</v>
      </c>
      <c r="C466" s="4" t="str">
        <f t="shared" si="29"/>
        <v>quality_flag viewing</v>
      </c>
      <c r="D466" s="4" t="s">
        <v>6376</v>
      </c>
      <c r="E466" s="5" t="s">
        <v>5782</v>
      </c>
      <c r="F466" s="16" t="str">
        <f t="shared" si="31"/>
        <v>(751,'QUALITY_FLAG:READ','quality_flag viewing','QUALITY_FLAG','READ'),</v>
      </c>
    </row>
    <row r="467" spans="1:6" ht="20.100000000000001" customHeight="1" x14ac:dyDescent="0.25">
      <c r="A467" s="3">
        <v>752</v>
      </c>
      <c r="B467" s="4" t="str">
        <f t="shared" si="30"/>
        <v>VALIDATION_STATUS:READ</v>
      </c>
      <c r="C467" s="4" t="str">
        <f t="shared" si="29"/>
        <v>validation_status viewing</v>
      </c>
      <c r="D467" s="4" t="s">
        <v>6378</v>
      </c>
      <c r="E467" s="5" t="s">
        <v>5782</v>
      </c>
      <c r="F467" s="16" t="str">
        <f t="shared" si="31"/>
        <v>(752,'VALIDATION_STATUS:READ','validation_status viewing','VALIDATION_STATUS','READ'),</v>
      </c>
    </row>
    <row r="468" spans="1:6" ht="20.100000000000001" customHeight="1" x14ac:dyDescent="0.25">
      <c r="A468" s="3">
        <v>753</v>
      </c>
      <c r="B468" s="4" t="str">
        <f t="shared" si="30"/>
        <v>READING_SLOT:READ</v>
      </c>
      <c r="C468" s="4" t="str">
        <f t="shared" si="29"/>
        <v>reading_slot viewing</v>
      </c>
      <c r="D468" s="4" t="s">
        <v>6379</v>
      </c>
      <c r="E468" s="5" t="s">
        <v>5782</v>
      </c>
      <c r="F468" s="16" t="str">
        <f t="shared" si="31"/>
        <v>(753,'READING_SLOT:READ','reading_slot viewing','READING_SLOT','READ'),</v>
      </c>
    </row>
    <row r="469" spans="1:6" ht="20.100000000000001" customHeight="1" x14ac:dyDescent="0.25">
      <c r="A469" s="3">
        <v>754</v>
      </c>
      <c r="B469" s="4" t="str">
        <f t="shared" si="30"/>
        <v>FLOW_OPERATION:READ</v>
      </c>
      <c r="C469" s="4" t="str">
        <f t="shared" si="29"/>
        <v>flow_operation viewing</v>
      </c>
      <c r="D469" s="4" t="s">
        <v>6380</v>
      </c>
      <c r="E469" s="5" t="s">
        <v>5782</v>
      </c>
      <c r="F469" s="16" t="str">
        <f t="shared" si="31"/>
        <v>(754,'FLOW_OPERATION:READ','flow_operation viewing','FLOW_OPERATION','READ'),</v>
      </c>
    </row>
    <row r="470" spans="1:6" ht="20.100000000000001" customHeight="1" x14ac:dyDescent="0.25">
      <c r="A470" s="3">
        <v>755</v>
      </c>
      <c r="B470" s="4" t="str">
        <f t="shared" si="30"/>
        <v>FLOW_FORECAST:READ</v>
      </c>
      <c r="C470" s="4" t="str">
        <f t="shared" si="29"/>
        <v>flow_forecast viewing</v>
      </c>
      <c r="D470" s="4" t="s">
        <v>6381</v>
      </c>
      <c r="E470" s="5" t="s">
        <v>5782</v>
      </c>
      <c r="F470" s="16" t="str">
        <f t="shared" si="31"/>
        <v>(755,'FLOW_FORECAST:READ','flow_forecast viewing','FLOW_FORECAST','READ'),</v>
      </c>
    </row>
    <row r="471" spans="1:6" ht="20.100000000000001" customHeight="1" x14ac:dyDescent="0.25">
      <c r="A471" s="3">
        <v>756</v>
      </c>
      <c r="B471" s="4" t="str">
        <f t="shared" si="30"/>
        <v>FLOW_READING:READ</v>
      </c>
      <c r="C471" s="4" t="str">
        <f t="shared" si="29"/>
        <v>flow_reading viewing</v>
      </c>
      <c r="D471" s="4" t="s">
        <v>6382</v>
      </c>
      <c r="E471" s="5" t="s">
        <v>5782</v>
      </c>
      <c r="F471" s="16" t="str">
        <f t="shared" si="31"/>
        <v>(756,'FLOW_READING:READ','flow_reading viewing','FLOW_READING','READ'),</v>
      </c>
    </row>
    <row r="472" spans="1:6" ht="20.100000000000001" customHeight="1" x14ac:dyDescent="0.25">
      <c r="A472" s="3">
        <v>757</v>
      </c>
      <c r="B472" s="4" t="str">
        <f t="shared" si="30"/>
        <v>FLOW_EVENT:READ</v>
      </c>
      <c r="C472" s="4" t="str">
        <f t="shared" si="29"/>
        <v>flow_event viewing</v>
      </c>
      <c r="D472" s="4" t="s">
        <v>6385</v>
      </c>
      <c r="E472" s="5" t="s">
        <v>5782</v>
      </c>
      <c r="F472" s="16" t="str">
        <f t="shared" si="31"/>
        <v>(757,'FLOW_EVENT:READ','flow_event viewing','FLOW_EVENT','READ'),</v>
      </c>
    </row>
    <row r="473" spans="1:6" ht="20.100000000000001" customHeight="1" x14ac:dyDescent="0.25">
      <c r="A473" s="3">
        <v>758</v>
      </c>
      <c r="B473" s="4" t="str">
        <f t="shared" si="30"/>
        <v>FLOW_ALERT:READ</v>
      </c>
      <c r="C473" s="4" t="str">
        <f t="shared" si="29"/>
        <v>flow_alert viewing</v>
      </c>
      <c r="D473" s="4" t="s">
        <v>6384</v>
      </c>
      <c r="E473" s="5" t="s">
        <v>5782</v>
      </c>
      <c r="F473" s="16" t="str">
        <f t="shared" si="31"/>
        <v>(758,'FLOW_ALERT:READ','flow_alert viewing','FLOW_ALERT','READ'),</v>
      </c>
    </row>
    <row r="474" spans="1:6" ht="20.100000000000001" customHeight="1" x14ac:dyDescent="0.25">
      <c r="A474" s="3">
        <v>759</v>
      </c>
      <c r="B474" s="4" t="str">
        <f t="shared" si="30"/>
        <v>FLOW_THRESHOLD:READ</v>
      </c>
      <c r="C474" s="4" t="str">
        <f t="shared" si="29"/>
        <v>flow_threshold viewing</v>
      </c>
      <c r="D474" s="4" t="s">
        <v>6383</v>
      </c>
      <c r="E474" s="5" t="s">
        <v>5782</v>
      </c>
      <c r="F474" s="16" t="str">
        <f t="shared" si="31"/>
        <v>(759,'FLOW_THRESHOLD:READ','flow_threshold viewing','FLOW_THRESHOLD','READ'),</v>
      </c>
    </row>
  </sheetData>
  <autoFilter ref="A2:F474"/>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1:E21"/>
  <sheetViews>
    <sheetView workbookViewId="0">
      <selection activeCell="E2" sqref="E2:E21"/>
    </sheetView>
  </sheetViews>
  <sheetFormatPr baseColWidth="10" defaultColWidth="10.85546875" defaultRowHeight="15.75" x14ac:dyDescent="0.25"/>
  <cols>
    <col min="1" max="1" width="4.42578125" style="2" customWidth="1"/>
    <col min="2" max="2" width="22.42578125" style="2" customWidth="1"/>
    <col min="3" max="3" width="17.5703125" style="2" customWidth="1"/>
    <col min="4" max="4" width="37.140625" style="2" customWidth="1"/>
    <col min="5" max="5" width="131.140625" style="2" bestFit="1" customWidth="1"/>
    <col min="6" max="6" width="25" style="2" bestFit="1" customWidth="1"/>
    <col min="7" max="7" width="4.42578125" style="2" customWidth="1"/>
    <col min="8" max="8" width="66.140625" style="2" bestFit="1" customWidth="1"/>
    <col min="9" max="9" width="18.5703125" style="2" bestFit="1" customWidth="1"/>
    <col min="10" max="10" width="5.5703125" style="2" customWidth="1"/>
    <col min="11" max="16384" width="10.85546875" style="2"/>
  </cols>
  <sheetData>
    <row r="1" spans="1:5" ht="20.100000000000001" customHeight="1" x14ac:dyDescent="0.25">
      <c r="A1" s="1" t="s">
        <v>37</v>
      </c>
      <c r="B1" s="1" t="s">
        <v>4572</v>
      </c>
      <c r="C1" s="1" t="s">
        <v>5263</v>
      </c>
      <c r="D1" s="1" t="s">
        <v>5783</v>
      </c>
      <c r="E1" s="1" t="s">
        <v>5597</v>
      </c>
    </row>
    <row r="2" spans="1:5" ht="20.100000000000001" customHeight="1" x14ac:dyDescent="0.25">
      <c r="A2" s="1" t="s">
        <v>44</v>
      </c>
      <c r="B2" s="1" t="s">
        <v>5792</v>
      </c>
      <c r="C2" s="1" t="s">
        <v>42</v>
      </c>
      <c r="D2" s="1" t="s">
        <v>43</v>
      </c>
      <c r="E2" s="1" t="s">
        <v>5842</v>
      </c>
    </row>
    <row r="3" spans="1:5" ht="20.100000000000001" customHeight="1" x14ac:dyDescent="0.25">
      <c r="A3" s="3">
        <v>1</v>
      </c>
      <c r="B3" s="4" t="s">
        <v>5794</v>
      </c>
      <c r="C3" s="4" t="s">
        <v>5793</v>
      </c>
      <c r="D3" s="4" t="s">
        <v>5795</v>
      </c>
      <c r="E3" s="16" t="str">
        <f>CONCATENATE("(",A3,",'",B3,"','",C3,"','",D3,"'),")</f>
        <v>(1,'SYSTEM','System Management','Core system operations and configuration'),</v>
      </c>
    </row>
    <row r="4" spans="1:5" ht="20.100000000000001" customHeight="1" x14ac:dyDescent="0.25">
      <c r="A4" s="3">
        <v>2</v>
      </c>
      <c r="B4" s="4" t="s">
        <v>5746</v>
      </c>
      <c r="C4" s="4" t="s">
        <v>5796</v>
      </c>
      <c r="D4" s="4" t="s">
        <v>5797</v>
      </c>
      <c r="E4" s="16" t="str">
        <f t="shared" ref="E4:E21" si="0">CONCATENATE("(",A4,",'",B4,"','",C4,"','",D4,"'),")</f>
        <v>(2,'USER','User Management','User account and profile management'),</v>
      </c>
    </row>
    <row r="5" spans="1:5" ht="20.100000000000001" customHeight="1" x14ac:dyDescent="0.25">
      <c r="A5" s="3">
        <v>3</v>
      </c>
      <c r="B5" s="4" t="s">
        <v>5747</v>
      </c>
      <c r="C5" s="4" t="s">
        <v>5798</v>
      </c>
      <c r="D5" s="4" t="s">
        <v>5799</v>
      </c>
      <c r="E5" s="16" t="str">
        <f t="shared" si="0"/>
        <v>(3,'ROLE','Role Management','Role definitions and assignments'),</v>
      </c>
    </row>
    <row r="6" spans="1:5" ht="20.100000000000001" customHeight="1" x14ac:dyDescent="0.25">
      <c r="A6" s="3">
        <v>4</v>
      </c>
      <c r="B6" s="4" t="s">
        <v>5748</v>
      </c>
      <c r="C6" s="4" t="s">
        <v>5800</v>
      </c>
      <c r="D6" s="4" t="s">
        <v>5801</v>
      </c>
      <c r="E6" s="16" t="str">
        <f t="shared" si="0"/>
        <v>(4,'PERMISSION','Permission Management','Permission and access control'),</v>
      </c>
    </row>
    <row r="7" spans="1:5" ht="20.100000000000001" customHeight="1" x14ac:dyDescent="0.25">
      <c r="A7" s="3">
        <v>5</v>
      </c>
      <c r="B7" s="4" t="s">
        <v>5745</v>
      </c>
      <c r="C7" s="4" t="s">
        <v>5802</v>
      </c>
      <c r="D7" s="4" t="s">
        <v>5803</v>
      </c>
      <c r="E7" s="16" t="str">
        <f t="shared" si="0"/>
        <v>(5,'GROUP','Group Management','User group organization'),</v>
      </c>
    </row>
    <row r="8" spans="1:5" ht="20.100000000000001" customHeight="1" x14ac:dyDescent="0.25">
      <c r="A8" s="3">
        <v>6</v>
      </c>
      <c r="B8" s="4" t="s">
        <v>5749</v>
      </c>
      <c r="C8" s="4" t="s">
        <v>5804</v>
      </c>
      <c r="D8" s="4" t="s">
        <v>5805</v>
      </c>
      <c r="E8" s="16" t="str">
        <f t="shared" si="0"/>
        <v>(6,'AUTHORITY','Authority Management','Authority category management'),</v>
      </c>
    </row>
    <row r="9" spans="1:5" ht="20.100000000000001" customHeight="1" x14ac:dyDescent="0.25">
      <c r="A9" s="3">
        <v>7</v>
      </c>
      <c r="B9" s="4" t="s">
        <v>5750</v>
      </c>
      <c r="C9" s="4" t="s">
        <v>5806</v>
      </c>
      <c r="D9" s="4" t="s">
        <v>5807</v>
      </c>
      <c r="E9" s="16" t="str">
        <f t="shared" si="0"/>
        <v>(7,'AUDIT','Audit Management','System audit logging and tracking'),</v>
      </c>
    </row>
    <row r="10" spans="1:5" ht="20.100000000000001" customHeight="1" x14ac:dyDescent="0.25">
      <c r="A10" s="3">
        <v>8</v>
      </c>
      <c r="B10" s="4" t="s">
        <v>5809</v>
      </c>
      <c r="C10" s="4" t="s">
        <v>5808</v>
      </c>
      <c r="D10" s="4" t="s">
        <v>5810</v>
      </c>
      <c r="E10" s="16" t="str">
        <f t="shared" si="0"/>
        <v>(8,'AUTH','Authentication','Authentication and session management'),</v>
      </c>
    </row>
    <row r="11" spans="1:5" ht="20.100000000000001" customHeight="1" x14ac:dyDescent="0.25">
      <c r="A11" s="3">
        <v>9</v>
      </c>
      <c r="B11" s="4" t="s">
        <v>5812</v>
      </c>
      <c r="C11" s="4" t="s">
        <v>5811</v>
      </c>
      <c r="D11" s="4" t="s">
        <v>5813</v>
      </c>
      <c r="E11" s="16" t="str">
        <f t="shared" si="0"/>
        <v>(9,'CONFIG','Configuration','System configuration settings'),</v>
      </c>
    </row>
    <row r="12" spans="1:5" ht="20.100000000000001" customHeight="1" x14ac:dyDescent="0.25">
      <c r="A12" s="3">
        <v>10</v>
      </c>
      <c r="B12" s="4" t="s">
        <v>5815</v>
      </c>
      <c r="C12" s="4" t="s">
        <v>5814</v>
      </c>
      <c r="D12" s="4" t="s">
        <v>5816</v>
      </c>
      <c r="E12" s="16" t="str">
        <f t="shared" si="0"/>
        <v>(10,'UTILITY','System Utility','System utilities and tools'),</v>
      </c>
    </row>
    <row r="13" spans="1:5" ht="20.100000000000001" customHeight="1" x14ac:dyDescent="0.25">
      <c r="A13" s="3">
        <v>11</v>
      </c>
      <c r="B13" s="4" t="s">
        <v>5818</v>
      </c>
      <c r="C13" s="4" t="s">
        <v>5817</v>
      </c>
      <c r="D13" s="4" t="s">
        <v>5819</v>
      </c>
      <c r="E13" s="16" t="str">
        <f t="shared" si="0"/>
        <v>(11,'ADMINISTRATION','Administration','Administrative operations'),</v>
      </c>
    </row>
    <row r="14" spans="1:5" ht="20.100000000000001" customHeight="1" x14ac:dyDescent="0.25">
      <c r="A14" s="3">
        <v>12</v>
      </c>
      <c r="B14" s="4" t="s">
        <v>5821</v>
      </c>
      <c r="C14" s="4" t="s">
        <v>5820</v>
      </c>
      <c r="D14" s="4" t="s">
        <v>5822</v>
      </c>
      <c r="E14" s="16" t="str">
        <f t="shared" si="0"/>
        <v>(12,'COMMUNICATION','Communication','Messaging and notifications'),</v>
      </c>
    </row>
    <row r="15" spans="1:5" ht="20.100000000000001" customHeight="1" x14ac:dyDescent="0.25">
      <c r="A15" s="3">
        <v>13</v>
      </c>
      <c r="B15" s="4" t="s">
        <v>5751</v>
      </c>
      <c r="C15" s="4" t="s">
        <v>5823</v>
      </c>
      <c r="D15" s="4" t="s">
        <v>5824</v>
      </c>
      <c r="E15" s="16" t="str">
        <f t="shared" si="0"/>
        <v>(13,'DOCUMENT','Document Management','Document handling and archiving'),</v>
      </c>
    </row>
    <row r="16" spans="1:5" ht="20.100000000000001" customHeight="1" x14ac:dyDescent="0.25">
      <c r="A16" s="3">
        <v>14</v>
      </c>
      <c r="B16" s="4" t="s">
        <v>5826</v>
      </c>
      <c r="C16" s="4" t="s">
        <v>5825</v>
      </c>
      <c r="D16" s="4" t="s">
        <v>5827</v>
      </c>
      <c r="E16" s="16" t="str">
        <f t="shared" si="0"/>
        <v>(14,'ENVIRONMENT','Environment Data','Geographic and location data'),</v>
      </c>
    </row>
    <row r="17" spans="1:5" ht="20.100000000000001" customHeight="1" x14ac:dyDescent="0.25">
      <c r="A17" s="3">
        <v>15</v>
      </c>
      <c r="B17" s="4" t="s">
        <v>5829</v>
      </c>
      <c r="C17" s="4" t="s">
        <v>5828</v>
      </c>
      <c r="D17" s="4" t="s">
        <v>5830</v>
      </c>
      <c r="E17" s="16" t="str">
        <f t="shared" si="0"/>
        <v>(15,'NETWORK','Network Management','Network infrastructure management'),</v>
      </c>
    </row>
    <row r="18" spans="1:5" ht="20.100000000000001" customHeight="1" x14ac:dyDescent="0.25">
      <c r="A18" s="3">
        <v>16</v>
      </c>
      <c r="B18" s="4" t="s">
        <v>5774</v>
      </c>
      <c r="C18" s="4" t="s">
        <v>5831</v>
      </c>
      <c r="D18" s="4" t="s">
        <v>5832</v>
      </c>
      <c r="E18" s="16" t="str">
        <f t="shared" si="0"/>
        <v>(16,'INFRASTRUCTURE','IT Infrastructure','IT infrastructure and services'),</v>
      </c>
    </row>
    <row r="19" spans="1:5" ht="20.100000000000001" customHeight="1" x14ac:dyDescent="0.25">
      <c r="A19" s="3">
        <v>17</v>
      </c>
      <c r="B19" s="4" t="s">
        <v>5834</v>
      </c>
      <c r="C19" s="4" t="s">
        <v>5833</v>
      </c>
      <c r="D19" s="4" t="s">
        <v>5835</v>
      </c>
      <c r="E19" s="16" t="str">
        <f t="shared" si="0"/>
        <v>(17,'REPORT','Reporting &amp; Analytics','Reports, dashboards, and analytics'),</v>
      </c>
    </row>
    <row r="20" spans="1:5" ht="20.100000000000001" customHeight="1" x14ac:dyDescent="0.25">
      <c r="A20" s="3">
        <v>18</v>
      </c>
      <c r="B20" s="4" t="s">
        <v>5837</v>
      </c>
      <c r="C20" s="4" t="s">
        <v>5836</v>
      </c>
      <c r="D20" s="4" t="s">
        <v>5838</v>
      </c>
      <c r="E20" s="16" t="str">
        <f t="shared" si="0"/>
        <v>(18,'WORKFLOW','Workflow Engine','Business process workflows'),</v>
      </c>
    </row>
    <row r="21" spans="1:5" ht="20.100000000000001" customHeight="1" x14ac:dyDescent="0.25">
      <c r="A21" s="3">
        <v>19</v>
      </c>
      <c r="B21" s="4" t="s">
        <v>5840</v>
      </c>
      <c r="C21" s="4" t="s">
        <v>5839</v>
      </c>
      <c r="D21" s="4" t="s">
        <v>5841</v>
      </c>
      <c r="E21" s="16" t="str">
        <f t="shared" si="0"/>
        <v>(19,'INTEGRATION','System Integration','External system integrations'),</v>
      </c>
    </row>
  </sheetData>
  <autoFilter ref="A2:E21"/>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sheetPr>
  <dimension ref="A1:E15"/>
  <sheetViews>
    <sheetView topLeftCell="A2" workbookViewId="0">
      <selection activeCell="E2" sqref="E2:E15"/>
    </sheetView>
  </sheetViews>
  <sheetFormatPr baseColWidth="10" defaultColWidth="10.85546875" defaultRowHeight="15.75" x14ac:dyDescent="0.25"/>
  <cols>
    <col min="1" max="1" width="5.5703125" style="2" customWidth="1"/>
    <col min="2" max="4" width="25.5703125" style="2" customWidth="1"/>
    <col min="5" max="5" width="100.7109375" style="2" customWidth="1"/>
    <col min="6" max="16384" width="10.85546875" style="2"/>
  </cols>
  <sheetData>
    <row r="1" spans="1:5" ht="20.100000000000001" customHeight="1" x14ac:dyDescent="0.25">
      <c r="A1" s="1" t="s">
        <v>37</v>
      </c>
      <c r="B1" s="1" t="s">
        <v>38</v>
      </c>
      <c r="C1" s="1" t="s">
        <v>39</v>
      </c>
      <c r="D1" s="1" t="s">
        <v>40</v>
      </c>
      <c r="E1" s="1" t="s">
        <v>5597</v>
      </c>
    </row>
    <row r="2" spans="1:5" ht="20.100000000000001" customHeight="1" x14ac:dyDescent="0.25">
      <c r="A2" s="1" t="s">
        <v>44</v>
      </c>
      <c r="B2" s="1" t="s">
        <v>41</v>
      </c>
      <c r="C2" s="1" t="s">
        <v>42</v>
      </c>
      <c r="D2" s="1" t="s">
        <v>43</v>
      </c>
      <c r="E2" s="1" t="s">
        <v>5624</v>
      </c>
    </row>
    <row r="3" spans="1:5" ht="20.100000000000001" customHeight="1" x14ac:dyDescent="0.25">
      <c r="A3" s="3">
        <v>1</v>
      </c>
      <c r="B3" s="4" t="s">
        <v>0</v>
      </c>
      <c r="C3" s="4" t="s">
        <v>1</v>
      </c>
      <c r="D3" s="4" t="s">
        <v>2</v>
      </c>
      <c r="E3" s="16" t="str">
        <f>CONCATENATE("(",A3,",'",B3,"','",C3,"','",D3,"'),")</f>
        <v>(1,'مديرية عامة','General Directorate','Direction Générale'),</v>
      </c>
    </row>
    <row r="4" spans="1:5" ht="20.100000000000001" customHeight="1" x14ac:dyDescent="0.25">
      <c r="A4" s="3">
        <v>2</v>
      </c>
      <c r="B4" s="4" t="s">
        <v>3</v>
      </c>
      <c r="C4" s="4" t="s">
        <v>4</v>
      </c>
      <c r="D4" s="4" t="s">
        <v>5</v>
      </c>
      <c r="E4" s="16" t="str">
        <f t="shared" ref="E4:E15" si="0">CONCATENATE("(",A4,",'",B4,"','",C4,"','",D4,"'),")</f>
        <v>(2,'نشاط','Activity','Activité'),</v>
      </c>
    </row>
    <row r="5" spans="1:5" ht="20.100000000000001" customHeight="1" x14ac:dyDescent="0.25">
      <c r="A5" s="3">
        <v>3</v>
      </c>
      <c r="B5" s="4" t="s">
        <v>6</v>
      </c>
      <c r="C5" s="4" t="s">
        <v>7</v>
      </c>
      <c r="D5" s="4" t="s">
        <v>7</v>
      </c>
      <c r="E5" s="16" t="str">
        <f t="shared" si="0"/>
        <v>(3,'قسم','Division','Division'),</v>
      </c>
    </row>
    <row r="6" spans="1:5" ht="20.100000000000001" customHeight="1" x14ac:dyDescent="0.25">
      <c r="A6" s="3">
        <v>4</v>
      </c>
      <c r="B6" s="4" t="s">
        <v>8</v>
      </c>
      <c r="C6" s="4" t="s">
        <v>9</v>
      </c>
      <c r="D6" s="4" t="s">
        <v>10</v>
      </c>
      <c r="E6" s="16" t="str">
        <f t="shared" si="0"/>
        <v>(4,'مديرية','Directorate','Direction'),</v>
      </c>
    </row>
    <row r="7" spans="1:5" ht="20.100000000000001" customHeight="1" x14ac:dyDescent="0.25">
      <c r="A7" s="3">
        <v>5</v>
      </c>
      <c r="B7" s="4" t="s">
        <v>11</v>
      </c>
      <c r="C7" s="4" t="s">
        <v>12</v>
      </c>
      <c r="D7" s="4" t="s">
        <v>13</v>
      </c>
      <c r="E7" s="16" t="str">
        <f t="shared" si="0"/>
        <v>(5,'مديرية عمليات','Operations Directorate','Direction Opérationnelle'),</v>
      </c>
    </row>
    <row r="8" spans="1:5" ht="20.100000000000001" customHeight="1" x14ac:dyDescent="0.25">
      <c r="A8" s="3">
        <v>6</v>
      </c>
      <c r="B8" s="4" t="s">
        <v>14</v>
      </c>
      <c r="C8" s="4" t="s">
        <v>15</v>
      </c>
      <c r="D8" s="4" t="s">
        <v>16</v>
      </c>
      <c r="E8" s="16" t="str">
        <f t="shared" si="0"/>
        <v>(6,'مديرية جهوية','Regional Directorate','Direction Regionale'),</v>
      </c>
    </row>
    <row r="9" spans="1:5" ht="20.100000000000001" customHeight="1" x14ac:dyDescent="0.25">
      <c r="A9" s="3">
        <v>7</v>
      </c>
      <c r="B9" s="4" t="s">
        <v>17</v>
      </c>
      <c r="C9" s="4" t="s">
        <v>18</v>
      </c>
      <c r="D9" s="4" t="s">
        <v>19</v>
      </c>
      <c r="E9" s="16" t="str">
        <f t="shared" si="0"/>
        <v>(7,'مديرية فرعية','Sub-directorate','Sous Direction'),</v>
      </c>
    </row>
    <row r="10" spans="1:5" ht="20.100000000000001" customHeight="1" x14ac:dyDescent="0.25">
      <c r="A10" s="3">
        <v>8</v>
      </c>
      <c r="B10" s="4" t="s">
        <v>20</v>
      </c>
      <c r="C10" s="4" t="s">
        <v>21</v>
      </c>
      <c r="D10" s="4" t="s">
        <v>22</v>
      </c>
      <c r="E10" s="16" t="str">
        <f t="shared" si="0"/>
        <v>(8,'دائرة','Department','Département'),</v>
      </c>
    </row>
    <row r="11" spans="1:5" ht="20.100000000000001" customHeight="1" x14ac:dyDescent="0.25">
      <c r="A11" s="3">
        <v>9</v>
      </c>
      <c r="B11" s="4" t="s">
        <v>23</v>
      </c>
      <c r="C11" s="4" t="s">
        <v>24</v>
      </c>
      <c r="D11" s="4" t="s">
        <v>25</v>
      </c>
      <c r="E11" s="16" t="str">
        <f t="shared" si="0"/>
        <v>(9,'دائرة جهوية','Regional Department','Départment Régional'),</v>
      </c>
    </row>
    <row r="12" spans="1:5" ht="20.100000000000001" customHeight="1" x14ac:dyDescent="0.25">
      <c r="A12" s="3">
        <v>10</v>
      </c>
      <c r="B12" s="4" t="s">
        <v>26</v>
      </c>
      <c r="C12" s="4" t="s">
        <v>27</v>
      </c>
      <c r="D12" s="4" t="s">
        <v>28</v>
      </c>
      <c r="E12" s="16" t="str">
        <f t="shared" si="0"/>
        <v>(10,'مركز وطني','National Center','Centre National'),</v>
      </c>
    </row>
    <row r="13" spans="1:5" ht="20.100000000000001" customHeight="1" x14ac:dyDescent="0.25">
      <c r="A13" s="3">
        <v>11</v>
      </c>
      <c r="B13" s="4" t="s">
        <v>29</v>
      </c>
      <c r="C13" s="4" t="s">
        <v>30</v>
      </c>
      <c r="D13" s="4" t="s">
        <v>30</v>
      </c>
      <c r="E13" s="16" t="str">
        <f t="shared" si="0"/>
        <v>(11,'مصلحة','Service','Service'),</v>
      </c>
    </row>
    <row r="14" spans="1:5" ht="20.100000000000001" customHeight="1" x14ac:dyDescent="0.25">
      <c r="A14" s="3">
        <v>12</v>
      </c>
      <c r="B14" s="4" t="s">
        <v>31</v>
      </c>
      <c r="C14" s="4" t="s">
        <v>32</v>
      </c>
      <c r="D14" s="4" t="s">
        <v>33</v>
      </c>
      <c r="E14" s="16" t="str">
        <f t="shared" si="0"/>
        <v>(12,'مصلحة جهوية','Regional Service','Service Regional'),</v>
      </c>
    </row>
    <row r="15" spans="1:5" ht="20.100000000000001" customHeight="1" x14ac:dyDescent="0.25">
      <c r="A15" s="3">
        <v>13</v>
      </c>
      <c r="B15" s="4" t="s">
        <v>34</v>
      </c>
      <c r="C15" s="4" t="s">
        <v>35</v>
      </c>
      <c r="D15" s="4" t="s">
        <v>36</v>
      </c>
      <c r="E15" s="16" t="str">
        <f t="shared" si="0"/>
        <v>(13,'مركز','Center','Centre'),</v>
      </c>
    </row>
  </sheetData>
  <autoFilter ref="A2:D15"/>
  <phoneticPr fontId="2" type="noConversion"/>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70C0"/>
  </sheetPr>
  <dimension ref="A1:F4"/>
  <sheetViews>
    <sheetView workbookViewId="0">
      <selection activeCell="F2" sqref="F2:F4"/>
    </sheetView>
  </sheetViews>
  <sheetFormatPr baseColWidth="10" defaultColWidth="10.85546875" defaultRowHeight="15.75" x14ac:dyDescent="0.25"/>
  <cols>
    <col min="1" max="1" width="5.5703125" style="2" customWidth="1"/>
    <col min="2" max="2" width="10.5703125" style="2" customWidth="1"/>
    <col min="3" max="5" width="25.5703125" style="2" customWidth="1"/>
    <col min="6" max="6" width="100.7109375" style="2" customWidth="1"/>
    <col min="7" max="16384" width="10.85546875" style="2"/>
  </cols>
  <sheetData>
    <row r="1" spans="1:6" ht="20.100000000000001" customHeight="1" x14ac:dyDescent="0.25">
      <c r="A1" s="1" t="s">
        <v>37</v>
      </c>
      <c r="B1" s="1" t="s">
        <v>54</v>
      </c>
      <c r="C1" s="1" t="s">
        <v>38</v>
      </c>
      <c r="D1" s="1" t="s">
        <v>39</v>
      </c>
      <c r="E1" s="1" t="s">
        <v>40</v>
      </c>
      <c r="F1" s="1" t="s">
        <v>5597</v>
      </c>
    </row>
    <row r="2" spans="1:6" ht="20.100000000000001" customHeight="1" x14ac:dyDescent="0.25">
      <c r="A2" s="1" t="s">
        <v>44</v>
      </c>
      <c r="B2" s="1" t="s">
        <v>41</v>
      </c>
      <c r="C2" s="1" t="s">
        <v>42</v>
      </c>
      <c r="D2" s="1" t="s">
        <v>43</v>
      </c>
      <c r="E2" s="1" t="s">
        <v>53</v>
      </c>
      <c r="F2" s="1" t="s">
        <v>5623</v>
      </c>
    </row>
    <row r="3" spans="1:6" ht="20.100000000000001" customHeight="1" x14ac:dyDescent="0.25">
      <c r="A3" s="3">
        <v>1</v>
      </c>
      <c r="B3" s="5" t="s">
        <v>51</v>
      </c>
      <c r="C3" s="4" t="s">
        <v>45</v>
      </c>
      <c r="D3" s="4" t="s">
        <v>46</v>
      </c>
      <c r="E3" s="4" t="s">
        <v>47</v>
      </c>
      <c r="F3" s="16" t="str">
        <f>CONCATENATE("(",A3,",'",B3,"','",C3,"','",D3,"','",E3,"'),")</f>
        <v>(1,'S','الجنوب','South','Sud'),</v>
      </c>
    </row>
    <row r="4" spans="1:6" ht="20.100000000000001" customHeight="1" x14ac:dyDescent="0.25">
      <c r="A4" s="3">
        <v>2</v>
      </c>
      <c r="B4" s="5" t="s">
        <v>52</v>
      </c>
      <c r="C4" s="4" t="s">
        <v>48</v>
      </c>
      <c r="D4" s="4" t="s">
        <v>49</v>
      </c>
      <c r="E4" s="4" t="s">
        <v>50</v>
      </c>
      <c r="F4" s="16" t="str">
        <f t="shared" ref="F4" si="0">CONCATENATE("(",A4,",'",B4,"','",C4,"','",D4,"','",E4,"'),")</f>
        <v>(2,'N','الشمال','North','Nord'),</v>
      </c>
    </row>
  </sheetData>
  <autoFilter ref="A2:F4"/>
  <phoneticPr fontId="2" type="noConversion"/>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70C0"/>
  </sheetPr>
  <dimension ref="A1:F251"/>
  <sheetViews>
    <sheetView topLeftCell="A223" workbookViewId="0">
      <selection activeCell="F2" sqref="F2:F251"/>
    </sheetView>
  </sheetViews>
  <sheetFormatPr baseColWidth="10" defaultColWidth="10.85546875" defaultRowHeight="15.75" x14ac:dyDescent="0.25"/>
  <cols>
    <col min="1" max="1" width="5.5703125" style="2" customWidth="1"/>
    <col min="2" max="2" width="10.5703125" style="2" customWidth="1"/>
    <col min="3" max="5" width="30.5703125" style="2" customWidth="1"/>
    <col min="6" max="6" width="100.7109375" style="2" customWidth="1"/>
    <col min="7" max="16384" width="10.85546875" style="2"/>
  </cols>
  <sheetData>
    <row r="1" spans="1:6" ht="20.100000000000001" customHeight="1" x14ac:dyDescent="0.25">
      <c r="A1" s="1" t="s">
        <v>37</v>
      </c>
      <c r="B1" s="1" t="s">
        <v>54</v>
      </c>
      <c r="C1" s="1" t="s">
        <v>38</v>
      </c>
      <c r="D1" s="1" t="s">
        <v>39</v>
      </c>
      <c r="E1" s="1" t="s">
        <v>40</v>
      </c>
      <c r="F1" s="1" t="s">
        <v>5597</v>
      </c>
    </row>
    <row r="2" spans="1:6" ht="20.100000000000001" customHeight="1" x14ac:dyDescent="0.25">
      <c r="A2" s="1" t="s">
        <v>44</v>
      </c>
      <c r="B2" s="1" t="s">
        <v>41</v>
      </c>
      <c r="C2" s="1" t="s">
        <v>42</v>
      </c>
      <c r="D2" s="1" t="s">
        <v>43</v>
      </c>
      <c r="E2" s="1" t="s">
        <v>53</v>
      </c>
      <c r="F2" s="1" t="s">
        <v>5622</v>
      </c>
    </row>
    <row r="3" spans="1:6" ht="20.100000000000001" customHeight="1" x14ac:dyDescent="0.25">
      <c r="A3" s="3">
        <v>1</v>
      </c>
      <c r="B3" s="5" t="s">
        <v>55</v>
      </c>
      <c r="C3" s="4" t="s">
        <v>56</v>
      </c>
      <c r="D3" s="4" t="s">
        <v>57</v>
      </c>
      <c r="E3" s="4" t="s">
        <v>57</v>
      </c>
      <c r="F3" s="16" t="str">
        <f>CONCATENATE("(",A3,",'",B3,"','",C3,"','",D3,"','",E3,"'),")</f>
        <v>(1,'AF','أفغانستان','Afghanistan','Afghanistan'),</v>
      </c>
    </row>
    <row r="4" spans="1:6" ht="20.100000000000001" customHeight="1" x14ac:dyDescent="0.25">
      <c r="A4" s="3">
        <v>2</v>
      </c>
      <c r="B4" s="5" t="s">
        <v>58</v>
      </c>
      <c r="C4" s="4" t="s">
        <v>59</v>
      </c>
      <c r="D4" s="4" t="s">
        <v>60</v>
      </c>
      <c r="E4" s="4" t="s">
        <v>61</v>
      </c>
      <c r="F4" s="16" t="str">
        <f t="shared" ref="F4:F67" si="0">CONCATENATE("(",A4,",'",B4,"','",C4,"','",D4,"','",E4,"'),")</f>
        <v>(2,'AX','جزر آلاند','Åland Islands','Îles Åland'),</v>
      </c>
    </row>
    <row r="5" spans="1:6" ht="20.100000000000001" customHeight="1" x14ac:dyDescent="0.25">
      <c r="A5" s="3">
        <v>3</v>
      </c>
      <c r="B5" s="5" t="s">
        <v>62</v>
      </c>
      <c r="C5" s="4" t="s">
        <v>63</v>
      </c>
      <c r="D5" s="4" t="s">
        <v>64</v>
      </c>
      <c r="E5" s="4" t="s">
        <v>65</v>
      </c>
      <c r="F5" s="16" t="str">
        <f t="shared" si="0"/>
        <v>(3,'AL','ألبانيا','Albania','Albanie'),</v>
      </c>
    </row>
    <row r="6" spans="1:6" ht="20.100000000000001" customHeight="1" x14ac:dyDescent="0.25">
      <c r="A6" s="3">
        <v>4</v>
      </c>
      <c r="B6" s="5" t="s">
        <v>66</v>
      </c>
      <c r="C6" s="4" t="s">
        <v>67</v>
      </c>
      <c r="D6" s="4" t="s">
        <v>68</v>
      </c>
      <c r="E6" s="4" t="s">
        <v>69</v>
      </c>
      <c r="F6" s="16" t="str">
        <f t="shared" si="0"/>
        <v>(4,'DZ','الجزائر','Algeria','Algérie'),</v>
      </c>
    </row>
    <row r="7" spans="1:6" ht="20.100000000000001" customHeight="1" x14ac:dyDescent="0.25">
      <c r="A7" s="3">
        <v>5</v>
      </c>
      <c r="B7" s="5" t="s">
        <v>70</v>
      </c>
      <c r="C7" s="4" t="s">
        <v>71</v>
      </c>
      <c r="D7" s="4" t="s">
        <v>72</v>
      </c>
      <c r="E7" s="4" t="s">
        <v>73</v>
      </c>
      <c r="F7" s="16" t="str">
        <f t="shared" si="0"/>
        <v>(5,'AS','ساموا الأمريكية','American Samoa','Samoa Américaines'),</v>
      </c>
    </row>
    <row r="8" spans="1:6" ht="20.100000000000001" customHeight="1" x14ac:dyDescent="0.25">
      <c r="A8" s="3">
        <v>6</v>
      </c>
      <c r="B8" s="5" t="s">
        <v>74</v>
      </c>
      <c r="C8" s="4" t="s">
        <v>75</v>
      </c>
      <c r="D8" s="4" t="s">
        <v>76</v>
      </c>
      <c r="E8" s="4" t="s">
        <v>77</v>
      </c>
      <c r="F8" s="16" t="str">
        <f t="shared" si="0"/>
        <v>(6,'AD','أندورا','Andorra','Andorre'),</v>
      </c>
    </row>
    <row r="9" spans="1:6" ht="20.100000000000001" customHeight="1" x14ac:dyDescent="0.25">
      <c r="A9" s="3">
        <v>7</v>
      </c>
      <c r="B9" s="5" t="s">
        <v>78</v>
      </c>
      <c r="C9" s="4" t="s">
        <v>79</v>
      </c>
      <c r="D9" s="4" t="s">
        <v>80</v>
      </c>
      <c r="E9" s="4" t="s">
        <v>80</v>
      </c>
      <c r="F9" s="16" t="str">
        <f t="shared" si="0"/>
        <v>(7,'AO','أنغولا','Angola','Angola'),</v>
      </c>
    </row>
    <row r="10" spans="1:6" ht="20.100000000000001" customHeight="1" x14ac:dyDescent="0.25">
      <c r="A10" s="3">
        <v>8</v>
      </c>
      <c r="B10" s="5" t="s">
        <v>81</v>
      </c>
      <c r="C10" s="4" t="s">
        <v>82</v>
      </c>
      <c r="D10" s="4" t="s">
        <v>83</v>
      </c>
      <c r="E10" s="4" t="s">
        <v>83</v>
      </c>
      <c r="F10" s="16" t="str">
        <f t="shared" si="0"/>
        <v>(8,'AI','أنغيلا','Anguilla','Anguilla'),</v>
      </c>
    </row>
    <row r="11" spans="1:6" ht="20.100000000000001" customHeight="1" x14ac:dyDescent="0.25">
      <c r="A11" s="3">
        <v>9</v>
      </c>
      <c r="B11" s="5" t="s">
        <v>84</v>
      </c>
      <c r="C11" s="4" t="s">
        <v>85</v>
      </c>
      <c r="D11" s="4" t="s">
        <v>86</v>
      </c>
      <c r="E11" s="4" t="s">
        <v>87</v>
      </c>
      <c r="F11" s="16" t="str">
        <f t="shared" si="0"/>
        <v>(9,'AQ','القطب الجنوبي','Antarctica','Antarctique'),</v>
      </c>
    </row>
    <row r="12" spans="1:6" ht="20.100000000000001" customHeight="1" x14ac:dyDescent="0.25">
      <c r="A12" s="3">
        <v>10</v>
      </c>
      <c r="B12" s="5" t="s">
        <v>88</v>
      </c>
      <c r="C12" s="4" t="s">
        <v>89</v>
      </c>
      <c r="D12" s="4" t="s">
        <v>90</v>
      </c>
      <c r="E12" s="4" t="s">
        <v>91</v>
      </c>
      <c r="F12" s="16" t="str">
        <f t="shared" si="0"/>
        <v>(10,'AG','أنتيغوا وباربودا','Antigua and Barbuda','Antigua-et-Barbuda'),</v>
      </c>
    </row>
    <row r="13" spans="1:6" ht="20.100000000000001" customHeight="1" x14ac:dyDescent="0.25">
      <c r="A13" s="3">
        <v>11</v>
      </c>
      <c r="B13" s="5" t="s">
        <v>92</v>
      </c>
      <c r="C13" s="4" t="s">
        <v>93</v>
      </c>
      <c r="D13" s="4" t="s">
        <v>94</v>
      </c>
      <c r="E13" s="4" t="s">
        <v>95</v>
      </c>
      <c r="F13" s="16" t="str">
        <f t="shared" si="0"/>
        <v>(11,'AR','الأرجنتين','Argentina','Argentine'),</v>
      </c>
    </row>
    <row r="14" spans="1:6" ht="20.100000000000001" customHeight="1" x14ac:dyDescent="0.25">
      <c r="A14" s="3">
        <v>12</v>
      </c>
      <c r="B14" s="5" t="s">
        <v>96</v>
      </c>
      <c r="C14" s="4" t="s">
        <v>97</v>
      </c>
      <c r="D14" s="4" t="s">
        <v>98</v>
      </c>
      <c r="E14" s="4" t="s">
        <v>99</v>
      </c>
      <c r="F14" s="16" t="str">
        <f t="shared" si="0"/>
        <v>(12,'AM','أرمينيا','Armenia','Arménie'),</v>
      </c>
    </row>
    <row r="15" spans="1:6" ht="20.100000000000001" customHeight="1" x14ac:dyDescent="0.25">
      <c r="A15" s="3">
        <v>13</v>
      </c>
      <c r="B15" s="5" t="s">
        <v>100</v>
      </c>
      <c r="C15" s="4" t="s">
        <v>101</v>
      </c>
      <c r="D15" s="4" t="s">
        <v>102</v>
      </c>
      <c r="E15" s="4" t="s">
        <v>102</v>
      </c>
      <c r="F15" s="16" t="str">
        <f t="shared" si="0"/>
        <v>(13,'AW','أروبا','Aruba','Aruba'),</v>
      </c>
    </row>
    <row r="16" spans="1:6" ht="20.100000000000001" customHeight="1" x14ac:dyDescent="0.25">
      <c r="A16" s="3">
        <v>14</v>
      </c>
      <c r="B16" s="5" t="s">
        <v>103</v>
      </c>
      <c r="C16" s="4" t="s">
        <v>104</v>
      </c>
      <c r="D16" s="4" t="s">
        <v>105</v>
      </c>
      <c r="E16" s="4" t="s">
        <v>106</v>
      </c>
      <c r="F16" s="16" t="str">
        <f t="shared" si="0"/>
        <v>(14,'AU','أستراليا','Australia','Australie'),</v>
      </c>
    </row>
    <row r="17" spans="1:6" ht="20.100000000000001" customHeight="1" x14ac:dyDescent="0.25">
      <c r="A17" s="3">
        <v>15</v>
      </c>
      <c r="B17" s="5" t="s">
        <v>107</v>
      </c>
      <c r="C17" s="4" t="s">
        <v>108</v>
      </c>
      <c r="D17" s="4" t="s">
        <v>109</v>
      </c>
      <c r="E17" s="4" t="s">
        <v>110</v>
      </c>
      <c r="F17" s="16" t="str">
        <f t="shared" si="0"/>
        <v>(15,'AT','النمسا','Austria','Autriche'),</v>
      </c>
    </row>
    <row r="18" spans="1:6" ht="20.100000000000001" customHeight="1" x14ac:dyDescent="0.25">
      <c r="A18" s="3">
        <v>16</v>
      </c>
      <c r="B18" s="5" t="s">
        <v>111</v>
      </c>
      <c r="C18" s="4" t="s">
        <v>112</v>
      </c>
      <c r="D18" s="4" t="s">
        <v>113</v>
      </c>
      <c r="E18" s="4" t="s">
        <v>114</v>
      </c>
      <c r="F18" s="16" t="str">
        <f t="shared" si="0"/>
        <v>(16,'AZ','أذربيجان','Azerbaijan','Azerbaïdjan'),</v>
      </c>
    </row>
    <row r="19" spans="1:6" ht="20.100000000000001" customHeight="1" x14ac:dyDescent="0.25">
      <c r="A19" s="3">
        <v>17</v>
      </c>
      <c r="B19" s="5" t="s">
        <v>115</v>
      </c>
      <c r="C19" s="4" t="s">
        <v>116</v>
      </c>
      <c r="D19" s="4" t="s">
        <v>117</v>
      </c>
      <c r="E19" s="4" t="s">
        <v>117</v>
      </c>
      <c r="F19" s="16" t="str">
        <f t="shared" si="0"/>
        <v>(17,'BS','البهاما','Bahamas','Bahamas'),</v>
      </c>
    </row>
    <row r="20" spans="1:6" ht="20.100000000000001" customHeight="1" x14ac:dyDescent="0.25">
      <c r="A20" s="3">
        <v>18</v>
      </c>
      <c r="B20" s="5" t="s">
        <v>118</v>
      </c>
      <c r="C20" s="4" t="s">
        <v>119</v>
      </c>
      <c r="D20" s="4" t="s">
        <v>120</v>
      </c>
      <c r="E20" s="4" t="s">
        <v>121</v>
      </c>
      <c r="F20" s="16" t="str">
        <f t="shared" si="0"/>
        <v>(18,'BH','البحرين','Bahrain','Bahreïn'),</v>
      </c>
    </row>
    <row r="21" spans="1:6" ht="20.100000000000001" customHeight="1" x14ac:dyDescent="0.25">
      <c r="A21" s="3">
        <v>19</v>
      </c>
      <c r="B21" s="5" t="s">
        <v>122</v>
      </c>
      <c r="C21" s="4" t="s">
        <v>123</v>
      </c>
      <c r="D21" s="4" t="s">
        <v>124</v>
      </c>
      <c r="E21" s="4" t="s">
        <v>124</v>
      </c>
      <c r="F21" s="16" t="str">
        <f t="shared" si="0"/>
        <v>(19,'BD','بنغلاديش','Bangladesh','Bangladesh'),</v>
      </c>
    </row>
    <row r="22" spans="1:6" ht="20.100000000000001" customHeight="1" x14ac:dyDescent="0.25">
      <c r="A22" s="3">
        <v>20</v>
      </c>
      <c r="B22" s="5" t="s">
        <v>125</v>
      </c>
      <c r="C22" s="4" t="s">
        <v>126</v>
      </c>
      <c r="D22" s="4" t="s">
        <v>127</v>
      </c>
      <c r="E22" s="4" t="s">
        <v>128</v>
      </c>
      <c r="F22" s="16" t="str">
        <f t="shared" si="0"/>
        <v>(20,'BB','باربادوس','Barbados','Barbade'),</v>
      </c>
    </row>
    <row r="23" spans="1:6" ht="20.100000000000001" customHeight="1" x14ac:dyDescent="0.25">
      <c r="A23" s="3">
        <v>21</v>
      </c>
      <c r="B23" s="5" t="s">
        <v>129</v>
      </c>
      <c r="C23" s="4" t="s">
        <v>130</v>
      </c>
      <c r="D23" s="4" t="s">
        <v>131</v>
      </c>
      <c r="E23" s="4" t="s">
        <v>132</v>
      </c>
      <c r="F23" s="16" t="str">
        <f t="shared" si="0"/>
        <v>(21,'BY','بيلاروسيا','Belarus','Bélarus'),</v>
      </c>
    </row>
    <row r="24" spans="1:6" ht="20.100000000000001" customHeight="1" x14ac:dyDescent="0.25">
      <c r="A24" s="3">
        <v>22</v>
      </c>
      <c r="B24" s="5" t="s">
        <v>133</v>
      </c>
      <c r="C24" s="4" t="s">
        <v>134</v>
      </c>
      <c r="D24" s="4" t="s">
        <v>135</v>
      </c>
      <c r="E24" s="4" t="s">
        <v>136</v>
      </c>
      <c r="F24" s="16" t="str">
        <f t="shared" si="0"/>
        <v>(22,'BE','بلجيكا','Belgium','Belgique'),</v>
      </c>
    </row>
    <row r="25" spans="1:6" ht="20.100000000000001" customHeight="1" x14ac:dyDescent="0.25">
      <c r="A25" s="3">
        <v>23</v>
      </c>
      <c r="B25" s="5" t="s">
        <v>137</v>
      </c>
      <c r="C25" s="4" t="s">
        <v>138</v>
      </c>
      <c r="D25" s="4" t="s">
        <v>139</v>
      </c>
      <c r="E25" s="4" t="s">
        <v>139</v>
      </c>
      <c r="F25" s="16" t="str">
        <f t="shared" si="0"/>
        <v>(23,'BZ','بليز','Belize','Belize'),</v>
      </c>
    </row>
    <row r="26" spans="1:6" ht="20.100000000000001" customHeight="1" x14ac:dyDescent="0.25">
      <c r="A26" s="3">
        <v>24</v>
      </c>
      <c r="B26" s="5" t="s">
        <v>140</v>
      </c>
      <c r="C26" s="4" t="s">
        <v>141</v>
      </c>
      <c r="D26" s="4" t="s">
        <v>142</v>
      </c>
      <c r="E26" s="4" t="s">
        <v>143</v>
      </c>
      <c r="F26" s="16" t="str">
        <f t="shared" si="0"/>
        <v>(24,'BJ','بنين','Benin','Bénin'),</v>
      </c>
    </row>
    <row r="27" spans="1:6" ht="20.100000000000001" customHeight="1" x14ac:dyDescent="0.25">
      <c r="A27" s="3">
        <v>25</v>
      </c>
      <c r="B27" s="5" t="s">
        <v>144</v>
      </c>
      <c r="C27" s="4" t="s">
        <v>145</v>
      </c>
      <c r="D27" s="4" t="s">
        <v>146</v>
      </c>
      <c r="E27" s="4" t="s">
        <v>147</v>
      </c>
      <c r="F27" s="16" t="str">
        <f t="shared" si="0"/>
        <v>(25,'BM','برمودا','Bermuda','Bermudes'),</v>
      </c>
    </row>
    <row r="28" spans="1:6" ht="20.100000000000001" customHeight="1" x14ac:dyDescent="0.25">
      <c r="A28" s="3">
        <v>26</v>
      </c>
      <c r="B28" s="5" t="s">
        <v>148</v>
      </c>
      <c r="C28" s="4" t="s">
        <v>149</v>
      </c>
      <c r="D28" s="4" t="s">
        <v>150</v>
      </c>
      <c r="E28" s="4" t="s">
        <v>151</v>
      </c>
      <c r="F28" s="16" t="str">
        <f t="shared" si="0"/>
        <v>(26,'BT','بوتان','Bhutan','Bhoutan'),</v>
      </c>
    </row>
    <row r="29" spans="1:6" ht="20.100000000000001" customHeight="1" x14ac:dyDescent="0.25">
      <c r="A29" s="3">
        <v>27</v>
      </c>
      <c r="B29" s="5" t="s">
        <v>152</v>
      </c>
      <c r="C29" s="4" t="s">
        <v>153</v>
      </c>
      <c r="D29" s="4" t="s">
        <v>154</v>
      </c>
      <c r="E29" s="4" t="s">
        <v>155</v>
      </c>
      <c r="F29" s="16" t="str">
        <f t="shared" si="0"/>
        <v>(27,'BO','بوليفيا','Bolivia','Bolivie'),</v>
      </c>
    </row>
    <row r="30" spans="1:6" ht="20.100000000000001" customHeight="1" x14ac:dyDescent="0.25">
      <c r="A30" s="3">
        <v>28</v>
      </c>
      <c r="B30" s="5" t="s">
        <v>156</v>
      </c>
      <c r="C30" s="4" t="s">
        <v>157</v>
      </c>
      <c r="D30" s="4" t="s">
        <v>158</v>
      </c>
      <c r="E30" s="4" t="s">
        <v>159</v>
      </c>
      <c r="F30" s="16" t="str">
        <f t="shared" si="0"/>
        <v>(28,'BQ','بونير وسينت أوستاتيوس وسابا','Bonaire, Sint Eustatius and Saba','Bonaire, Saint-Eustache et Saba'),</v>
      </c>
    </row>
    <row r="31" spans="1:6" ht="20.100000000000001" customHeight="1" x14ac:dyDescent="0.25">
      <c r="A31" s="3">
        <v>29</v>
      </c>
      <c r="B31" s="5" t="s">
        <v>160</v>
      </c>
      <c r="C31" s="4" t="s">
        <v>161</v>
      </c>
      <c r="D31" s="4" t="s">
        <v>162</v>
      </c>
      <c r="E31" s="4" t="s">
        <v>163</v>
      </c>
      <c r="F31" s="16" t="str">
        <f t="shared" si="0"/>
        <v>(29,'BA','البوسنة والهرسك','Bosnia and Herzegovina','Bosnie-Herzégovine'),</v>
      </c>
    </row>
    <row r="32" spans="1:6" ht="20.100000000000001" customHeight="1" x14ac:dyDescent="0.25">
      <c r="A32" s="3">
        <v>30</v>
      </c>
      <c r="B32" s="5" t="s">
        <v>164</v>
      </c>
      <c r="C32" s="4" t="s">
        <v>165</v>
      </c>
      <c r="D32" s="4" t="s">
        <v>166</v>
      </c>
      <c r="E32" s="4" t="s">
        <v>166</v>
      </c>
      <c r="F32" s="16" t="str">
        <f t="shared" si="0"/>
        <v>(30,'BW','بوتسوانا','Botswana','Botswana'),</v>
      </c>
    </row>
    <row r="33" spans="1:6" ht="20.100000000000001" customHeight="1" x14ac:dyDescent="0.25">
      <c r="A33" s="3">
        <v>31</v>
      </c>
      <c r="B33" s="5" t="s">
        <v>167</v>
      </c>
      <c r="C33" s="4" t="s">
        <v>168</v>
      </c>
      <c r="D33" s="4" t="s">
        <v>169</v>
      </c>
      <c r="E33" s="4" t="s">
        <v>170</v>
      </c>
      <c r="F33" s="16" t="str">
        <f t="shared" si="0"/>
        <v>(31,'BV','جزيرة بوفيه','Bouvet Island','Île Bouvet'),</v>
      </c>
    </row>
    <row r="34" spans="1:6" ht="20.100000000000001" customHeight="1" x14ac:dyDescent="0.25">
      <c r="A34" s="3">
        <v>32</v>
      </c>
      <c r="B34" s="5" t="s">
        <v>171</v>
      </c>
      <c r="C34" s="4" t="s">
        <v>172</v>
      </c>
      <c r="D34" s="4" t="s">
        <v>173</v>
      </c>
      <c r="E34" s="4" t="s">
        <v>174</v>
      </c>
      <c r="F34" s="16" t="str">
        <f t="shared" si="0"/>
        <v>(32,'BR','البرازيل','Brazil','Brésil'),</v>
      </c>
    </row>
    <row r="35" spans="1:6" ht="20.100000000000001" customHeight="1" x14ac:dyDescent="0.25">
      <c r="A35" s="3">
        <v>33</v>
      </c>
      <c r="B35" s="5" t="s">
        <v>175</v>
      </c>
      <c r="C35" s="4" t="s">
        <v>176</v>
      </c>
      <c r="D35" s="4" t="s">
        <v>177</v>
      </c>
      <c r="E35" s="4" t="s">
        <v>178</v>
      </c>
      <c r="F35" s="16" t="str">
        <f t="shared" si="0"/>
        <v>(33,'IO','إقليم المحيط الهندي البريطاني','British Indian Ocean Territory','Territoire Britannique de l'Océan Indien'),</v>
      </c>
    </row>
    <row r="36" spans="1:6" ht="20.100000000000001" customHeight="1" x14ac:dyDescent="0.25">
      <c r="A36" s="3">
        <v>34</v>
      </c>
      <c r="B36" s="5" t="s">
        <v>179</v>
      </c>
      <c r="C36" s="4" t="s">
        <v>180</v>
      </c>
      <c r="D36" s="4" t="s">
        <v>181</v>
      </c>
      <c r="E36" s="4" t="s">
        <v>182</v>
      </c>
      <c r="F36" s="16" t="str">
        <f t="shared" si="0"/>
        <v>(34,'BN','بروناي','Brunei Darussalam','Brunéi Darussalam'),</v>
      </c>
    </row>
    <row r="37" spans="1:6" ht="20.100000000000001" customHeight="1" x14ac:dyDescent="0.25">
      <c r="A37" s="3">
        <v>35</v>
      </c>
      <c r="B37" s="5" t="s">
        <v>183</v>
      </c>
      <c r="C37" s="4" t="s">
        <v>184</v>
      </c>
      <c r="D37" s="4" t="s">
        <v>185</v>
      </c>
      <c r="E37" s="4" t="s">
        <v>186</v>
      </c>
      <c r="F37" s="16" t="str">
        <f t="shared" si="0"/>
        <v>(35,'BG','بلغاريا','Bulgaria','Bulgarie'),</v>
      </c>
    </row>
    <row r="38" spans="1:6" ht="20.100000000000001" customHeight="1" x14ac:dyDescent="0.25">
      <c r="A38" s="3">
        <v>36</v>
      </c>
      <c r="B38" s="5" t="s">
        <v>187</v>
      </c>
      <c r="C38" s="4" t="s">
        <v>188</v>
      </c>
      <c r="D38" s="4" t="s">
        <v>189</v>
      </c>
      <c r="E38" s="4" t="s">
        <v>189</v>
      </c>
      <c r="F38" s="16" t="str">
        <f t="shared" si="0"/>
        <v>(36,'BF','بوركينا فاسو','Burkina Faso','Burkina Faso'),</v>
      </c>
    </row>
    <row r="39" spans="1:6" ht="20.100000000000001" customHeight="1" x14ac:dyDescent="0.25">
      <c r="A39" s="3">
        <v>37</v>
      </c>
      <c r="B39" s="5" t="s">
        <v>190</v>
      </c>
      <c r="C39" s="4" t="s">
        <v>191</v>
      </c>
      <c r="D39" s="4" t="s">
        <v>192</v>
      </c>
      <c r="E39" s="4" t="s">
        <v>192</v>
      </c>
      <c r="F39" s="16" t="str">
        <f t="shared" si="0"/>
        <v>(37,'BI','بوروندي','Burundi','Burundi'),</v>
      </c>
    </row>
    <row r="40" spans="1:6" ht="20.100000000000001" customHeight="1" x14ac:dyDescent="0.25">
      <c r="A40" s="3">
        <v>38</v>
      </c>
      <c r="B40" s="5" t="s">
        <v>193</v>
      </c>
      <c r="C40" s="4" t="s">
        <v>194</v>
      </c>
      <c r="D40" s="4" t="s">
        <v>195</v>
      </c>
      <c r="E40" s="4" t="s">
        <v>195</v>
      </c>
      <c r="F40" s="16" t="str">
        <f t="shared" si="0"/>
        <v>(38,'CV','الرأس الأخضر','Cabo Verde','Cabo Verde'),</v>
      </c>
    </row>
    <row r="41" spans="1:6" ht="20.100000000000001" customHeight="1" x14ac:dyDescent="0.25">
      <c r="A41" s="3">
        <v>39</v>
      </c>
      <c r="B41" s="5" t="s">
        <v>196</v>
      </c>
      <c r="C41" s="4" t="s">
        <v>197</v>
      </c>
      <c r="D41" s="4" t="s">
        <v>198</v>
      </c>
      <c r="E41" s="4" t="s">
        <v>199</v>
      </c>
      <c r="F41" s="16" t="str">
        <f t="shared" si="0"/>
        <v>(39,'KH','كمبوديا','Cambodia','Cambodge'),</v>
      </c>
    </row>
    <row r="42" spans="1:6" ht="20.100000000000001" customHeight="1" x14ac:dyDescent="0.25">
      <c r="A42" s="3">
        <v>40</v>
      </c>
      <c r="B42" s="5" t="s">
        <v>200</v>
      </c>
      <c r="C42" s="4" t="s">
        <v>201</v>
      </c>
      <c r="D42" s="4" t="s">
        <v>202</v>
      </c>
      <c r="E42" s="4" t="s">
        <v>203</v>
      </c>
      <c r="F42" s="16" t="str">
        <f t="shared" si="0"/>
        <v>(40,'CM','الكاميرون','Cameroon','Cameroun'),</v>
      </c>
    </row>
    <row r="43" spans="1:6" ht="20.100000000000001" customHeight="1" x14ac:dyDescent="0.25">
      <c r="A43" s="3">
        <v>41</v>
      </c>
      <c r="B43" s="5" t="s">
        <v>204</v>
      </c>
      <c r="C43" s="4" t="s">
        <v>205</v>
      </c>
      <c r="D43" s="4" t="s">
        <v>206</v>
      </c>
      <c r="E43" s="4" t="s">
        <v>206</v>
      </c>
      <c r="F43" s="16" t="str">
        <f t="shared" si="0"/>
        <v>(41,'CA','كندا','Canada','Canada'),</v>
      </c>
    </row>
    <row r="44" spans="1:6" ht="20.100000000000001" customHeight="1" x14ac:dyDescent="0.25">
      <c r="A44" s="3">
        <v>42</v>
      </c>
      <c r="B44" s="5" t="s">
        <v>207</v>
      </c>
      <c r="C44" s="4" t="s">
        <v>208</v>
      </c>
      <c r="D44" s="4" t="s">
        <v>209</v>
      </c>
      <c r="E44" s="4" t="s">
        <v>210</v>
      </c>
      <c r="F44" s="16" t="str">
        <f t="shared" si="0"/>
        <v>(42,'KY','جزر كايمان','Cayman Islands','Îles Caïmans'),</v>
      </c>
    </row>
    <row r="45" spans="1:6" ht="20.100000000000001" customHeight="1" x14ac:dyDescent="0.25">
      <c r="A45" s="3">
        <v>43</v>
      </c>
      <c r="B45" s="5" t="s">
        <v>211</v>
      </c>
      <c r="C45" s="4" t="s">
        <v>212</v>
      </c>
      <c r="D45" s="4" t="s">
        <v>213</v>
      </c>
      <c r="E45" s="4" t="s">
        <v>214</v>
      </c>
      <c r="F45" s="16" t="str">
        <f t="shared" si="0"/>
        <v>(43,'CF','جمهورية أفريقيا الوسطى','Central African Republic','République Centrafricaine'),</v>
      </c>
    </row>
    <row r="46" spans="1:6" ht="20.100000000000001" customHeight="1" x14ac:dyDescent="0.25">
      <c r="A46" s="3">
        <v>44</v>
      </c>
      <c r="B46" s="5" t="s">
        <v>215</v>
      </c>
      <c r="C46" s="4" t="s">
        <v>216</v>
      </c>
      <c r="D46" s="4" t="s">
        <v>217</v>
      </c>
      <c r="E46" s="4" t="s">
        <v>218</v>
      </c>
      <c r="F46" s="16" t="str">
        <f t="shared" si="0"/>
        <v>(44,'TD','تشاد','Chad','Tchad'),</v>
      </c>
    </row>
    <row r="47" spans="1:6" ht="20.100000000000001" customHeight="1" x14ac:dyDescent="0.25">
      <c r="A47" s="3">
        <v>45</v>
      </c>
      <c r="B47" s="5" t="s">
        <v>219</v>
      </c>
      <c r="C47" s="4" t="s">
        <v>220</v>
      </c>
      <c r="D47" s="4" t="s">
        <v>221</v>
      </c>
      <c r="E47" s="4" t="s">
        <v>222</v>
      </c>
      <c r="F47" s="16" t="str">
        <f t="shared" si="0"/>
        <v>(45,'CL','تشيلي','Chile','Chili'),</v>
      </c>
    </row>
    <row r="48" spans="1:6" ht="20.100000000000001" customHeight="1" x14ac:dyDescent="0.25">
      <c r="A48" s="3">
        <v>46</v>
      </c>
      <c r="B48" s="5" t="s">
        <v>223</v>
      </c>
      <c r="C48" s="4" t="s">
        <v>224</v>
      </c>
      <c r="D48" s="4" t="s">
        <v>225</v>
      </c>
      <c r="E48" s="4" t="s">
        <v>226</v>
      </c>
      <c r="F48" s="16" t="str">
        <f t="shared" si="0"/>
        <v>(46,'CN','الصين','China','Chine'),</v>
      </c>
    </row>
    <row r="49" spans="1:6" ht="20.100000000000001" customHeight="1" x14ac:dyDescent="0.25">
      <c r="A49" s="3">
        <v>47</v>
      </c>
      <c r="B49" s="5" t="s">
        <v>227</v>
      </c>
      <c r="C49" s="4" t="s">
        <v>228</v>
      </c>
      <c r="D49" s="4" t="s">
        <v>229</v>
      </c>
      <c r="E49" s="4" t="s">
        <v>230</v>
      </c>
      <c r="F49" s="16" t="str">
        <f t="shared" si="0"/>
        <v>(47,'CX','جزيرة كريسماس','Christmas Island','Île Christmas'),</v>
      </c>
    </row>
    <row r="50" spans="1:6" ht="20.100000000000001" customHeight="1" x14ac:dyDescent="0.25">
      <c r="A50" s="3">
        <v>48</v>
      </c>
      <c r="B50" s="5" t="s">
        <v>231</v>
      </c>
      <c r="C50" s="4" t="s">
        <v>232</v>
      </c>
      <c r="D50" s="4" t="s">
        <v>233</v>
      </c>
      <c r="E50" s="4" t="s">
        <v>234</v>
      </c>
      <c r="F50" s="16" t="str">
        <f t="shared" si="0"/>
        <v>(48,'CC','جزر كوكوس','Cocos (Keeling) Islands','Îles Cocos'),</v>
      </c>
    </row>
    <row r="51" spans="1:6" ht="20.100000000000001" customHeight="1" x14ac:dyDescent="0.25">
      <c r="A51" s="3">
        <v>49</v>
      </c>
      <c r="B51" s="5" t="s">
        <v>235</v>
      </c>
      <c r="C51" s="4" t="s">
        <v>236</v>
      </c>
      <c r="D51" s="4" t="s">
        <v>237</v>
      </c>
      <c r="E51" s="4" t="s">
        <v>238</v>
      </c>
      <c r="F51" s="16" t="str">
        <f t="shared" si="0"/>
        <v>(49,'CO','كولومبيا','Colombia','Colombie'),</v>
      </c>
    </row>
    <row r="52" spans="1:6" ht="20.100000000000001" customHeight="1" x14ac:dyDescent="0.25">
      <c r="A52" s="3">
        <v>50</v>
      </c>
      <c r="B52" s="5" t="s">
        <v>239</v>
      </c>
      <c r="C52" s="4" t="s">
        <v>240</v>
      </c>
      <c r="D52" s="4" t="s">
        <v>241</v>
      </c>
      <c r="E52" s="4" t="s">
        <v>242</v>
      </c>
      <c r="F52" s="16" t="str">
        <f t="shared" si="0"/>
        <v>(50,'KM','جزر القمر','Comoros','Comores'),</v>
      </c>
    </row>
    <row r="53" spans="1:6" ht="20.100000000000001" customHeight="1" x14ac:dyDescent="0.25">
      <c r="A53" s="3">
        <v>51</v>
      </c>
      <c r="B53" s="5" t="s">
        <v>243</v>
      </c>
      <c r="C53" s="4" t="s">
        <v>244</v>
      </c>
      <c r="D53" s="4" t="s">
        <v>245</v>
      </c>
      <c r="E53" s="4" t="s">
        <v>246</v>
      </c>
      <c r="F53" s="16" t="str">
        <f t="shared" si="0"/>
        <v>(51,'CD','جمهورية الكونغو الديمقراطية','Congo (Democratic Republic)','Congo (République Démocratique)'),</v>
      </c>
    </row>
    <row r="54" spans="1:6" ht="20.100000000000001" customHeight="1" x14ac:dyDescent="0.25">
      <c r="A54" s="3">
        <v>52</v>
      </c>
      <c r="B54" s="5" t="s">
        <v>247</v>
      </c>
      <c r="C54" s="4" t="s">
        <v>248</v>
      </c>
      <c r="D54" s="4" t="s">
        <v>249</v>
      </c>
      <c r="E54" s="4" t="s">
        <v>249</v>
      </c>
      <c r="F54" s="16" t="str">
        <f t="shared" si="0"/>
        <v>(52,'CG','جمهورية الكونغو','Congo','Congo'),</v>
      </c>
    </row>
    <row r="55" spans="1:6" ht="20.100000000000001" customHeight="1" x14ac:dyDescent="0.25">
      <c r="A55" s="3">
        <v>53</v>
      </c>
      <c r="B55" s="5" t="s">
        <v>250</v>
      </c>
      <c r="C55" s="4" t="s">
        <v>251</v>
      </c>
      <c r="D55" s="4" t="s">
        <v>252</v>
      </c>
      <c r="E55" s="4" t="s">
        <v>253</v>
      </c>
      <c r="F55" s="16" t="str">
        <f t="shared" si="0"/>
        <v>(53,'CK','جزر كوك','Cook Islands','Îles Cook'),</v>
      </c>
    </row>
    <row r="56" spans="1:6" ht="20.100000000000001" customHeight="1" x14ac:dyDescent="0.25">
      <c r="A56" s="3">
        <v>54</v>
      </c>
      <c r="B56" s="5" t="s">
        <v>254</v>
      </c>
      <c r="C56" s="4" t="s">
        <v>255</v>
      </c>
      <c r="D56" s="4" t="s">
        <v>256</v>
      </c>
      <c r="E56" s="4" t="s">
        <v>256</v>
      </c>
      <c r="F56" s="16" t="str">
        <f t="shared" si="0"/>
        <v>(54,'CR','كوستاريكا','Costa Rica','Costa Rica'),</v>
      </c>
    </row>
    <row r="57" spans="1:6" ht="20.100000000000001" customHeight="1" x14ac:dyDescent="0.25">
      <c r="A57" s="3">
        <v>55</v>
      </c>
      <c r="B57" s="5" t="s">
        <v>257</v>
      </c>
      <c r="C57" s="4" t="s">
        <v>258</v>
      </c>
      <c r="D57" s="4" t="s">
        <v>259</v>
      </c>
      <c r="E57" s="4" t="s">
        <v>259</v>
      </c>
      <c r="F57" s="16" t="str">
        <f t="shared" si="0"/>
        <v>(55,'CI','ساحل العاج','Côte d'Ivoire','Côte d'Ivoire'),</v>
      </c>
    </row>
    <row r="58" spans="1:6" ht="20.100000000000001" customHeight="1" x14ac:dyDescent="0.25">
      <c r="A58" s="3">
        <v>56</v>
      </c>
      <c r="B58" s="5" t="s">
        <v>260</v>
      </c>
      <c r="C58" s="4" t="s">
        <v>261</v>
      </c>
      <c r="D58" s="4" t="s">
        <v>262</v>
      </c>
      <c r="E58" s="4" t="s">
        <v>263</v>
      </c>
      <c r="F58" s="16" t="str">
        <f t="shared" si="0"/>
        <v>(56,'HR','كرواتيا','Croatia','Croatie'),</v>
      </c>
    </row>
    <row r="59" spans="1:6" ht="20.100000000000001" customHeight="1" x14ac:dyDescent="0.25">
      <c r="A59" s="3">
        <v>57</v>
      </c>
      <c r="B59" s="5" t="s">
        <v>264</v>
      </c>
      <c r="C59" s="4" t="s">
        <v>265</v>
      </c>
      <c r="D59" s="4" t="s">
        <v>266</v>
      </c>
      <c r="E59" s="4" t="s">
        <v>266</v>
      </c>
      <c r="F59" s="16" t="str">
        <f t="shared" si="0"/>
        <v>(57,'CU','كوبا','Cuba','Cuba'),</v>
      </c>
    </row>
    <row r="60" spans="1:6" ht="20.100000000000001" customHeight="1" x14ac:dyDescent="0.25">
      <c r="A60" s="3">
        <v>58</v>
      </c>
      <c r="B60" s="5" t="s">
        <v>267</v>
      </c>
      <c r="C60" s="4" t="s">
        <v>268</v>
      </c>
      <c r="D60" s="4" t="s">
        <v>269</v>
      </c>
      <c r="E60" s="4" t="s">
        <v>269</v>
      </c>
      <c r="F60" s="16" t="str">
        <f t="shared" si="0"/>
        <v>(58,'CW','كوراساو','Curaçao','Curaçao'),</v>
      </c>
    </row>
    <row r="61" spans="1:6" ht="20.100000000000001" customHeight="1" x14ac:dyDescent="0.25">
      <c r="A61" s="3">
        <v>59</v>
      </c>
      <c r="B61" s="5" t="s">
        <v>270</v>
      </c>
      <c r="C61" s="4" t="s">
        <v>271</v>
      </c>
      <c r="D61" s="4" t="s">
        <v>272</v>
      </c>
      <c r="E61" s="4" t="s">
        <v>273</v>
      </c>
      <c r="F61" s="16" t="str">
        <f t="shared" si="0"/>
        <v>(59,'CY','قبرص','Cyprus','Chypre'),</v>
      </c>
    </row>
    <row r="62" spans="1:6" ht="20.100000000000001" customHeight="1" x14ac:dyDescent="0.25">
      <c r="A62" s="3">
        <v>60</v>
      </c>
      <c r="B62" s="5" t="s">
        <v>274</v>
      </c>
      <c r="C62" s="4" t="s">
        <v>275</v>
      </c>
      <c r="D62" s="4" t="s">
        <v>276</v>
      </c>
      <c r="E62" s="4" t="s">
        <v>277</v>
      </c>
      <c r="F62" s="16" t="str">
        <f t="shared" si="0"/>
        <v>(60,'CZ','التشيك','Czechia','République Tchèque'),</v>
      </c>
    </row>
    <row r="63" spans="1:6" ht="20.100000000000001" customHeight="1" x14ac:dyDescent="0.25">
      <c r="A63" s="3">
        <v>61</v>
      </c>
      <c r="B63" s="5" t="s">
        <v>278</v>
      </c>
      <c r="C63" s="4" t="s">
        <v>279</v>
      </c>
      <c r="D63" s="4" t="s">
        <v>280</v>
      </c>
      <c r="E63" s="4" t="s">
        <v>281</v>
      </c>
      <c r="F63" s="16" t="str">
        <f t="shared" si="0"/>
        <v>(61,'DK','الدنمارك','Denmark','Danemark'),</v>
      </c>
    </row>
    <row r="64" spans="1:6" ht="20.100000000000001" customHeight="1" x14ac:dyDescent="0.25">
      <c r="A64" s="3">
        <v>62</v>
      </c>
      <c r="B64" s="5" t="s">
        <v>282</v>
      </c>
      <c r="C64" s="4" t="s">
        <v>283</v>
      </c>
      <c r="D64" s="4" t="s">
        <v>284</v>
      </c>
      <c r="E64" s="4" t="s">
        <v>284</v>
      </c>
      <c r="F64" s="16" t="str">
        <f t="shared" si="0"/>
        <v>(62,'DJ','جيبوتي','Djibouti','Djibouti'),</v>
      </c>
    </row>
    <row r="65" spans="1:6" ht="20.100000000000001" customHeight="1" x14ac:dyDescent="0.25">
      <c r="A65" s="3">
        <v>63</v>
      </c>
      <c r="B65" s="5" t="s">
        <v>285</v>
      </c>
      <c r="C65" s="4" t="s">
        <v>286</v>
      </c>
      <c r="D65" s="4" t="s">
        <v>287</v>
      </c>
      <c r="E65" s="4" t="s">
        <v>288</v>
      </c>
      <c r="F65" s="16" t="str">
        <f t="shared" si="0"/>
        <v>(63,'DM','دومينيكا','Dominica','Dominique'),</v>
      </c>
    </row>
    <row r="66" spans="1:6" ht="20.100000000000001" customHeight="1" x14ac:dyDescent="0.25">
      <c r="A66" s="3">
        <v>64</v>
      </c>
      <c r="B66" s="5" t="s">
        <v>289</v>
      </c>
      <c r="C66" s="4" t="s">
        <v>290</v>
      </c>
      <c r="D66" s="4" t="s">
        <v>291</v>
      </c>
      <c r="E66" s="4" t="s">
        <v>292</v>
      </c>
      <c r="F66" s="16" t="str">
        <f t="shared" si="0"/>
        <v>(64,'DO','جمهورية الدومينيكان','Dominican Republic','République Dominicaine'),</v>
      </c>
    </row>
    <row r="67" spans="1:6" ht="20.100000000000001" customHeight="1" x14ac:dyDescent="0.25">
      <c r="A67" s="3">
        <v>65</v>
      </c>
      <c r="B67" s="5" t="s">
        <v>293</v>
      </c>
      <c r="C67" s="4" t="s">
        <v>294</v>
      </c>
      <c r="D67" s="4" t="s">
        <v>295</v>
      </c>
      <c r="E67" s="4" t="s">
        <v>296</v>
      </c>
      <c r="F67" s="16" t="str">
        <f t="shared" si="0"/>
        <v>(65,'EC','الإكوادور','Ecuador','Équateur'),</v>
      </c>
    </row>
    <row r="68" spans="1:6" ht="20.100000000000001" customHeight="1" x14ac:dyDescent="0.25">
      <c r="A68" s="3">
        <v>66</v>
      </c>
      <c r="B68" s="5" t="s">
        <v>297</v>
      </c>
      <c r="C68" s="4" t="s">
        <v>298</v>
      </c>
      <c r="D68" s="4" t="s">
        <v>299</v>
      </c>
      <c r="E68" s="4" t="s">
        <v>300</v>
      </c>
      <c r="F68" s="16" t="str">
        <f t="shared" ref="F68:F131" si="1">CONCATENATE("(",A68,",'",B68,"','",C68,"','",D68,"','",E68,"'),")</f>
        <v>(66,'EG','مصر','Egypt','Égypte'),</v>
      </c>
    </row>
    <row r="69" spans="1:6" ht="20.100000000000001" customHeight="1" x14ac:dyDescent="0.25">
      <c r="A69" s="3">
        <v>67</v>
      </c>
      <c r="B69" s="5" t="s">
        <v>301</v>
      </c>
      <c r="C69" s="4" t="s">
        <v>302</v>
      </c>
      <c r="D69" s="4" t="s">
        <v>303</v>
      </c>
      <c r="E69" s="4" t="s">
        <v>303</v>
      </c>
      <c r="F69" s="16" t="str">
        <f t="shared" si="1"/>
        <v>(67,'SV','السلفادور','El Salvador','El Salvador'),</v>
      </c>
    </row>
    <row r="70" spans="1:6" ht="20.100000000000001" customHeight="1" x14ac:dyDescent="0.25">
      <c r="A70" s="3">
        <v>68</v>
      </c>
      <c r="B70" s="5" t="s">
        <v>304</v>
      </c>
      <c r="C70" s="4" t="s">
        <v>305</v>
      </c>
      <c r="D70" s="4" t="s">
        <v>306</v>
      </c>
      <c r="E70" s="4" t="s">
        <v>307</v>
      </c>
      <c r="F70" s="16" t="str">
        <f t="shared" si="1"/>
        <v>(68,'GQ','غينيا الاستوائية','Equatorial Guinea','Guinée Équatoriale'),</v>
      </c>
    </row>
    <row r="71" spans="1:6" ht="20.100000000000001" customHeight="1" x14ac:dyDescent="0.25">
      <c r="A71" s="3">
        <v>69</v>
      </c>
      <c r="B71" s="5" t="s">
        <v>308</v>
      </c>
      <c r="C71" s="4" t="s">
        <v>309</v>
      </c>
      <c r="D71" s="4" t="s">
        <v>310</v>
      </c>
      <c r="E71" s="4" t="s">
        <v>311</v>
      </c>
      <c r="F71" s="16" t="str">
        <f t="shared" si="1"/>
        <v>(69,'ER','إريتريا','Eritrea','Érythrée'),</v>
      </c>
    </row>
    <row r="72" spans="1:6" ht="20.100000000000001" customHeight="1" x14ac:dyDescent="0.25">
      <c r="A72" s="3">
        <v>70</v>
      </c>
      <c r="B72" s="5" t="s">
        <v>312</v>
      </c>
      <c r="C72" s="4" t="s">
        <v>313</v>
      </c>
      <c r="D72" s="4" t="s">
        <v>314</v>
      </c>
      <c r="E72" s="4" t="s">
        <v>315</v>
      </c>
      <c r="F72" s="16" t="str">
        <f t="shared" si="1"/>
        <v>(70,'EE','إستونيا','Estonia','Estonie'),</v>
      </c>
    </row>
    <row r="73" spans="1:6" ht="20.100000000000001" customHeight="1" x14ac:dyDescent="0.25">
      <c r="A73" s="3">
        <v>71</v>
      </c>
      <c r="B73" s="5" t="s">
        <v>316</v>
      </c>
      <c r="C73" s="4" t="s">
        <v>317</v>
      </c>
      <c r="D73" s="4" t="s">
        <v>318</v>
      </c>
      <c r="E73" s="4" t="s">
        <v>318</v>
      </c>
      <c r="F73" s="16" t="str">
        <f t="shared" si="1"/>
        <v>(71,'SZ','إسواتيني','Eswatini','Eswatini'),</v>
      </c>
    </row>
    <row r="74" spans="1:6" ht="20.100000000000001" customHeight="1" x14ac:dyDescent="0.25">
      <c r="A74" s="3">
        <v>72</v>
      </c>
      <c r="B74" s="5" t="s">
        <v>319</v>
      </c>
      <c r="C74" s="4" t="s">
        <v>320</v>
      </c>
      <c r="D74" s="4" t="s">
        <v>321</v>
      </c>
      <c r="E74" s="4" t="s">
        <v>322</v>
      </c>
      <c r="F74" s="16" t="str">
        <f t="shared" si="1"/>
        <v>(72,'ET','إثيوبيا','Ethiopia','Éthiopie'),</v>
      </c>
    </row>
    <row r="75" spans="1:6" ht="20.100000000000001" customHeight="1" x14ac:dyDescent="0.25">
      <c r="A75" s="3">
        <v>73</v>
      </c>
      <c r="B75" s="5" t="s">
        <v>323</v>
      </c>
      <c r="C75" s="4" t="s">
        <v>324</v>
      </c>
      <c r="D75" s="4" t="s">
        <v>325</v>
      </c>
      <c r="E75" s="4" t="s">
        <v>326</v>
      </c>
      <c r="F75" s="16" t="str">
        <f t="shared" si="1"/>
        <v>(73,'FK','جزر فوكلاند','Falkland Islands','Îles Malouines'),</v>
      </c>
    </row>
    <row r="76" spans="1:6" ht="20.100000000000001" customHeight="1" x14ac:dyDescent="0.25">
      <c r="A76" s="3">
        <v>74</v>
      </c>
      <c r="B76" s="5" t="s">
        <v>327</v>
      </c>
      <c r="C76" s="4" t="s">
        <v>328</v>
      </c>
      <c r="D76" s="4" t="s">
        <v>329</v>
      </c>
      <c r="E76" s="4" t="s">
        <v>330</v>
      </c>
      <c r="F76" s="16" t="str">
        <f t="shared" si="1"/>
        <v>(74,'FO','جزر فارو','Faroe Islands','Îles Féroé'),</v>
      </c>
    </row>
    <row r="77" spans="1:6" ht="20.100000000000001" customHeight="1" x14ac:dyDescent="0.25">
      <c r="A77" s="3">
        <v>75</v>
      </c>
      <c r="B77" s="5" t="s">
        <v>331</v>
      </c>
      <c r="C77" s="4" t="s">
        <v>332</v>
      </c>
      <c r="D77" s="4" t="s">
        <v>333</v>
      </c>
      <c r="E77" s="4" t="s">
        <v>334</v>
      </c>
      <c r="F77" s="16" t="str">
        <f t="shared" si="1"/>
        <v>(75,'FJ','فيجي','Fiji','Fidji'),</v>
      </c>
    </row>
    <row r="78" spans="1:6" ht="20.100000000000001" customHeight="1" x14ac:dyDescent="0.25">
      <c r="A78" s="3">
        <v>76</v>
      </c>
      <c r="B78" s="5" t="s">
        <v>335</v>
      </c>
      <c r="C78" s="4" t="s">
        <v>336</v>
      </c>
      <c r="D78" s="4" t="s">
        <v>337</v>
      </c>
      <c r="E78" s="4" t="s">
        <v>338</v>
      </c>
      <c r="F78" s="16" t="str">
        <f t="shared" si="1"/>
        <v>(76,'FI','فنلندا','Finland','Finlande'),</v>
      </c>
    </row>
    <row r="79" spans="1:6" ht="20.100000000000001" customHeight="1" x14ac:dyDescent="0.25">
      <c r="A79" s="3">
        <v>77</v>
      </c>
      <c r="B79" s="5" t="s">
        <v>339</v>
      </c>
      <c r="C79" s="4" t="s">
        <v>340</v>
      </c>
      <c r="D79" s="4" t="s">
        <v>341</v>
      </c>
      <c r="E79" s="4" t="s">
        <v>341</v>
      </c>
      <c r="F79" s="16" t="str">
        <f t="shared" si="1"/>
        <v>(77,'FR','فرنسا','France','France'),</v>
      </c>
    </row>
    <row r="80" spans="1:6" ht="20.100000000000001" customHeight="1" x14ac:dyDescent="0.25">
      <c r="A80" s="3">
        <v>78</v>
      </c>
      <c r="B80" s="5" t="s">
        <v>342</v>
      </c>
      <c r="C80" s="4" t="s">
        <v>343</v>
      </c>
      <c r="D80" s="4" t="s">
        <v>344</v>
      </c>
      <c r="E80" s="4" t="s">
        <v>345</v>
      </c>
      <c r="F80" s="16" t="str">
        <f t="shared" si="1"/>
        <v>(78,'GF','غويانا الفرنسية','French Guiana','Guyane Française'),</v>
      </c>
    </row>
    <row r="81" spans="1:6" ht="20.100000000000001" customHeight="1" x14ac:dyDescent="0.25">
      <c r="A81" s="3">
        <v>79</v>
      </c>
      <c r="B81" s="5" t="s">
        <v>346</v>
      </c>
      <c r="C81" s="4" t="s">
        <v>347</v>
      </c>
      <c r="D81" s="4" t="s">
        <v>348</v>
      </c>
      <c r="E81" s="4" t="s">
        <v>349</v>
      </c>
      <c r="F81" s="16" t="str">
        <f t="shared" si="1"/>
        <v>(79,'PF','بولينيزيا الفرنسية','French Polynesia','Polynésie Française'),</v>
      </c>
    </row>
    <row r="82" spans="1:6" ht="20.100000000000001" customHeight="1" x14ac:dyDescent="0.25">
      <c r="A82" s="3">
        <v>80</v>
      </c>
      <c r="B82" s="5" t="s">
        <v>350</v>
      </c>
      <c r="C82" s="4" t="s">
        <v>351</v>
      </c>
      <c r="D82" s="4" t="s">
        <v>352</v>
      </c>
      <c r="E82" s="4" t="s">
        <v>353</v>
      </c>
      <c r="F82" s="16" t="str">
        <f t="shared" si="1"/>
        <v>(80,'TF','الأقاليم الجنوبية الفرنسية','French Southern Territories','Terres Australes Françaises'),</v>
      </c>
    </row>
    <row r="83" spans="1:6" ht="20.100000000000001" customHeight="1" x14ac:dyDescent="0.25">
      <c r="A83" s="3">
        <v>81</v>
      </c>
      <c r="B83" s="5" t="s">
        <v>354</v>
      </c>
      <c r="C83" s="4" t="s">
        <v>355</v>
      </c>
      <c r="D83" s="4" t="s">
        <v>356</v>
      </c>
      <c r="E83" s="4" t="s">
        <v>356</v>
      </c>
      <c r="F83" s="16" t="str">
        <f t="shared" si="1"/>
        <v>(81,'GA','الغابون','Gabon','Gabon'),</v>
      </c>
    </row>
    <row r="84" spans="1:6" ht="20.100000000000001" customHeight="1" x14ac:dyDescent="0.25">
      <c r="A84" s="3">
        <v>82</v>
      </c>
      <c r="B84" s="5" t="s">
        <v>357</v>
      </c>
      <c r="C84" s="4" t="s">
        <v>358</v>
      </c>
      <c r="D84" s="4" t="s">
        <v>359</v>
      </c>
      <c r="E84" s="4" t="s">
        <v>360</v>
      </c>
      <c r="F84" s="16" t="str">
        <f t="shared" si="1"/>
        <v>(82,'GM','غامبيا','Gambia','Gambie'),</v>
      </c>
    </row>
    <row r="85" spans="1:6" ht="20.100000000000001" customHeight="1" x14ac:dyDescent="0.25">
      <c r="A85" s="3">
        <v>83</v>
      </c>
      <c r="B85" s="5" t="s">
        <v>361</v>
      </c>
      <c r="C85" s="4" t="s">
        <v>362</v>
      </c>
      <c r="D85" s="4" t="s">
        <v>363</v>
      </c>
      <c r="E85" s="4" t="s">
        <v>364</v>
      </c>
      <c r="F85" s="16" t="str">
        <f t="shared" si="1"/>
        <v>(83,'GE','جورجيا','Georgia','Géorgie'),</v>
      </c>
    </row>
    <row r="86" spans="1:6" ht="20.100000000000001" customHeight="1" x14ac:dyDescent="0.25">
      <c r="A86" s="3">
        <v>84</v>
      </c>
      <c r="B86" s="5" t="s">
        <v>365</v>
      </c>
      <c r="C86" s="4" t="s">
        <v>366</v>
      </c>
      <c r="D86" s="4" t="s">
        <v>367</v>
      </c>
      <c r="E86" s="4" t="s">
        <v>368</v>
      </c>
      <c r="F86" s="16" t="str">
        <f t="shared" si="1"/>
        <v>(84,'DE','ألمانيا','Germany','Allemagne'),</v>
      </c>
    </row>
    <row r="87" spans="1:6" ht="20.100000000000001" customHeight="1" x14ac:dyDescent="0.25">
      <c r="A87" s="3">
        <v>85</v>
      </c>
      <c r="B87" s="5" t="s">
        <v>369</v>
      </c>
      <c r="C87" s="4" t="s">
        <v>370</v>
      </c>
      <c r="D87" s="4" t="s">
        <v>371</v>
      </c>
      <c r="E87" s="4" t="s">
        <v>371</v>
      </c>
      <c r="F87" s="16" t="str">
        <f t="shared" si="1"/>
        <v>(85,'GH','غانا','Ghana','Ghana'),</v>
      </c>
    </row>
    <row r="88" spans="1:6" ht="20.100000000000001" customHeight="1" x14ac:dyDescent="0.25">
      <c r="A88" s="3">
        <v>86</v>
      </c>
      <c r="B88" s="5" t="s">
        <v>372</v>
      </c>
      <c r="C88" s="4" t="s">
        <v>373</v>
      </c>
      <c r="D88" s="4" t="s">
        <v>374</v>
      </c>
      <c r="E88" s="4" t="s">
        <v>374</v>
      </c>
      <c r="F88" s="16" t="str">
        <f t="shared" si="1"/>
        <v>(86,'GI','جبل طارق','Gibraltar','Gibraltar'),</v>
      </c>
    </row>
    <row r="89" spans="1:6" ht="20.100000000000001" customHeight="1" x14ac:dyDescent="0.25">
      <c r="A89" s="3">
        <v>87</v>
      </c>
      <c r="B89" s="5" t="s">
        <v>375</v>
      </c>
      <c r="C89" s="4" t="s">
        <v>376</v>
      </c>
      <c r="D89" s="4" t="s">
        <v>377</v>
      </c>
      <c r="E89" s="4" t="s">
        <v>378</v>
      </c>
      <c r="F89" s="16" t="str">
        <f t="shared" si="1"/>
        <v>(87,'GR','اليونان','Greece','Grèce'),</v>
      </c>
    </row>
    <row r="90" spans="1:6" ht="20.100000000000001" customHeight="1" x14ac:dyDescent="0.25">
      <c r="A90" s="3">
        <v>88</v>
      </c>
      <c r="B90" s="5" t="s">
        <v>379</v>
      </c>
      <c r="C90" s="4" t="s">
        <v>380</v>
      </c>
      <c r="D90" s="4" t="s">
        <v>381</v>
      </c>
      <c r="E90" s="4" t="s">
        <v>382</v>
      </c>
      <c r="F90" s="16" t="str">
        <f t="shared" si="1"/>
        <v>(88,'GL','جرينلاند','Greenland','Groenland'),</v>
      </c>
    </row>
    <row r="91" spans="1:6" ht="20.100000000000001" customHeight="1" x14ac:dyDescent="0.25">
      <c r="A91" s="3">
        <v>89</v>
      </c>
      <c r="B91" s="5" t="s">
        <v>383</v>
      </c>
      <c r="C91" s="4" t="s">
        <v>384</v>
      </c>
      <c r="D91" s="4" t="s">
        <v>385</v>
      </c>
      <c r="E91" s="4" t="s">
        <v>386</v>
      </c>
      <c r="F91" s="16" t="str">
        <f t="shared" si="1"/>
        <v>(89,'GD','جرينادا','Grenada','Grenade'),</v>
      </c>
    </row>
    <row r="92" spans="1:6" ht="20.100000000000001" customHeight="1" x14ac:dyDescent="0.25">
      <c r="A92" s="3">
        <v>90</v>
      </c>
      <c r="B92" s="5" t="s">
        <v>387</v>
      </c>
      <c r="C92" s="4" t="s">
        <v>388</v>
      </c>
      <c r="D92" s="4" t="s">
        <v>389</v>
      </c>
      <c r="E92" s="4" t="s">
        <v>389</v>
      </c>
      <c r="F92" s="16" t="str">
        <f t="shared" si="1"/>
        <v>(90,'GP','جوادلوب','Guadeloupe','Guadeloupe'),</v>
      </c>
    </row>
    <row r="93" spans="1:6" ht="20.100000000000001" customHeight="1" x14ac:dyDescent="0.25">
      <c r="A93" s="3">
        <v>91</v>
      </c>
      <c r="B93" s="5" t="s">
        <v>390</v>
      </c>
      <c r="C93" s="4" t="s">
        <v>391</v>
      </c>
      <c r="D93" s="4" t="s">
        <v>392</v>
      </c>
      <c r="E93" s="4" t="s">
        <v>392</v>
      </c>
      <c r="F93" s="16" t="str">
        <f t="shared" si="1"/>
        <v>(91,'GU','غوام','Guam','Guam'),</v>
      </c>
    </row>
    <row r="94" spans="1:6" ht="20.100000000000001" customHeight="1" x14ac:dyDescent="0.25">
      <c r="A94" s="3">
        <v>92</v>
      </c>
      <c r="B94" s="5" t="s">
        <v>393</v>
      </c>
      <c r="C94" s="4" t="s">
        <v>394</v>
      </c>
      <c r="D94" s="4" t="s">
        <v>395</v>
      </c>
      <c r="E94" s="4" t="s">
        <v>395</v>
      </c>
      <c r="F94" s="16" t="str">
        <f t="shared" si="1"/>
        <v>(92,'GT','غواتيمالا','Guatemala','Guatemala'),</v>
      </c>
    </row>
    <row r="95" spans="1:6" ht="20.100000000000001" customHeight="1" x14ac:dyDescent="0.25">
      <c r="A95" s="3">
        <v>93</v>
      </c>
      <c r="B95" s="5" t="s">
        <v>396</v>
      </c>
      <c r="C95" s="4" t="s">
        <v>397</v>
      </c>
      <c r="D95" s="4" t="s">
        <v>398</v>
      </c>
      <c r="E95" s="4" t="s">
        <v>399</v>
      </c>
      <c r="F95" s="16" t="str">
        <f t="shared" si="1"/>
        <v>(93,'GG','غيرنزي','Guernsey','Guernesey'),</v>
      </c>
    </row>
    <row r="96" spans="1:6" ht="20.100000000000001" customHeight="1" x14ac:dyDescent="0.25">
      <c r="A96" s="3">
        <v>94</v>
      </c>
      <c r="B96" s="5" t="s">
        <v>400</v>
      </c>
      <c r="C96" s="4" t="s">
        <v>401</v>
      </c>
      <c r="D96" s="4" t="s">
        <v>402</v>
      </c>
      <c r="E96" s="4" t="s">
        <v>403</v>
      </c>
      <c r="F96" s="16" t="str">
        <f t="shared" si="1"/>
        <v>(94,'GN','غينيا','Guinea','Guinée'),</v>
      </c>
    </row>
    <row r="97" spans="1:6" ht="20.100000000000001" customHeight="1" x14ac:dyDescent="0.25">
      <c r="A97" s="3">
        <v>95</v>
      </c>
      <c r="B97" s="5" t="s">
        <v>404</v>
      </c>
      <c r="C97" s="4" t="s">
        <v>405</v>
      </c>
      <c r="D97" s="4" t="s">
        <v>406</v>
      </c>
      <c r="E97" s="4" t="s">
        <v>407</v>
      </c>
      <c r="F97" s="16" t="str">
        <f t="shared" si="1"/>
        <v>(95,'GW','غينيا بيساو','Guinea-Bissau','Guinée-Bissau'),</v>
      </c>
    </row>
    <row r="98" spans="1:6" ht="20.100000000000001" customHeight="1" x14ac:dyDescent="0.25">
      <c r="A98" s="3">
        <v>96</v>
      </c>
      <c r="B98" s="5" t="s">
        <v>408</v>
      </c>
      <c r="C98" s="4" t="s">
        <v>409</v>
      </c>
      <c r="D98" s="4" t="s">
        <v>410</v>
      </c>
      <c r="E98" s="4" t="s">
        <v>410</v>
      </c>
      <c r="F98" s="16" t="str">
        <f t="shared" si="1"/>
        <v>(96,'GY','غويانا','Guyana','Guyana'),</v>
      </c>
    </row>
    <row r="99" spans="1:6" ht="20.100000000000001" customHeight="1" x14ac:dyDescent="0.25">
      <c r="A99" s="3">
        <v>97</v>
      </c>
      <c r="B99" s="5" t="s">
        <v>411</v>
      </c>
      <c r="C99" s="4" t="s">
        <v>412</v>
      </c>
      <c r="D99" s="4" t="s">
        <v>413</v>
      </c>
      <c r="E99" s="4" t="s">
        <v>414</v>
      </c>
      <c r="F99" s="16" t="str">
        <f t="shared" si="1"/>
        <v>(97,'HT','هايتي','Haiti','Haïti'),</v>
      </c>
    </row>
    <row r="100" spans="1:6" ht="20.100000000000001" customHeight="1" x14ac:dyDescent="0.25">
      <c r="A100" s="3">
        <v>98</v>
      </c>
      <c r="B100" s="5" t="s">
        <v>415</v>
      </c>
      <c r="C100" s="4" t="s">
        <v>416</v>
      </c>
      <c r="D100" s="4" t="s">
        <v>417</v>
      </c>
      <c r="E100" s="4" t="s">
        <v>418</v>
      </c>
      <c r="F100" s="16" t="str">
        <f t="shared" si="1"/>
        <v>(98,'HM','جزيرة هيرد وجزر ماكدونالد','Heard Island and McDonald Islands','Île Heard-et-Îles MacDonald'),</v>
      </c>
    </row>
    <row r="101" spans="1:6" ht="20.100000000000001" customHeight="1" x14ac:dyDescent="0.25">
      <c r="A101" s="3">
        <v>99</v>
      </c>
      <c r="B101" s="5" t="s">
        <v>419</v>
      </c>
      <c r="C101" s="4" t="s">
        <v>420</v>
      </c>
      <c r="D101" s="4" t="s">
        <v>421</v>
      </c>
      <c r="E101" s="4" t="s">
        <v>422</v>
      </c>
      <c r="F101" s="16" t="str">
        <f t="shared" si="1"/>
        <v>(99,'VA','الفاتيكان','Holy See','Saint-Siège'),</v>
      </c>
    </row>
    <row r="102" spans="1:6" ht="20.100000000000001" customHeight="1" x14ac:dyDescent="0.25">
      <c r="A102" s="3">
        <v>100</v>
      </c>
      <c r="B102" s="5" t="s">
        <v>423</v>
      </c>
      <c r="C102" s="4" t="s">
        <v>424</v>
      </c>
      <c r="D102" s="4" t="s">
        <v>425</v>
      </c>
      <c r="E102" s="4" t="s">
        <v>425</v>
      </c>
      <c r="F102" s="16" t="str">
        <f t="shared" si="1"/>
        <v>(100,'HN','هندوراس','Honduras','Honduras'),</v>
      </c>
    </row>
    <row r="103" spans="1:6" ht="20.100000000000001" customHeight="1" x14ac:dyDescent="0.25">
      <c r="A103" s="3">
        <v>101</v>
      </c>
      <c r="B103" s="5" t="s">
        <v>426</v>
      </c>
      <c r="C103" s="4" t="s">
        <v>427</v>
      </c>
      <c r="D103" s="4" t="s">
        <v>428</v>
      </c>
      <c r="E103" s="4" t="s">
        <v>428</v>
      </c>
      <c r="F103" s="16" t="str">
        <f t="shared" si="1"/>
        <v>(101,'HK','هونغ كونغ','Hong Kong','Hong Kong'),</v>
      </c>
    </row>
    <row r="104" spans="1:6" ht="20.100000000000001" customHeight="1" x14ac:dyDescent="0.25">
      <c r="A104" s="3">
        <v>102</v>
      </c>
      <c r="B104" s="5" t="s">
        <v>429</v>
      </c>
      <c r="C104" s="4" t="s">
        <v>430</v>
      </c>
      <c r="D104" s="4" t="s">
        <v>431</v>
      </c>
      <c r="E104" s="4" t="s">
        <v>432</v>
      </c>
      <c r="F104" s="16" t="str">
        <f t="shared" si="1"/>
        <v>(102,'HU','المجر','Hungary','Hongrie'),</v>
      </c>
    </row>
    <row r="105" spans="1:6" ht="20.100000000000001" customHeight="1" x14ac:dyDescent="0.25">
      <c r="A105" s="3">
        <v>103</v>
      </c>
      <c r="B105" s="5" t="s">
        <v>433</v>
      </c>
      <c r="C105" s="4" t="s">
        <v>434</v>
      </c>
      <c r="D105" s="4" t="s">
        <v>435</v>
      </c>
      <c r="E105" s="4" t="s">
        <v>436</v>
      </c>
      <c r="F105" s="16" t="str">
        <f t="shared" si="1"/>
        <v>(103,'IS','آيسلندا','Iceland','Islande'),</v>
      </c>
    </row>
    <row r="106" spans="1:6" ht="20.100000000000001" customHeight="1" x14ac:dyDescent="0.25">
      <c r="A106" s="3">
        <v>104</v>
      </c>
      <c r="B106" s="5" t="s">
        <v>437</v>
      </c>
      <c r="C106" s="4" t="s">
        <v>438</v>
      </c>
      <c r="D106" s="4" t="s">
        <v>439</v>
      </c>
      <c r="E106" s="4" t="s">
        <v>440</v>
      </c>
      <c r="F106" s="16" t="str">
        <f t="shared" si="1"/>
        <v>(104,'IN','الهند','India','Inde'),</v>
      </c>
    </row>
    <row r="107" spans="1:6" ht="20.100000000000001" customHeight="1" x14ac:dyDescent="0.25">
      <c r="A107" s="3">
        <v>105</v>
      </c>
      <c r="B107" s="5" t="s">
        <v>441</v>
      </c>
      <c r="C107" s="4" t="s">
        <v>442</v>
      </c>
      <c r="D107" s="4" t="s">
        <v>443</v>
      </c>
      <c r="E107" s="4" t="s">
        <v>444</v>
      </c>
      <c r="F107" s="16" t="str">
        <f t="shared" si="1"/>
        <v>(105,'ID','إندونيسيا','Indonesia','Indonésie'),</v>
      </c>
    </row>
    <row r="108" spans="1:6" ht="20.100000000000001" customHeight="1" x14ac:dyDescent="0.25">
      <c r="A108" s="3">
        <v>106</v>
      </c>
      <c r="B108" s="5" t="s">
        <v>445</v>
      </c>
      <c r="C108" s="4" t="s">
        <v>446</v>
      </c>
      <c r="D108" s="4" t="s">
        <v>447</v>
      </c>
      <c r="E108" s="4" t="s">
        <v>447</v>
      </c>
      <c r="F108" s="16" t="str">
        <f t="shared" si="1"/>
        <v>(106,'IR','إيران','Iran','Iran'),</v>
      </c>
    </row>
    <row r="109" spans="1:6" ht="20.100000000000001" customHeight="1" x14ac:dyDescent="0.25">
      <c r="A109" s="3">
        <v>107</v>
      </c>
      <c r="B109" s="5" t="s">
        <v>448</v>
      </c>
      <c r="C109" s="4" t="s">
        <v>449</v>
      </c>
      <c r="D109" s="4" t="s">
        <v>450</v>
      </c>
      <c r="E109" s="4" t="s">
        <v>451</v>
      </c>
      <c r="F109" s="16" t="str">
        <f t="shared" si="1"/>
        <v>(107,'IQ','العراق','Iraq','Irak'),</v>
      </c>
    </row>
    <row r="110" spans="1:6" ht="20.100000000000001" customHeight="1" x14ac:dyDescent="0.25">
      <c r="A110" s="3">
        <v>108</v>
      </c>
      <c r="B110" s="5" t="s">
        <v>452</v>
      </c>
      <c r="C110" s="4" t="s">
        <v>453</v>
      </c>
      <c r="D110" s="4" t="s">
        <v>454</v>
      </c>
      <c r="E110" s="4" t="s">
        <v>455</v>
      </c>
      <c r="F110" s="16" t="str">
        <f t="shared" si="1"/>
        <v>(108,'IE','أيرلندا','Ireland','Irlande'),</v>
      </c>
    </row>
    <row r="111" spans="1:6" ht="20.100000000000001" customHeight="1" x14ac:dyDescent="0.25">
      <c r="A111" s="3">
        <v>109</v>
      </c>
      <c r="B111" s="5" t="s">
        <v>456</v>
      </c>
      <c r="C111" s="4" t="s">
        <v>457</v>
      </c>
      <c r="D111" s="4" t="s">
        <v>458</v>
      </c>
      <c r="E111" s="4" t="s">
        <v>459</v>
      </c>
      <c r="F111" s="16" t="str">
        <f t="shared" si="1"/>
        <v>(109,'IM','جزيرة مان','Isle of Man','Île de Man'),</v>
      </c>
    </row>
    <row r="112" spans="1:6" ht="20.100000000000001" customHeight="1" x14ac:dyDescent="0.25">
      <c r="A112" s="3">
        <v>110</v>
      </c>
      <c r="B112" s="5" t="s">
        <v>460</v>
      </c>
      <c r="C112" s="4" t="s">
        <v>461</v>
      </c>
      <c r="D112" s="4" t="s">
        <v>462</v>
      </c>
      <c r="E112" s="4" t="s">
        <v>463</v>
      </c>
      <c r="F112" s="16" t="str">
        <f t="shared" si="1"/>
        <v>(110,'IL','إسرائيل','Israel','Israël'),</v>
      </c>
    </row>
    <row r="113" spans="1:6" ht="20.100000000000001" customHeight="1" x14ac:dyDescent="0.25">
      <c r="A113" s="3">
        <v>111</v>
      </c>
      <c r="B113" s="5" t="s">
        <v>464</v>
      </c>
      <c r="C113" s="4" t="s">
        <v>465</v>
      </c>
      <c r="D113" s="4" t="s">
        <v>466</v>
      </c>
      <c r="E113" s="4" t="s">
        <v>467</v>
      </c>
      <c r="F113" s="16" t="str">
        <f t="shared" si="1"/>
        <v>(111,'IT','إيطاليا','Italy','Italie'),</v>
      </c>
    </row>
    <row r="114" spans="1:6" ht="20.100000000000001" customHeight="1" x14ac:dyDescent="0.25">
      <c r="A114" s="3">
        <v>112</v>
      </c>
      <c r="B114" s="5" t="s">
        <v>468</v>
      </c>
      <c r="C114" s="4" t="s">
        <v>469</v>
      </c>
      <c r="D114" s="4" t="s">
        <v>470</v>
      </c>
      <c r="E114" s="4" t="s">
        <v>471</v>
      </c>
      <c r="F114" s="16" t="str">
        <f t="shared" si="1"/>
        <v>(112,'JM','جامايكا','Jamaica','Jamaïque'),</v>
      </c>
    </row>
    <row r="115" spans="1:6" ht="20.100000000000001" customHeight="1" x14ac:dyDescent="0.25">
      <c r="A115" s="3">
        <v>113</v>
      </c>
      <c r="B115" s="5" t="s">
        <v>472</v>
      </c>
      <c r="C115" s="4" t="s">
        <v>473</v>
      </c>
      <c r="D115" s="4" t="s">
        <v>474</v>
      </c>
      <c r="E115" s="4" t="s">
        <v>475</v>
      </c>
      <c r="F115" s="16" t="str">
        <f t="shared" si="1"/>
        <v>(113,'JP','اليابان','Japan','Japon'),</v>
      </c>
    </row>
    <row r="116" spans="1:6" ht="20.100000000000001" customHeight="1" x14ac:dyDescent="0.25">
      <c r="A116" s="3">
        <v>114</v>
      </c>
      <c r="B116" s="5" t="s">
        <v>476</v>
      </c>
      <c r="C116" s="4" t="s">
        <v>477</v>
      </c>
      <c r="D116" s="4" t="s">
        <v>478</v>
      </c>
      <c r="E116" s="4" t="s">
        <v>478</v>
      </c>
      <c r="F116" s="16" t="str">
        <f t="shared" si="1"/>
        <v>(114,'JE','جيرزي','Jersey','Jersey'),</v>
      </c>
    </row>
    <row r="117" spans="1:6" ht="20.100000000000001" customHeight="1" x14ac:dyDescent="0.25">
      <c r="A117" s="3">
        <v>115</v>
      </c>
      <c r="B117" s="5" t="s">
        <v>479</v>
      </c>
      <c r="C117" s="4" t="s">
        <v>480</v>
      </c>
      <c r="D117" s="4" t="s">
        <v>481</v>
      </c>
      <c r="E117" s="4" t="s">
        <v>482</v>
      </c>
      <c r="F117" s="16" t="str">
        <f t="shared" si="1"/>
        <v>(115,'JO','الأردن','Jordan','Jordanie'),</v>
      </c>
    </row>
    <row r="118" spans="1:6" ht="20.100000000000001" customHeight="1" x14ac:dyDescent="0.25">
      <c r="A118" s="3">
        <v>116</v>
      </c>
      <c r="B118" s="5" t="s">
        <v>483</v>
      </c>
      <c r="C118" s="4" t="s">
        <v>484</v>
      </c>
      <c r="D118" s="4" t="s">
        <v>485</v>
      </c>
      <c r="E118" s="4" t="s">
        <v>485</v>
      </c>
      <c r="F118" s="16" t="str">
        <f t="shared" si="1"/>
        <v>(116,'KZ','كازاخستان','Kazakhstan','Kazakhstan'),</v>
      </c>
    </row>
    <row r="119" spans="1:6" ht="20.100000000000001" customHeight="1" x14ac:dyDescent="0.25">
      <c r="A119" s="3">
        <v>117</v>
      </c>
      <c r="B119" s="5" t="s">
        <v>486</v>
      </c>
      <c r="C119" s="4" t="s">
        <v>487</v>
      </c>
      <c r="D119" s="4" t="s">
        <v>488</v>
      </c>
      <c r="E119" s="4" t="s">
        <v>488</v>
      </c>
      <c r="F119" s="16" t="str">
        <f t="shared" si="1"/>
        <v>(117,'KE','كينيا','Kenya','Kenya'),</v>
      </c>
    </row>
    <row r="120" spans="1:6" ht="20.100000000000001" customHeight="1" x14ac:dyDescent="0.25">
      <c r="A120" s="3">
        <v>118</v>
      </c>
      <c r="B120" s="5" t="s">
        <v>489</v>
      </c>
      <c r="C120" s="4" t="s">
        <v>490</v>
      </c>
      <c r="D120" s="4" t="s">
        <v>491</v>
      </c>
      <c r="E120" s="4" t="s">
        <v>491</v>
      </c>
      <c r="F120" s="16" t="str">
        <f t="shared" si="1"/>
        <v>(118,'KI','كيريباتي','Kiribati','Kiribati'),</v>
      </c>
    </row>
    <row r="121" spans="1:6" ht="20.100000000000001" customHeight="1" x14ac:dyDescent="0.25">
      <c r="A121" s="3">
        <v>119</v>
      </c>
      <c r="B121" s="5" t="s">
        <v>492</v>
      </c>
      <c r="C121" s="4" t="s">
        <v>493</v>
      </c>
      <c r="D121" s="4" t="s">
        <v>494</v>
      </c>
      <c r="E121" s="4" t="s">
        <v>495</v>
      </c>
      <c r="F121" s="16" t="str">
        <f t="shared" si="1"/>
        <v>(119,'KP','كوريا الشمالية','Korea (North)','Corée du Nord'),</v>
      </c>
    </row>
    <row r="122" spans="1:6" ht="20.100000000000001" customHeight="1" x14ac:dyDescent="0.25">
      <c r="A122" s="3">
        <v>120</v>
      </c>
      <c r="B122" s="5" t="s">
        <v>496</v>
      </c>
      <c r="C122" s="4" t="s">
        <v>497</v>
      </c>
      <c r="D122" s="4" t="s">
        <v>498</v>
      </c>
      <c r="E122" s="4" t="s">
        <v>499</v>
      </c>
      <c r="F122" s="16" t="str">
        <f t="shared" si="1"/>
        <v>(120,'KR','كوريا الجنوبية','Korea (South)','Corée du Sud'),</v>
      </c>
    </row>
    <row r="123" spans="1:6" ht="20.100000000000001" customHeight="1" x14ac:dyDescent="0.25">
      <c r="A123" s="3">
        <v>121</v>
      </c>
      <c r="B123" s="5" t="s">
        <v>500</v>
      </c>
      <c r="C123" s="4" t="s">
        <v>501</v>
      </c>
      <c r="D123" s="4" t="s">
        <v>502</v>
      </c>
      <c r="E123" s="4" t="s">
        <v>503</v>
      </c>
      <c r="F123" s="16" t="str">
        <f t="shared" si="1"/>
        <v>(121,'KW','الكويت','Kuwait','Koweït'),</v>
      </c>
    </row>
    <row r="124" spans="1:6" ht="20.100000000000001" customHeight="1" x14ac:dyDescent="0.25">
      <c r="A124" s="3">
        <v>122</v>
      </c>
      <c r="B124" s="5" t="s">
        <v>504</v>
      </c>
      <c r="C124" s="4" t="s">
        <v>505</v>
      </c>
      <c r="D124" s="4" t="s">
        <v>506</v>
      </c>
      <c r="E124" s="4" t="s">
        <v>507</v>
      </c>
      <c r="F124" s="16" t="str">
        <f t="shared" si="1"/>
        <v>(122,'KG','قيرغيزستان','Kyrgyzstan','Kirghizistan'),</v>
      </c>
    </row>
    <row r="125" spans="1:6" ht="20.100000000000001" customHeight="1" x14ac:dyDescent="0.25">
      <c r="A125" s="3">
        <v>123</v>
      </c>
      <c r="B125" s="5" t="s">
        <v>508</v>
      </c>
      <c r="C125" s="4" t="s">
        <v>509</v>
      </c>
      <c r="D125" s="4" t="s">
        <v>510</v>
      </c>
      <c r="E125" s="4" t="s">
        <v>510</v>
      </c>
      <c r="F125" s="16" t="str">
        <f t="shared" si="1"/>
        <v>(123,'LA','لاوس','Laos','Laos'),</v>
      </c>
    </row>
    <row r="126" spans="1:6" ht="20.100000000000001" customHeight="1" x14ac:dyDescent="0.25">
      <c r="A126" s="3">
        <v>124</v>
      </c>
      <c r="B126" s="5" t="s">
        <v>511</v>
      </c>
      <c r="C126" s="4" t="s">
        <v>512</v>
      </c>
      <c r="D126" s="4" t="s">
        <v>513</v>
      </c>
      <c r="E126" s="4" t="s">
        <v>514</v>
      </c>
      <c r="F126" s="16" t="str">
        <f t="shared" si="1"/>
        <v>(124,'LV','لاتفيا','Latvia','Lettonie'),</v>
      </c>
    </row>
    <row r="127" spans="1:6" ht="20.100000000000001" customHeight="1" x14ac:dyDescent="0.25">
      <c r="A127" s="3">
        <v>125</v>
      </c>
      <c r="B127" s="5" t="s">
        <v>515</v>
      </c>
      <c r="C127" s="4" t="s">
        <v>516</v>
      </c>
      <c r="D127" s="4" t="s">
        <v>517</v>
      </c>
      <c r="E127" s="4" t="s">
        <v>518</v>
      </c>
      <c r="F127" s="16" t="str">
        <f t="shared" si="1"/>
        <v>(125,'LB','لبنان','Lebanon','Liban'),</v>
      </c>
    </row>
    <row r="128" spans="1:6" ht="20.100000000000001" customHeight="1" x14ac:dyDescent="0.25">
      <c r="A128" s="3">
        <v>126</v>
      </c>
      <c r="B128" s="5" t="s">
        <v>519</v>
      </c>
      <c r="C128" s="4" t="s">
        <v>520</v>
      </c>
      <c r="D128" s="4" t="s">
        <v>521</v>
      </c>
      <c r="E128" s="4" t="s">
        <v>521</v>
      </c>
      <c r="F128" s="16" t="str">
        <f t="shared" si="1"/>
        <v>(126,'LS','ليسوتو','Lesotho','Lesotho'),</v>
      </c>
    </row>
    <row r="129" spans="1:6" ht="20.100000000000001" customHeight="1" x14ac:dyDescent="0.25">
      <c r="A129" s="3">
        <v>127</v>
      </c>
      <c r="B129" s="5" t="s">
        <v>522</v>
      </c>
      <c r="C129" s="4" t="s">
        <v>523</v>
      </c>
      <c r="D129" s="4" t="s">
        <v>524</v>
      </c>
      <c r="E129" s="4" t="s">
        <v>525</v>
      </c>
      <c r="F129" s="16" t="str">
        <f t="shared" si="1"/>
        <v>(127,'LR','ليبيريا','Liberia','Libéria'),</v>
      </c>
    </row>
    <row r="130" spans="1:6" ht="20.100000000000001" customHeight="1" x14ac:dyDescent="0.25">
      <c r="A130" s="3">
        <v>128</v>
      </c>
      <c r="B130" s="5" t="s">
        <v>526</v>
      </c>
      <c r="C130" s="4" t="s">
        <v>527</v>
      </c>
      <c r="D130" s="4" t="s">
        <v>528</v>
      </c>
      <c r="E130" s="4" t="s">
        <v>529</v>
      </c>
      <c r="F130" s="16" t="str">
        <f t="shared" si="1"/>
        <v>(128,'LY','ليبيا','Libya','Libye'),</v>
      </c>
    </row>
    <row r="131" spans="1:6" ht="20.100000000000001" customHeight="1" x14ac:dyDescent="0.25">
      <c r="A131" s="3">
        <v>129</v>
      </c>
      <c r="B131" s="5" t="s">
        <v>530</v>
      </c>
      <c r="C131" s="4" t="s">
        <v>531</v>
      </c>
      <c r="D131" s="4" t="s">
        <v>532</v>
      </c>
      <c r="E131" s="4" t="s">
        <v>532</v>
      </c>
      <c r="F131" s="16" t="str">
        <f t="shared" si="1"/>
        <v>(129,'LI','ليختنشتاين','Liechtenstein','Liechtenstein'),</v>
      </c>
    </row>
    <row r="132" spans="1:6" ht="20.100000000000001" customHeight="1" x14ac:dyDescent="0.25">
      <c r="A132" s="3">
        <v>130</v>
      </c>
      <c r="B132" s="5" t="s">
        <v>533</v>
      </c>
      <c r="C132" s="4" t="s">
        <v>534</v>
      </c>
      <c r="D132" s="4" t="s">
        <v>535</v>
      </c>
      <c r="E132" s="4" t="s">
        <v>536</v>
      </c>
      <c r="F132" s="16" t="str">
        <f t="shared" ref="F132:F195" si="2">CONCATENATE("(",A132,",'",B132,"','",C132,"','",D132,"','",E132,"'),")</f>
        <v>(130,'LT','ليتوانيا','Lithuania','Lituanie'),</v>
      </c>
    </row>
    <row r="133" spans="1:6" ht="20.100000000000001" customHeight="1" x14ac:dyDescent="0.25">
      <c r="A133" s="3">
        <v>131</v>
      </c>
      <c r="B133" s="5" t="s">
        <v>537</v>
      </c>
      <c r="C133" s="4" t="s">
        <v>538</v>
      </c>
      <c r="D133" s="4" t="s">
        <v>539</v>
      </c>
      <c r="E133" s="4" t="s">
        <v>539</v>
      </c>
      <c r="F133" s="16" t="str">
        <f t="shared" si="2"/>
        <v>(131,'LU','لوكسمبورغ','Luxembourg','Luxembourg'),</v>
      </c>
    </row>
    <row r="134" spans="1:6" ht="20.100000000000001" customHeight="1" x14ac:dyDescent="0.25">
      <c r="A134" s="3">
        <v>132</v>
      </c>
      <c r="B134" s="5" t="s">
        <v>540</v>
      </c>
      <c r="C134" s="4" t="s">
        <v>541</v>
      </c>
      <c r="D134" s="4" t="s">
        <v>542</v>
      </c>
      <c r="E134" s="4" t="s">
        <v>542</v>
      </c>
      <c r="F134" s="16" t="str">
        <f t="shared" si="2"/>
        <v>(132,'MO','ماكاو','Macao','Macao'),</v>
      </c>
    </row>
    <row r="135" spans="1:6" ht="20.100000000000001" customHeight="1" x14ac:dyDescent="0.25">
      <c r="A135" s="3">
        <v>133</v>
      </c>
      <c r="B135" s="5" t="s">
        <v>543</v>
      </c>
      <c r="C135" s="4" t="s">
        <v>544</v>
      </c>
      <c r="D135" s="4" t="s">
        <v>545</v>
      </c>
      <c r="E135" s="4" t="s">
        <v>545</v>
      </c>
      <c r="F135" s="16" t="str">
        <f t="shared" si="2"/>
        <v>(133,'MG','مدغشقر','Madagascar','Madagascar'),</v>
      </c>
    </row>
    <row r="136" spans="1:6" ht="20.100000000000001" customHeight="1" x14ac:dyDescent="0.25">
      <c r="A136" s="3">
        <v>134</v>
      </c>
      <c r="B136" s="5" t="s">
        <v>546</v>
      </c>
      <c r="C136" s="4" t="s">
        <v>547</v>
      </c>
      <c r="D136" s="4" t="s">
        <v>548</v>
      </c>
      <c r="E136" s="4" t="s">
        <v>548</v>
      </c>
      <c r="F136" s="16" t="str">
        <f t="shared" si="2"/>
        <v>(134,'MW','مالاوي','Malawi','Malawi'),</v>
      </c>
    </row>
    <row r="137" spans="1:6" ht="20.100000000000001" customHeight="1" x14ac:dyDescent="0.25">
      <c r="A137" s="3">
        <v>135</v>
      </c>
      <c r="B137" s="5" t="s">
        <v>549</v>
      </c>
      <c r="C137" s="4" t="s">
        <v>550</v>
      </c>
      <c r="D137" s="4" t="s">
        <v>551</v>
      </c>
      <c r="E137" s="4" t="s">
        <v>552</v>
      </c>
      <c r="F137" s="16" t="str">
        <f t="shared" si="2"/>
        <v>(135,'MY','ماليزيا','Malaysia','Malaisie'),</v>
      </c>
    </row>
    <row r="138" spans="1:6" ht="20.100000000000001" customHeight="1" x14ac:dyDescent="0.25">
      <c r="A138" s="3">
        <v>136</v>
      </c>
      <c r="B138" s="5" t="s">
        <v>553</v>
      </c>
      <c r="C138" s="4" t="s">
        <v>554</v>
      </c>
      <c r="D138" s="4" t="s">
        <v>555</v>
      </c>
      <c r="E138" s="4" t="s">
        <v>555</v>
      </c>
      <c r="F138" s="16" t="str">
        <f t="shared" si="2"/>
        <v>(136,'MV','جزر المالديف','Maldives','Maldives'),</v>
      </c>
    </row>
    <row r="139" spans="1:6" ht="20.100000000000001" customHeight="1" x14ac:dyDescent="0.25">
      <c r="A139" s="3">
        <v>137</v>
      </c>
      <c r="B139" s="5" t="s">
        <v>556</v>
      </c>
      <c r="C139" s="4" t="s">
        <v>557</v>
      </c>
      <c r="D139" s="4" t="s">
        <v>558</v>
      </c>
      <c r="E139" s="4" t="s">
        <v>558</v>
      </c>
      <c r="F139" s="16" t="str">
        <f t="shared" si="2"/>
        <v>(137,'ML','مالي','Mali','Mali'),</v>
      </c>
    </row>
    <row r="140" spans="1:6" ht="20.100000000000001" customHeight="1" x14ac:dyDescent="0.25">
      <c r="A140" s="3">
        <v>138</v>
      </c>
      <c r="B140" s="5" t="s">
        <v>559</v>
      </c>
      <c r="C140" s="4" t="s">
        <v>560</v>
      </c>
      <c r="D140" s="4" t="s">
        <v>561</v>
      </c>
      <c r="E140" s="4" t="s">
        <v>562</v>
      </c>
      <c r="F140" s="16" t="str">
        <f t="shared" si="2"/>
        <v>(138,'MT','مالطا','Malta','Malte'),</v>
      </c>
    </row>
    <row r="141" spans="1:6" ht="20.100000000000001" customHeight="1" x14ac:dyDescent="0.25">
      <c r="A141" s="3">
        <v>139</v>
      </c>
      <c r="B141" s="5" t="s">
        <v>563</v>
      </c>
      <c r="C141" s="4" t="s">
        <v>564</v>
      </c>
      <c r="D141" s="4" t="s">
        <v>565</v>
      </c>
      <c r="E141" s="4" t="s">
        <v>566</v>
      </c>
      <c r="F141" s="16" t="str">
        <f t="shared" si="2"/>
        <v>(139,'MH','جزر مارشال','Marshall Islands','Îles Marshall'),</v>
      </c>
    </row>
    <row r="142" spans="1:6" ht="20.100000000000001" customHeight="1" x14ac:dyDescent="0.25">
      <c r="A142" s="3">
        <v>140</v>
      </c>
      <c r="B142" s="5" t="s">
        <v>567</v>
      </c>
      <c r="C142" s="4" t="s">
        <v>568</v>
      </c>
      <c r="D142" s="4" t="s">
        <v>569</v>
      </c>
      <c r="E142" s="4" t="s">
        <v>569</v>
      </c>
      <c r="F142" s="16" t="str">
        <f t="shared" si="2"/>
        <v>(140,'MQ','مارتينيك','Martinique','Martinique'),</v>
      </c>
    </row>
    <row r="143" spans="1:6" ht="20.100000000000001" customHeight="1" x14ac:dyDescent="0.25">
      <c r="A143" s="3">
        <v>141</v>
      </c>
      <c r="B143" s="5" t="s">
        <v>570</v>
      </c>
      <c r="C143" s="4" t="s">
        <v>571</v>
      </c>
      <c r="D143" s="4" t="s">
        <v>572</v>
      </c>
      <c r="E143" s="4" t="s">
        <v>573</v>
      </c>
      <c r="F143" s="16" t="str">
        <f t="shared" si="2"/>
        <v>(141,'MR','موريتانيا','Mauritania','Mauritanie'),</v>
      </c>
    </row>
    <row r="144" spans="1:6" ht="20.100000000000001" customHeight="1" x14ac:dyDescent="0.25">
      <c r="A144" s="3">
        <v>142</v>
      </c>
      <c r="B144" s="5" t="s">
        <v>574</v>
      </c>
      <c r="C144" s="4" t="s">
        <v>575</v>
      </c>
      <c r="D144" s="4" t="s">
        <v>576</v>
      </c>
      <c r="E144" s="4" t="s">
        <v>577</v>
      </c>
      <c r="F144" s="16" t="str">
        <f t="shared" si="2"/>
        <v>(142,'MU','موريشيوس','Mauritius','Maurice'),</v>
      </c>
    </row>
    <row r="145" spans="1:6" ht="20.100000000000001" customHeight="1" x14ac:dyDescent="0.25">
      <c r="A145" s="3">
        <v>143</v>
      </c>
      <c r="B145" s="5" t="s">
        <v>578</v>
      </c>
      <c r="C145" s="4" t="s">
        <v>579</v>
      </c>
      <c r="D145" s="4" t="s">
        <v>580</v>
      </c>
      <c r="E145" s="4" t="s">
        <v>580</v>
      </c>
      <c r="F145" s="16" t="str">
        <f t="shared" si="2"/>
        <v>(143,'YT','مايوت','Mayotte','Mayotte'),</v>
      </c>
    </row>
    <row r="146" spans="1:6" ht="20.100000000000001" customHeight="1" x14ac:dyDescent="0.25">
      <c r="A146" s="3">
        <v>144</v>
      </c>
      <c r="B146" s="5" t="s">
        <v>581</v>
      </c>
      <c r="C146" s="4" t="s">
        <v>582</v>
      </c>
      <c r="D146" s="4" t="s">
        <v>583</v>
      </c>
      <c r="E146" s="4" t="s">
        <v>584</v>
      </c>
      <c r="F146" s="16" t="str">
        <f t="shared" si="2"/>
        <v>(144,'MX','المكسيك','Mexico','Mexique'),</v>
      </c>
    </row>
    <row r="147" spans="1:6" ht="20.100000000000001" customHeight="1" x14ac:dyDescent="0.25">
      <c r="A147" s="3">
        <v>145</v>
      </c>
      <c r="B147" s="5" t="s">
        <v>585</v>
      </c>
      <c r="C147" s="4" t="s">
        <v>586</v>
      </c>
      <c r="D147" s="4" t="s">
        <v>587</v>
      </c>
      <c r="E147" s="4" t="s">
        <v>588</v>
      </c>
      <c r="F147" s="16" t="str">
        <f t="shared" si="2"/>
        <v>(145,'FM','ميكرونيزيا','Micronesia','Micronésie'),</v>
      </c>
    </row>
    <row r="148" spans="1:6" ht="20.100000000000001" customHeight="1" x14ac:dyDescent="0.25">
      <c r="A148" s="3">
        <v>146</v>
      </c>
      <c r="B148" s="5" t="s">
        <v>589</v>
      </c>
      <c r="C148" s="4" t="s">
        <v>590</v>
      </c>
      <c r="D148" s="4" t="s">
        <v>591</v>
      </c>
      <c r="E148" s="4" t="s">
        <v>592</v>
      </c>
      <c r="F148" s="16" t="str">
        <f t="shared" si="2"/>
        <v>(146,'MD','مولدوفا','Moldova','Moldavie'),</v>
      </c>
    </row>
    <row r="149" spans="1:6" ht="20.100000000000001" customHeight="1" x14ac:dyDescent="0.25">
      <c r="A149" s="3">
        <v>147</v>
      </c>
      <c r="B149" s="5" t="s">
        <v>593</v>
      </c>
      <c r="C149" s="4" t="s">
        <v>594</v>
      </c>
      <c r="D149" s="4" t="s">
        <v>595</v>
      </c>
      <c r="E149" s="4" t="s">
        <v>595</v>
      </c>
      <c r="F149" s="16" t="str">
        <f t="shared" si="2"/>
        <v>(147,'MC','موناكو','Monaco','Monaco'),</v>
      </c>
    </row>
    <row r="150" spans="1:6" ht="20.100000000000001" customHeight="1" x14ac:dyDescent="0.25">
      <c r="A150" s="3">
        <v>148</v>
      </c>
      <c r="B150" s="5" t="s">
        <v>596</v>
      </c>
      <c r="C150" s="4" t="s">
        <v>597</v>
      </c>
      <c r="D150" s="4" t="s">
        <v>598</v>
      </c>
      <c r="E150" s="4" t="s">
        <v>599</v>
      </c>
      <c r="F150" s="16" t="str">
        <f t="shared" si="2"/>
        <v>(148,'MN','منغوليا','Mongolia','Mongolie'),</v>
      </c>
    </row>
    <row r="151" spans="1:6" ht="20.100000000000001" customHeight="1" x14ac:dyDescent="0.25">
      <c r="A151" s="3">
        <v>149</v>
      </c>
      <c r="B151" s="5" t="s">
        <v>600</v>
      </c>
      <c r="C151" s="4" t="s">
        <v>601</v>
      </c>
      <c r="D151" s="4" t="s">
        <v>602</v>
      </c>
      <c r="E151" s="4" t="s">
        <v>603</v>
      </c>
      <c r="F151" s="16" t="str">
        <f t="shared" si="2"/>
        <v>(149,'ME','الجبل الأسود','Montenegro','Monténégro'),</v>
      </c>
    </row>
    <row r="152" spans="1:6" ht="20.100000000000001" customHeight="1" x14ac:dyDescent="0.25">
      <c r="A152" s="3">
        <v>150</v>
      </c>
      <c r="B152" s="5" t="s">
        <v>604</v>
      </c>
      <c r="C152" s="4" t="s">
        <v>605</v>
      </c>
      <c r="D152" s="4" t="s">
        <v>606</v>
      </c>
      <c r="E152" s="4" t="s">
        <v>606</v>
      </c>
      <c r="F152" s="16" t="str">
        <f t="shared" si="2"/>
        <v>(150,'MS','مونتسرات','Montserrat','Montserrat'),</v>
      </c>
    </row>
    <row r="153" spans="1:6" ht="20.100000000000001" customHeight="1" x14ac:dyDescent="0.25">
      <c r="A153" s="3">
        <v>151</v>
      </c>
      <c r="B153" s="5" t="s">
        <v>607</v>
      </c>
      <c r="C153" s="4" t="s">
        <v>608</v>
      </c>
      <c r="D153" s="4" t="s">
        <v>609</v>
      </c>
      <c r="E153" s="4" t="s">
        <v>610</v>
      </c>
      <c r="F153" s="16" t="str">
        <f t="shared" si="2"/>
        <v>(151,'MA','المغرب','Morocco','Maroc'),</v>
      </c>
    </row>
    <row r="154" spans="1:6" ht="20.100000000000001" customHeight="1" x14ac:dyDescent="0.25">
      <c r="A154" s="3">
        <v>152</v>
      </c>
      <c r="B154" s="5" t="s">
        <v>611</v>
      </c>
      <c r="C154" s="4" t="s">
        <v>612</v>
      </c>
      <c r="D154" s="4" t="s">
        <v>613</v>
      </c>
      <c r="E154" s="4" t="s">
        <v>613</v>
      </c>
      <c r="F154" s="16" t="str">
        <f t="shared" si="2"/>
        <v>(152,'MZ','موزمبيق','Mozambique','Mozambique'),</v>
      </c>
    </row>
    <row r="155" spans="1:6" ht="20.100000000000001" customHeight="1" x14ac:dyDescent="0.25">
      <c r="A155" s="3">
        <v>153</v>
      </c>
      <c r="B155" s="5" t="s">
        <v>614</v>
      </c>
      <c r="C155" s="4" t="s">
        <v>615</v>
      </c>
      <c r="D155" s="4" t="s">
        <v>616</v>
      </c>
      <c r="E155" s="4" t="s">
        <v>616</v>
      </c>
      <c r="F155" s="16" t="str">
        <f t="shared" si="2"/>
        <v>(153,'MM','ميانمار','Myanmar','Myanmar'),</v>
      </c>
    </row>
    <row r="156" spans="1:6" ht="20.100000000000001" customHeight="1" x14ac:dyDescent="0.25">
      <c r="A156" s="3">
        <v>154</v>
      </c>
      <c r="B156" s="5" t="s">
        <v>617</v>
      </c>
      <c r="C156" s="4" t="s">
        <v>618</v>
      </c>
      <c r="D156" s="4" t="s">
        <v>619</v>
      </c>
      <c r="E156" s="4" t="s">
        <v>620</v>
      </c>
      <c r="F156" s="16" t="str">
        <f t="shared" si="2"/>
        <v>(154,'NA','ناميبيا','Namibia','Namibie'),</v>
      </c>
    </row>
    <row r="157" spans="1:6" ht="20.100000000000001" customHeight="1" x14ac:dyDescent="0.25">
      <c r="A157" s="3">
        <v>155</v>
      </c>
      <c r="B157" s="5" t="s">
        <v>621</v>
      </c>
      <c r="C157" s="4" t="s">
        <v>622</v>
      </c>
      <c r="D157" s="4" t="s">
        <v>623</v>
      </c>
      <c r="E157" s="4" t="s">
        <v>623</v>
      </c>
      <c r="F157" s="16" t="str">
        <f t="shared" si="2"/>
        <v>(155,'NR','ناورو','Nauru','Nauru'),</v>
      </c>
    </row>
    <row r="158" spans="1:6" ht="20.100000000000001" customHeight="1" x14ac:dyDescent="0.25">
      <c r="A158" s="3">
        <v>156</v>
      </c>
      <c r="B158" s="5" t="s">
        <v>624</v>
      </c>
      <c r="C158" s="4" t="s">
        <v>625</v>
      </c>
      <c r="D158" s="4" t="s">
        <v>626</v>
      </c>
      <c r="E158" s="4" t="s">
        <v>627</v>
      </c>
      <c r="F158" s="16" t="str">
        <f t="shared" si="2"/>
        <v>(156,'NP','نيبال','Nepal','Népal'),</v>
      </c>
    </row>
    <row r="159" spans="1:6" ht="20.100000000000001" customHeight="1" x14ac:dyDescent="0.25">
      <c r="A159" s="3">
        <v>157</v>
      </c>
      <c r="B159" s="5" t="s">
        <v>628</v>
      </c>
      <c r="C159" s="4" t="s">
        <v>629</v>
      </c>
      <c r="D159" s="4" t="s">
        <v>630</v>
      </c>
      <c r="E159" s="4" t="s">
        <v>631</v>
      </c>
      <c r="F159" s="16" t="str">
        <f t="shared" si="2"/>
        <v>(157,'NL','هولندا','Netherlands','Pays-Bas'),</v>
      </c>
    </row>
    <row r="160" spans="1:6" ht="20.100000000000001" customHeight="1" x14ac:dyDescent="0.25">
      <c r="A160" s="3">
        <v>158</v>
      </c>
      <c r="B160" s="5" t="s">
        <v>632</v>
      </c>
      <c r="C160" s="4" t="s">
        <v>633</v>
      </c>
      <c r="D160" s="4" t="s">
        <v>634</v>
      </c>
      <c r="E160" s="4" t="s">
        <v>635</v>
      </c>
      <c r="F160" s="16" t="str">
        <f t="shared" si="2"/>
        <v>(158,'NC','كاليدونيا الجديدة','New Caledonia','Nouvelle-Calédonie'),</v>
      </c>
    </row>
    <row r="161" spans="1:6" ht="20.100000000000001" customHeight="1" x14ac:dyDescent="0.25">
      <c r="A161" s="3">
        <v>159</v>
      </c>
      <c r="B161" s="5" t="s">
        <v>636</v>
      </c>
      <c r="C161" s="4" t="s">
        <v>637</v>
      </c>
      <c r="D161" s="4" t="s">
        <v>638</v>
      </c>
      <c r="E161" s="4" t="s">
        <v>639</v>
      </c>
      <c r="F161" s="16" t="str">
        <f t="shared" si="2"/>
        <v>(159,'NZ','نيوزيلندا','New Zealand','Nouvelle-Zélande'),</v>
      </c>
    </row>
    <row r="162" spans="1:6" ht="20.100000000000001" customHeight="1" x14ac:dyDescent="0.25">
      <c r="A162" s="3">
        <v>160</v>
      </c>
      <c r="B162" s="5" t="s">
        <v>640</v>
      </c>
      <c r="C162" s="4" t="s">
        <v>641</v>
      </c>
      <c r="D162" s="4" t="s">
        <v>642</v>
      </c>
      <c r="E162" s="4" t="s">
        <v>642</v>
      </c>
      <c r="F162" s="16" t="str">
        <f t="shared" si="2"/>
        <v>(160,'NI','نيكاراغوا','Nicaragua','Nicaragua'),</v>
      </c>
    </row>
    <row r="163" spans="1:6" ht="20.100000000000001" customHeight="1" x14ac:dyDescent="0.25">
      <c r="A163" s="3">
        <v>161</v>
      </c>
      <c r="B163" s="5" t="s">
        <v>643</v>
      </c>
      <c r="C163" s="4" t="s">
        <v>644</v>
      </c>
      <c r="D163" s="4" t="s">
        <v>645</v>
      </c>
      <c r="E163" s="4" t="s">
        <v>645</v>
      </c>
      <c r="F163" s="16" t="str">
        <f t="shared" si="2"/>
        <v>(161,'NE','النيجر','Niger','Niger'),</v>
      </c>
    </row>
    <row r="164" spans="1:6" ht="20.100000000000001" customHeight="1" x14ac:dyDescent="0.25">
      <c r="A164" s="3">
        <v>162</v>
      </c>
      <c r="B164" s="5" t="s">
        <v>646</v>
      </c>
      <c r="C164" s="4" t="s">
        <v>647</v>
      </c>
      <c r="D164" s="4" t="s">
        <v>648</v>
      </c>
      <c r="E164" s="4" t="s">
        <v>649</v>
      </c>
      <c r="F164" s="16" t="str">
        <f t="shared" si="2"/>
        <v>(162,'NG','نيجيريا','Nigeria','Nigéria'),</v>
      </c>
    </row>
    <row r="165" spans="1:6" ht="20.100000000000001" customHeight="1" x14ac:dyDescent="0.25">
      <c r="A165" s="3">
        <v>163</v>
      </c>
      <c r="B165" s="5" t="s">
        <v>650</v>
      </c>
      <c r="C165" s="4" t="s">
        <v>651</v>
      </c>
      <c r="D165" s="4" t="s">
        <v>652</v>
      </c>
      <c r="E165" s="4" t="s">
        <v>652</v>
      </c>
      <c r="F165" s="16" t="str">
        <f t="shared" si="2"/>
        <v>(163,'NU','نيوي','Niue','Niue'),</v>
      </c>
    </row>
    <row r="166" spans="1:6" ht="20.100000000000001" customHeight="1" x14ac:dyDescent="0.25">
      <c r="A166" s="3">
        <v>164</v>
      </c>
      <c r="B166" s="5" t="s">
        <v>653</v>
      </c>
      <c r="C166" s="4" t="s">
        <v>654</v>
      </c>
      <c r="D166" s="4" t="s">
        <v>655</v>
      </c>
      <c r="E166" s="4" t="s">
        <v>656</v>
      </c>
      <c r="F166" s="16" t="str">
        <f t="shared" si="2"/>
        <v>(164,'NF','جزيرة نورفولك','Norfolk Island','Île Norfolk'),</v>
      </c>
    </row>
    <row r="167" spans="1:6" ht="20.100000000000001" customHeight="1" x14ac:dyDescent="0.25">
      <c r="A167" s="3">
        <v>165</v>
      </c>
      <c r="B167" s="5" t="s">
        <v>657</v>
      </c>
      <c r="C167" s="4" t="s">
        <v>658</v>
      </c>
      <c r="D167" s="4" t="s">
        <v>659</v>
      </c>
      <c r="E167" s="4" t="s">
        <v>660</v>
      </c>
      <c r="F167" s="16" t="str">
        <f t="shared" si="2"/>
        <v>(165,'MK','مقدونيا الشمالية','North Macedonia','Macédoine du Nord'),</v>
      </c>
    </row>
    <row r="168" spans="1:6" ht="20.100000000000001" customHeight="1" x14ac:dyDescent="0.25">
      <c r="A168" s="3">
        <v>166</v>
      </c>
      <c r="B168" s="5" t="s">
        <v>661</v>
      </c>
      <c r="C168" s="4" t="s">
        <v>662</v>
      </c>
      <c r="D168" s="4" t="s">
        <v>663</v>
      </c>
      <c r="E168" s="4" t="s">
        <v>664</v>
      </c>
      <c r="F168" s="16" t="str">
        <f t="shared" si="2"/>
        <v>(166,'MP','جزر ماريانا الشمالية','Northern Mariana Islands','Îles Mariannes du Nord'),</v>
      </c>
    </row>
    <row r="169" spans="1:6" ht="20.100000000000001" customHeight="1" x14ac:dyDescent="0.25">
      <c r="A169" s="3">
        <v>167</v>
      </c>
      <c r="B169" s="5" t="s">
        <v>665</v>
      </c>
      <c r="C169" s="4" t="s">
        <v>666</v>
      </c>
      <c r="D169" s="4" t="s">
        <v>667</v>
      </c>
      <c r="E169" s="4" t="s">
        <v>668</v>
      </c>
      <c r="F169" s="16" t="str">
        <f t="shared" si="2"/>
        <v>(167,'NO','النرويج','Norway','Norvège'),</v>
      </c>
    </row>
    <row r="170" spans="1:6" ht="20.100000000000001" customHeight="1" x14ac:dyDescent="0.25">
      <c r="A170" s="3">
        <v>168</v>
      </c>
      <c r="B170" s="5" t="s">
        <v>669</v>
      </c>
      <c r="C170" s="4" t="s">
        <v>670</v>
      </c>
      <c r="D170" s="4" t="s">
        <v>671</v>
      </c>
      <c r="E170" s="4" t="s">
        <v>671</v>
      </c>
      <c r="F170" s="16" t="str">
        <f t="shared" si="2"/>
        <v>(168,'OM','عمان','Oman','Oman'),</v>
      </c>
    </row>
    <row r="171" spans="1:6" ht="20.100000000000001" customHeight="1" x14ac:dyDescent="0.25">
      <c r="A171" s="3">
        <v>169</v>
      </c>
      <c r="B171" s="5" t="s">
        <v>672</v>
      </c>
      <c r="C171" s="4" t="s">
        <v>673</v>
      </c>
      <c r="D171" s="4" t="s">
        <v>674</v>
      </c>
      <c r="E171" s="4" t="s">
        <v>674</v>
      </c>
      <c r="F171" s="16" t="str">
        <f t="shared" si="2"/>
        <v>(169,'PK','باكستان','Pakistan','Pakistan'),</v>
      </c>
    </row>
    <row r="172" spans="1:6" ht="20.100000000000001" customHeight="1" x14ac:dyDescent="0.25">
      <c r="A172" s="3">
        <v>170</v>
      </c>
      <c r="B172" s="5" t="s">
        <v>675</v>
      </c>
      <c r="C172" s="4" t="s">
        <v>676</v>
      </c>
      <c r="D172" s="4" t="s">
        <v>677</v>
      </c>
      <c r="E172" s="4" t="s">
        <v>678</v>
      </c>
      <c r="F172" s="16" t="str">
        <f t="shared" si="2"/>
        <v>(170,'PW','بالاو','Palau','Palaos'),</v>
      </c>
    </row>
    <row r="173" spans="1:6" ht="20.100000000000001" customHeight="1" x14ac:dyDescent="0.25">
      <c r="A173" s="3">
        <v>171</v>
      </c>
      <c r="B173" s="5" t="s">
        <v>679</v>
      </c>
      <c r="C173" s="4" t="s">
        <v>680</v>
      </c>
      <c r="D173" s="4" t="s">
        <v>681</v>
      </c>
      <c r="E173" s="4" t="s">
        <v>681</v>
      </c>
      <c r="F173" s="16" t="str">
        <f t="shared" si="2"/>
        <v>(171,'PS','فلسطين','Palestine','Palestine'),</v>
      </c>
    </row>
    <row r="174" spans="1:6" ht="20.100000000000001" customHeight="1" x14ac:dyDescent="0.25">
      <c r="A174" s="3">
        <v>172</v>
      </c>
      <c r="B174" s="5" t="s">
        <v>682</v>
      </c>
      <c r="C174" s="4" t="s">
        <v>683</v>
      </c>
      <c r="D174" s="4" t="s">
        <v>684</v>
      </c>
      <c r="E174" s="4" t="s">
        <v>684</v>
      </c>
      <c r="F174" s="16" t="str">
        <f t="shared" si="2"/>
        <v>(172,'PA','بنما','Panama','Panama'),</v>
      </c>
    </row>
    <row r="175" spans="1:6" ht="20.100000000000001" customHeight="1" x14ac:dyDescent="0.25">
      <c r="A175" s="3">
        <v>173</v>
      </c>
      <c r="B175" s="5" t="s">
        <v>685</v>
      </c>
      <c r="C175" s="4" t="s">
        <v>686</v>
      </c>
      <c r="D175" s="4" t="s">
        <v>687</v>
      </c>
      <c r="E175" s="4" t="s">
        <v>688</v>
      </c>
      <c r="F175" s="16" t="str">
        <f t="shared" si="2"/>
        <v>(173,'PG','بابوا غينيا الجديدة','Papua New Guinea','Papouasie-Nouvelle-Guinée'),</v>
      </c>
    </row>
    <row r="176" spans="1:6" ht="20.100000000000001" customHeight="1" x14ac:dyDescent="0.25">
      <c r="A176" s="3">
        <v>174</v>
      </c>
      <c r="B176" s="5" t="s">
        <v>689</v>
      </c>
      <c r="C176" s="4" t="s">
        <v>690</v>
      </c>
      <c r="D176" s="4" t="s">
        <v>691</v>
      </c>
      <c r="E176" s="4" t="s">
        <v>691</v>
      </c>
      <c r="F176" s="16" t="str">
        <f t="shared" si="2"/>
        <v>(174,'PY','باراغواي','Paraguay','Paraguay'),</v>
      </c>
    </row>
    <row r="177" spans="1:6" ht="20.100000000000001" customHeight="1" x14ac:dyDescent="0.25">
      <c r="A177" s="3">
        <v>175</v>
      </c>
      <c r="B177" s="5" t="s">
        <v>692</v>
      </c>
      <c r="C177" s="4" t="s">
        <v>693</v>
      </c>
      <c r="D177" s="4" t="s">
        <v>694</v>
      </c>
      <c r="E177" s="4" t="s">
        <v>695</v>
      </c>
      <c r="F177" s="16" t="str">
        <f t="shared" si="2"/>
        <v>(175,'PE','بيرو','Peru','Pérou'),</v>
      </c>
    </row>
    <row r="178" spans="1:6" ht="20.100000000000001" customHeight="1" x14ac:dyDescent="0.25">
      <c r="A178" s="3">
        <v>176</v>
      </c>
      <c r="B178" s="5" t="s">
        <v>696</v>
      </c>
      <c r="C178" s="4" t="s">
        <v>697</v>
      </c>
      <c r="D178" s="4" t="s">
        <v>698</v>
      </c>
      <c r="E178" s="4" t="s">
        <v>698</v>
      </c>
      <c r="F178" s="16" t="str">
        <f t="shared" si="2"/>
        <v>(176,'PH','الفلبين','Philippines','Philippines'),</v>
      </c>
    </row>
    <row r="179" spans="1:6" ht="20.100000000000001" customHeight="1" x14ac:dyDescent="0.25">
      <c r="A179" s="3">
        <v>177</v>
      </c>
      <c r="B179" s="5" t="s">
        <v>699</v>
      </c>
      <c r="C179" s="4" t="s">
        <v>700</v>
      </c>
      <c r="D179" s="4" t="s">
        <v>701</v>
      </c>
      <c r="E179" s="4" t="s">
        <v>701</v>
      </c>
      <c r="F179" s="16" t="str">
        <f t="shared" si="2"/>
        <v>(177,'PN','جزر بيتكيرن','Pitcairn','Pitcairn'),</v>
      </c>
    </row>
    <row r="180" spans="1:6" ht="20.100000000000001" customHeight="1" x14ac:dyDescent="0.25">
      <c r="A180" s="3">
        <v>178</v>
      </c>
      <c r="B180" s="5" t="s">
        <v>702</v>
      </c>
      <c r="C180" s="4" t="s">
        <v>703</v>
      </c>
      <c r="D180" s="4" t="s">
        <v>704</v>
      </c>
      <c r="E180" s="4" t="s">
        <v>705</v>
      </c>
      <c r="F180" s="16" t="str">
        <f t="shared" si="2"/>
        <v>(178,'PL','بولندا','Poland','Pologne'),</v>
      </c>
    </row>
    <row r="181" spans="1:6" ht="20.100000000000001" customHeight="1" x14ac:dyDescent="0.25">
      <c r="A181" s="3">
        <v>179</v>
      </c>
      <c r="B181" s="5" t="s">
        <v>706</v>
      </c>
      <c r="C181" s="4" t="s">
        <v>707</v>
      </c>
      <c r="D181" s="4" t="s">
        <v>708</v>
      </c>
      <c r="E181" s="4" t="s">
        <v>708</v>
      </c>
      <c r="F181" s="16" t="str">
        <f t="shared" si="2"/>
        <v>(179,'PT','البرتغال','Portugal','Portugal'),</v>
      </c>
    </row>
    <row r="182" spans="1:6" ht="20.100000000000001" customHeight="1" x14ac:dyDescent="0.25">
      <c r="A182" s="3">
        <v>180</v>
      </c>
      <c r="B182" s="5" t="s">
        <v>709</v>
      </c>
      <c r="C182" s="4" t="s">
        <v>710</v>
      </c>
      <c r="D182" s="4" t="s">
        <v>711</v>
      </c>
      <c r="E182" s="4" t="s">
        <v>712</v>
      </c>
      <c r="F182" s="16" t="str">
        <f t="shared" si="2"/>
        <v>(180,'PR','بورتوريكو','Puerto Rico','Porto Rico'),</v>
      </c>
    </row>
    <row r="183" spans="1:6" ht="20.100000000000001" customHeight="1" x14ac:dyDescent="0.25">
      <c r="A183" s="3">
        <v>181</v>
      </c>
      <c r="B183" s="5" t="s">
        <v>713</v>
      </c>
      <c r="C183" s="4" t="s">
        <v>714</v>
      </c>
      <c r="D183" s="4" t="s">
        <v>715</v>
      </c>
      <c r="E183" s="4" t="s">
        <v>715</v>
      </c>
      <c r="F183" s="16" t="str">
        <f t="shared" si="2"/>
        <v>(181,'QA','قطر','Qatar','Qatar'),</v>
      </c>
    </row>
    <row r="184" spans="1:6" ht="20.100000000000001" customHeight="1" x14ac:dyDescent="0.25">
      <c r="A184" s="3">
        <v>182</v>
      </c>
      <c r="B184" s="5" t="s">
        <v>716</v>
      </c>
      <c r="C184" s="4" t="s">
        <v>717</v>
      </c>
      <c r="D184" s="4" t="s">
        <v>718</v>
      </c>
      <c r="E184" s="4" t="s">
        <v>718</v>
      </c>
      <c r="F184" s="16" t="str">
        <f t="shared" si="2"/>
        <v>(182,'RE','ريونيون','Réunion','Réunion'),</v>
      </c>
    </row>
    <row r="185" spans="1:6" ht="20.100000000000001" customHeight="1" x14ac:dyDescent="0.25">
      <c r="A185" s="3">
        <v>183</v>
      </c>
      <c r="B185" s="5" t="s">
        <v>719</v>
      </c>
      <c r="C185" s="4" t="s">
        <v>720</v>
      </c>
      <c r="D185" s="4" t="s">
        <v>721</v>
      </c>
      <c r="E185" s="4" t="s">
        <v>722</v>
      </c>
      <c r="F185" s="16" t="str">
        <f t="shared" si="2"/>
        <v>(183,'RO','رومانيا','Romania','Roumanie'),</v>
      </c>
    </row>
    <row r="186" spans="1:6" ht="20.100000000000001" customHeight="1" x14ac:dyDescent="0.25">
      <c r="A186" s="3">
        <v>184</v>
      </c>
      <c r="B186" s="5" t="s">
        <v>723</v>
      </c>
      <c r="C186" s="4" t="s">
        <v>724</v>
      </c>
      <c r="D186" s="4" t="s">
        <v>725</v>
      </c>
      <c r="E186" s="4" t="s">
        <v>726</v>
      </c>
      <c r="F186" s="16" t="str">
        <f t="shared" si="2"/>
        <v>(184,'RU','روسيا','Russia','Russie'),</v>
      </c>
    </row>
    <row r="187" spans="1:6" ht="20.100000000000001" customHeight="1" x14ac:dyDescent="0.25">
      <c r="A187" s="3">
        <v>185</v>
      </c>
      <c r="B187" s="5" t="s">
        <v>727</v>
      </c>
      <c r="C187" s="4" t="s">
        <v>728</v>
      </c>
      <c r="D187" s="4" t="s">
        <v>729</v>
      </c>
      <c r="E187" s="4" t="s">
        <v>729</v>
      </c>
      <c r="F187" s="16" t="str">
        <f t="shared" si="2"/>
        <v>(185,'RW','رواندا','Rwanda','Rwanda'),</v>
      </c>
    </row>
    <row r="188" spans="1:6" ht="20.100000000000001" customHeight="1" x14ac:dyDescent="0.25">
      <c r="A188" s="3">
        <v>186</v>
      </c>
      <c r="B188" s="5" t="s">
        <v>730</v>
      </c>
      <c r="C188" s="4" t="s">
        <v>731</v>
      </c>
      <c r="D188" s="4" t="s">
        <v>732</v>
      </c>
      <c r="E188" s="4" t="s">
        <v>733</v>
      </c>
      <c r="F188" s="16" t="str">
        <f t="shared" si="2"/>
        <v>(186,'BL','سان بارتيلمي','Saint Barthélemy','Saint-Barthélemy'),</v>
      </c>
    </row>
    <row r="189" spans="1:6" ht="20.100000000000001" customHeight="1" x14ac:dyDescent="0.25">
      <c r="A189" s="3">
        <v>187</v>
      </c>
      <c r="B189" s="5" t="s">
        <v>734</v>
      </c>
      <c r="C189" s="4" t="s">
        <v>735</v>
      </c>
      <c r="D189" s="4" t="s">
        <v>736</v>
      </c>
      <c r="E189" s="4" t="s">
        <v>737</v>
      </c>
      <c r="F189" s="16" t="str">
        <f t="shared" si="2"/>
        <v>(187,'SH','سانت هيلينا وأسنسيون وتريستان دا كونا','Saint Helena','Sainte-Hélène'),</v>
      </c>
    </row>
    <row r="190" spans="1:6" ht="20.100000000000001" customHeight="1" x14ac:dyDescent="0.25">
      <c r="A190" s="3">
        <v>188</v>
      </c>
      <c r="B190" s="5" t="s">
        <v>738</v>
      </c>
      <c r="C190" s="4" t="s">
        <v>739</v>
      </c>
      <c r="D190" s="4" t="s">
        <v>740</v>
      </c>
      <c r="E190" s="4" t="s">
        <v>741</v>
      </c>
      <c r="F190" s="16" t="str">
        <f t="shared" si="2"/>
        <v>(188,'KN','سانت كيتس ونيفيس','Saint Kitts and Nevis','Saint-Kitts-et-Nevis'),</v>
      </c>
    </row>
    <row r="191" spans="1:6" ht="20.100000000000001" customHeight="1" x14ac:dyDescent="0.25">
      <c r="A191" s="3">
        <v>189</v>
      </c>
      <c r="B191" s="5" t="s">
        <v>742</v>
      </c>
      <c r="C191" s="4" t="s">
        <v>743</v>
      </c>
      <c r="D191" s="4" t="s">
        <v>744</v>
      </c>
      <c r="E191" s="4" t="s">
        <v>745</v>
      </c>
      <c r="F191" s="16" t="str">
        <f t="shared" si="2"/>
        <v>(189,'LC','سانت لوسيا','Saint Lucia','Sainte-Lucie'),</v>
      </c>
    </row>
    <row r="192" spans="1:6" ht="20.100000000000001" customHeight="1" x14ac:dyDescent="0.25">
      <c r="A192" s="3">
        <v>190</v>
      </c>
      <c r="B192" s="5" t="s">
        <v>746</v>
      </c>
      <c r="C192" s="4" t="s">
        <v>747</v>
      </c>
      <c r="D192" s="4" t="s">
        <v>748</v>
      </c>
      <c r="E192" s="4" t="s">
        <v>749</v>
      </c>
      <c r="F192" s="16" t="str">
        <f t="shared" si="2"/>
        <v>(190,'MF','سانت مارتن','Saint Martin.','Saint-Martin.'),</v>
      </c>
    </row>
    <row r="193" spans="1:6" ht="20.100000000000001" customHeight="1" x14ac:dyDescent="0.25">
      <c r="A193" s="3">
        <v>191</v>
      </c>
      <c r="B193" s="5" t="s">
        <v>750</v>
      </c>
      <c r="C193" s="4" t="s">
        <v>751</v>
      </c>
      <c r="D193" s="4" t="s">
        <v>752</v>
      </c>
      <c r="E193" s="4" t="s">
        <v>753</v>
      </c>
      <c r="F193" s="16" t="str">
        <f t="shared" si="2"/>
        <v>(191,'PM','سان بيير وميكلون','Saint Pierre and Miquelon','Saint-Pierre-et-Miquelon'),</v>
      </c>
    </row>
    <row r="194" spans="1:6" ht="20.100000000000001" customHeight="1" x14ac:dyDescent="0.25">
      <c r="A194" s="3">
        <v>192</v>
      </c>
      <c r="B194" s="5" t="s">
        <v>754</v>
      </c>
      <c r="C194" s="4" t="s">
        <v>755</v>
      </c>
      <c r="D194" s="4" t="s">
        <v>756</v>
      </c>
      <c r="E194" s="4" t="s">
        <v>757</v>
      </c>
      <c r="F194" s="16" t="str">
        <f t="shared" si="2"/>
        <v>(192,'VC','سانت فينسنت والغرينادين','Saint Vincent and the Grenadines','Saint-Vincent-et-les-Grenadines'),</v>
      </c>
    </row>
    <row r="195" spans="1:6" ht="20.100000000000001" customHeight="1" x14ac:dyDescent="0.25">
      <c r="A195" s="3">
        <v>193</v>
      </c>
      <c r="B195" s="5" t="s">
        <v>758</v>
      </c>
      <c r="C195" s="4" t="s">
        <v>759</v>
      </c>
      <c r="D195" s="4" t="s">
        <v>760</v>
      </c>
      <c r="E195" s="4" t="s">
        <v>760</v>
      </c>
      <c r="F195" s="16" t="str">
        <f t="shared" si="2"/>
        <v>(193,'WS','ساموا','Samoa','Samoa'),</v>
      </c>
    </row>
    <row r="196" spans="1:6" ht="20.100000000000001" customHeight="1" x14ac:dyDescent="0.25">
      <c r="A196" s="3">
        <v>194</v>
      </c>
      <c r="B196" s="5" t="s">
        <v>761</v>
      </c>
      <c r="C196" s="4" t="s">
        <v>762</v>
      </c>
      <c r="D196" s="4" t="s">
        <v>763</v>
      </c>
      <c r="E196" s="4" t="s">
        <v>764</v>
      </c>
      <c r="F196" s="16" t="str">
        <f t="shared" ref="F196:F251" si="3">CONCATENATE("(",A196,",'",B196,"','",C196,"','",D196,"','",E196,"'),")</f>
        <v>(194,'SM','سان مارينو','San Marino','Saint-Marin'),</v>
      </c>
    </row>
    <row r="197" spans="1:6" ht="20.100000000000001" customHeight="1" x14ac:dyDescent="0.25">
      <c r="A197" s="3">
        <v>195</v>
      </c>
      <c r="B197" s="5" t="s">
        <v>765</v>
      </c>
      <c r="C197" s="4" t="s">
        <v>766</v>
      </c>
      <c r="D197" s="4" t="s">
        <v>767</v>
      </c>
      <c r="E197" s="4" t="s">
        <v>768</v>
      </c>
      <c r="F197" s="16" t="str">
        <f t="shared" si="3"/>
        <v>(195,'ST','ساو تومي وبرينسيب','Sao Tome and Principe','Sao Tomé-et-Principe'),</v>
      </c>
    </row>
    <row r="198" spans="1:6" ht="20.100000000000001" customHeight="1" x14ac:dyDescent="0.25">
      <c r="A198" s="3">
        <v>196</v>
      </c>
      <c r="B198" s="5" t="s">
        <v>769</v>
      </c>
      <c r="C198" s="4" t="s">
        <v>770</v>
      </c>
      <c r="D198" s="4" t="s">
        <v>771</v>
      </c>
      <c r="E198" s="4" t="s">
        <v>772</v>
      </c>
      <c r="F198" s="16" t="str">
        <f t="shared" si="3"/>
        <v>(196,'SA','السعودية','Saudi Arabia','Arabie Saoudite'),</v>
      </c>
    </row>
    <row r="199" spans="1:6" ht="20.100000000000001" customHeight="1" x14ac:dyDescent="0.25">
      <c r="A199" s="3">
        <v>197</v>
      </c>
      <c r="B199" s="5" t="s">
        <v>773</v>
      </c>
      <c r="C199" s="4" t="s">
        <v>774</v>
      </c>
      <c r="D199" s="4" t="s">
        <v>775</v>
      </c>
      <c r="E199" s="4" t="s">
        <v>776</v>
      </c>
      <c r="F199" s="16" t="str">
        <f t="shared" si="3"/>
        <v>(197,'SN','السنغال','Senegal','Sénégal'),</v>
      </c>
    </row>
    <row r="200" spans="1:6" ht="20.100000000000001" customHeight="1" x14ac:dyDescent="0.25">
      <c r="A200" s="3">
        <v>198</v>
      </c>
      <c r="B200" s="5" t="s">
        <v>777</v>
      </c>
      <c r="C200" s="4" t="s">
        <v>778</v>
      </c>
      <c r="D200" s="4" t="s">
        <v>779</v>
      </c>
      <c r="E200" s="4" t="s">
        <v>780</v>
      </c>
      <c r="F200" s="16" t="str">
        <f t="shared" si="3"/>
        <v>(198,'RS','صربيا','Serbia','Serbie'),</v>
      </c>
    </row>
    <row r="201" spans="1:6" ht="20.100000000000001" customHeight="1" x14ac:dyDescent="0.25">
      <c r="A201" s="3">
        <v>199</v>
      </c>
      <c r="B201" s="5" t="s">
        <v>781</v>
      </c>
      <c r="C201" s="4" t="s">
        <v>782</v>
      </c>
      <c r="D201" s="4" t="s">
        <v>783</v>
      </c>
      <c r="E201" s="4" t="s">
        <v>783</v>
      </c>
      <c r="F201" s="16" t="str">
        <f t="shared" si="3"/>
        <v>(199,'SC','سيشل','Seychelles','Seychelles'),</v>
      </c>
    </row>
    <row r="202" spans="1:6" ht="20.100000000000001" customHeight="1" x14ac:dyDescent="0.25">
      <c r="A202" s="3">
        <v>200</v>
      </c>
      <c r="B202" s="5" t="s">
        <v>784</v>
      </c>
      <c r="C202" s="4" t="s">
        <v>785</v>
      </c>
      <c r="D202" s="4" t="s">
        <v>786</v>
      </c>
      <c r="E202" s="4" t="s">
        <v>786</v>
      </c>
      <c r="F202" s="16" t="str">
        <f t="shared" si="3"/>
        <v>(200,'SL','سيراليون','Sierra Leone','Sierra Leone'),</v>
      </c>
    </row>
    <row r="203" spans="1:6" ht="20.100000000000001" customHeight="1" x14ac:dyDescent="0.25">
      <c r="A203" s="3">
        <v>201</v>
      </c>
      <c r="B203" s="5" t="s">
        <v>787</v>
      </c>
      <c r="C203" s="4" t="s">
        <v>788</v>
      </c>
      <c r="D203" s="4" t="s">
        <v>789</v>
      </c>
      <c r="E203" s="4" t="s">
        <v>790</v>
      </c>
      <c r="F203" s="16" t="str">
        <f t="shared" si="3"/>
        <v>(201,'SG','سنغافورة','Singapore','Singapour'),</v>
      </c>
    </row>
    <row r="204" spans="1:6" ht="20.100000000000001" customHeight="1" x14ac:dyDescent="0.25">
      <c r="A204" s="3">
        <v>202</v>
      </c>
      <c r="B204" s="5" t="s">
        <v>791</v>
      </c>
      <c r="C204" s="4" t="s">
        <v>792</v>
      </c>
      <c r="D204" s="4" t="s">
        <v>793</v>
      </c>
      <c r="E204" s="4" t="s">
        <v>794</v>
      </c>
      <c r="F204" s="16" t="str">
        <f t="shared" si="3"/>
        <v>(202,'SX','سينت مارتن','Sint Maarten','Saint-Martin'),</v>
      </c>
    </row>
    <row r="205" spans="1:6" ht="20.100000000000001" customHeight="1" x14ac:dyDescent="0.25">
      <c r="A205" s="3">
        <v>203</v>
      </c>
      <c r="B205" s="5" t="s">
        <v>795</v>
      </c>
      <c r="C205" s="4" t="s">
        <v>796</v>
      </c>
      <c r="D205" s="4" t="s">
        <v>797</v>
      </c>
      <c r="E205" s="4" t="s">
        <v>798</v>
      </c>
      <c r="F205" s="16" t="str">
        <f t="shared" si="3"/>
        <v>(203,'SK','سلوفاكيا','Slovakia','Slovaquie'),</v>
      </c>
    </row>
    <row r="206" spans="1:6" ht="20.100000000000001" customHeight="1" x14ac:dyDescent="0.25">
      <c r="A206" s="3">
        <v>204</v>
      </c>
      <c r="B206" s="5" t="s">
        <v>799</v>
      </c>
      <c r="C206" s="4" t="s">
        <v>800</v>
      </c>
      <c r="D206" s="4" t="s">
        <v>801</v>
      </c>
      <c r="E206" s="4" t="s">
        <v>802</v>
      </c>
      <c r="F206" s="16" t="str">
        <f t="shared" si="3"/>
        <v>(204,'SI','سلوفينيا','Slovenia','Slovénie'),</v>
      </c>
    </row>
    <row r="207" spans="1:6" ht="20.100000000000001" customHeight="1" x14ac:dyDescent="0.25">
      <c r="A207" s="3">
        <v>205</v>
      </c>
      <c r="B207" s="5" t="s">
        <v>803</v>
      </c>
      <c r="C207" s="4" t="s">
        <v>804</v>
      </c>
      <c r="D207" s="4" t="s">
        <v>805</v>
      </c>
      <c r="E207" s="4" t="s">
        <v>806</v>
      </c>
      <c r="F207" s="16" t="str">
        <f t="shared" si="3"/>
        <v>(205,'SB','جزر سليمان','Solomon Islands','Îles Salomon'),</v>
      </c>
    </row>
    <row r="208" spans="1:6" ht="20.100000000000001" customHeight="1" x14ac:dyDescent="0.25">
      <c r="A208" s="3">
        <v>206</v>
      </c>
      <c r="B208" s="5" t="s">
        <v>807</v>
      </c>
      <c r="C208" s="4" t="s">
        <v>808</v>
      </c>
      <c r="D208" s="4" t="s">
        <v>809</v>
      </c>
      <c r="E208" s="4" t="s">
        <v>810</v>
      </c>
      <c r="F208" s="16" t="str">
        <f t="shared" si="3"/>
        <v>(206,'SO','الصومال','Somalia','Somalie'),</v>
      </c>
    </row>
    <row r="209" spans="1:6" ht="20.100000000000001" customHeight="1" x14ac:dyDescent="0.25">
      <c r="A209" s="3">
        <v>207</v>
      </c>
      <c r="B209" s="5" t="s">
        <v>811</v>
      </c>
      <c r="C209" s="4" t="s">
        <v>812</v>
      </c>
      <c r="D209" s="4" t="s">
        <v>813</v>
      </c>
      <c r="E209" s="4" t="s">
        <v>814</v>
      </c>
      <c r="F209" s="16" t="str">
        <f t="shared" si="3"/>
        <v>(207,'ZA','جنوب أفريقيا','South Africa','Afrique du Sud'),</v>
      </c>
    </row>
    <row r="210" spans="1:6" ht="20.100000000000001" customHeight="1" x14ac:dyDescent="0.25">
      <c r="A210" s="3">
        <v>208</v>
      </c>
      <c r="B210" s="5" t="s">
        <v>815</v>
      </c>
      <c r="C210" s="4" t="s">
        <v>816</v>
      </c>
      <c r="D210" s="4" t="s">
        <v>817</v>
      </c>
      <c r="E210" s="4" t="s">
        <v>818</v>
      </c>
      <c r="F210" s="16" t="str">
        <f t="shared" si="3"/>
        <v>(208,'GS','جورجيا الجنوبية وجزر ساندويتش الجنوبية','South Georgia and South Sandwich Islands','Géorgie du Sud-et-les Îles Sandwich du Sud'),</v>
      </c>
    </row>
    <row r="211" spans="1:6" ht="20.100000000000001" customHeight="1" x14ac:dyDescent="0.25">
      <c r="A211" s="3">
        <v>209</v>
      </c>
      <c r="B211" s="5" t="s">
        <v>819</v>
      </c>
      <c r="C211" s="4" t="s">
        <v>820</v>
      </c>
      <c r="D211" s="4" t="s">
        <v>821</v>
      </c>
      <c r="E211" s="4" t="s">
        <v>822</v>
      </c>
      <c r="F211" s="16" t="str">
        <f t="shared" si="3"/>
        <v>(209,'SS','جنوب السودان','South Sudan','Soudan du Sud'),</v>
      </c>
    </row>
    <row r="212" spans="1:6" ht="20.100000000000001" customHeight="1" x14ac:dyDescent="0.25">
      <c r="A212" s="3">
        <v>210</v>
      </c>
      <c r="B212" s="5" t="s">
        <v>823</v>
      </c>
      <c r="C212" s="4" t="s">
        <v>824</v>
      </c>
      <c r="D212" s="4" t="s">
        <v>825</v>
      </c>
      <c r="E212" s="4" t="s">
        <v>826</v>
      </c>
      <c r="F212" s="16" t="str">
        <f t="shared" si="3"/>
        <v>(210,'ES','إسبانيا','Spain','Espagne'),</v>
      </c>
    </row>
    <row r="213" spans="1:6" ht="20.100000000000001" customHeight="1" x14ac:dyDescent="0.25">
      <c r="A213" s="3">
        <v>211</v>
      </c>
      <c r="B213" s="5" t="s">
        <v>827</v>
      </c>
      <c r="C213" s="4" t="s">
        <v>828</v>
      </c>
      <c r="D213" s="4" t="s">
        <v>829</v>
      </c>
      <c r="E213" s="4" t="s">
        <v>829</v>
      </c>
      <c r="F213" s="16" t="str">
        <f t="shared" si="3"/>
        <v>(211,'LK','سريلانكا','Sri Lanka','Sri Lanka'),</v>
      </c>
    </row>
    <row r="214" spans="1:6" ht="20.100000000000001" customHeight="1" x14ac:dyDescent="0.25">
      <c r="A214" s="3">
        <v>212</v>
      </c>
      <c r="B214" s="5" t="s">
        <v>830</v>
      </c>
      <c r="C214" s="4" t="s">
        <v>831</v>
      </c>
      <c r="D214" s="4" t="s">
        <v>832</v>
      </c>
      <c r="E214" s="4" t="s">
        <v>833</v>
      </c>
      <c r="F214" s="16" t="str">
        <f t="shared" si="3"/>
        <v>(212,'SD','السودان','Sudan','Soudan'),</v>
      </c>
    </row>
    <row r="215" spans="1:6" ht="20.100000000000001" customHeight="1" x14ac:dyDescent="0.25">
      <c r="A215" s="3">
        <v>213</v>
      </c>
      <c r="B215" s="5" t="s">
        <v>834</v>
      </c>
      <c r="C215" s="4" t="s">
        <v>835</v>
      </c>
      <c r="D215" s="4" t="s">
        <v>836</v>
      </c>
      <c r="E215" s="4" t="s">
        <v>836</v>
      </c>
      <c r="F215" s="16" t="str">
        <f t="shared" si="3"/>
        <v>(213,'SR','سورينام','Suriname','Suriname'),</v>
      </c>
    </row>
    <row r="216" spans="1:6" ht="20.100000000000001" customHeight="1" x14ac:dyDescent="0.25">
      <c r="A216" s="3">
        <v>214</v>
      </c>
      <c r="B216" s="5" t="s">
        <v>837</v>
      </c>
      <c r="C216" s="4" t="s">
        <v>838</v>
      </c>
      <c r="D216" s="4" t="s">
        <v>839</v>
      </c>
      <c r="E216" s="4" t="s">
        <v>840</v>
      </c>
      <c r="F216" s="16" t="str">
        <f t="shared" si="3"/>
        <v>(214,'SJ','سفالبارد ويان ماين','Svalbard and Jan Mayen','Svalbard et Jan Mayen'),</v>
      </c>
    </row>
    <row r="217" spans="1:6" ht="20.100000000000001" customHeight="1" x14ac:dyDescent="0.25">
      <c r="A217" s="3">
        <v>215</v>
      </c>
      <c r="B217" s="5" t="s">
        <v>841</v>
      </c>
      <c r="C217" s="4" t="s">
        <v>842</v>
      </c>
      <c r="D217" s="4" t="s">
        <v>843</v>
      </c>
      <c r="E217" s="4" t="s">
        <v>844</v>
      </c>
      <c r="F217" s="16" t="str">
        <f t="shared" si="3"/>
        <v>(215,'SE','السويد','Sweden','Suède'),</v>
      </c>
    </row>
    <row r="218" spans="1:6" ht="20.100000000000001" customHeight="1" x14ac:dyDescent="0.25">
      <c r="A218" s="3">
        <v>216</v>
      </c>
      <c r="B218" s="5" t="s">
        <v>845</v>
      </c>
      <c r="C218" s="4" t="s">
        <v>846</v>
      </c>
      <c r="D218" s="4" t="s">
        <v>847</v>
      </c>
      <c r="E218" s="4" t="s">
        <v>848</v>
      </c>
      <c r="F218" s="16" t="str">
        <f t="shared" si="3"/>
        <v>(216,'CH','سويسرا','Switzerland','Suisse'),</v>
      </c>
    </row>
    <row r="219" spans="1:6" ht="20.100000000000001" customHeight="1" x14ac:dyDescent="0.25">
      <c r="A219" s="3">
        <v>217</v>
      </c>
      <c r="B219" s="5" t="s">
        <v>849</v>
      </c>
      <c r="C219" s="4" t="s">
        <v>850</v>
      </c>
      <c r="D219" s="4" t="s">
        <v>851</v>
      </c>
      <c r="E219" s="4" t="s">
        <v>852</v>
      </c>
      <c r="F219" s="16" t="str">
        <f t="shared" si="3"/>
        <v>(217,'SY','سوريا','Syria','Syrie'),</v>
      </c>
    </row>
    <row r="220" spans="1:6" ht="20.100000000000001" customHeight="1" x14ac:dyDescent="0.25">
      <c r="A220" s="3">
        <v>218</v>
      </c>
      <c r="B220" s="5" t="s">
        <v>853</v>
      </c>
      <c r="C220" s="4" t="s">
        <v>854</v>
      </c>
      <c r="D220" s="4" t="s">
        <v>855</v>
      </c>
      <c r="E220" s="4" t="s">
        <v>856</v>
      </c>
      <c r="F220" s="16" t="str">
        <f t="shared" si="3"/>
        <v>(218,'TW','تايوان','Taiwan','Taïwan'),</v>
      </c>
    </row>
    <row r="221" spans="1:6" ht="20.100000000000001" customHeight="1" x14ac:dyDescent="0.25">
      <c r="A221" s="3">
        <v>219</v>
      </c>
      <c r="B221" s="5" t="s">
        <v>857</v>
      </c>
      <c r="C221" s="4" t="s">
        <v>858</v>
      </c>
      <c r="D221" s="4" t="s">
        <v>859</v>
      </c>
      <c r="E221" s="4" t="s">
        <v>860</v>
      </c>
      <c r="F221" s="16" t="str">
        <f t="shared" si="3"/>
        <v>(219,'TJ','طاجيكستان','Tajikistan','Tadjikistan'),</v>
      </c>
    </row>
    <row r="222" spans="1:6" ht="20.100000000000001" customHeight="1" x14ac:dyDescent="0.25">
      <c r="A222" s="3">
        <v>220</v>
      </c>
      <c r="B222" s="5" t="s">
        <v>861</v>
      </c>
      <c r="C222" s="4" t="s">
        <v>862</v>
      </c>
      <c r="D222" s="4" t="s">
        <v>863</v>
      </c>
      <c r="E222" s="4" t="s">
        <v>864</v>
      </c>
      <c r="F222" s="16" t="str">
        <f t="shared" si="3"/>
        <v>(220,'TZ','تنزانيا','Tanzania','Tanzanie'),</v>
      </c>
    </row>
    <row r="223" spans="1:6" ht="20.100000000000001" customHeight="1" x14ac:dyDescent="0.25">
      <c r="A223" s="3">
        <v>221</v>
      </c>
      <c r="B223" s="5" t="s">
        <v>865</v>
      </c>
      <c r="C223" s="4" t="s">
        <v>866</v>
      </c>
      <c r="D223" s="4" t="s">
        <v>867</v>
      </c>
      <c r="E223" s="4" t="s">
        <v>868</v>
      </c>
      <c r="F223" s="16" t="str">
        <f t="shared" si="3"/>
        <v>(221,'TH','تايلاند','Thailand','Thaïlande'),</v>
      </c>
    </row>
    <row r="224" spans="1:6" ht="20.100000000000001" customHeight="1" x14ac:dyDescent="0.25">
      <c r="A224" s="3">
        <v>222</v>
      </c>
      <c r="B224" s="5" t="s">
        <v>869</v>
      </c>
      <c r="C224" s="4" t="s">
        <v>870</v>
      </c>
      <c r="D224" s="4" t="s">
        <v>871</v>
      </c>
      <c r="E224" s="4" t="s">
        <v>871</v>
      </c>
      <c r="F224" s="16" t="str">
        <f t="shared" si="3"/>
        <v>(222,'TL','تيمور الشرقية','Timor-Leste','Timor-Leste'),</v>
      </c>
    </row>
    <row r="225" spans="1:6" ht="20.100000000000001" customHeight="1" x14ac:dyDescent="0.25">
      <c r="A225" s="3">
        <v>223</v>
      </c>
      <c r="B225" s="5" t="s">
        <v>872</v>
      </c>
      <c r="C225" s="4" t="s">
        <v>873</v>
      </c>
      <c r="D225" s="4" t="s">
        <v>874</v>
      </c>
      <c r="E225" s="4" t="s">
        <v>874</v>
      </c>
      <c r="F225" s="16" t="str">
        <f t="shared" si="3"/>
        <v>(223,'TG','توغو','Togo','Togo'),</v>
      </c>
    </row>
    <row r="226" spans="1:6" ht="20.100000000000001" customHeight="1" x14ac:dyDescent="0.25">
      <c r="A226" s="3">
        <v>224</v>
      </c>
      <c r="B226" s="5" t="s">
        <v>875</v>
      </c>
      <c r="C226" s="4" t="s">
        <v>876</v>
      </c>
      <c r="D226" s="4" t="s">
        <v>877</v>
      </c>
      <c r="E226" s="4" t="s">
        <v>877</v>
      </c>
      <c r="F226" s="16" t="str">
        <f t="shared" si="3"/>
        <v>(224,'TK','توكيلاو','Tokelau','Tokelau'),</v>
      </c>
    </row>
    <row r="227" spans="1:6" ht="20.100000000000001" customHeight="1" x14ac:dyDescent="0.25">
      <c r="A227" s="3">
        <v>225</v>
      </c>
      <c r="B227" s="5" t="s">
        <v>878</v>
      </c>
      <c r="C227" s="4" t="s">
        <v>879</v>
      </c>
      <c r="D227" s="4" t="s">
        <v>880</v>
      </c>
      <c r="E227" s="4" t="s">
        <v>880</v>
      </c>
      <c r="F227" s="16" t="str">
        <f t="shared" si="3"/>
        <v>(225,'TO','تونغا','Tonga','Tonga'),</v>
      </c>
    </row>
    <row r="228" spans="1:6" ht="20.100000000000001" customHeight="1" x14ac:dyDescent="0.25">
      <c r="A228" s="3">
        <v>226</v>
      </c>
      <c r="B228" s="5" t="s">
        <v>881</v>
      </c>
      <c r="C228" s="4" t="s">
        <v>882</v>
      </c>
      <c r="D228" s="4" t="s">
        <v>883</v>
      </c>
      <c r="E228" s="4" t="s">
        <v>884</v>
      </c>
      <c r="F228" s="16" t="str">
        <f t="shared" si="3"/>
        <v>(226,'TT','ترينيداد وتوباغو','Trinidad and Tobago','Trinité-et-Tobago'),</v>
      </c>
    </row>
    <row r="229" spans="1:6" ht="20.100000000000001" customHeight="1" x14ac:dyDescent="0.25">
      <c r="A229" s="3">
        <v>227</v>
      </c>
      <c r="B229" s="5" t="s">
        <v>885</v>
      </c>
      <c r="C229" s="4" t="s">
        <v>886</v>
      </c>
      <c r="D229" s="4" t="s">
        <v>887</v>
      </c>
      <c r="E229" s="4" t="s">
        <v>888</v>
      </c>
      <c r="F229" s="16" t="str">
        <f t="shared" si="3"/>
        <v>(227,'TN','تونس','Tunisia','Tunisie'),</v>
      </c>
    </row>
    <row r="230" spans="1:6" ht="20.100000000000001" customHeight="1" x14ac:dyDescent="0.25">
      <c r="A230" s="3">
        <v>228</v>
      </c>
      <c r="B230" s="5" t="s">
        <v>889</v>
      </c>
      <c r="C230" s="4" t="s">
        <v>890</v>
      </c>
      <c r="D230" s="4" t="s">
        <v>891</v>
      </c>
      <c r="E230" s="4" t="s">
        <v>892</v>
      </c>
      <c r="F230" s="16" t="str">
        <f t="shared" si="3"/>
        <v>(228,'TR','تركيا','Türkiye','Turquie'),</v>
      </c>
    </row>
    <row r="231" spans="1:6" ht="20.100000000000001" customHeight="1" x14ac:dyDescent="0.25">
      <c r="A231" s="3">
        <v>229</v>
      </c>
      <c r="B231" s="5" t="s">
        <v>893</v>
      </c>
      <c r="C231" s="4" t="s">
        <v>894</v>
      </c>
      <c r="D231" s="4" t="s">
        <v>895</v>
      </c>
      <c r="E231" s="4" t="s">
        <v>896</v>
      </c>
      <c r="F231" s="16" t="str">
        <f t="shared" si="3"/>
        <v>(229,'TM','تركمانستان','Turkmenistan','Turkménistan'),</v>
      </c>
    </row>
    <row r="232" spans="1:6" ht="20.100000000000001" customHeight="1" x14ac:dyDescent="0.25">
      <c r="A232" s="3">
        <v>230</v>
      </c>
      <c r="B232" s="5" t="s">
        <v>897</v>
      </c>
      <c r="C232" s="4" t="s">
        <v>898</v>
      </c>
      <c r="D232" s="4" t="s">
        <v>899</v>
      </c>
      <c r="E232" s="4" t="s">
        <v>900</v>
      </c>
      <c r="F232" s="16" t="str">
        <f t="shared" si="3"/>
        <v>(230,'TC','جزر توركس وكايكوس','Turks and Caicos Islands','Îles Turques-et-Caïques'),</v>
      </c>
    </row>
    <row r="233" spans="1:6" ht="20.100000000000001" customHeight="1" x14ac:dyDescent="0.25">
      <c r="A233" s="3">
        <v>231</v>
      </c>
      <c r="B233" s="5" t="s">
        <v>901</v>
      </c>
      <c r="C233" s="4" t="s">
        <v>902</v>
      </c>
      <c r="D233" s="4" t="s">
        <v>903</v>
      </c>
      <c r="E233" s="4" t="s">
        <v>903</v>
      </c>
      <c r="F233" s="16" t="str">
        <f t="shared" si="3"/>
        <v>(231,'TV','توفالو','Tuvalu','Tuvalu'),</v>
      </c>
    </row>
    <row r="234" spans="1:6" ht="20.100000000000001" customHeight="1" x14ac:dyDescent="0.25">
      <c r="A234" s="3">
        <v>232</v>
      </c>
      <c r="B234" s="5" t="s">
        <v>904</v>
      </c>
      <c r="C234" s="4" t="s">
        <v>905</v>
      </c>
      <c r="D234" s="4" t="s">
        <v>906</v>
      </c>
      <c r="E234" s="4" t="s">
        <v>907</v>
      </c>
      <c r="F234" s="16" t="str">
        <f t="shared" si="3"/>
        <v>(232,'UG','أوغندا','Uganda','Ouganda'),</v>
      </c>
    </row>
    <row r="235" spans="1:6" ht="20.100000000000001" customHeight="1" x14ac:dyDescent="0.25">
      <c r="A235" s="3">
        <v>233</v>
      </c>
      <c r="B235" s="5" t="s">
        <v>908</v>
      </c>
      <c r="C235" s="4" t="s">
        <v>909</v>
      </c>
      <c r="D235" s="4" t="s">
        <v>910</v>
      </c>
      <c r="E235" s="4" t="s">
        <v>910</v>
      </c>
      <c r="F235" s="16" t="str">
        <f t="shared" si="3"/>
        <v>(233,'UA','أوكرانيا','Ukraine','Ukraine'),</v>
      </c>
    </row>
    <row r="236" spans="1:6" ht="20.100000000000001" customHeight="1" x14ac:dyDescent="0.25">
      <c r="A236" s="3">
        <v>234</v>
      </c>
      <c r="B236" s="5" t="s">
        <v>911</v>
      </c>
      <c r="C236" s="4" t="s">
        <v>912</v>
      </c>
      <c r="D236" s="4" t="s">
        <v>913</v>
      </c>
      <c r="E236" s="4" t="s">
        <v>914</v>
      </c>
      <c r="F236" s="16" t="str">
        <f t="shared" si="3"/>
        <v>(234,'AE','الإمارات العربية المتحدة','United Arab Emirates','Émirats Arabes Unis'),</v>
      </c>
    </row>
    <row r="237" spans="1:6" ht="20.100000000000001" customHeight="1" x14ac:dyDescent="0.25">
      <c r="A237" s="3">
        <v>235</v>
      </c>
      <c r="B237" s="5" t="s">
        <v>915</v>
      </c>
      <c r="C237" s="4" t="s">
        <v>916</v>
      </c>
      <c r="D237" s="4" t="s">
        <v>917</v>
      </c>
      <c r="E237" s="4" t="s">
        <v>918</v>
      </c>
      <c r="F237" s="16" t="str">
        <f t="shared" si="3"/>
        <v>(235,'GB','المملكة المتحدة','United Kingdom','Royaume-Uni'),</v>
      </c>
    </row>
    <row r="238" spans="1:6" ht="20.100000000000001" customHeight="1" x14ac:dyDescent="0.25">
      <c r="A238" s="3">
        <v>236</v>
      </c>
      <c r="B238" s="5" t="s">
        <v>919</v>
      </c>
      <c r="C238" s="4" t="s">
        <v>920</v>
      </c>
      <c r="D238" s="4" t="s">
        <v>921</v>
      </c>
      <c r="E238" s="4" t="s">
        <v>922</v>
      </c>
      <c r="F238" s="16" t="str">
        <f t="shared" si="3"/>
        <v>(236,'UM','جزر الولايات المتحدة البعيدة الصغيرة','United States Minor Outlying Islands','Îles Mineures Éloignées des États-Unis'),</v>
      </c>
    </row>
    <row r="239" spans="1:6" ht="20.100000000000001" customHeight="1" x14ac:dyDescent="0.25">
      <c r="A239" s="3">
        <v>237</v>
      </c>
      <c r="B239" s="5" t="s">
        <v>923</v>
      </c>
      <c r="C239" s="4" t="s">
        <v>924</v>
      </c>
      <c r="D239" s="4" t="s">
        <v>925</v>
      </c>
      <c r="E239" s="4" t="s">
        <v>926</v>
      </c>
      <c r="F239" s="16" t="str">
        <f t="shared" si="3"/>
        <v>(237,'US','الولايات المتحدة','United States','États-Unis'),</v>
      </c>
    </row>
    <row r="240" spans="1:6" ht="20.100000000000001" customHeight="1" x14ac:dyDescent="0.25">
      <c r="A240" s="3">
        <v>238</v>
      </c>
      <c r="B240" s="5" t="s">
        <v>927</v>
      </c>
      <c r="C240" s="4" t="s">
        <v>928</v>
      </c>
      <c r="D240" s="4" t="s">
        <v>929</v>
      </c>
      <c r="E240" s="4" t="s">
        <v>929</v>
      </c>
      <c r="F240" s="16" t="str">
        <f t="shared" si="3"/>
        <v>(238,'UY','أوروغواي','Uruguay','Uruguay'),</v>
      </c>
    </row>
    <row r="241" spans="1:6" ht="20.100000000000001" customHeight="1" x14ac:dyDescent="0.25">
      <c r="A241" s="3">
        <v>239</v>
      </c>
      <c r="B241" s="5" t="s">
        <v>930</v>
      </c>
      <c r="C241" s="4" t="s">
        <v>931</v>
      </c>
      <c r="D241" s="4" t="s">
        <v>932</v>
      </c>
      <c r="E241" s="4" t="s">
        <v>933</v>
      </c>
      <c r="F241" s="16" t="str">
        <f t="shared" si="3"/>
        <v>(239,'UZ','أوزبكستان','Uzbekistan','Ouzbékistan'),</v>
      </c>
    </row>
    <row r="242" spans="1:6" ht="20.100000000000001" customHeight="1" x14ac:dyDescent="0.25">
      <c r="A242" s="3">
        <v>240</v>
      </c>
      <c r="B242" s="5" t="s">
        <v>934</v>
      </c>
      <c r="C242" s="4" t="s">
        <v>935</v>
      </c>
      <c r="D242" s="4" t="s">
        <v>936</v>
      </c>
      <c r="E242" s="4" t="s">
        <v>936</v>
      </c>
      <c r="F242" s="16" t="str">
        <f t="shared" si="3"/>
        <v>(240,'VU','فانواتو','Vanuatu','Vanuatu'),</v>
      </c>
    </row>
    <row r="243" spans="1:6" ht="20.100000000000001" customHeight="1" x14ac:dyDescent="0.25">
      <c r="A243" s="3">
        <v>241</v>
      </c>
      <c r="B243" s="5" t="s">
        <v>937</v>
      </c>
      <c r="C243" s="4" t="s">
        <v>938</v>
      </c>
      <c r="D243" s="4" t="s">
        <v>939</v>
      </c>
      <c r="E243" s="4" t="s">
        <v>939</v>
      </c>
      <c r="F243" s="16" t="str">
        <f t="shared" si="3"/>
        <v>(241,'VE','فنزويلا','Venezuela','Venezuela'),</v>
      </c>
    </row>
    <row r="244" spans="1:6" ht="20.100000000000001" customHeight="1" x14ac:dyDescent="0.25">
      <c r="A244" s="3">
        <v>242</v>
      </c>
      <c r="B244" s="5" t="s">
        <v>940</v>
      </c>
      <c r="C244" s="4" t="s">
        <v>941</v>
      </c>
      <c r="D244" s="4" t="s">
        <v>942</v>
      </c>
      <c r="E244" s="4" t="s">
        <v>943</v>
      </c>
      <c r="F244" s="16" t="str">
        <f t="shared" si="3"/>
        <v>(242,'VN','فيتنام','Vietnam','Viêt Nam'),</v>
      </c>
    </row>
    <row r="245" spans="1:6" ht="20.100000000000001" customHeight="1" x14ac:dyDescent="0.25">
      <c r="A245" s="3">
        <v>243</v>
      </c>
      <c r="B245" s="5" t="s">
        <v>944</v>
      </c>
      <c r="C245" s="4" t="s">
        <v>945</v>
      </c>
      <c r="D245" s="4" t="s">
        <v>946</v>
      </c>
      <c r="E245" s="4" t="s">
        <v>947</v>
      </c>
      <c r="F245" s="16" t="str">
        <f t="shared" si="3"/>
        <v>(243,'VG','جزر العذراء البريطانية','Virgin Islands (British)','Îles Vierges Britanniques'),</v>
      </c>
    </row>
    <row r="246" spans="1:6" ht="20.100000000000001" customHeight="1" x14ac:dyDescent="0.25">
      <c r="A246" s="3">
        <v>244</v>
      </c>
      <c r="B246" s="5" t="s">
        <v>948</v>
      </c>
      <c r="C246" s="4" t="s">
        <v>949</v>
      </c>
      <c r="D246" s="4" t="s">
        <v>950</v>
      </c>
      <c r="E246" s="4" t="s">
        <v>951</v>
      </c>
      <c r="F246" s="16" t="str">
        <f t="shared" si="3"/>
        <v>(244,'VI','جزر العذراء الأمريكية','Virgin Islands (U.S.)','Îles Vierges des États-Unis'),</v>
      </c>
    </row>
    <row r="247" spans="1:6" ht="20.100000000000001" customHeight="1" x14ac:dyDescent="0.25">
      <c r="A247" s="3">
        <v>245</v>
      </c>
      <c r="B247" s="5" t="s">
        <v>952</v>
      </c>
      <c r="C247" s="4" t="s">
        <v>953</v>
      </c>
      <c r="D247" s="4" t="s">
        <v>954</v>
      </c>
      <c r="E247" s="4" t="s">
        <v>955</v>
      </c>
      <c r="F247" s="16" t="str">
        <f t="shared" si="3"/>
        <v>(245,'WF','والس وفوتونا','Wallis and Futuna','Wallis-et-Futuna'),</v>
      </c>
    </row>
    <row r="248" spans="1:6" ht="20.100000000000001" customHeight="1" x14ac:dyDescent="0.25">
      <c r="A248" s="3">
        <v>246</v>
      </c>
      <c r="B248" s="5" t="s">
        <v>956</v>
      </c>
      <c r="C248" s="4" t="s">
        <v>957</v>
      </c>
      <c r="D248" s="4" t="s">
        <v>958</v>
      </c>
      <c r="E248" s="4" t="s">
        <v>959</v>
      </c>
      <c r="F248" s="16" t="str">
        <f t="shared" si="3"/>
        <v>(246,'EH','الصحراء الغربية','Western Sahara','Sahara Occidental'),</v>
      </c>
    </row>
    <row r="249" spans="1:6" ht="20.100000000000001" customHeight="1" x14ac:dyDescent="0.25">
      <c r="A249" s="3">
        <v>247</v>
      </c>
      <c r="B249" s="5" t="s">
        <v>960</v>
      </c>
      <c r="C249" s="4" t="s">
        <v>961</v>
      </c>
      <c r="D249" s="4" t="s">
        <v>962</v>
      </c>
      <c r="E249" s="4" t="s">
        <v>963</v>
      </c>
      <c r="F249" s="16" t="str">
        <f t="shared" si="3"/>
        <v>(247,'YE','اليمن','Yemen','Yémen'),</v>
      </c>
    </row>
    <row r="250" spans="1:6" ht="20.100000000000001" customHeight="1" x14ac:dyDescent="0.25">
      <c r="A250" s="3">
        <v>248</v>
      </c>
      <c r="B250" s="5" t="s">
        <v>964</v>
      </c>
      <c r="C250" s="4" t="s">
        <v>965</v>
      </c>
      <c r="D250" s="4" t="s">
        <v>966</v>
      </c>
      <c r="E250" s="4" t="s">
        <v>967</v>
      </c>
      <c r="F250" s="16" t="str">
        <f t="shared" si="3"/>
        <v>(248,'ZM','زامبيا','Zambia','Zambie'),</v>
      </c>
    </row>
    <row r="251" spans="1:6" ht="20.100000000000001" customHeight="1" x14ac:dyDescent="0.25">
      <c r="A251" s="3">
        <v>249</v>
      </c>
      <c r="B251" s="5" t="s">
        <v>968</v>
      </c>
      <c r="C251" s="4" t="s">
        <v>969</v>
      </c>
      <c r="D251" s="4" t="s">
        <v>970</v>
      </c>
      <c r="E251" s="4" t="s">
        <v>970</v>
      </c>
      <c r="F251" s="16" t="str">
        <f t="shared" si="3"/>
        <v>(249,'ZW','زيمبابوي','Zimbabwe','Zimbabwe'),</v>
      </c>
    </row>
  </sheetData>
  <autoFilter ref="A2:F251"/>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70C0"/>
  </sheetPr>
  <dimension ref="A1:F60"/>
  <sheetViews>
    <sheetView topLeftCell="A33" workbookViewId="0">
      <selection activeCell="F2" sqref="F2:F60"/>
    </sheetView>
  </sheetViews>
  <sheetFormatPr baseColWidth="10" defaultColWidth="10.85546875" defaultRowHeight="15.75" x14ac:dyDescent="0.25"/>
  <cols>
    <col min="1" max="1" width="5.5703125" style="2" customWidth="1"/>
    <col min="2" max="2" width="10.5703125" style="2" customWidth="1"/>
    <col min="3" max="5" width="30.5703125" style="2" customWidth="1"/>
    <col min="6" max="6" width="100.7109375" style="2" customWidth="1"/>
    <col min="7" max="16384" width="10.85546875" style="2"/>
  </cols>
  <sheetData>
    <row r="1" spans="1:6" ht="20.100000000000001" customHeight="1" x14ac:dyDescent="0.25">
      <c r="A1" s="1" t="s">
        <v>37</v>
      </c>
      <c r="B1" s="1" t="s">
        <v>54</v>
      </c>
      <c r="C1" s="1" t="s">
        <v>38</v>
      </c>
      <c r="D1" s="1" t="s">
        <v>39</v>
      </c>
      <c r="E1" s="1" t="s">
        <v>40</v>
      </c>
      <c r="F1" s="1" t="s">
        <v>5597</v>
      </c>
    </row>
    <row r="2" spans="1:6" ht="20.100000000000001" customHeight="1" x14ac:dyDescent="0.25">
      <c r="A2" s="1" t="s">
        <v>44</v>
      </c>
      <c r="B2" s="1" t="s">
        <v>41</v>
      </c>
      <c r="C2" s="1" t="s">
        <v>42</v>
      </c>
      <c r="D2" s="1" t="s">
        <v>43</v>
      </c>
      <c r="E2" s="1" t="s">
        <v>53</v>
      </c>
      <c r="F2" s="1" t="s">
        <v>5621</v>
      </c>
    </row>
    <row r="3" spans="1:6" ht="20.100000000000001" customHeight="1" x14ac:dyDescent="0.25">
      <c r="A3" s="3">
        <v>1</v>
      </c>
      <c r="B3" s="6" t="s">
        <v>1101</v>
      </c>
      <c r="C3" s="4" t="s">
        <v>971</v>
      </c>
      <c r="D3" s="4" t="s">
        <v>973</v>
      </c>
      <c r="E3" s="4" t="s">
        <v>973</v>
      </c>
      <c r="F3" s="16" t="str">
        <f>CONCATENATE("(",A3,",'",B3,"','",C3,"','",D3,"','",E3,"'),")</f>
        <v>(1,'01','أدرار','Adrar','Adrar'),</v>
      </c>
    </row>
    <row r="4" spans="1:6" ht="20.100000000000001" customHeight="1" x14ac:dyDescent="0.25">
      <c r="A4" s="3">
        <v>2</v>
      </c>
      <c r="B4" s="6" t="s">
        <v>1102</v>
      </c>
      <c r="C4" s="4" t="s">
        <v>974</v>
      </c>
      <c r="D4" s="4" t="s">
        <v>975</v>
      </c>
      <c r="E4" s="4" t="s">
        <v>975</v>
      </c>
      <c r="F4" s="16" t="str">
        <f t="shared" ref="F4:F60" si="0">CONCATENATE("(",A4,",'",B4,"','",C4,"','",D4,"','",E4,"'),")</f>
        <v>(2,'02','الشلف','Chlef','Chlef'),</v>
      </c>
    </row>
    <row r="5" spans="1:6" ht="20.100000000000001" customHeight="1" x14ac:dyDescent="0.25">
      <c r="A5" s="3">
        <v>3</v>
      </c>
      <c r="B5" s="6" t="s">
        <v>1103</v>
      </c>
      <c r="C5" s="4" t="s">
        <v>976</v>
      </c>
      <c r="D5" s="4" t="s">
        <v>977</v>
      </c>
      <c r="E5" s="4" t="s">
        <v>977</v>
      </c>
      <c r="F5" s="16" t="str">
        <f t="shared" si="0"/>
        <v>(3,'03','الأغواط','Laghouat','Laghouat'),</v>
      </c>
    </row>
    <row r="6" spans="1:6" ht="20.100000000000001" customHeight="1" x14ac:dyDescent="0.25">
      <c r="A6" s="3">
        <v>4</v>
      </c>
      <c r="B6" s="6" t="s">
        <v>1104</v>
      </c>
      <c r="C6" s="4" t="s">
        <v>978</v>
      </c>
      <c r="D6" s="4" t="s">
        <v>979</v>
      </c>
      <c r="E6" s="4" t="s">
        <v>979</v>
      </c>
      <c r="F6" s="16" t="str">
        <f t="shared" si="0"/>
        <v>(4,'04','أم البواقي','Oum El Bouaghi','Oum El Bouaghi'),</v>
      </c>
    </row>
    <row r="7" spans="1:6" ht="20.100000000000001" customHeight="1" x14ac:dyDescent="0.25">
      <c r="A7" s="3">
        <v>5</v>
      </c>
      <c r="B7" s="6" t="s">
        <v>1105</v>
      </c>
      <c r="C7" s="4" t="s">
        <v>980</v>
      </c>
      <c r="D7" s="4" t="s">
        <v>981</v>
      </c>
      <c r="E7" s="4" t="s">
        <v>981</v>
      </c>
      <c r="F7" s="16" t="str">
        <f t="shared" si="0"/>
        <v>(5,'05','باتنة','Batna','Batna'),</v>
      </c>
    </row>
    <row r="8" spans="1:6" ht="20.100000000000001" customHeight="1" x14ac:dyDescent="0.25">
      <c r="A8" s="3">
        <v>6</v>
      </c>
      <c r="B8" s="6" t="s">
        <v>1106</v>
      </c>
      <c r="C8" s="4" t="s">
        <v>982</v>
      </c>
      <c r="D8" s="4" t="s">
        <v>1091</v>
      </c>
      <c r="E8" s="4" t="s">
        <v>983</v>
      </c>
      <c r="F8" s="16" t="str">
        <f t="shared" si="0"/>
        <v>(6,'06','بجاية','Bejaia','Béjaïa'),</v>
      </c>
    </row>
    <row r="9" spans="1:6" ht="20.100000000000001" customHeight="1" x14ac:dyDescent="0.25">
      <c r="A9" s="3">
        <v>7</v>
      </c>
      <c r="B9" s="6" t="s">
        <v>1107</v>
      </c>
      <c r="C9" s="4" t="s">
        <v>984</v>
      </c>
      <c r="D9" s="4" t="s">
        <v>985</v>
      </c>
      <c r="E9" s="4" t="s">
        <v>985</v>
      </c>
      <c r="F9" s="16" t="str">
        <f t="shared" si="0"/>
        <v>(7,'07','بسكرة','Biskra','Biskra'),</v>
      </c>
    </row>
    <row r="10" spans="1:6" ht="20.100000000000001" customHeight="1" x14ac:dyDescent="0.25">
      <c r="A10" s="3">
        <v>8</v>
      </c>
      <c r="B10" s="6" t="s">
        <v>1108</v>
      </c>
      <c r="C10" s="4" t="s">
        <v>986</v>
      </c>
      <c r="D10" s="4" t="s">
        <v>1092</v>
      </c>
      <c r="E10" s="4" t="s">
        <v>987</v>
      </c>
      <c r="F10" s="16" t="str">
        <f t="shared" si="0"/>
        <v>(8,'08','بشار','Bechar','Béchar'),</v>
      </c>
    </row>
    <row r="11" spans="1:6" ht="20.100000000000001" customHeight="1" x14ac:dyDescent="0.25">
      <c r="A11" s="3">
        <v>9</v>
      </c>
      <c r="B11" s="6" t="s">
        <v>1109</v>
      </c>
      <c r="C11" s="4" t="s">
        <v>988</v>
      </c>
      <c r="D11" s="4" t="s">
        <v>989</v>
      </c>
      <c r="E11" s="4" t="s">
        <v>989</v>
      </c>
      <c r="F11" s="16" t="str">
        <f t="shared" si="0"/>
        <v>(9,'09','البليدة','Blida','Blida'),</v>
      </c>
    </row>
    <row r="12" spans="1:6" ht="20.100000000000001" customHeight="1" x14ac:dyDescent="0.25">
      <c r="A12" s="3">
        <v>10</v>
      </c>
      <c r="B12" s="6">
        <v>10</v>
      </c>
      <c r="C12" s="4" t="s">
        <v>990</v>
      </c>
      <c r="D12" s="4" t="s">
        <v>1088</v>
      </c>
      <c r="E12" s="4" t="s">
        <v>991</v>
      </c>
      <c r="F12" s="16" t="str">
        <f t="shared" si="0"/>
        <v>(10,'10','البويرة','Bouira','Bouïra'),</v>
      </c>
    </row>
    <row r="13" spans="1:6" ht="20.100000000000001" customHeight="1" x14ac:dyDescent="0.25">
      <c r="A13" s="3">
        <v>11</v>
      </c>
      <c r="B13" s="6">
        <v>11</v>
      </c>
      <c r="C13" s="4" t="s">
        <v>992</v>
      </c>
      <c r="D13" s="4" t="s">
        <v>993</v>
      </c>
      <c r="E13" s="4" t="s">
        <v>993</v>
      </c>
      <c r="F13" s="16" t="str">
        <f t="shared" si="0"/>
        <v>(11,'11','تمنراست','Tamanrasset','Tamanrasset'),</v>
      </c>
    </row>
    <row r="14" spans="1:6" ht="20.100000000000001" customHeight="1" x14ac:dyDescent="0.25">
      <c r="A14" s="3">
        <v>12</v>
      </c>
      <c r="B14" s="6">
        <v>12</v>
      </c>
      <c r="C14" s="4" t="s">
        <v>994</v>
      </c>
      <c r="D14" s="4" t="s">
        <v>1093</v>
      </c>
      <c r="E14" s="4" t="s">
        <v>995</v>
      </c>
      <c r="F14" s="16" t="str">
        <f t="shared" si="0"/>
        <v>(12,'12','تبسة','Tebessa','Tébessa'),</v>
      </c>
    </row>
    <row r="15" spans="1:6" ht="20.100000000000001" customHeight="1" x14ac:dyDescent="0.25">
      <c r="A15" s="3">
        <v>13</v>
      </c>
      <c r="B15" s="6">
        <v>13</v>
      </c>
      <c r="C15" s="4" t="s">
        <v>996</v>
      </c>
      <c r="D15" s="4" t="s">
        <v>997</v>
      </c>
      <c r="E15" s="4" t="s">
        <v>997</v>
      </c>
      <c r="F15" s="16" t="str">
        <f t="shared" si="0"/>
        <v>(13,'13','تلمسان','Tlemcen','Tlemcen'),</v>
      </c>
    </row>
    <row r="16" spans="1:6" ht="20.100000000000001" customHeight="1" x14ac:dyDescent="0.25">
      <c r="A16" s="3">
        <v>14</v>
      </c>
      <c r="B16" s="6">
        <v>14</v>
      </c>
      <c r="C16" s="4" t="s">
        <v>998</v>
      </c>
      <c r="D16" s="4" t="s">
        <v>999</v>
      </c>
      <c r="E16" s="4" t="s">
        <v>999</v>
      </c>
      <c r="F16" s="16" t="str">
        <f t="shared" si="0"/>
        <v>(14,'14','تيارت','Tiaret','Tiaret'),</v>
      </c>
    </row>
    <row r="17" spans="1:6" ht="20.100000000000001" customHeight="1" x14ac:dyDescent="0.25">
      <c r="A17" s="3">
        <v>15</v>
      </c>
      <c r="B17" s="6">
        <v>15</v>
      </c>
      <c r="C17" s="4" t="s">
        <v>1000</v>
      </c>
      <c r="D17" s="4" t="s">
        <v>1001</v>
      </c>
      <c r="E17" s="4" t="s">
        <v>1001</v>
      </c>
      <c r="F17" s="16" t="str">
        <f t="shared" si="0"/>
        <v>(15,'15','تيزي وزو','Tizi Ouzou','Tizi Ouzou'),</v>
      </c>
    </row>
    <row r="18" spans="1:6" ht="20.100000000000001" customHeight="1" x14ac:dyDescent="0.25">
      <c r="A18" s="3">
        <v>16</v>
      </c>
      <c r="B18" s="6">
        <v>16</v>
      </c>
      <c r="C18" s="4" t="s">
        <v>67</v>
      </c>
      <c r="D18" s="4" t="s">
        <v>1002</v>
      </c>
      <c r="E18" s="4" t="s">
        <v>1002</v>
      </c>
      <c r="F18" s="16" t="str">
        <f t="shared" si="0"/>
        <v>(16,'16','الجزائر','Alger','Alger'),</v>
      </c>
    </row>
    <row r="19" spans="1:6" ht="20.100000000000001" customHeight="1" x14ac:dyDescent="0.25">
      <c r="A19" s="3">
        <v>17</v>
      </c>
      <c r="B19" s="6">
        <v>17</v>
      </c>
      <c r="C19" s="4" t="s">
        <v>1003</v>
      </c>
      <c r="D19" s="4" t="s">
        <v>1004</v>
      </c>
      <c r="E19" s="4" t="s">
        <v>1004</v>
      </c>
      <c r="F19" s="16" t="str">
        <f t="shared" si="0"/>
        <v>(17,'17','الجلفة','Djelfa','Djelfa'),</v>
      </c>
    </row>
    <row r="20" spans="1:6" ht="20.100000000000001" customHeight="1" x14ac:dyDescent="0.25">
      <c r="A20" s="3">
        <v>18</v>
      </c>
      <c r="B20" s="6">
        <v>18</v>
      </c>
      <c r="C20" s="4" t="s">
        <v>1005</v>
      </c>
      <c r="D20" s="4" t="s">
        <v>1006</v>
      </c>
      <c r="E20" s="4" t="s">
        <v>1006</v>
      </c>
      <c r="F20" s="16" t="str">
        <f t="shared" si="0"/>
        <v>(18,'18','جيجل','Jijel','Jijel'),</v>
      </c>
    </row>
    <row r="21" spans="1:6" ht="20.100000000000001" customHeight="1" x14ac:dyDescent="0.25">
      <c r="A21" s="3">
        <v>19</v>
      </c>
      <c r="B21" s="6">
        <v>19</v>
      </c>
      <c r="C21" s="4" t="s">
        <v>1007</v>
      </c>
      <c r="D21" s="4" t="s">
        <v>1094</v>
      </c>
      <c r="E21" s="4" t="s">
        <v>1008</v>
      </c>
      <c r="F21" s="16" t="str">
        <f t="shared" si="0"/>
        <v>(19,'19','سطيف','Setif','Sétif'),</v>
      </c>
    </row>
    <row r="22" spans="1:6" ht="20.100000000000001" customHeight="1" x14ac:dyDescent="0.25">
      <c r="A22" s="3">
        <v>20</v>
      </c>
      <c r="B22" s="6">
        <v>20</v>
      </c>
      <c r="C22" s="4" t="s">
        <v>1009</v>
      </c>
      <c r="D22" s="4" t="s">
        <v>1089</v>
      </c>
      <c r="E22" s="4" t="s">
        <v>1010</v>
      </c>
      <c r="F22" s="16" t="str">
        <f t="shared" si="0"/>
        <v>(20,'20','سعيدة','Saida','Saïda'),</v>
      </c>
    </row>
    <row r="23" spans="1:6" ht="20.100000000000001" customHeight="1" x14ac:dyDescent="0.25">
      <c r="A23" s="3">
        <v>21</v>
      </c>
      <c r="B23" s="6">
        <v>21</v>
      </c>
      <c r="C23" s="4" t="s">
        <v>1011</v>
      </c>
      <c r="D23" s="4" t="s">
        <v>1012</v>
      </c>
      <c r="E23" s="4" t="s">
        <v>1012</v>
      </c>
      <c r="F23" s="16" t="str">
        <f t="shared" si="0"/>
        <v>(21,'21','سكيكدة','Skikda','Skikda'),</v>
      </c>
    </row>
    <row r="24" spans="1:6" ht="20.100000000000001" customHeight="1" x14ac:dyDescent="0.25">
      <c r="A24" s="3">
        <v>22</v>
      </c>
      <c r="B24" s="6">
        <v>22</v>
      </c>
      <c r="C24" s="4" t="s">
        <v>1013</v>
      </c>
      <c r="D24" s="4" t="s">
        <v>1099</v>
      </c>
      <c r="E24" s="4" t="s">
        <v>1014</v>
      </c>
      <c r="F24" s="16" t="str">
        <f t="shared" si="0"/>
        <v>(22,'22','سيدي بلعباس','Sidi Bel Abbes','Sidi Bel Abbès'),</v>
      </c>
    </row>
    <row r="25" spans="1:6" ht="20.100000000000001" customHeight="1" x14ac:dyDescent="0.25">
      <c r="A25" s="3">
        <v>23</v>
      </c>
      <c r="B25" s="6">
        <v>23</v>
      </c>
      <c r="C25" s="4" t="s">
        <v>1015</v>
      </c>
      <c r="D25" s="4" t="s">
        <v>1016</v>
      </c>
      <c r="E25" s="4" t="s">
        <v>1016</v>
      </c>
      <c r="F25" s="16" t="str">
        <f t="shared" si="0"/>
        <v>(23,'23','عنابة','Annaba','Annaba'),</v>
      </c>
    </row>
    <row r="26" spans="1:6" ht="20.100000000000001" customHeight="1" x14ac:dyDescent="0.25">
      <c r="A26" s="3">
        <v>24</v>
      </c>
      <c r="B26" s="6">
        <v>24</v>
      </c>
      <c r="C26" s="4" t="s">
        <v>1017</v>
      </c>
      <c r="D26" s="4" t="s">
        <v>1018</v>
      </c>
      <c r="E26" s="4" t="s">
        <v>1018</v>
      </c>
      <c r="F26" s="16" t="str">
        <f t="shared" si="0"/>
        <v>(24,'24','قالمة','Guelma','Guelma'),</v>
      </c>
    </row>
    <row r="27" spans="1:6" ht="20.100000000000001" customHeight="1" x14ac:dyDescent="0.25">
      <c r="A27" s="3">
        <v>25</v>
      </c>
      <c r="B27" s="6">
        <v>25</v>
      </c>
      <c r="C27" s="4" t="s">
        <v>1019</v>
      </c>
      <c r="D27" s="4" t="s">
        <v>1020</v>
      </c>
      <c r="E27" s="4" t="s">
        <v>1020</v>
      </c>
      <c r="F27" s="16" t="str">
        <f t="shared" si="0"/>
        <v>(25,'25','قسنطينة','Constantine','Constantine'),</v>
      </c>
    </row>
    <row r="28" spans="1:6" ht="20.100000000000001" customHeight="1" x14ac:dyDescent="0.25">
      <c r="A28" s="3">
        <v>26</v>
      </c>
      <c r="B28" s="6">
        <v>26</v>
      </c>
      <c r="C28" s="4" t="s">
        <v>1021</v>
      </c>
      <c r="D28" s="4" t="s">
        <v>1095</v>
      </c>
      <c r="E28" s="4" t="s">
        <v>1022</v>
      </c>
      <c r="F28" s="16" t="str">
        <f t="shared" si="0"/>
        <v>(26,'26','المدية','Medea','Médéa'),</v>
      </c>
    </row>
    <row r="29" spans="1:6" ht="20.100000000000001" customHeight="1" x14ac:dyDescent="0.25">
      <c r="A29" s="3">
        <v>27</v>
      </c>
      <c r="B29" s="6">
        <v>27</v>
      </c>
      <c r="C29" s="4" t="s">
        <v>1023</v>
      </c>
      <c r="D29" s="4" t="s">
        <v>1024</v>
      </c>
      <c r="E29" s="4" t="s">
        <v>1024</v>
      </c>
      <c r="F29" s="16" t="str">
        <f t="shared" si="0"/>
        <v>(27,'27','مستغانم','Mostaganem','Mostaganem'),</v>
      </c>
    </row>
    <row r="30" spans="1:6" ht="20.100000000000001" customHeight="1" x14ac:dyDescent="0.25">
      <c r="A30" s="3">
        <v>28</v>
      </c>
      <c r="B30" s="6">
        <v>28</v>
      </c>
      <c r="C30" s="4" t="s">
        <v>1025</v>
      </c>
      <c r="D30" s="4" t="s">
        <v>1026</v>
      </c>
      <c r="E30" s="4" t="s">
        <v>1026</v>
      </c>
      <c r="F30" s="16" t="str">
        <f t="shared" si="0"/>
        <v>(28,'28','المسيلة','M'Sila','M'Sila'),</v>
      </c>
    </row>
    <row r="31" spans="1:6" ht="20.100000000000001" customHeight="1" x14ac:dyDescent="0.25">
      <c r="A31" s="3">
        <v>29</v>
      </c>
      <c r="B31" s="6">
        <v>29</v>
      </c>
      <c r="C31" s="4" t="s">
        <v>1027</v>
      </c>
      <c r="D31" s="4" t="s">
        <v>1028</v>
      </c>
      <c r="E31" s="4" t="s">
        <v>1028</v>
      </c>
      <c r="F31" s="16" t="str">
        <f t="shared" si="0"/>
        <v>(29,'29','معسكر','Mascara','Mascara'),</v>
      </c>
    </row>
    <row r="32" spans="1:6" ht="20.100000000000001" customHeight="1" x14ac:dyDescent="0.25">
      <c r="A32" s="3">
        <v>30</v>
      </c>
      <c r="B32" s="6">
        <v>30</v>
      </c>
      <c r="C32" s="4" t="s">
        <v>1029</v>
      </c>
      <c r="D32" s="4" t="s">
        <v>1030</v>
      </c>
      <c r="E32" s="4" t="s">
        <v>1030</v>
      </c>
      <c r="F32" s="16" t="str">
        <f t="shared" si="0"/>
        <v>(30,'30','ورقلة','Ouargla','Ouargla'),</v>
      </c>
    </row>
    <row r="33" spans="1:6" ht="20.100000000000001" customHeight="1" x14ac:dyDescent="0.25">
      <c r="A33" s="3">
        <v>31</v>
      </c>
      <c r="B33" s="6">
        <v>31</v>
      </c>
      <c r="C33" s="4" t="s">
        <v>1031</v>
      </c>
      <c r="D33" s="4" t="s">
        <v>1032</v>
      </c>
      <c r="E33" s="4" t="s">
        <v>1032</v>
      </c>
      <c r="F33" s="16" t="str">
        <f t="shared" si="0"/>
        <v>(31,'31','وهران','Oran','Oran'),</v>
      </c>
    </row>
    <row r="34" spans="1:6" ht="20.100000000000001" customHeight="1" x14ac:dyDescent="0.25">
      <c r="A34" s="3">
        <v>32</v>
      </c>
      <c r="B34" s="6">
        <v>32</v>
      </c>
      <c r="C34" s="4" t="s">
        <v>1033</v>
      </c>
      <c r="D34" s="4" t="s">
        <v>1034</v>
      </c>
      <c r="E34" s="4" t="s">
        <v>1034</v>
      </c>
      <c r="F34" s="16" t="str">
        <f t="shared" si="0"/>
        <v>(32,'32','البيض','El Bayadh','El Bayadh'),</v>
      </c>
    </row>
    <row r="35" spans="1:6" ht="20.100000000000001" customHeight="1" x14ac:dyDescent="0.25">
      <c r="A35" s="3">
        <v>33</v>
      </c>
      <c r="B35" s="6">
        <v>33</v>
      </c>
      <c r="C35" s="4" t="s">
        <v>1035</v>
      </c>
      <c r="D35" s="4" t="s">
        <v>1036</v>
      </c>
      <c r="E35" s="4" t="s">
        <v>1036</v>
      </c>
      <c r="F35" s="16" t="str">
        <f t="shared" si="0"/>
        <v>(33,'33','إليزي','Illizi','Illizi'),</v>
      </c>
    </row>
    <row r="36" spans="1:6" ht="20.100000000000001" customHeight="1" x14ac:dyDescent="0.25">
      <c r="A36" s="3">
        <v>34</v>
      </c>
      <c r="B36" s="6">
        <v>34</v>
      </c>
      <c r="C36" s="4" t="s">
        <v>1037</v>
      </c>
      <c r="D36" s="4" t="s">
        <v>1096</v>
      </c>
      <c r="E36" s="4" t="s">
        <v>1038</v>
      </c>
      <c r="F36" s="16" t="str">
        <f t="shared" si="0"/>
        <v>(34,'34','برج بوعريريج','Bordj Bou Arreridj','Bordj Bou Arréridj'),</v>
      </c>
    </row>
    <row r="37" spans="1:6" ht="20.100000000000001" customHeight="1" x14ac:dyDescent="0.25">
      <c r="A37" s="3">
        <v>35</v>
      </c>
      <c r="B37" s="6">
        <v>35</v>
      </c>
      <c r="C37" s="4" t="s">
        <v>1039</v>
      </c>
      <c r="D37" s="4" t="s">
        <v>1100</v>
      </c>
      <c r="E37" s="4" t="s">
        <v>1040</v>
      </c>
      <c r="F37" s="16" t="str">
        <f t="shared" si="0"/>
        <v>(35,'35','بومرداس','Boumerdes','Boumerdès'),</v>
      </c>
    </row>
    <row r="38" spans="1:6" ht="20.100000000000001" customHeight="1" x14ac:dyDescent="0.25">
      <c r="A38" s="3">
        <v>36</v>
      </c>
      <c r="B38" s="6">
        <v>36</v>
      </c>
      <c r="C38" s="4" t="s">
        <v>1041</v>
      </c>
      <c r="D38" s="4" t="s">
        <v>1042</v>
      </c>
      <c r="E38" s="4" t="s">
        <v>1042</v>
      </c>
      <c r="F38" s="16" t="str">
        <f t="shared" si="0"/>
        <v>(36,'36','الطارف','El Tarf','El Tarf'),</v>
      </c>
    </row>
    <row r="39" spans="1:6" ht="20.100000000000001" customHeight="1" x14ac:dyDescent="0.25">
      <c r="A39" s="3">
        <v>37</v>
      </c>
      <c r="B39" s="6">
        <v>37</v>
      </c>
      <c r="C39" s="4" t="s">
        <v>1043</v>
      </c>
      <c r="D39" s="4" t="s">
        <v>1044</v>
      </c>
      <c r="E39" s="4" t="s">
        <v>1044</v>
      </c>
      <c r="F39" s="16" t="str">
        <f t="shared" si="0"/>
        <v>(37,'37','تندوف','Tindouf','Tindouf'),</v>
      </c>
    </row>
    <row r="40" spans="1:6" ht="20.100000000000001" customHeight="1" x14ac:dyDescent="0.25">
      <c r="A40" s="3">
        <v>38</v>
      </c>
      <c r="B40" s="6">
        <v>38</v>
      </c>
      <c r="C40" s="4" t="s">
        <v>1045</v>
      </c>
      <c r="D40" s="4" t="s">
        <v>1046</v>
      </c>
      <c r="E40" s="4" t="s">
        <v>1046</v>
      </c>
      <c r="F40" s="16" t="str">
        <f t="shared" si="0"/>
        <v>(38,'38','تيسمسيلت','Tissemsilt','Tissemsilt'),</v>
      </c>
    </row>
    <row r="41" spans="1:6" ht="20.100000000000001" customHeight="1" x14ac:dyDescent="0.25">
      <c r="A41" s="3">
        <v>39</v>
      </c>
      <c r="B41" s="6">
        <v>39</v>
      </c>
      <c r="C41" s="4" t="s">
        <v>1047</v>
      </c>
      <c r="D41" s="4" t="s">
        <v>1048</v>
      </c>
      <c r="E41" s="4" t="s">
        <v>1048</v>
      </c>
      <c r="F41" s="16" t="str">
        <f t="shared" si="0"/>
        <v>(39,'39','الوادي','El Oued','El Oued'),</v>
      </c>
    </row>
    <row r="42" spans="1:6" ht="20.100000000000001" customHeight="1" x14ac:dyDescent="0.25">
      <c r="A42" s="3">
        <v>40</v>
      </c>
      <c r="B42" s="6">
        <v>40</v>
      </c>
      <c r="C42" s="4" t="s">
        <v>1049</v>
      </c>
      <c r="D42" s="4" t="s">
        <v>1050</v>
      </c>
      <c r="E42" s="4" t="s">
        <v>1050</v>
      </c>
      <c r="F42" s="16" t="str">
        <f t="shared" si="0"/>
        <v>(40,'40','خنشلة','Khenchela','Khenchela'),</v>
      </c>
    </row>
    <row r="43" spans="1:6" ht="20.100000000000001" customHeight="1" x14ac:dyDescent="0.25">
      <c r="A43" s="3">
        <v>41</v>
      </c>
      <c r="B43" s="6">
        <v>41</v>
      </c>
      <c r="C43" s="4" t="s">
        <v>1051</v>
      </c>
      <c r="D43" s="4" t="s">
        <v>1052</v>
      </c>
      <c r="E43" s="4" t="s">
        <v>1052</v>
      </c>
      <c r="F43" s="16" t="str">
        <f t="shared" si="0"/>
        <v>(41,'41','سوق أهراس','Souk Ahras','Souk Ahras'),</v>
      </c>
    </row>
    <row r="44" spans="1:6" ht="20.100000000000001" customHeight="1" x14ac:dyDescent="0.25">
      <c r="A44" s="3">
        <v>42</v>
      </c>
      <c r="B44" s="6">
        <v>42</v>
      </c>
      <c r="C44" s="4" t="s">
        <v>1053</v>
      </c>
      <c r="D44" s="4" t="s">
        <v>1054</v>
      </c>
      <c r="E44" s="4" t="s">
        <v>1054</v>
      </c>
      <c r="F44" s="16" t="str">
        <f t="shared" si="0"/>
        <v>(42,'42','تيبازة','Tipaza','Tipaza'),</v>
      </c>
    </row>
    <row r="45" spans="1:6" ht="20.100000000000001" customHeight="1" x14ac:dyDescent="0.25">
      <c r="A45" s="3">
        <v>43</v>
      </c>
      <c r="B45" s="6">
        <v>43</v>
      </c>
      <c r="C45" s="4" t="s">
        <v>1055</v>
      </c>
      <c r="D45" s="4" t="s">
        <v>1056</v>
      </c>
      <c r="E45" s="4" t="s">
        <v>1056</v>
      </c>
      <c r="F45" s="16" t="str">
        <f t="shared" si="0"/>
        <v>(43,'43','ميلة','Mila','Mila'),</v>
      </c>
    </row>
    <row r="46" spans="1:6" ht="20.100000000000001" customHeight="1" x14ac:dyDescent="0.25">
      <c r="A46" s="3">
        <v>44</v>
      </c>
      <c r="B46" s="6">
        <v>44</v>
      </c>
      <c r="C46" s="4" t="s">
        <v>1057</v>
      </c>
      <c r="D46" s="4" t="s">
        <v>1090</v>
      </c>
      <c r="E46" s="4" t="s">
        <v>1058</v>
      </c>
      <c r="F46" s="16" t="str">
        <f t="shared" si="0"/>
        <v>(44,'44','عين الدفلى','Ain Defla','Aïn Defla'),</v>
      </c>
    </row>
    <row r="47" spans="1:6" ht="20.100000000000001" customHeight="1" x14ac:dyDescent="0.25">
      <c r="A47" s="3">
        <v>45</v>
      </c>
      <c r="B47" s="6">
        <v>45</v>
      </c>
      <c r="C47" s="4" t="s">
        <v>1059</v>
      </c>
      <c r="D47" s="4" t="s">
        <v>1060</v>
      </c>
      <c r="E47" s="4" t="s">
        <v>1060</v>
      </c>
      <c r="F47" s="16" t="str">
        <f t="shared" si="0"/>
        <v>(45,'45','النعامة','Naâma','Naâma'),</v>
      </c>
    </row>
    <row r="48" spans="1:6" ht="20.100000000000001" customHeight="1" x14ac:dyDescent="0.25">
      <c r="A48" s="3">
        <v>46</v>
      </c>
      <c r="B48" s="6">
        <v>46</v>
      </c>
      <c r="C48" s="4" t="s">
        <v>1061</v>
      </c>
      <c r="D48" s="4" t="s">
        <v>1097</v>
      </c>
      <c r="E48" s="4" t="s">
        <v>1062</v>
      </c>
      <c r="F48" s="16" t="str">
        <f t="shared" si="0"/>
        <v>(46,'46','عين تموشنت','Ain Temouchent','Aïn Témouchent'),</v>
      </c>
    </row>
    <row r="49" spans="1:6" ht="20.100000000000001" customHeight="1" x14ac:dyDescent="0.25">
      <c r="A49" s="3">
        <v>47</v>
      </c>
      <c r="B49" s="6">
        <v>47</v>
      </c>
      <c r="C49" s="4" t="s">
        <v>1063</v>
      </c>
      <c r="D49" s="4" t="s">
        <v>1087</v>
      </c>
      <c r="E49" s="4" t="s">
        <v>1064</v>
      </c>
      <c r="F49" s="16" t="str">
        <f t="shared" si="0"/>
        <v>(47,'47','غرداية','Ghardaia','Ghardaïa'),</v>
      </c>
    </row>
    <row r="50" spans="1:6" ht="20.100000000000001" customHeight="1" x14ac:dyDescent="0.25">
      <c r="A50" s="3">
        <v>48</v>
      </c>
      <c r="B50" s="6">
        <v>48</v>
      </c>
      <c r="C50" s="4" t="s">
        <v>1065</v>
      </c>
      <c r="D50" s="4" t="s">
        <v>1066</v>
      </c>
      <c r="E50" s="4" t="s">
        <v>1066</v>
      </c>
      <c r="F50" s="16" t="str">
        <f t="shared" si="0"/>
        <v>(48,'48','غليزان','Relizane','Relizane'),</v>
      </c>
    </row>
    <row r="51" spans="1:6" ht="20.100000000000001" customHeight="1" x14ac:dyDescent="0.25">
      <c r="A51" s="3">
        <v>49</v>
      </c>
      <c r="B51" s="6">
        <v>49</v>
      </c>
      <c r="C51" s="4" t="s">
        <v>1067</v>
      </c>
      <c r="D51" s="4" t="s">
        <v>1068</v>
      </c>
      <c r="E51" s="4" t="s">
        <v>1068</v>
      </c>
      <c r="F51" s="16" t="str">
        <f t="shared" si="0"/>
        <v>(49,'49','تيميمون','Timimoun','Timimoun'),</v>
      </c>
    </row>
    <row r="52" spans="1:6" ht="20.100000000000001" customHeight="1" x14ac:dyDescent="0.25">
      <c r="A52" s="3">
        <v>50</v>
      </c>
      <c r="B52" s="6">
        <v>50</v>
      </c>
      <c r="C52" s="4" t="s">
        <v>1069</v>
      </c>
      <c r="D52" s="4" t="s">
        <v>1070</v>
      </c>
      <c r="E52" s="4" t="s">
        <v>1070</v>
      </c>
      <c r="F52" s="16" t="str">
        <f t="shared" si="0"/>
        <v>(50,'50','برج باجي مختار','Bordj Baji Mokhtar','Bordj Baji Mokhtar'),</v>
      </c>
    </row>
    <row r="53" spans="1:6" ht="20.100000000000001" customHeight="1" x14ac:dyDescent="0.25">
      <c r="A53" s="3">
        <v>51</v>
      </c>
      <c r="B53" s="6">
        <v>51</v>
      </c>
      <c r="C53" s="4" t="s">
        <v>1071</v>
      </c>
      <c r="D53" s="4" t="s">
        <v>1072</v>
      </c>
      <c r="E53" s="4" t="s">
        <v>1072</v>
      </c>
      <c r="F53" s="16" t="str">
        <f t="shared" si="0"/>
        <v>(51,'51','أولاد جلال','Ouled Djellal','Ouled Djellal'),</v>
      </c>
    </row>
    <row r="54" spans="1:6" ht="20.100000000000001" customHeight="1" x14ac:dyDescent="0.25">
      <c r="A54" s="3">
        <v>52</v>
      </c>
      <c r="B54" s="6">
        <v>52</v>
      </c>
      <c r="C54" s="4" t="s">
        <v>1073</v>
      </c>
      <c r="D54" s="4" t="s">
        <v>1098</v>
      </c>
      <c r="E54" s="4" t="s">
        <v>1074</v>
      </c>
      <c r="F54" s="16" t="str">
        <f t="shared" si="0"/>
        <v>(52,'52','بني عباس','Beni Abbes','Béni Abbès'),</v>
      </c>
    </row>
    <row r="55" spans="1:6" ht="20.100000000000001" customHeight="1" x14ac:dyDescent="0.25">
      <c r="A55" s="3">
        <v>53</v>
      </c>
      <c r="B55" s="6">
        <v>53</v>
      </c>
      <c r="C55" s="4" t="s">
        <v>1075</v>
      </c>
      <c r="D55" s="4" t="s">
        <v>1076</v>
      </c>
      <c r="E55" s="4" t="s">
        <v>1076</v>
      </c>
      <c r="F55" s="16" t="str">
        <f t="shared" si="0"/>
        <v>(53,'53','إن صالح','In Salah','In Salah'),</v>
      </c>
    </row>
    <row r="56" spans="1:6" ht="20.100000000000001" customHeight="1" x14ac:dyDescent="0.25">
      <c r="A56" s="3">
        <v>54</v>
      </c>
      <c r="B56" s="6">
        <v>54</v>
      </c>
      <c r="C56" s="4" t="s">
        <v>1077</v>
      </c>
      <c r="D56" s="4" t="s">
        <v>1078</v>
      </c>
      <c r="E56" s="4" t="s">
        <v>1078</v>
      </c>
      <c r="F56" s="16" t="str">
        <f t="shared" si="0"/>
        <v>(54,'54','إن قزام','In Guezzam','In Guezzam'),</v>
      </c>
    </row>
    <row r="57" spans="1:6" ht="20.100000000000001" customHeight="1" x14ac:dyDescent="0.25">
      <c r="A57" s="3">
        <v>55</v>
      </c>
      <c r="B57" s="6">
        <v>55</v>
      </c>
      <c r="C57" s="4" t="s">
        <v>1079</v>
      </c>
      <c r="D57" s="4" t="s">
        <v>1080</v>
      </c>
      <c r="E57" s="4" t="s">
        <v>1080</v>
      </c>
      <c r="F57" s="16" t="str">
        <f t="shared" si="0"/>
        <v>(55,'55','تقرت','Touggourt','Touggourt'),</v>
      </c>
    </row>
    <row r="58" spans="1:6" ht="20.100000000000001" customHeight="1" x14ac:dyDescent="0.25">
      <c r="A58" s="3">
        <v>56</v>
      </c>
      <c r="B58" s="6">
        <v>56</v>
      </c>
      <c r="C58" s="4" t="s">
        <v>1081</v>
      </c>
      <c r="D58" s="4" t="s">
        <v>1082</v>
      </c>
      <c r="E58" s="4" t="s">
        <v>1082</v>
      </c>
      <c r="F58" s="16" t="str">
        <f t="shared" si="0"/>
        <v>(56,'56','جانت','Djanet','Djanet'),</v>
      </c>
    </row>
    <row r="59" spans="1:6" ht="20.100000000000001" customHeight="1" x14ac:dyDescent="0.25">
      <c r="A59" s="3">
        <v>57</v>
      </c>
      <c r="B59" s="6">
        <v>57</v>
      </c>
      <c r="C59" s="4" t="s">
        <v>1083</v>
      </c>
      <c r="D59" s="4" t="s">
        <v>1084</v>
      </c>
      <c r="E59" s="4" t="s">
        <v>1084</v>
      </c>
      <c r="F59" s="16" t="str">
        <f t="shared" si="0"/>
        <v>(57,'57','المغير','El M'Ghair','El M'Ghair'),</v>
      </c>
    </row>
    <row r="60" spans="1:6" ht="20.100000000000001" customHeight="1" x14ac:dyDescent="0.25">
      <c r="A60" s="3">
        <v>58</v>
      </c>
      <c r="B60" s="6">
        <v>58</v>
      </c>
      <c r="C60" s="4" t="s">
        <v>1085</v>
      </c>
      <c r="D60" s="4" t="s">
        <v>1086</v>
      </c>
      <c r="E60" s="4" t="s">
        <v>1086</v>
      </c>
      <c r="F60" s="16" t="str">
        <f t="shared" si="0"/>
        <v>(58,'58','المنيعة','El Menia','El Menia'),</v>
      </c>
    </row>
  </sheetData>
  <autoFilter ref="A2:F60"/>
  <pageMargins left="0.7" right="0.7" top="0.75" bottom="0.75" header="0.3" footer="0.3"/>
  <ignoredErrors>
    <ignoredError sqref="B3:B11" numberStoredAsText="1"/>
  </ignoredError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70C0"/>
  </sheetPr>
  <dimension ref="A1:G549"/>
  <sheetViews>
    <sheetView topLeftCell="A521" workbookViewId="0">
      <selection activeCell="G2" sqref="G2:G549"/>
    </sheetView>
  </sheetViews>
  <sheetFormatPr baseColWidth="10" defaultColWidth="10.85546875" defaultRowHeight="15.75" x14ac:dyDescent="0.25"/>
  <cols>
    <col min="1" max="1" width="5.5703125" style="2" customWidth="1"/>
    <col min="2" max="2" width="10.5703125" style="2" customWidth="1"/>
    <col min="3" max="5" width="30.5703125" style="2" customWidth="1"/>
    <col min="6" max="6" width="10.5703125" style="2" customWidth="1"/>
    <col min="7" max="7" width="100.7109375" style="2" customWidth="1"/>
    <col min="8" max="16384" width="10.85546875" style="2"/>
  </cols>
  <sheetData>
    <row r="1" spans="1:7" ht="20.100000000000001" customHeight="1" x14ac:dyDescent="0.25">
      <c r="A1" s="1" t="s">
        <v>37</v>
      </c>
      <c r="B1" s="1" t="s">
        <v>54</v>
      </c>
      <c r="C1" s="1" t="s">
        <v>38</v>
      </c>
      <c r="D1" s="1" t="s">
        <v>39</v>
      </c>
      <c r="E1" s="1" t="s">
        <v>40</v>
      </c>
      <c r="F1" s="1" t="s">
        <v>4074</v>
      </c>
      <c r="G1" s="1" t="s">
        <v>5597</v>
      </c>
    </row>
    <row r="2" spans="1:7" ht="20.100000000000001" customHeight="1" x14ac:dyDescent="0.25">
      <c r="A2" s="1" t="s">
        <v>44</v>
      </c>
      <c r="B2" s="1" t="s">
        <v>41</v>
      </c>
      <c r="C2" s="1" t="s">
        <v>42</v>
      </c>
      <c r="D2" s="1" t="s">
        <v>43</v>
      </c>
      <c r="E2" s="1" t="s">
        <v>53</v>
      </c>
      <c r="F2" s="1" t="s">
        <v>2094</v>
      </c>
      <c r="G2" s="1" t="s">
        <v>5620</v>
      </c>
    </row>
    <row r="3" spans="1:7" ht="20.100000000000001" customHeight="1" x14ac:dyDescent="0.25">
      <c r="A3" s="3">
        <v>1</v>
      </c>
      <c r="B3" s="8">
        <v>101</v>
      </c>
      <c r="C3" s="4" t="s">
        <v>971</v>
      </c>
      <c r="D3" s="4" t="s">
        <v>973</v>
      </c>
      <c r="E3" s="4" t="s">
        <v>973</v>
      </c>
      <c r="F3" s="7">
        <v>1</v>
      </c>
      <c r="G3" s="16" t="str">
        <f>CONCATENATE("(",A3,",'",B3,"','",C3,"','",D3,"','",E3,"',",F3,"),")</f>
        <v>(1,'101','أدرار','Adrar','Adrar',1),</v>
      </c>
    </row>
    <row r="4" spans="1:7" ht="20.100000000000001" customHeight="1" x14ac:dyDescent="0.25">
      <c r="A4" s="3">
        <v>2</v>
      </c>
      <c r="B4" s="8">
        <v>104</v>
      </c>
      <c r="C4" s="4" t="s">
        <v>1124</v>
      </c>
      <c r="D4" s="4" t="s">
        <v>1123</v>
      </c>
      <c r="E4" s="4" t="s">
        <v>1123</v>
      </c>
      <c r="F4" s="7">
        <v>1</v>
      </c>
      <c r="G4" s="16" t="str">
        <f t="shared" ref="G4:G67" si="0">CONCATENATE("(",A4,",'",B4,"','",C4,"','",D4,"','",E4,"',",F4,"),")</f>
        <v>(2,'104','رقان','Reggane','Reggane',1),</v>
      </c>
    </row>
    <row r="5" spans="1:7" ht="20.100000000000001" customHeight="1" x14ac:dyDescent="0.25">
      <c r="A5" s="3">
        <v>3</v>
      </c>
      <c r="B5" s="8">
        <v>108</v>
      </c>
      <c r="C5" s="4" t="s">
        <v>1126</v>
      </c>
      <c r="D5" s="4" t="s">
        <v>1125</v>
      </c>
      <c r="E5" s="4" t="s">
        <v>1125</v>
      </c>
      <c r="F5" s="7">
        <v>1</v>
      </c>
      <c r="G5" s="16" t="str">
        <f t="shared" si="0"/>
        <v>(3,'108','تسابيت','Tsabit','Tsabit',1),</v>
      </c>
    </row>
    <row r="6" spans="1:7" ht="20.100000000000001" customHeight="1" x14ac:dyDescent="0.25">
      <c r="A6" s="3">
        <v>4</v>
      </c>
      <c r="B6" s="8">
        <v>111</v>
      </c>
      <c r="C6" s="4" t="s">
        <v>1120</v>
      </c>
      <c r="D6" s="4" t="s">
        <v>1119</v>
      </c>
      <c r="E6" s="4" t="s">
        <v>1119</v>
      </c>
      <c r="F6" s="7">
        <v>1</v>
      </c>
      <c r="G6" s="16" t="str">
        <f t="shared" si="0"/>
        <v>(4,'111','زاوية كنتة','Zaouiat Kounta','Zaouiat Kounta',1),</v>
      </c>
    </row>
    <row r="7" spans="1:7" ht="20.100000000000001" customHeight="1" x14ac:dyDescent="0.25">
      <c r="A7" s="3">
        <v>5</v>
      </c>
      <c r="B7" s="8">
        <v>112</v>
      </c>
      <c r="C7" s="4" t="s">
        <v>1111</v>
      </c>
      <c r="D7" s="4" t="s">
        <v>1110</v>
      </c>
      <c r="E7" s="4" t="s">
        <v>1110</v>
      </c>
      <c r="F7" s="7">
        <v>1</v>
      </c>
      <c r="G7" s="16" t="str">
        <f t="shared" si="0"/>
        <v>(5,'112','أولف','Aoulef','Aoulef',1),</v>
      </c>
    </row>
    <row r="8" spans="1:7" ht="20.100000000000001" customHeight="1" x14ac:dyDescent="0.25">
      <c r="A8" s="3">
        <v>6</v>
      </c>
      <c r="B8" s="8">
        <v>115</v>
      </c>
      <c r="C8" s="4" t="s">
        <v>1118</v>
      </c>
      <c r="D8" s="4" t="s">
        <v>1117</v>
      </c>
      <c r="E8" s="4" t="s">
        <v>1117</v>
      </c>
      <c r="F8" s="7">
        <v>1</v>
      </c>
      <c r="G8" s="16" t="str">
        <f t="shared" si="0"/>
        <v>(6,'115','فنوغيل','Fenoughil','Fenoughil',1),</v>
      </c>
    </row>
    <row r="9" spans="1:7" ht="20.100000000000001" customHeight="1" x14ac:dyDescent="0.25">
      <c r="A9" s="3">
        <v>7</v>
      </c>
      <c r="B9" s="8">
        <v>201</v>
      </c>
      <c r="C9" s="4" t="s">
        <v>974</v>
      </c>
      <c r="D9" s="4" t="s">
        <v>975</v>
      </c>
      <c r="E9" s="4" t="s">
        <v>975</v>
      </c>
      <c r="F9" s="7">
        <v>2</v>
      </c>
      <c r="G9" s="16" t="str">
        <f t="shared" si="0"/>
        <v>(7,'201','الشلف','Chlef','Chlef',2),</v>
      </c>
    </row>
    <row r="10" spans="1:7" ht="20.100000000000001" customHeight="1" x14ac:dyDescent="0.25">
      <c r="A10" s="3">
        <v>8</v>
      </c>
      <c r="B10" s="8">
        <v>202</v>
      </c>
      <c r="C10" s="4" t="s">
        <v>1150</v>
      </c>
      <c r="D10" s="4" t="s">
        <v>1149</v>
      </c>
      <c r="E10" s="4" t="s">
        <v>1149</v>
      </c>
      <c r="F10" s="7">
        <v>2</v>
      </c>
      <c r="G10" s="16" t="str">
        <f t="shared" si="0"/>
        <v>(8,'202','تنس','Tenes','Tenes',2),</v>
      </c>
    </row>
    <row r="11" spans="1:7" ht="20.100000000000001" customHeight="1" x14ac:dyDescent="0.25">
      <c r="A11" s="3">
        <v>9</v>
      </c>
      <c r="B11" s="8">
        <v>204</v>
      </c>
      <c r="C11" s="4" t="s">
        <v>1134</v>
      </c>
      <c r="D11" s="4" t="s">
        <v>1133</v>
      </c>
      <c r="E11" s="4" t="s">
        <v>1133</v>
      </c>
      <c r="F11" s="7">
        <v>2</v>
      </c>
      <c r="G11" s="16" t="str">
        <f t="shared" si="0"/>
        <v>(9,'204','الكريمية','El Karimia','El Karimia',2),</v>
      </c>
    </row>
    <row r="12" spans="1:7" ht="20.100000000000001" customHeight="1" x14ac:dyDescent="0.25">
      <c r="A12" s="3">
        <v>10</v>
      </c>
      <c r="B12" s="8">
        <v>206</v>
      </c>
      <c r="C12" s="4" t="s">
        <v>1144</v>
      </c>
      <c r="D12" s="4" t="s">
        <v>1143</v>
      </c>
      <c r="E12" s="4" t="s">
        <v>1143</v>
      </c>
      <c r="F12" s="6">
        <v>2</v>
      </c>
      <c r="G12" s="16" t="str">
        <f t="shared" si="0"/>
        <v>(10,'206','تاوقريت','Taougrit','Taougrit',2),</v>
      </c>
    </row>
    <row r="13" spans="1:7" ht="20.100000000000001" customHeight="1" x14ac:dyDescent="0.25">
      <c r="A13" s="3">
        <v>11</v>
      </c>
      <c r="B13" s="8">
        <v>207</v>
      </c>
      <c r="C13" s="4" t="s">
        <v>1136</v>
      </c>
      <c r="D13" s="4" t="s">
        <v>1135</v>
      </c>
      <c r="E13" s="4" t="s">
        <v>1135</v>
      </c>
      <c r="F13" s="6">
        <v>2</v>
      </c>
      <c r="G13" s="16" t="str">
        <f t="shared" si="0"/>
        <v>(11,'207','بني حواء','Beni Haoua','Beni Haoua',2),</v>
      </c>
    </row>
    <row r="14" spans="1:7" ht="20.100000000000001" customHeight="1" x14ac:dyDescent="0.25">
      <c r="A14" s="3">
        <v>12</v>
      </c>
      <c r="B14" s="8">
        <v>210</v>
      </c>
      <c r="C14" s="4" t="s">
        <v>1142</v>
      </c>
      <c r="D14" s="4" t="s">
        <v>1141</v>
      </c>
      <c r="E14" s="4" t="s">
        <v>1141</v>
      </c>
      <c r="F14" s="6">
        <v>2</v>
      </c>
      <c r="G14" s="16" t="str">
        <f t="shared" si="0"/>
        <v>(12,'210','أولاد فارس','Ouled Fares','Ouled Fares',2),</v>
      </c>
    </row>
    <row r="15" spans="1:7" ht="20.100000000000001" customHeight="1" x14ac:dyDescent="0.25">
      <c r="A15" s="3">
        <v>13</v>
      </c>
      <c r="B15" s="8">
        <v>212</v>
      </c>
      <c r="C15" s="4" t="s">
        <v>1140</v>
      </c>
      <c r="D15" s="4" t="s">
        <v>1139</v>
      </c>
      <c r="E15" s="4" t="s">
        <v>1139</v>
      </c>
      <c r="F15" s="6">
        <v>2</v>
      </c>
      <c r="G15" s="16" t="str">
        <f t="shared" si="0"/>
        <v>(13,'212','بوقادير','Boukadir','Boukadir',2),</v>
      </c>
    </row>
    <row r="16" spans="1:7" ht="20.100000000000001" customHeight="1" x14ac:dyDescent="0.25">
      <c r="A16" s="3">
        <v>14</v>
      </c>
      <c r="B16" s="8">
        <v>220</v>
      </c>
      <c r="C16" s="4" t="s">
        <v>1132</v>
      </c>
      <c r="D16" s="4" t="s">
        <v>1131</v>
      </c>
      <c r="E16" s="4" t="s">
        <v>1131</v>
      </c>
      <c r="F16" s="6">
        <v>2</v>
      </c>
      <c r="G16" s="16" t="str">
        <f t="shared" si="0"/>
        <v>(14,'220','الزبوجة','Zeboudja','Zeboudja',2),</v>
      </c>
    </row>
    <row r="17" spans="1:7" ht="20.100000000000001" customHeight="1" x14ac:dyDescent="0.25">
      <c r="A17" s="3">
        <v>15</v>
      </c>
      <c r="B17" s="8">
        <v>222</v>
      </c>
      <c r="C17" s="4" t="s">
        <v>1128</v>
      </c>
      <c r="D17" s="4" t="s">
        <v>1127</v>
      </c>
      <c r="E17" s="4" t="s">
        <v>1127</v>
      </c>
      <c r="F17" s="6">
        <v>2</v>
      </c>
      <c r="G17" s="16" t="str">
        <f t="shared" si="0"/>
        <v>(15,'222','أبو الحسن','Abou El Hassane','Abou El Hassane',2),</v>
      </c>
    </row>
    <row r="18" spans="1:7" ht="20.100000000000001" customHeight="1" x14ac:dyDescent="0.25">
      <c r="A18" s="3">
        <v>16</v>
      </c>
      <c r="B18" s="8">
        <v>223</v>
      </c>
      <c r="C18" s="4" t="s">
        <v>1148</v>
      </c>
      <c r="D18" s="4" t="s">
        <v>1147</v>
      </c>
      <c r="E18" s="4" t="s">
        <v>1147</v>
      </c>
      <c r="F18" s="6">
        <v>2</v>
      </c>
      <c r="G18" s="16" t="str">
        <f t="shared" si="0"/>
        <v>(16,'223','المرسى','El Marsa','El Marsa',2),</v>
      </c>
    </row>
    <row r="19" spans="1:7" ht="20.100000000000001" customHeight="1" x14ac:dyDescent="0.25">
      <c r="A19" s="3">
        <v>17</v>
      </c>
      <c r="B19" s="8">
        <v>229</v>
      </c>
      <c r="C19" s="4" t="s">
        <v>1138</v>
      </c>
      <c r="D19" s="4" t="s">
        <v>1137</v>
      </c>
      <c r="E19" s="4" t="s">
        <v>1137</v>
      </c>
      <c r="F19" s="6">
        <v>2</v>
      </c>
      <c r="G19" s="16" t="str">
        <f t="shared" si="0"/>
        <v>(17,'229','وادي الفضة','Oued Fodda','Oued Fodda',2),</v>
      </c>
    </row>
    <row r="20" spans="1:7" ht="20.100000000000001" customHeight="1" x14ac:dyDescent="0.25">
      <c r="A20" s="3">
        <v>18</v>
      </c>
      <c r="B20" s="8">
        <v>230</v>
      </c>
      <c r="C20" s="4" t="s">
        <v>1146</v>
      </c>
      <c r="D20" s="4" t="s">
        <v>1145</v>
      </c>
      <c r="E20" s="4" t="s">
        <v>1145</v>
      </c>
      <c r="F20" s="6">
        <v>2</v>
      </c>
      <c r="G20" s="16" t="str">
        <f t="shared" si="0"/>
        <v>(18,'230','أولاد بن عبد القادر','Ouled Ben Abdelkader','Ouled Ben Abdelkader',2),</v>
      </c>
    </row>
    <row r="21" spans="1:7" ht="20.100000000000001" customHeight="1" x14ac:dyDescent="0.25">
      <c r="A21" s="3">
        <v>19</v>
      </c>
      <c r="B21" s="8">
        <v>232</v>
      </c>
      <c r="C21" s="4" t="s">
        <v>1130</v>
      </c>
      <c r="D21" s="4" t="s">
        <v>1129</v>
      </c>
      <c r="E21" s="4" t="s">
        <v>1129</v>
      </c>
      <c r="F21" s="6">
        <v>2</v>
      </c>
      <c r="G21" s="16" t="str">
        <f t="shared" si="0"/>
        <v>(19,'232','عين مران','Ain Merane','Ain Merane',2),</v>
      </c>
    </row>
    <row r="22" spans="1:7" ht="20.100000000000001" customHeight="1" x14ac:dyDescent="0.25">
      <c r="A22" s="3">
        <v>20</v>
      </c>
      <c r="B22" s="8">
        <v>301</v>
      </c>
      <c r="C22" s="4" t="s">
        <v>976</v>
      </c>
      <c r="D22" s="4" t="s">
        <v>977</v>
      </c>
      <c r="E22" s="4" t="s">
        <v>977</v>
      </c>
      <c r="F22" s="6">
        <v>3</v>
      </c>
      <c r="G22" s="16" t="str">
        <f t="shared" si="0"/>
        <v>(20,'301','الأغواط','Laghouat','Laghouat',3),</v>
      </c>
    </row>
    <row r="23" spans="1:7" ht="20.100000000000001" customHeight="1" x14ac:dyDescent="0.25">
      <c r="A23" s="3">
        <v>21</v>
      </c>
      <c r="B23" s="8">
        <v>302</v>
      </c>
      <c r="C23" s="4" t="s">
        <v>1158</v>
      </c>
      <c r="D23" s="4" t="s">
        <v>1157</v>
      </c>
      <c r="E23" s="4" t="s">
        <v>1157</v>
      </c>
      <c r="F23" s="6">
        <v>3</v>
      </c>
      <c r="G23" s="16" t="str">
        <f t="shared" si="0"/>
        <v>(21,'302','قصر الحيران','Ksar El Hirane','Ksar El Hirane',3),</v>
      </c>
    </row>
    <row r="24" spans="1:7" ht="20.100000000000001" customHeight="1" x14ac:dyDescent="0.25">
      <c r="A24" s="3">
        <v>22</v>
      </c>
      <c r="B24" s="8">
        <v>304</v>
      </c>
      <c r="C24" s="4" t="s">
        <v>1162</v>
      </c>
      <c r="D24" s="4" t="s">
        <v>1161</v>
      </c>
      <c r="E24" s="4" t="s">
        <v>1161</v>
      </c>
      <c r="F24" s="6">
        <v>3</v>
      </c>
      <c r="G24" s="16" t="str">
        <f t="shared" si="0"/>
        <v>(22,'304','سيدي مخلوف','Sidi Makhlouf','Sidi Makhlouf',3),</v>
      </c>
    </row>
    <row r="25" spans="1:7" ht="20.100000000000001" customHeight="1" x14ac:dyDescent="0.25">
      <c r="A25" s="3">
        <v>23</v>
      </c>
      <c r="B25" s="8">
        <v>306</v>
      </c>
      <c r="C25" s="4" t="s">
        <v>1166</v>
      </c>
      <c r="D25" s="4" t="s">
        <v>1165</v>
      </c>
      <c r="E25" s="4" t="s">
        <v>1165</v>
      </c>
      <c r="F25" s="6">
        <v>3</v>
      </c>
      <c r="G25" s="16" t="str">
        <f t="shared" si="0"/>
        <v>(23,'306','حاسي الرمل','Hassi R'mel','Hassi R'mel',3),</v>
      </c>
    </row>
    <row r="26" spans="1:7" ht="20.100000000000001" customHeight="1" x14ac:dyDescent="0.25">
      <c r="A26" s="3">
        <v>24</v>
      </c>
      <c r="B26" s="8">
        <v>307</v>
      </c>
      <c r="C26" s="4" t="s">
        <v>1154</v>
      </c>
      <c r="D26" s="4" t="s">
        <v>1153</v>
      </c>
      <c r="E26" s="4" t="s">
        <v>1153</v>
      </c>
      <c r="F26" s="6">
        <v>3</v>
      </c>
      <c r="G26" s="16" t="str">
        <f t="shared" si="0"/>
        <v>(24,'307','عين ماضي','Ain Madhi','Ain Madhi',3),</v>
      </c>
    </row>
    <row r="27" spans="1:7" ht="20.100000000000001" customHeight="1" x14ac:dyDescent="0.25">
      <c r="A27" s="3">
        <v>25</v>
      </c>
      <c r="B27" s="8">
        <v>310</v>
      </c>
      <c r="C27" s="4" t="s">
        <v>1156</v>
      </c>
      <c r="D27" s="4" t="s">
        <v>1155</v>
      </c>
      <c r="E27" s="4" t="s">
        <v>1155</v>
      </c>
      <c r="F27" s="6">
        <v>3</v>
      </c>
      <c r="G27" s="16" t="str">
        <f t="shared" si="0"/>
        <v>(25,'310','قتلة سيدي سعيد','Gueltat Sidi Saad','Gueltat Sidi Saad',3),</v>
      </c>
    </row>
    <row r="28" spans="1:7" ht="20.100000000000001" customHeight="1" x14ac:dyDescent="0.25">
      <c r="A28" s="3">
        <v>26</v>
      </c>
      <c r="B28" s="8">
        <v>313</v>
      </c>
      <c r="C28" s="4" t="s">
        <v>1160</v>
      </c>
      <c r="D28" s="4" t="s">
        <v>1159</v>
      </c>
      <c r="E28" s="4" t="s">
        <v>1159</v>
      </c>
      <c r="F28" s="6">
        <v>3</v>
      </c>
      <c r="G28" s="16" t="str">
        <f t="shared" si="0"/>
        <v>(26,'313','بريدة','Brida','Brida',3),</v>
      </c>
    </row>
    <row r="29" spans="1:7" ht="20.100000000000001" customHeight="1" x14ac:dyDescent="0.25">
      <c r="A29" s="3">
        <v>27</v>
      </c>
      <c r="B29" s="8">
        <v>314</v>
      </c>
      <c r="C29" s="4" t="s">
        <v>1164</v>
      </c>
      <c r="D29" s="4" t="s">
        <v>1163</v>
      </c>
      <c r="E29" s="4" t="s">
        <v>1163</v>
      </c>
      <c r="F29" s="6">
        <v>3</v>
      </c>
      <c r="G29" s="16" t="str">
        <f t="shared" si="0"/>
        <v>(27,'314','الغيشة','El Ghicha','El Ghicha',3),</v>
      </c>
    </row>
    <row r="30" spans="1:7" ht="20.100000000000001" customHeight="1" x14ac:dyDescent="0.25">
      <c r="A30" s="3">
        <v>28</v>
      </c>
      <c r="B30" s="8">
        <v>319</v>
      </c>
      <c r="C30" s="4" t="s">
        <v>1152</v>
      </c>
      <c r="D30" s="4" t="s">
        <v>1151</v>
      </c>
      <c r="E30" s="4" t="s">
        <v>1151</v>
      </c>
      <c r="F30" s="6">
        <v>3</v>
      </c>
      <c r="G30" s="16" t="str">
        <f t="shared" si="0"/>
        <v>(28,'319','أفلو','Aflou','Aflou',3),</v>
      </c>
    </row>
    <row r="31" spans="1:7" ht="20.100000000000001" customHeight="1" x14ac:dyDescent="0.25">
      <c r="A31" s="3">
        <v>29</v>
      </c>
      <c r="B31" s="8">
        <v>321</v>
      </c>
      <c r="C31" s="4" t="s">
        <v>1168</v>
      </c>
      <c r="D31" s="4" t="s">
        <v>1167</v>
      </c>
      <c r="E31" s="4" t="s">
        <v>1167</v>
      </c>
      <c r="F31" s="6">
        <v>3</v>
      </c>
      <c r="G31" s="16" t="str">
        <f t="shared" si="0"/>
        <v>(29,'321','وادي مرة','Oued Morra','Oued Morra',3),</v>
      </c>
    </row>
    <row r="32" spans="1:7" ht="20.100000000000001" customHeight="1" x14ac:dyDescent="0.25">
      <c r="A32" s="3">
        <v>30</v>
      </c>
      <c r="B32" s="8">
        <v>401</v>
      </c>
      <c r="C32" s="4" t="s">
        <v>978</v>
      </c>
      <c r="D32" s="4" t="s">
        <v>979</v>
      </c>
      <c r="E32" s="4" t="s">
        <v>979</v>
      </c>
      <c r="F32" s="6">
        <v>4</v>
      </c>
      <c r="G32" s="16" t="str">
        <f t="shared" si="0"/>
        <v>(30,'401','أم البواقي','Oum El Bouaghi','Oum El Bouaghi',4),</v>
      </c>
    </row>
    <row r="33" spans="1:7" ht="20.100000000000001" customHeight="1" x14ac:dyDescent="0.25">
      <c r="A33" s="3">
        <v>31</v>
      </c>
      <c r="B33" s="8">
        <v>402</v>
      </c>
      <c r="C33" s="4" t="s">
        <v>1172</v>
      </c>
      <c r="D33" s="4" t="s">
        <v>1171</v>
      </c>
      <c r="E33" s="4" t="s">
        <v>1171</v>
      </c>
      <c r="F33" s="6">
        <v>4</v>
      </c>
      <c r="G33" s="16" t="str">
        <f t="shared" si="0"/>
        <v>(31,'402','عين البيضاء','Ain Beida','Ain Beida',4),</v>
      </c>
    </row>
    <row r="34" spans="1:7" ht="20.100000000000001" customHeight="1" x14ac:dyDescent="0.25">
      <c r="A34" s="3">
        <v>32</v>
      </c>
      <c r="B34" s="8">
        <v>403</v>
      </c>
      <c r="C34" s="4" t="s">
        <v>1178</v>
      </c>
      <c r="D34" s="4" t="s">
        <v>1177</v>
      </c>
      <c r="E34" s="4" t="s">
        <v>1177</v>
      </c>
      <c r="F34" s="6">
        <v>4</v>
      </c>
      <c r="G34" s="16" t="str">
        <f t="shared" si="0"/>
        <v>(32,'403','عين مليلة','Ain M'lila','Ain M'lila',4),</v>
      </c>
    </row>
    <row r="35" spans="1:7" ht="20.100000000000001" customHeight="1" x14ac:dyDescent="0.25">
      <c r="A35" s="3">
        <v>33</v>
      </c>
      <c r="B35" s="8">
        <v>406</v>
      </c>
      <c r="C35" s="4" t="s">
        <v>1186</v>
      </c>
      <c r="D35" s="4" t="s">
        <v>1185</v>
      </c>
      <c r="E35" s="4" t="s">
        <v>1185</v>
      </c>
      <c r="F35" s="6">
        <v>4</v>
      </c>
      <c r="G35" s="16" t="str">
        <f t="shared" si="0"/>
        <v>(33,'406','سيقوس','Sigus','Sigus',4),</v>
      </c>
    </row>
    <row r="36" spans="1:7" ht="20.100000000000001" customHeight="1" x14ac:dyDescent="0.25">
      <c r="A36" s="3">
        <v>34</v>
      </c>
      <c r="B36" s="8">
        <v>408</v>
      </c>
      <c r="C36" s="4" t="s">
        <v>1170</v>
      </c>
      <c r="D36" s="4" t="s">
        <v>1169</v>
      </c>
      <c r="E36" s="4" t="s">
        <v>1169</v>
      </c>
      <c r="F36" s="6">
        <v>4</v>
      </c>
      <c r="G36" s="16" t="str">
        <f t="shared" si="0"/>
        <v>(34,'408','عين ببوش','Ain Babouche','Ain Babouche',4),</v>
      </c>
    </row>
    <row r="37" spans="1:7" ht="20.100000000000001" customHeight="1" x14ac:dyDescent="0.25">
      <c r="A37" s="3">
        <v>35</v>
      </c>
      <c r="B37" s="8">
        <v>411</v>
      </c>
      <c r="C37" s="4" t="s">
        <v>1184</v>
      </c>
      <c r="D37" s="4" t="s">
        <v>1183</v>
      </c>
      <c r="E37" s="4" t="s">
        <v>1183</v>
      </c>
      <c r="F37" s="6">
        <v>4</v>
      </c>
      <c r="G37" s="16" t="str">
        <f t="shared" si="0"/>
        <v>(35,'411','الضلعة','Dhalaa','Dhalaa',4),</v>
      </c>
    </row>
    <row r="38" spans="1:7" ht="20.100000000000001" customHeight="1" x14ac:dyDescent="0.25">
      <c r="A38" s="3">
        <v>36</v>
      </c>
      <c r="B38" s="8">
        <v>412</v>
      </c>
      <c r="C38" s="4" t="s">
        <v>1176</v>
      </c>
      <c r="D38" s="4" t="s">
        <v>1175</v>
      </c>
      <c r="E38" s="4" t="s">
        <v>1175</v>
      </c>
      <c r="F38" s="6">
        <v>4</v>
      </c>
      <c r="G38" s="16" t="str">
        <f t="shared" si="0"/>
        <v>(36,'412','عين كرشة','Ain Kercha','Ain Kercha',4),</v>
      </c>
    </row>
    <row r="39" spans="1:7" ht="20.100000000000001" customHeight="1" x14ac:dyDescent="0.25">
      <c r="A39" s="3">
        <v>37</v>
      </c>
      <c r="B39" s="8">
        <v>416</v>
      </c>
      <c r="C39" s="4" t="s">
        <v>1188</v>
      </c>
      <c r="D39" s="4" t="s">
        <v>1187</v>
      </c>
      <c r="E39" s="4" t="s">
        <v>1187</v>
      </c>
      <c r="F39" s="6">
        <v>4</v>
      </c>
      <c r="G39" s="16" t="str">
        <f t="shared" si="0"/>
        <v>(37,'416','فكيرينة','F'kirina','F'kirina',4),</v>
      </c>
    </row>
    <row r="40" spans="1:7" ht="20.100000000000001" customHeight="1" x14ac:dyDescent="0.25">
      <c r="A40" s="3">
        <v>38</v>
      </c>
      <c r="B40" s="8">
        <v>417</v>
      </c>
      <c r="C40" s="4" t="s">
        <v>1182</v>
      </c>
      <c r="D40" s="4" t="s">
        <v>1181</v>
      </c>
      <c r="E40" s="4" t="s">
        <v>1181</v>
      </c>
      <c r="F40" s="6">
        <v>4</v>
      </c>
      <c r="G40" s="16" t="str">
        <f t="shared" si="0"/>
        <v>(38,'417','سوق نعمان','Souk Naamane','Souk Naamane',4),</v>
      </c>
    </row>
    <row r="41" spans="1:7" ht="20.100000000000001" customHeight="1" x14ac:dyDescent="0.25">
      <c r="A41" s="3">
        <v>39</v>
      </c>
      <c r="B41" s="8">
        <v>422</v>
      </c>
      <c r="C41" s="4" t="s">
        <v>1190</v>
      </c>
      <c r="D41" s="4" t="s">
        <v>1189</v>
      </c>
      <c r="E41" s="4" t="s">
        <v>1189</v>
      </c>
      <c r="F41" s="6">
        <v>4</v>
      </c>
      <c r="G41" s="16" t="str">
        <f t="shared" si="0"/>
        <v>(39,'422','قصر الصباحي','Ksar Sbahi','Ksar Sbahi',4),</v>
      </c>
    </row>
    <row r="42" spans="1:7" ht="20.100000000000001" customHeight="1" x14ac:dyDescent="0.25">
      <c r="A42" s="3">
        <v>40</v>
      </c>
      <c r="B42" s="8">
        <v>424</v>
      </c>
      <c r="C42" s="4" t="s">
        <v>1180</v>
      </c>
      <c r="D42" s="4" t="s">
        <v>1179</v>
      </c>
      <c r="E42" s="4" t="s">
        <v>1179</v>
      </c>
      <c r="F42" s="6">
        <v>4</v>
      </c>
      <c r="G42" s="16" t="str">
        <f t="shared" si="0"/>
        <v>(40,'424','مسكيانة','Meskiana','Meskiana',4),</v>
      </c>
    </row>
    <row r="43" spans="1:7" ht="20.100000000000001" customHeight="1" x14ac:dyDescent="0.25">
      <c r="A43" s="3">
        <v>41</v>
      </c>
      <c r="B43" s="8">
        <v>425</v>
      </c>
      <c r="C43" s="4" t="s">
        <v>1174</v>
      </c>
      <c r="D43" s="4" t="s">
        <v>1173</v>
      </c>
      <c r="E43" s="4" t="s">
        <v>1173</v>
      </c>
      <c r="F43" s="6">
        <v>4</v>
      </c>
      <c r="G43" s="16" t="str">
        <f t="shared" si="0"/>
        <v>(41,'425','عين فكرون','Ain Fekroun','Ain Fekroun',4),</v>
      </c>
    </row>
    <row r="44" spans="1:7" ht="20.100000000000001" customHeight="1" x14ac:dyDescent="0.25">
      <c r="A44" s="3">
        <v>42</v>
      </c>
      <c r="B44" s="8">
        <v>501</v>
      </c>
      <c r="C44" s="4" t="s">
        <v>980</v>
      </c>
      <c r="D44" s="4" t="s">
        <v>981</v>
      </c>
      <c r="E44" s="4" t="s">
        <v>981</v>
      </c>
      <c r="F44" s="6">
        <v>5</v>
      </c>
      <c r="G44" s="16" t="str">
        <f t="shared" si="0"/>
        <v>(42,'501','باتنة','Batna','Batna',5),</v>
      </c>
    </row>
    <row r="45" spans="1:7" ht="20.100000000000001" customHeight="1" x14ac:dyDescent="0.25">
      <c r="A45" s="3">
        <v>43</v>
      </c>
      <c r="B45" s="8">
        <v>504</v>
      </c>
      <c r="C45" s="4" t="s">
        <v>1218</v>
      </c>
      <c r="D45" s="4" t="s">
        <v>1217</v>
      </c>
      <c r="E45" s="4" t="s">
        <v>1217</v>
      </c>
      <c r="F45" s="6">
        <v>5</v>
      </c>
      <c r="G45" s="16" t="str">
        <f t="shared" si="0"/>
        <v>(43,'504','مروانة','Merouana','Merouana',5),</v>
      </c>
    </row>
    <row r="46" spans="1:7" ht="20.100000000000001" customHeight="1" x14ac:dyDescent="0.25">
      <c r="A46" s="3">
        <v>44</v>
      </c>
      <c r="B46" s="8">
        <v>505</v>
      </c>
      <c r="C46" s="4" t="s">
        <v>1220</v>
      </c>
      <c r="D46" s="4" t="s">
        <v>1219</v>
      </c>
      <c r="E46" s="4" t="s">
        <v>1219</v>
      </c>
      <c r="F46" s="6">
        <v>5</v>
      </c>
      <c r="G46" s="16" t="str">
        <f t="shared" si="0"/>
        <v>(44,'505','سريانة','Seriana','Seriana',5),</v>
      </c>
    </row>
    <row r="47" spans="1:7" ht="20.100000000000001" customHeight="1" x14ac:dyDescent="0.25">
      <c r="A47" s="3">
        <v>45</v>
      </c>
      <c r="B47" s="8">
        <v>506</v>
      </c>
      <c r="C47" s="4" t="s">
        <v>1224</v>
      </c>
      <c r="D47" s="4" t="s">
        <v>1223</v>
      </c>
      <c r="E47" s="4" t="s">
        <v>1223</v>
      </c>
      <c r="F47" s="6">
        <v>5</v>
      </c>
      <c r="G47" s="16" t="str">
        <f t="shared" si="0"/>
        <v>(45,'506','منعة','Menaa','Menaa',5),</v>
      </c>
    </row>
    <row r="48" spans="1:7" ht="20.100000000000001" customHeight="1" x14ac:dyDescent="0.25">
      <c r="A48" s="3">
        <v>46</v>
      </c>
      <c r="B48" s="8">
        <v>507</v>
      </c>
      <c r="C48" s="4" t="s">
        <v>1196</v>
      </c>
      <c r="D48" s="4" t="s">
        <v>1195</v>
      </c>
      <c r="E48" s="4" t="s">
        <v>1195</v>
      </c>
      <c r="F48" s="6">
        <v>5</v>
      </c>
      <c r="G48" s="16" t="str">
        <f t="shared" si="0"/>
        <v>(46,'507','المعذر','El Madher','El Madher',5),</v>
      </c>
    </row>
    <row r="49" spans="1:7" ht="20.100000000000001" customHeight="1" x14ac:dyDescent="0.25">
      <c r="A49" s="3">
        <v>47</v>
      </c>
      <c r="B49" s="8">
        <v>508</v>
      </c>
      <c r="C49" s="4" t="s">
        <v>1228</v>
      </c>
      <c r="D49" s="4" t="s">
        <v>1227</v>
      </c>
      <c r="E49" s="4" t="s">
        <v>1227</v>
      </c>
      <c r="F49" s="6">
        <v>5</v>
      </c>
      <c r="G49" s="16" t="str">
        <f t="shared" si="0"/>
        <v>(47,'508','تازولت','Tazoult','Tazoult',5),</v>
      </c>
    </row>
    <row r="50" spans="1:7" ht="20.100000000000001" customHeight="1" x14ac:dyDescent="0.25">
      <c r="A50" s="3">
        <v>48</v>
      </c>
      <c r="B50" s="8">
        <v>509</v>
      </c>
      <c r="C50" s="4" t="s">
        <v>1206</v>
      </c>
      <c r="D50" s="4" t="s">
        <v>1205</v>
      </c>
      <c r="E50" s="4" t="s">
        <v>1205</v>
      </c>
      <c r="F50" s="6">
        <v>5</v>
      </c>
      <c r="G50" s="16" t="str">
        <f t="shared" si="0"/>
        <v>(48,'509','نقاوس','N'gaous','N'gaous',5),</v>
      </c>
    </row>
    <row r="51" spans="1:7" ht="20.100000000000001" customHeight="1" x14ac:dyDescent="0.25">
      <c r="A51" s="3">
        <v>49</v>
      </c>
      <c r="B51" s="8">
        <v>516</v>
      </c>
      <c r="C51" s="4" t="s">
        <v>1198</v>
      </c>
      <c r="D51" s="4" t="s">
        <v>1197</v>
      </c>
      <c r="E51" s="4" t="s">
        <v>1197</v>
      </c>
      <c r="F51" s="6">
        <v>5</v>
      </c>
      <c r="G51" s="16" t="str">
        <f t="shared" si="0"/>
        <v>(49,'516','أريس','Arris','Arris',5),</v>
      </c>
    </row>
    <row r="52" spans="1:7" ht="20.100000000000001" customHeight="1" x14ac:dyDescent="0.25">
      <c r="A52" s="3">
        <v>50</v>
      </c>
      <c r="B52" s="8">
        <v>519</v>
      </c>
      <c r="C52" s="4" t="s">
        <v>1192</v>
      </c>
      <c r="D52" s="4" t="s">
        <v>1191</v>
      </c>
      <c r="E52" s="4" t="s">
        <v>1191</v>
      </c>
      <c r="F52" s="6">
        <v>5</v>
      </c>
      <c r="G52" s="16" t="str">
        <f t="shared" si="0"/>
        <v>(50,'519','عين جاسر','Ain Djasser','Ain Djasser',5),</v>
      </c>
    </row>
    <row r="53" spans="1:7" ht="20.100000000000001" customHeight="1" x14ac:dyDescent="0.25">
      <c r="A53" s="3">
        <v>51</v>
      </c>
      <c r="B53" s="8">
        <v>529</v>
      </c>
      <c r="C53" s="4" t="s">
        <v>1230</v>
      </c>
      <c r="D53" s="4" t="s">
        <v>1229</v>
      </c>
      <c r="E53" s="4" t="s">
        <v>1229</v>
      </c>
      <c r="F53" s="6">
        <v>5</v>
      </c>
      <c r="G53" s="16" t="str">
        <f t="shared" si="0"/>
        <v>(51,'529','سقانة','Seggana','Seggana',5),</v>
      </c>
    </row>
    <row r="54" spans="1:7" ht="20.100000000000001" customHeight="1" x14ac:dyDescent="0.25">
      <c r="A54" s="3">
        <v>52</v>
      </c>
      <c r="B54" s="8">
        <v>530</v>
      </c>
      <c r="C54" s="4" t="s">
        <v>1212</v>
      </c>
      <c r="D54" s="4" t="s">
        <v>1211</v>
      </c>
      <c r="E54" s="4" t="s">
        <v>1211</v>
      </c>
      <c r="F54" s="6">
        <v>5</v>
      </c>
      <c r="G54" s="16" t="str">
        <f t="shared" si="0"/>
        <v>(52,'530','إشمول','Ichemoul','Ichemoul',5),</v>
      </c>
    </row>
    <row r="55" spans="1:7" ht="20.100000000000001" customHeight="1" x14ac:dyDescent="0.25">
      <c r="A55" s="3">
        <v>53</v>
      </c>
      <c r="B55" s="8">
        <v>535</v>
      </c>
      <c r="C55" s="4" t="s">
        <v>1208</v>
      </c>
      <c r="D55" s="4" t="s">
        <v>1207</v>
      </c>
      <c r="E55" s="4" t="s">
        <v>1207</v>
      </c>
      <c r="F55" s="6">
        <v>5</v>
      </c>
      <c r="G55" s="16" t="str">
        <f t="shared" si="0"/>
        <v>(53,'535','بوزينة','Bouzina','Bouzina',5),</v>
      </c>
    </row>
    <row r="56" spans="1:7" ht="20.100000000000001" customHeight="1" x14ac:dyDescent="0.25">
      <c r="A56" s="3">
        <v>54</v>
      </c>
      <c r="B56" s="8">
        <v>536</v>
      </c>
      <c r="C56" s="4" t="s">
        <v>1204</v>
      </c>
      <c r="D56" s="4" t="s">
        <v>1203</v>
      </c>
      <c r="E56" s="4" t="s">
        <v>1203</v>
      </c>
      <c r="F56" s="6">
        <v>5</v>
      </c>
      <c r="G56" s="16" t="str">
        <f t="shared" si="0"/>
        <v>(54,'536','الشمرة','Chemora','Chemora',5),</v>
      </c>
    </row>
    <row r="57" spans="1:7" ht="20.100000000000001" customHeight="1" x14ac:dyDescent="0.25">
      <c r="A57" s="3">
        <v>55</v>
      </c>
      <c r="B57" s="8">
        <v>542</v>
      </c>
      <c r="C57" s="4" t="s">
        <v>1202</v>
      </c>
      <c r="D57" s="4" t="s">
        <v>1201</v>
      </c>
      <c r="E57" s="4" t="s">
        <v>1201</v>
      </c>
      <c r="F57" s="6">
        <v>5</v>
      </c>
      <c r="G57" s="16" t="str">
        <f t="shared" si="0"/>
        <v>(55,'542','بريكة','Barika','Barika',5),</v>
      </c>
    </row>
    <row r="58" spans="1:7" ht="20.100000000000001" customHeight="1" x14ac:dyDescent="0.25">
      <c r="A58" s="3">
        <v>56</v>
      </c>
      <c r="B58" s="8">
        <v>543</v>
      </c>
      <c r="C58" s="4" t="s">
        <v>1200</v>
      </c>
      <c r="D58" s="4" t="s">
        <v>1199</v>
      </c>
      <c r="E58" s="4" t="s">
        <v>1199</v>
      </c>
      <c r="F58" s="6">
        <v>5</v>
      </c>
      <c r="G58" s="16" t="str">
        <f t="shared" si="0"/>
        <v>(56,'543','الجزار','Djezzar','Djezzar',5),</v>
      </c>
    </row>
    <row r="59" spans="1:7" ht="20.100000000000001" customHeight="1" x14ac:dyDescent="0.25">
      <c r="A59" s="3">
        <v>57</v>
      </c>
      <c r="B59" s="8">
        <v>544</v>
      </c>
      <c r="C59" s="4" t="s">
        <v>1214</v>
      </c>
      <c r="D59" s="4" t="s">
        <v>1213</v>
      </c>
      <c r="E59" s="4" t="s">
        <v>1213</v>
      </c>
      <c r="F59" s="6">
        <v>5</v>
      </c>
      <c r="G59" s="16" t="str">
        <f t="shared" si="0"/>
        <v>(57,'544','تكوت','Tkout','Tkout',5),</v>
      </c>
    </row>
    <row r="60" spans="1:7" ht="20.100000000000001" customHeight="1" x14ac:dyDescent="0.25">
      <c r="A60" s="3">
        <v>58</v>
      </c>
      <c r="B60" s="8">
        <v>545</v>
      </c>
      <c r="C60" s="4" t="s">
        <v>1194</v>
      </c>
      <c r="D60" s="4" t="s">
        <v>1193</v>
      </c>
      <c r="E60" s="4" t="s">
        <v>1193</v>
      </c>
      <c r="F60" s="6">
        <v>5</v>
      </c>
      <c r="G60" s="16" t="str">
        <f t="shared" si="0"/>
        <v>(58,'545','عين التوتة','Ain Touta','Ain Touta',5),</v>
      </c>
    </row>
    <row r="61" spans="1:7" ht="20.100000000000001" customHeight="1" x14ac:dyDescent="0.25">
      <c r="A61" s="3">
        <v>59</v>
      </c>
      <c r="B61" s="8">
        <v>547</v>
      </c>
      <c r="C61" s="4" t="s">
        <v>1210</v>
      </c>
      <c r="D61" s="4" t="s">
        <v>1209</v>
      </c>
      <c r="E61" s="4" t="s">
        <v>1209</v>
      </c>
      <c r="F61" s="6">
        <v>5</v>
      </c>
      <c r="G61" s="16" t="str">
        <f t="shared" si="0"/>
        <v>(59,'547','ثنية العابد','Theniet El Abed','Theniet El Abed',5),</v>
      </c>
    </row>
    <row r="62" spans="1:7" ht="20.100000000000001" customHeight="1" x14ac:dyDescent="0.25">
      <c r="A62" s="3">
        <v>60</v>
      </c>
      <c r="B62" s="8">
        <v>550</v>
      </c>
      <c r="C62" s="4" t="s">
        <v>1226</v>
      </c>
      <c r="D62" s="4" t="s">
        <v>1225</v>
      </c>
      <c r="E62" s="4" t="s">
        <v>1225</v>
      </c>
      <c r="F62" s="6">
        <v>5</v>
      </c>
      <c r="G62" s="16" t="str">
        <f t="shared" si="0"/>
        <v>(60,'550','تيمقاد','Timgad','Timgad',5),</v>
      </c>
    </row>
    <row r="63" spans="1:7" ht="20.100000000000001" customHeight="1" x14ac:dyDescent="0.25">
      <c r="A63" s="3">
        <v>61</v>
      </c>
      <c r="B63" s="8">
        <v>551</v>
      </c>
      <c r="C63" s="4" t="s">
        <v>1216</v>
      </c>
      <c r="D63" s="4" t="s">
        <v>1215</v>
      </c>
      <c r="E63" s="4" t="s">
        <v>1215</v>
      </c>
      <c r="F63" s="6">
        <v>5</v>
      </c>
      <c r="G63" s="16" t="str">
        <f t="shared" si="0"/>
        <v>(61,'551','رأس العيون','Ras El Aioun','Ras El Aioun',5),</v>
      </c>
    </row>
    <row r="64" spans="1:7" ht="20.100000000000001" customHeight="1" x14ac:dyDescent="0.25">
      <c r="A64" s="3">
        <v>62</v>
      </c>
      <c r="B64" s="8">
        <v>553</v>
      </c>
      <c r="C64" s="4" t="s">
        <v>1222</v>
      </c>
      <c r="D64" s="4" t="s">
        <v>1221</v>
      </c>
      <c r="E64" s="4" t="s">
        <v>1221</v>
      </c>
      <c r="F64" s="6">
        <v>5</v>
      </c>
      <c r="G64" s="16" t="str">
        <f t="shared" si="0"/>
        <v>(62,'553','أولاد سي سليمان','Ouled Si Slimane','Ouled Si Slimane',5),</v>
      </c>
    </row>
    <row r="65" spans="1:7" ht="20.100000000000001" customHeight="1" x14ac:dyDescent="0.25">
      <c r="A65" s="3">
        <v>63</v>
      </c>
      <c r="B65" s="8">
        <v>601</v>
      </c>
      <c r="C65" s="4" t="s">
        <v>982</v>
      </c>
      <c r="D65" s="4" t="s">
        <v>1091</v>
      </c>
      <c r="E65" s="4" t="s">
        <v>1091</v>
      </c>
      <c r="F65" s="6">
        <v>6</v>
      </c>
      <c r="G65" s="16" t="str">
        <f t="shared" si="0"/>
        <v>(63,'601','بجاية','Bejaia','Bejaia',6),</v>
      </c>
    </row>
    <row r="66" spans="1:7" ht="20.100000000000001" customHeight="1" x14ac:dyDescent="0.25">
      <c r="A66" s="3">
        <v>64</v>
      </c>
      <c r="B66" s="8">
        <v>602</v>
      </c>
      <c r="C66" s="4" t="s">
        <v>1244</v>
      </c>
      <c r="D66" s="4" t="s">
        <v>1243</v>
      </c>
      <c r="E66" s="4" t="s">
        <v>1243</v>
      </c>
      <c r="F66" s="6">
        <v>6</v>
      </c>
      <c r="G66" s="16" t="str">
        <f t="shared" si="0"/>
        <v>(64,'602','أميزور','Amizour','Amizour',6),</v>
      </c>
    </row>
    <row r="67" spans="1:7" ht="20.100000000000001" customHeight="1" x14ac:dyDescent="0.25">
      <c r="A67" s="3">
        <v>65</v>
      </c>
      <c r="B67" s="8">
        <v>607</v>
      </c>
      <c r="C67" s="4" t="s">
        <v>1266</v>
      </c>
      <c r="D67" s="4" t="s">
        <v>1265</v>
      </c>
      <c r="E67" s="4" t="s">
        <v>1265</v>
      </c>
      <c r="F67" s="6">
        <v>6</v>
      </c>
      <c r="G67" s="16" t="str">
        <f t="shared" si="0"/>
        <v>(65,'607','تيمزريت','Timezrit','Timezrit',6),</v>
      </c>
    </row>
    <row r="68" spans="1:7" ht="20.100000000000001" customHeight="1" x14ac:dyDescent="0.25">
      <c r="A68" s="3">
        <v>66</v>
      </c>
      <c r="B68" s="8">
        <v>608</v>
      </c>
      <c r="C68" s="4" t="s">
        <v>1264</v>
      </c>
      <c r="D68" s="4" t="s">
        <v>1263</v>
      </c>
      <c r="E68" s="4" t="s">
        <v>1263</v>
      </c>
      <c r="F68" s="6">
        <v>6</v>
      </c>
      <c r="G68" s="16" t="str">
        <f t="shared" ref="G68:G131" si="1">CONCATENATE("(",A68,",'",B68,"','",C68,"','",D68,"','",E68,"',",F68,"),")</f>
        <v>(66,'608','سوق الإثنين','Souk El Tenine','Souk El Tenine',6),</v>
      </c>
    </row>
    <row r="69" spans="1:7" ht="20.100000000000001" customHeight="1" x14ac:dyDescent="0.25">
      <c r="A69" s="3">
        <v>67</v>
      </c>
      <c r="B69" s="8">
        <v>611</v>
      </c>
      <c r="C69" s="4" t="s">
        <v>1254</v>
      </c>
      <c r="D69" s="4" t="s">
        <v>1253</v>
      </c>
      <c r="E69" s="4" t="s">
        <v>1253</v>
      </c>
      <c r="F69" s="6">
        <v>6</v>
      </c>
      <c r="G69" s="16" t="str">
        <f t="shared" si="1"/>
        <v>(67,'611','تيشي','Tichy','Tichy',6),</v>
      </c>
    </row>
    <row r="70" spans="1:7" ht="20.100000000000001" customHeight="1" x14ac:dyDescent="0.25">
      <c r="A70" s="3">
        <v>68</v>
      </c>
      <c r="B70" s="8">
        <v>617</v>
      </c>
      <c r="C70" s="4" t="s">
        <v>1234</v>
      </c>
      <c r="D70" s="4" t="s">
        <v>1233</v>
      </c>
      <c r="E70" s="4" t="s">
        <v>1233</v>
      </c>
      <c r="F70" s="6">
        <v>6</v>
      </c>
      <c r="G70" s="16" t="str">
        <f t="shared" si="1"/>
        <v>(68,'617','إغيل علي','Ighil Ali','Ighil Ali',6),</v>
      </c>
    </row>
    <row r="71" spans="1:7" ht="20.100000000000001" customHeight="1" x14ac:dyDescent="0.25">
      <c r="A71" s="3">
        <v>69</v>
      </c>
      <c r="B71" s="8">
        <v>620</v>
      </c>
      <c r="C71" s="4" t="s">
        <v>1236</v>
      </c>
      <c r="D71" s="4" t="s">
        <v>1235</v>
      </c>
      <c r="E71" s="4" t="s">
        <v>1235</v>
      </c>
      <c r="F71" s="6">
        <v>6</v>
      </c>
      <c r="G71" s="16" t="str">
        <f t="shared" si="1"/>
        <v>(69,'620','درقينة','Darguina','Darguina',6),</v>
      </c>
    </row>
    <row r="72" spans="1:7" ht="20.100000000000001" customHeight="1" x14ac:dyDescent="0.25">
      <c r="A72" s="3">
        <v>70</v>
      </c>
      <c r="B72" s="8">
        <v>622</v>
      </c>
      <c r="C72" s="4" t="s">
        <v>1246</v>
      </c>
      <c r="D72" s="4" t="s">
        <v>1245</v>
      </c>
      <c r="E72" s="4" t="s">
        <v>1245</v>
      </c>
      <c r="F72" s="6">
        <v>6</v>
      </c>
      <c r="G72" s="16" t="str">
        <f t="shared" si="1"/>
        <v>(70,'622','أوقاس','Aokas','Aokas',6),</v>
      </c>
    </row>
    <row r="73" spans="1:7" ht="20.100000000000001" customHeight="1" x14ac:dyDescent="0.25">
      <c r="A73" s="3">
        <v>71</v>
      </c>
      <c r="B73" s="8">
        <v>624</v>
      </c>
      <c r="C73" s="4" t="s">
        <v>1232</v>
      </c>
      <c r="D73" s="4" t="s">
        <v>1231</v>
      </c>
      <c r="E73" s="4" t="s">
        <v>1231</v>
      </c>
      <c r="F73" s="6">
        <v>6</v>
      </c>
      <c r="G73" s="16" t="str">
        <f t="shared" si="1"/>
        <v>(71,'624','أدكار','Adekar','Adekar',6),</v>
      </c>
    </row>
    <row r="74" spans="1:7" ht="20.100000000000001" customHeight="1" x14ac:dyDescent="0.25">
      <c r="A74" s="3">
        <v>72</v>
      </c>
      <c r="B74" s="8">
        <v>625</v>
      </c>
      <c r="C74" s="4" t="s">
        <v>1238</v>
      </c>
      <c r="D74" s="4" t="s">
        <v>1237</v>
      </c>
      <c r="E74" s="4" t="s">
        <v>1237</v>
      </c>
      <c r="F74" s="6">
        <v>6</v>
      </c>
      <c r="G74" s="16" t="str">
        <f t="shared" si="1"/>
        <v>(72,'625','أقبو','Akbou','Akbou',6),</v>
      </c>
    </row>
    <row r="75" spans="1:7" ht="20.100000000000001" customHeight="1" x14ac:dyDescent="0.25">
      <c r="A75" s="3">
        <v>73</v>
      </c>
      <c r="B75" s="8">
        <v>626</v>
      </c>
      <c r="C75" s="4" t="s">
        <v>1242</v>
      </c>
      <c r="D75" s="4" t="s">
        <v>1241</v>
      </c>
      <c r="E75" s="4" t="s">
        <v>1241</v>
      </c>
      <c r="F75" s="6">
        <v>6</v>
      </c>
      <c r="G75" s="16" t="str">
        <f t="shared" si="1"/>
        <v>(73,'626','صدوق','Seddouk','Seddouk',6),</v>
      </c>
    </row>
    <row r="76" spans="1:7" ht="20.100000000000001" customHeight="1" x14ac:dyDescent="0.25">
      <c r="A76" s="3">
        <v>74</v>
      </c>
      <c r="B76" s="8">
        <v>627</v>
      </c>
      <c r="C76" s="4" t="s">
        <v>1250</v>
      </c>
      <c r="D76" s="4" t="s">
        <v>1249</v>
      </c>
      <c r="E76" s="4" t="s">
        <v>1249</v>
      </c>
      <c r="F76" s="6">
        <v>6</v>
      </c>
      <c r="G76" s="16" t="str">
        <f t="shared" si="1"/>
        <v>(74,'627','تازملت','Tazmalt','Tazmalt',6),</v>
      </c>
    </row>
    <row r="77" spans="1:7" ht="20.100000000000001" customHeight="1" x14ac:dyDescent="0.25">
      <c r="A77" s="3">
        <v>75</v>
      </c>
      <c r="B77" s="8">
        <v>629</v>
      </c>
      <c r="C77" s="4" t="s">
        <v>1240</v>
      </c>
      <c r="D77" s="4" t="s">
        <v>1239</v>
      </c>
      <c r="E77" s="4" t="s">
        <v>1239</v>
      </c>
      <c r="F77" s="6">
        <v>6</v>
      </c>
      <c r="G77" s="16" t="str">
        <f t="shared" si="1"/>
        <v>(75,'629','شميني','Chemini','Chemini',6),</v>
      </c>
    </row>
    <row r="78" spans="1:7" ht="20.100000000000001" customHeight="1" x14ac:dyDescent="0.25">
      <c r="A78" s="3">
        <v>76</v>
      </c>
      <c r="B78" s="8">
        <v>634</v>
      </c>
      <c r="C78" s="4" t="s">
        <v>1248</v>
      </c>
      <c r="D78" s="4" t="s">
        <v>1247</v>
      </c>
      <c r="E78" s="4" t="s">
        <v>1247</v>
      </c>
      <c r="F78" s="6">
        <v>6</v>
      </c>
      <c r="G78" s="16" t="str">
        <f t="shared" si="1"/>
        <v>(76,'634','برباشة','Barbacha','Barbacha',6),</v>
      </c>
    </row>
    <row r="79" spans="1:7" ht="20.100000000000001" customHeight="1" x14ac:dyDescent="0.25">
      <c r="A79" s="3">
        <v>77</v>
      </c>
      <c r="B79" s="8">
        <v>636</v>
      </c>
      <c r="C79" s="4" t="s">
        <v>1262</v>
      </c>
      <c r="D79" s="4" t="s">
        <v>1261</v>
      </c>
      <c r="E79" s="4" t="s">
        <v>1261</v>
      </c>
      <c r="F79" s="6">
        <v>6</v>
      </c>
      <c r="G79" s="16" t="str">
        <f t="shared" si="1"/>
        <v>(77,'636','إفري أوزلاقن','Ifri Ouzellaguene','Ifri Ouzellaguene',6),</v>
      </c>
    </row>
    <row r="80" spans="1:7" ht="20.100000000000001" customHeight="1" x14ac:dyDescent="0.25">
      <c r="A80" s="3">
        <v>78</v>
      </c>
      <c r="B80" s="8">
        <v>639</v>
      </c>
      <c r="C80" s="4" t="s">
        <v>1258</v>
      </c>
      <c r="D80" s="4" t="s">
        <v>1257</v>
      </c>
      <c r="E80" s="4" t="s">
        <v>1257</v>
      </c>
      <c r="F80" s="6">
        <v>6</v>
      </c>
      <c r="G80" s="16" t="str">
        <f t="shared" si="1"/>
        <v>(78,'639','سيدي عيش','Sidi Aich','Sidi Aich',6),</v>
      </c>
    </row>
    <row r="81" spans="1:7" ht="20.100000000000001" customHeight="1" x14ac:dyDescent="0.25">
      <c r="A81" s="3">
        <v>79</v>
      </c>
      <c r="B81" s="8">
        <v>640</v>
      </c>
      <c r="C81" s="4" t="s">
        <v>1260</v>
      </c>
      <c r="D81" s="4" t="s">
        <v>1259</v>
      </c>
      <c r="E81" s="4" t="s">
        <v>1259</v>
      </c>
      <c r="F81" s="6">
        <v>6</v>
      </c>
      <c r="G81" s="16" t="str">
        <f t="shared" si="1"/>
        <v>(79,'640','القصر','El Kseur','El Kseur',6),</v>
      </c>
    </row>
    <row r="82" spans="1:7" ht="20.100000000000001" customHeight="1" x14ac:dyDescent="0.25">
      <c r="A82" s="3">
        <v>80</v>
      </c>
      <c r="B82" s="8">
        <v>644</v>
      </c>
      <c r="C82" s="4" t="s">
        <v>1256</v>
      </c>
      <c r="D82" s="4" t="s">
        <v>1255</v>
      </c>
      <c r="E82" s="4" t="s">
        <v>1255</v>
      </c>
      <c r="F82" s="6">
        <v>6</v>
      </c>
      <c r="G82" s="16" t="str">
        <f t="shared" si="1"/>
        <v>(80,'644','خراطة','Kherrata','Kherrata',6),</v>
      </c>
    </row>
    <row r="83" spans="1:7" ht="20.100000000000001" customHeight="1" x14ac:dyDescent="0.25">
      <c r="A83" s="3">
        <v>81</v>
      </c>
      <c r="B83" s="8">
        <v>650</v>
      </c>
      <c r="C83" s="4" t="s">
        <v>1252</v>
      </c>
      <c r="D83" s="4" t="s">
        <v>1251</v>
      </c>
      <c r="E83" s="4" t="s">
        <v>1251</v>
      </c>
      <c r="F83" s="6">
        <v>6</v>
      </c>
      <c r="G83" s="16" t="str">
        <f t="shared" si="1"/>
        <v>(81,'650','بني معوش','Beni Maouche','Beni Maouche',6),</v>
      </c>
    </row>
    <row r="84" spans="1:7" ht="20.100000000000001" customHeight="1" x14ac:dyDescent="0.25">
      <c r="A84" s="3">
        <v>82</v>
      </c>
      <c r="B84" s="8">
        <v>701</v>
      </c>
      <c r="C84" s="4" t="s">
        <v>984</v>
      </c>
      <c r="D84" s="4" t="s">
        <v>985</v>
      </c>
      <c r="E84" s="4" t="s">
        <v>985</v>
      </c>
      <c r="F84" s="6">
        <v>7</v>
      </c>
      <c r="G84" s="16" t="str">
        <f t="shared" si="1"/>
        <v>(82,'701','بسكرة','Biskra','Biskra',7),</v>
      </c>
    </row>
    <row r="85" spans="1:7" ht="20.100000000000001" customHeight="1" x14ac:dyDescent="0.25">
      <c r="A85" s="3">
        <v>83</v>
      </c>
      <c r="B85" s="8">
        <v>711</v>
      </c>
      <c r="C85" s="4" t="s">
        <v>1268</v>
      </c>
      <c r="D85" s="4" t="s">
        <v>1267</v>
      </c>
      <c r="E85" s="4" t="s">
        <v>1267</v>
      </c>
      <c r="F85" s="6">
        <v>7</v>
      </c>
      <c r="G85" s="16" t="str">
        <f t="shared" si="1"/>
        <v>(83,'711','سيدي عقبة','Sidi Okba','Sidi Okba',7),</v>
      </c>
    </row>
    <row r="86" spans="1:7" ht="20.100000000000001" customHeight="1" x14ac:dyDescent="0.25">
      <c r="A86" s="3">
        <v>84</v>
      </c>
      <c r="B86" s="8">
        <v>712</v>
      </c>
      <c r="C86" s="4" t="s">
        <v>1286</v>
      </c>
      <c r="D86" s="4" t="s">
        <v>1285</v>
      </c>
      <c r="E86" s="4" t="s">
        <v>1285</v>
      </c>
      <c r="F86" s="6">
        <v>7</v>
      </c>
      <c r="G86" s="16" t="str">
        <f t="shared" si="1"/>
        <v>(84,'712','مشونش','Mechouneche','Mechouneche',7),</v>
      </c>
    </row>
    <row r="87" spans="1:7" ht="20.100000000000001" customHeight="1" x14ac:dyDescent="0.25">
      <c r="A87" s="3">
        <v>85</v>
      </c>
      <c r="B87" s="8">
        <v>715</v>
      </c>
      <c r="C87" s="4" t="s">
        <v>1278</v>
      </c>
      <c r="D87" s="4" t="s">
        <v>1277</v>
      </c>
      <c r="E87" s="4" t="s">
        <v>1277</v>
      </c>
      <c r="F87" s="6">
        <v>7</v>
      </c>
      <c r="G87" s="16" t="str">
        <f t="shared" si="1"/>
        <v>(85,'715','زريبة الوادي','Zeribet El Oued','Zeribet El Oued',7),</v>
      </c>
    </row>
    <row r="88" spans="1:7" ht="20.100000000000001" customHeight="1" x14ac:dyDescent="0.25">
      <c r="A88" s="3">
        <v>86</v>
      </c>
      <c r="B88" s="8">
        <v>717</v>
      </c>
      <c r="C88" s="4" t="s">
        <v>1270</v>
      </c>
      <c r="D88" s="4" t="s">
        <v>1269</v>
      </c>
      <c r="E88" s="4" t="s">
        <v>1269</v>
      </c>
      <c r="F88" s="6">
        <v>7</v>
      </c>
      <c r="G88" s="16" t="str">
        <f t="shared" si="1"/>
        <v>(86,'717','القنطرة','El Kantara','El Kantara',7),</v>
      </c>
    </row>
    <row r="89" spans="1:7" ht="20.100000000000001" customHeight="1" x14ac:dyDescent="0.25">
      <c r="A89" s="3">
        <v>87</v>
      </c>
      <c r="B89" s="8">
        <v>719</v>
      </c>
      <c r="C89" s="4" t="s">
        <v>1282</v>
      </c>
      <c r="D89" s="4" t="s">
        <v>1281</v>
      </c>
      <c r="E89" s="4" t="s">
        <v>1281</v>
      </c>
      <c r="F89" s="6">
        <v>7</v>
      </c>
      <c r="G89" s="16" t="str">
        <f t="shared" si="1"/>
        <v>(87,'719','الوطاية','El Outaya','El Outaya',7),</v>
      </c>
    </row>
    <row r="90" spans="1:7" ht="20.100000000000001" customHeight="1" x14ac:dyDescent="0.25">
      <c r="A90" s="3">
        <v>88</v>
      </c>
      <c r="B90" s="8">
        <v>720</v>
      </c>
      <c r="C90" s="4" t="s">
        <v>1276</v>
      </c>
      <c r="D90" s="4" t="s">
        <v>1275</v>
      </c>
      <c r="E90" s="4" t="s">
        <v>1275</v>
      </c>
      <c r="F90" s="6">
        <v>7</v>
      </c>
      <c r="G90" s="16" t="str">
        <f t="shared" si="1"/>
        <v>(88,'720','جمورة','Djemorah','Djemorah',7),</v>
      </c>
    </row>
    <row r="91" spans="1:7" ht="20.100000000000001" customHeight="1" x14ac:dyDescent="0.25">
      <c r="A91" s="3">
        <v>89</v>
      </c>
      <c r="B91" s="8">
        <v>721</v>
      </c>
      <c r="C91" s="4" t="s">
        <v>1274</v>
      </c>
      <c r="D91" s="4" t="s">
        <v>1273</v>
      </c>
      <c r="E91" s="4" t="s">
        <v>1273</v>
      </c>
      <c r="F91" s="6">
        <v>7</v>
      </c>
      <c r="G91" s="16" t="str">
        <f t="shared" si="1"/>
        <v>(89,'721','طولقة','Tolga','Tolga',7),</v>
      </c>
    </row>
    <row r="92" spans="1:7" ht="20.100000000000001" customHeight="1" x14ac:dyDescent="0.25">
      <c r="A92" s="3">
        <v>90</v>
      </c>
      <c r="B92" s="8">
        <v>724</v>
      </c>
      <c r="C92" s="4" t="s">
        <v>1284</v>
      </c>
      <c r="D92" s="4" t="s">
        <v>1283</v>
      </c>
      <c r="E92" s="4" t="s">
        <v>1283</v>
      </c>
      <c r="F92" s="6">
        <v>7</v>
      </c>
      <c r="G92" s="16" t="str">
        <f t="shared" si="1"/>
        <v>(90,'724','أورلال','Ourlal','Ourlal',7),</v>
      </c>
    </row>
    <row r="93" spans="1:7" ht="20.100000000000001" customHeight="1" x14ac:dyDescent="0.25">
      <c r="A93" s="3">
        <v>91</v>
      </c>
      <c r="B93" s="8">
        <v>726</v>
      </c>
      <c r="C93" s="4" t="s">
        <v>1280</v>
      </c>
      <c r="D93" s="4" t="s">
        <v>1279</v>
      </c>
      <c r="E93" s="4" t="s">
        <v>1279</v>
      </c>
      <c r="F93" s="6">
        <v>7</v>
      </c>
      <c r="G93" s="16" t="str">
        <f t="shared" si="1"/>
        <v>(91,'726','فوغالة','Foughala','Foughala',7),</v>
      </c>
    </row>
    <row r="94" spans="1:7" ht="20.100000000000001" customHeight="1" x14ac:dyDescent="0.25">
      <c r="A94" s="3">
        <v>92</v>
      </c>
      <c r="B94" s="8">
        <v>801</v>
      </c>
      <c r="C94" s="4" t="s">
        <v>986</v>
      </c>
      <c r="D94" s="4" t="s">
        <v>1092</v>
      </c>
      <c r="E94" s="4" t="s">
        <v>1092</v>
      </c>
      <c r="F94" s="6">
        <v>8</v>
      </c>
      <c r="G94" s="16" t="str">
        <f t="shared" si="1"/>
        <v>(92,'801','بشار','Bechar','Bechar',8),</v>
      </c>
    </row>
    <row r="95" spans="1:7" ht="20.100000000000001" customHeight="1" x14ac:dyDescent="0.25">
      <c r="A95" s="3">
        <v>93</v>
      </c>
      <c r="B95" s="8">
        <v>806</v>
      </c>
      <c r="C95" s="4" t="s">
        <v>1294</v>
      </c>
      <c r="D95" s="4" t="s">
        <v>1293</v>
      </c>
      <c r="E95" s="4" t="s">
        <v>1293</v>
      </c>
      <c r="F95" s="6">
        <v>8</v>
      </c>
      <c r="G95" s="16" t="str">
        <f t="shared" si="1"/>
        <v>(93,'806','لحمر','Lahmar','Lahmar',8),</v>
      </c>
    </row>
    <row r="96" spans="1:7" ht="20.100000000000001" customHeight="1" x14ac:dyDescent="0.25">
      <c r="A96" s="3">
        <v>94</v>
      </c>
      <c r="B96" s="8">
        <v>810</v>
      </c>
      <c r="C96" s="4" t="s">
        <v>1300</v>
      </c>
      <c r="D96" s="4" t="s">
        <v>1299</v>
      </c>
      <c r="E96" s="4" t="s">
        <v>1299</v>
      </c>
      <c r="F96" s="6">
        <v>8</v>
      </c>
      <c r="G96" s="16" t="str">
        <f t="shared" si="1"/>
        <v>(94,'810','القنادسة','Kenadsa','Kenadsa',8),</v>
      </c>
    </row>
    <row r="97" spans="1:7" ht="20.100000000000001" customHeight="1" x14ac:dyDescent="0.25">
      <c r="A97" s="3">
        <v>95</v>
      </c>
      <c r="B97" s="8">
        <v>812</v>
      </c>
      <c r="C97" s="4" t="s">
        <v>1304</v>
      </c>
      <c r="D97" s="4" t="s">
        <v>1303</v>
      </c>
      <c r="E97" s="4" t="s">
        <v>1303</v>
      </c>
      <c r="F97" s="6">
        <v>8</v>
      </c>
      <c r="G97" s="16" t="str">
        <f t="shared" si="1"/>
        <v>(95,'812','تبلبالة','Tabelbala','Tabelbala',8),</v>
      </c>
    </row>
    <row r="98" spans="1:7" ht="20.100000000000001" customHeight="1" x14ac:dyDescent="0.25">
      <c r="A98" s="3">
        <v>96</v>
      </c>
      <c r="B98" s="8">
        <v>813</v>
      </c>
      <c r="C98" s="4" t="s">
        <v>1306</v>
      </c>
      <c r="D98" s="4" t="s">
        <v>1305</v>
      </c>
      <c r="E98" s="4" t="s">
        <v>1305</v>
      </c>
      <c r="F98" s="6">
        <v>8</v>
      </c>
      <c r="G98" s="16" t="str">
        <f t="shared" si="1"/>
        <v>(96,'813','تاغيت','Taghit','Taghit',8),</v>
      </c>
    </row>
    <row r="99" spans="1:7" ht="20.100000000000001" customHeight="1" x14ac:dyDescent="0.25">
      <c r="A99" s="3">
        <v>97</v>
      </c>
      <c r="B99" s="8">
        <v>817</v>
      </c>
      <c r="C99" s="4" t="s">
        <v>1288</v>
      </c>
      <c r="D99" s="4" t="s">
        <v>1287</v>
      </c>
      <c r="E99" s="4" t="s">
        <v>1287</v>
      </c>
      <c r="F99" s="6">
        <v>8</v>
      </c>
      <c r="G99" s="16" t="str">
        <f t="shared" si="1"/>
        <v>(97,'817','العبادلة','Abadla','Abadla',8),</v>
      </c>
    </row>
    <row r="100" spans="1:7" ht="20.100000000000001" customHeight="1" x14ac:dyDescent="0.25">
      <c r="A100" s="3">
        <v>98</v>
      </c>
      <c r="B100" s="8">
        <v>821</v>
      </c>
      <c r="C100" s="4" t="s">
        <v>1292</v>
      </c>
      <c r="D100" s="4" t="s">
        <v>1291</v>
      </c>
      <c r="E100" s="4" t="s">
        <v>1291</v>
      </c>
      <c r="F100" s="6">
        <v>8</v>
      </c>
      <c r="G100" s="16" t="str">
        <f t="shared" si="1"/>
        <v>(98,'821','بني ونيف','Beni Ounif','Beni Ounif',8),</v>
      </c>
    </row>
    <row r="101" spans="1:7" ht="20.100000000000001" customHeight="1" x14ac:dyDescent="0.25">
      <c r="A101" s="3">
        <v>99</v>
      </c>
      <c r="B101" s="8">
        <v>901</v>
      </c>
      <c r="C101" s="4" t="s">
        <v>988</v>
      </c>
      <c r="D101" s="4" t="s">
        <v>989</v>
      </c>
      <c r="E101" s="4" t="s">
        <v>989</v>
      </c>
      <c r="F101" s="6">
        <v>9</v>
      </c>
      <c r="G101" s="16" t="str">
        <f t="shared" si="1"/>
        <v>(99,'901','البليدة','Blida','Blida',9),</v>
      </c>
    </row>
    <row r="102" spans="1:7" ht="20.100000000000001" customHeight="1" x14ac:dyDescent="0.25">
      <c r="A102" s="3">
        <v>100</v>
      </c>
      <c r="B102" s="8">
        <v>903</v>
      </c>
      <c r="C102" s="4" t="s">
        <v>1318</v>
      </c>
      <c r="D102" s="4" t="s">
        <v>1317</v>
      </c>
      <c r="E102" s="4" t="s">
        <v>1317</v>
      </c>
      <c r="F102" s="6">
        <v>9</v>
      </c>
      <c r="G102" s="16" t="str">
        <f t="shared" si="1"/>
        <v>(100,'903','بوعينان','Bouinan','Bouinan',9),</v>
      </c>
    </row>
    <row r="103" spans="1:7" ht="20.100000000000001" customHeight="1" x14ac:dyDescent="0.25">
      <c r="A103" s="3">
        <v>101</v>
      </c>
      <c r="B103" s="8">
        <v>904</v>
      </c>
      <c r="C103" s="4" t="s">
        <v>1312</v>
      </c>
      <c r="D103" s="4" t="s">
        <v>1311</v>
      </c>
      <c r="E103" s="4" t="s">
        <v>1311</v>
      </c>
      <c r="F103" s="6">
        <v>9</v>
      </c>
      <c r="G103" s="16" t="str">
        <f t="shared" si="1"/>
        <v>(101,'904','وادي العلايق','Oued El Alleug','Oued El Alleug',9),</v>
      </c>
    </row>
    <row r="104" spans="1:7" ht="20.100000000000001" customHeight="1" x14ac:dyDescent="0.25">
      <c r="A104" s="3">
        <v>102</v>
      </c>
      <c r="B104" s="8">
        <v>905</v>
      </c>
      <c r="C104" s="4" t="s">
        <v>1310</v>
      </c>
      <c r="D104" s="4" t="s">
        <v>1309</v>
      </c>
      <c r="E104" s="4" t="s">
        <v>1309</v>
      </c>
      <c r="F104" s="6">
        <v>9</v>
      </c>
      <c r="G104" s="16" t="str">
        <f t="shared" si="1"/>
        <v>(102,'905','أولاد يعيش','Ouled Yaich','Ouled Yaich',9),</v>
      </c>
    </row>
    <row r="105" spans="1:7" ht="20.100000000000001" customHeight="1" x14ac:dyDescent="0.25">
      <c r="A105" s="3">
        <v>103</v>
      </c>
      <c r="B105" s="8">
        <v>907</v>
      </c>
      <c r="C105" s="4" t="s">
        <v>1322</v>
      </c>
      <c r="D105" s="4" t="s">
        <v>1321</v>
      </c>
      <c r="E105" s="4" t="s">
        <v>1321</v>
      </c>
      <c r="F105" s="6">
        <v>9</v>
      </c>
      <c r="G105" s="16" t="str">
        <f t="shared" si="1"/>
        <v>(103,'907','العفرون','El Affroun','El Affroun',9),</v>
      </c>
    </row>
    <row r="106" spans="1:7" ht="20.100000000000001" customHeight="1" x14ac:dyDescent="0.25">
      <c r="A106" s="3">
        <v>104</v>
      </c>
      <c r="B106" s="8">
        <v>912</v>
      </c>
      <c r="C106" s="4" t="s">
        <v>1308</v>
      </c>
      <c r="D106" s="4" t="s">
        <v>1307</v>
      </c>
      <c r="E106" s="4" t="s">
        <v>1307</v>
      </c>
      <c r="F106" s="6">
        <v>9</v>
      </c>
      <c r="G106" s="16" t="str">
        <f t="shared" si="1"/>
        <v>(104,'912','موزاية','Mouzaia','Mouzaia',9),</v>
      </c>
    </row>
    <row r="107" spans="1:7" ht="20.100000000000001" customHeight="1" x14ac:dyDescent="0.25">
      <c r="A107" s="3">
        <v>105</v>
      </c>
      <c r="B107" s="8">
        <v>914</v>
      </c>
      <c r="C107" s="4" t="s">
        <v>1320</v>
      </c>
      <c r="D107" s="4" t="s">
        <v>1319</v>
      </c>
      <c r="E107" s="4" t="s">
        <v>1319</v>
      </c>
      <c r="F107" s="6">
        <v>9</v>
      </c>
      <c r="G107" s="16" t="str">
        <f t="shared" si="1"/>
        <v>(105,'914','مفتاح','Meftah','Meftah',9),</v>
      </c>
    </row>
    <row r="108" spans="1:7" ht="20.100000000000001" customHeight="1" x14ac:dyDescent="0.25">
      <c r="A108" s="3">
        <v>106</v>
      </c>
      <c r="B108" s="8">
        <v>916</v>
      </c>
      <c r="C108" s="4" t="s">
        <v>1314</v>
      </c>
      <c r="D108" s="4" t="s">
        <v>1313</v>
      </c>
      <c r="E108" s="4" t="s">
        <v>1313</v>
      </c>
      <c r="F108" s="6">
        <v>9</v>
      </c>
      <c r="G108" s="16" t="str">
        <f t="shared" si="1"/>
        <v>(106,'916','بوفاريك','Boufarik','Boufarik',9),</v>
      </c>
    </row>
    <row r="109" spans="1:7" ht="20.100000000000001" customHeight="1" x14ac:dyDescent="0.25">
      <c r="A109" s="3">
        <v>107</v>
      </c>
      <c r="B109" s="8">
        <v>917</v>
      </c>
      <c r="C109" s="4" t="s">
        <v>1324</v>
      </c>
      <c r="D109" s="4" t="s">
        <v>1323</v>
      </c>
      <c r="E109" s="4" t="s">
        <v>1323</v>
      </c>
      <c r="F109" s="6">
        <v>9</v>
      </c>
      <c r="G109" s="16" t="str">
        <f t="shared" si="1"/>
        <v>(107,'917','الأربعاء','Larbaa','Larbaa',9),</v>
      </c>
    </row>
    <row r="110" spans="1:7" ht="20.100000000000001" customHeight="1" x14ac:dyDescent="0.25">
      <c r="A110" s="3">
        <v>108</v>
      </c>
      <c r="B110" s="8">
        <v>922</v>
      </c>
      <c r="C110" s="4" t="s">
        <v>1316</v>
      </c>
      <c r="D110" s="4" t="s">
        <v>1315</v>
      </c>
      <c r="E110" s="4" t="s">
        <v>1315</v>
      </c>
      <c r="F110" s="6">
        <v>9</v>
      </c>
      <c r="G110" s="16" t="str">
        <f t="shared" si="1"/>
        <v>(108,'922','بوقرة','Bougara','Bougara',9),</v>
      </c>
    </row>
    <row r="111" spans="1:7" ht="20.100000000000001" customHeight="1" x14ac:dyDescent="0.25">
      <c r="A111" s="3">
        <v>109</v>
      </c>
      <c r="B111" s="8">
        <v>1001</v>
      </c>
      <c r="C111" s="4" t="s">
        <v>990</v>
      </c>
      <c r="D111" s="4" t="s">
        <v>1088</v>
      </c>
      <c r="E111" s="4" t="s">
        <v>1088</v>
      </c>
      <c r="F111" s="6">
        <v>10</v>
      </c>
      <c r="G111" s="16" t="str">
        <f t="shared" si="1"/>
        <v>(109,'1001','البويرة','Bouira','Bouira',10),</v>
      </c>
    </row>
    <row r="112" spans="1:7" ht="20.100000000000001" customHeight="1" x14ac:dyDescent="0.25">
      <c r="A112" s="3">
        <v>110</v>
      </c>
      <c r="B112" s="8">
        <v>1004</v>
      </c>
      <c r="C112" s="4" t="s">
        <v>1344</v>
      </c>
      <c r="D112" s="4" t="s">
        <v>1343</v>
      </c>
      <c r="E112" s="4" t="s">
        <v>1343</v>
      </c>
      <c r="F112" s="6">
        <v>10</v>
      </c>
      <c r="G112" s="16" t="str">
        <f t="shared" si="1"/>
        <v>(110,'1004','سوق الخميس','Souk El Khemis','Souk El Khemis',10),</v>
      </c>
    </row>
    <row r="113" spans="1:7" ht="20.100000000000001" customHeight="1" x14ac:dyDescent="0.25">
      <c r="A113" s="3">
        <v>111</v>
      </c>
      <c r="B113" s="8">
        <v>1005</v>
      </c>
      <c r="C113" s="4" t="s">
        <v>1332</v>
      </c>
      <c r="D113" s="4" t="s">
        <v>1331</v>
      </c>
      <c r="E113" s="4" t="s">
        <v>1331</v>
      </c>
      <c r="F113" s="6">
        <v>10</v>
      </c>
      <c r="G113" s="16" t="str">
        <f t="shared" si="1"/>
        <v>(111,'1005','القادرية','Kadiria','Kadiria',10),</v>
      </c>
    </row>
    <row r="114" spans="1:7" ht="20.100000000000001" customHeight="1" x14ac:dyDescent="0.25">
      <c r="A114" s="3">
        <v>112</v>
      </c>
      <c r="B114" s="8">
        <v>1012</v>
      </c>
      <c r="C114" s="4" t="s">
        <v>1346</v>
      </c>
      <c r="D114" s="4" t="s">
        <v>1345</v>
      </c>
      <c r="E114" s="4" t="s">
        <v>1345</v>
      </c>
      <c r="F114" s="6">
        <v>10</v>
      </c>
      <c r="G114" s="16" t="str">
        <f t="shared" si="1"/>
        <v>(112,'1012','الحيزر','Haizer','Haizer',10),</v>
      </c>
    </row>
    <row r="115" spans="1:7" ht="20.100000000000001" customHeight="1" x14ac:dyDescent="0.25">
      <c r="A115" s="3">
        <v>113</v>
      </c>
      <c r="B115" s="8">
        <v>1013</v>
      </c>
      <c r="C115" s="4" t="s">
        <v>1338</v>
      </c>
      <c r="D115" s="4" t="s">
        <v>1337</v>
      </c>
      <c r="E115" s="4" t="s">
        <v>1337</v>
      </c>
      <c r="F115" s="6">
        <v>10</v>
      </c>
      <c r="G115" s="16" t="str">
        <f t="shared" si="1"/>
        <v>(113,'1013','الأخضرية','Lakhdaria','Lakhdaria',10),</v>
      </c>
    </row>
    <row r="116" spans="1:7" ht="20.100000000000001" customHeight="1" x14ac:dyDescent="0.25">
      <c r="A116" s="3">
        <v>114</v>
      </c>
      <c r="B116" s="8">
        <v>1015</v>
      </c>
      <c r="C116" s="4" t="s">
        <v>1342</v>
      </c>
      <c r="D116" s="4" t="s">
        <v>1341</v>
      </c>
      <c r="E116" s="4" t="s">
        <v>1341</v>
      </c>
      <c r="F116" s="6">
        <v>10</v>
      </c>
      <c r="G116" s="16" t="str">
        <f t="shared" si="1"/>
        <v>(114,'1015','الهاشمية','El Hachimia','El Hachimia',10),</v>
      </c>
    </row>
    <row r="117" spans="1:7" ht="20.100000000000001" customHeight="1" x14ac:dyDescent="0.25">
      <c r="A117" s="3">
        <v>115</v>
      </c>
      <c r="B117" s="8">
        <v>1018</v>
      </c>
      <c r="C117" s="4" t="s">
        <v>1336</v>
      </c>
      <c r="D117" s="4" t="s">
        <v>1335</v>
      </c>
      <c r="E117" s="4" t="s">
        <v>1335</v>
      </c>
      <c r="F117" s="6">
        <v>10</v>
      </c>
      <c r="G117" s="16" t="str">
        <f t="shared" si="1"/>
        <v>(115,'1018','برج أوخريص','Bordj Okhriss','Bordj Okhriss',10),</v>
      </c>
    </row>
    <row r="118" spans="1:7" ht="20.100000000000001" customHeight="1" x14ac:dyDescent="0.25">
      <c r="A118" s="3">
        <v>116</v>
      </c>
      <c r="B118" s="8">
        <v>1033</v>
      </c>
      <c r="C118" s="4" t="s">
        <v>1328</v>
      </c>
      <c r="D118" s="4" t="s">
        <v>1327</v>
      </c>
      <c r="E118" s="4" t="s">
        <v>1327</v>
      </c>
      <c r="F118" s="6">
        <v>10</v>
      </c>
      <c r="G118" s="16" t="str">
        <f t="shared" si="1"/>
        <v>(116,'1033','بشلول','Bechloul','Bechloul',10),</v>
      </c>
    </row>
    <row r="119" spans="1:7" ht="20.100000000000001" customHeight="1" x14ac:dyDescent="0.25">
      <c r="A119" s="3">
        <v>117</v>
      </c>
      <c r="B119" s="8">
        <v>1035</v>
      </c>
      <c r="C119" s="4" t="s">
        <v>1330</v>
      </c>
      <c r="D119" s="4" t="s">
        <v>1329</v>
      </c>
      <c r="E119" s="4" t="s">
        <v>1329</v>
      </c>
      <c r="F119" s="6">
        <v>10</v>
      </c>
      <c r="G119" s="16" t="str">
        <f t="shared" si="1"/>
        <v>(117,'1035','عين بسام','Ain Bessem','Ain Bessem',10),</v>
      </c>
    </row>
    <row r="120" spans="1:7" ht="20.100000000000001" customHeight="1" x14ac:dyDescent="0.25">
      <c r="A120" s="3">
        <v>118</v>
      </c>
      <c r="B120" s="8">
        <v>1036</v>
      </c>
      <c r="C120" s="4" t="s">
        <v>1334</v>
      </c>
      <c r="D120" s="4" t="s">
        <v>1333</v>
      </c>
      <c r="E120" s="4" t="s">
        <v>1333</v>
      </c>
      <c r="F120" s="6">
        <v>10</v>
      </c>
      <c r="G120" s="16" t="str">
        <f t="shared" si="1"/>
        <v>(118,'1036','بئر غبالو','Bir Ghbalou','Bir Ghbalou',10),</v>
      </c>
    </row>
    <row r="121" spans="1:7" ht="20.100000000000001" customHeight="1" x14ac:dyDescent="0.25">
      <c r="A121" s="3">
        <v>119</v>
      </c>
      <c r="B121" s="8">
        <v>1037</v>
      </c>
      <c r="C121" s="4" t="s">
        <v>1326</v>
      </c>
      <c r="D121" s="4" t="s">
        <v>1325</v>
      </c>
      <c r="E121" s="4" t="s">
        <v>1325</v>
      </c>
      <c r="F121" s="6">
        <v>10</v>
      </c>
      <c r="G121" s="16" t="str">
        <f t="shared" si="1"/>
        <v>(119,'1037','مشد الله','M'chedallah','M'chedallah',10),</v>
      </c>
    </row>
    <row r="122" spans="1:7" ht="20.100000000000001" customHeight="1" x14ac:dyDescent="0.25">
      <c r="A122" s="3">
        <v>120</v>
      </c>
      <c r="B122" s="8">
        <v>1038</v>
      </c>
      <c r="C122" s="4" t="s">
        <v>1340</v>
      </c>
      <c r="D122" s="4" t="s">
        <v>1339</v>
      </c>
      <c r="E122" s="4" t="s">
        <v>1339</v>
      </c>
      <c r="F122" s="6">
        <v>10</v>
      </c>
      <c r="G122" s="16" t="str">
        <f t="shared" si="1"/>
        <v>(120,'1038','سور الغزلان','Sour El Ghozlane','Sour El Ghozlane',10),</v>
      </c>
    </row>
    <row r="123" spans="1:7" ht="20.100000000000001" customHeight="1" x14ac:dyDescent="0.25">
      <c r="A123" s="3">
        <v>121</v>
      </c>
      <c r="B123" s="8">
        <v>1101</v>
      </c>
      <c r="C123" s="4" t="s">
        <v>992</v>
      </c>
      <c r="D123" s="4" t="s">
        <v>993</v>
      </c>
      <c r="E123" s="4" t="s">
        <v>993</v>
      </c>
      <c r="F123" s="6">
        <v>11</v>
      </c>
      <c r="G123" s="16" t="str">
        <f t="shared" si="1"/>
        <v>(121,'1101','تمنراست','Tamanrasset','Tamanrasset',11),</v>
      </c>
    </row>
    <row r="124" spans="1:7" ht="20.100000000000001" customHeight="1" x14ac:dyDescent="0.25">
      <c r="A124" s="3">
        <v>122</v>
      </c>
      <c r="B124" s="8">
        <v>1102</v>
      </c>
      <c r="C124" s="4" t="s">
        <v>1348</v>
      </c>
      <c r="D124" s="4" t="s">
        <v>1347</v>
      </c>
      <c r="E124" s="4" t="s">
        <v>1347</v>
      </c>
      <c r="F124" s="6">
        <v>11</v>
      </c>
      <c r="G124" s="16" t="str">
        <f t="shared" si="1"/>
        <v>(122,'1102','سيلت','Silet','Silet',11),</v>
      </c>
    </row>
    <row r="125" spans="1:7" ht="20.100000000000001" customHeight="1" x14ac:dyDescent="0.25">
      <c r="A125" s="3">
        <v>123</v>
      </c>
      <c r="B125" s="8">
        <v>1106</v>
      </c>
      <c r="C125" s="4" t="s">
        <v>1352</v>
      </c>
      <c r="D125" s="4" t="s">
        <v>1351</v>
      </c>
      <c r="E125" s="4" t="s">
        <v>1351</v>
      </c>
      <c r="F125" s="6">
        <v>11</v>
      </c>
      <c r="G125" s="16" t="str">
        <f t="shared" si="1"/>
        <v>(123,'1106','تاظروك','Tazrouk','Tazrouk',11),</v>
      </c>
    </row>
    <row r="126" spans="1:7" ht="20.100000000000001" customHeight="1" x14ac:dyDescent="0.25">
      <c r="A126" s="3">
        <v>124</v>
      </c>
      <c r="B126" s="8">
        <v>1201</v>
      </c>
      <c r="C126" s="4" t="s">
        <v>994</v>
      </c>
      <c r="D126" s="4" t="s">
        <v>1093</v>
      </c>
      <c r="E126" s="4" t="s">
        <v>1093</v>
      </c>
      <c r="F126" s="6">
        <v>12</v>
      </c>
      <c r="G126" s="16" t="str">
        <f t="shared" si="1"/>
        <v>(124,'1201','تبسة','Tebessa','Tebessa',12),</v>
      </c>
    </row>
    <row r="127" spans="1:7" ht="20.100000000000001" customHeight="1" x14ac:dyDescent="0.25">
      <c r="A127" s="3">
        <v>125</v>
      </c>
      <c r="B127" s="8">
        <v>1202</v>
      </c>
      <c r="C127" s="4" t="s">
        <v>1368</v>
      </c>
      <c r="D127" s="4" t="s">
        <v>1367</v>
      </c>
      <c r="E127" s="4" t="s">
        <v>1367</v>
      </c>
      <c r="F127" s="6">
        <v>12</v>
      </c>
      <c r="G127" s="16" t="str">
        <f t="shared" si="1"/>
        <v>(125,'1202','بئر العاتر','Bir El Ater','Bir El Ater',12),</v>
      </c>
    </row>
    <row r="128" spans="1:7" ht="20.100000000000001" customHeight="1" x14ac:dyDescent="0.25">
      <c r="A128" s="3">
        <v>126</v>
      </c>
      <c r="B128" s="8">
        <v>1203</v>
      </c>
      <c r="C128" s="4" t="s">
        <v>1372</v>
      </c>
      <c r="D128" s="4" t="s">
        <v>1371</v>
      </c>
      <c r="E128" s="4" t="s">
        <v>1371</v>
      </c>
      <c r="F128" s="6">
        <v>12</v>
      </c>
      <c r="G128" s="16" t="str">
        <f t="shared" si="1"/>
        <v>(126,'1203','الشريعة','Cheria','Cheria',12),</v>
      </c>
    </row>
    <row r="129" spans="1:7" ht="20.100000000000001" customHeight="1" x14ac:dyDescent="0.25">
      <c r="A129" s="3">
        <v>127</v>
      </c>
      <c r="B129" s="8">
        <v>1205</v>
      </c>
      <c r="C129" s="4" t="s">
        <v>1370</v>
      </c>
      <c r="D129" s="4" t="s">
        <v>1369</v>
      </c>
      <c r="E129" s="4" t="s">
        <v>1369</v>
      </c>
      <c r="F129" s="6">
        <v>12</v>
      </c>
      <c r="G129" s="16" t="str">
        <f t="shared" si="1"/>
        <v>(127,'1205','العوينات','El Aouinet','El Aouinet',12),</v>
      </c>
    </row>
    <row r="130" spans="1:7" ht="20.100000000000001" customHeight="1" x14ac:dyDescent="0.25">
      <c r="A130" s="3">
        <v>128</v>
      </c>
      <c r="B130" s="8">
        <v>1209</v>
      </c>
      <c r="C130" s="4" t="s">
        <v>1376</v>
      </c>
      <c r="D130" s="4" t="s">
        <v>1375</v>
      </c>
      <c r="E130" s="4" t="s">
        <v>1375</v>
      </c>
      <c r="F130" s="6">
        <v>12</v>
      </c>
      <c r="G130" s="16" t="str">
        <f t="shared" si="1"/>
        <v>(128,'1209','نقرين','Negrine','Negrine',12),</v>
      </c>
    </row>
    <row r="131" spans="1:7" ht="20.100000000000001" customHeight="1" x14ac:dyDescent="0.25">
      <c r="A131" s="3">
        <v>129</v>
      </c>
      <c r="B131" s="8">
        <v>1210</v>
      </c>
      <c r="C131" s="4" t="s">
        <v>1366</v>
      </c>
      <c r="D131" s="4" t="s">
        <v>1365</v>
      </c>
      <c r="E131" s="4" t="s">
        <v>1365</v>
      </c>
      <c r="F131" s="6">
        <v>12</v>
      </c>
      <c r="G131" s="16" t="str">
        <f t="shared" si="1"/>
        <v>(129,'1210','بئر مقدم','Bir Mokadem','Bir Mokadem',12),</v>
      </c>
    </row>
    <row r="132" spans="1:7" ht="20.100000000000001" customHeight="1" x14ac:dyDescent="0.25">
      <c r="A132" s="3">
        <v>130</v>
      </c>
      <c r="B132" s="8">
        <v>1211</v>
      </c>
      <c r="C132" s="4" t="s">
        <v>1362</v>
      </c>
      <c r="D132" s="4" t="s">
        <v>1361</v>
      </c>
      <c r="E132" s="4" t="s">
        <v>1361</v>
      </c>
      <c r="F132" s="6">
        <v>12</v>
      </c>
      <c r="G132" s="16" t="str">
        <f t="shared" ref="G132:G195" si="2">CONCATENATE("(",A132,",'",B132,"','",C132,"','",D132,"','",E132,"',",F132,"),")</f>
        <v>(130,'1211','الكويف','El Kouif','El Kouif',12),</v>
      </c>
    </row>
    <row r="133" spans="1:7" ht="20.100000000000001" customHeight="1" x14ac:dyDescent="0.25">
      <c r="A133" s="3">
        <v>131</v>
      </c>
      <c r="B133" s="8">
        <v>1212</v>
      </c>
      <c r="C133" s="4" t="s">
        <v>1364</v>
      </c>
      <c r="D133" s="4" t="s">
        <v>1363</v>
      </c>
      <c r="E133" s="4" t="s">
        <v>1363</v>
      </c>
      <c r="F133" s="6">
        <v>12</v>
      </c>
      <c r="G133" s="16" t="str">
        <f t="shared" si="2"/>
        <v>(131,'1212','مرسط','Morsott','Morsott',12),</v>
      </c>
    </row>
    <row r="134" spans="1:7" ht="20.100000000000001" customHeight="1" x14ac:dyDescent="0.25">
      <c r="A134" s="3">
        <v>132</v>
      </c>
      <c r="B134" s="8">
        <v>1213</v>
      </c>
      <c r="C134" s="4" t="s">
        <v>1360</v>
      </c>
      <c r="D134" s="4" t="s">
        <v>1359</v>
      </c>
      <c r="E134" s="4" t="s">
        <v>1359</v>
      </c>
      <c r="F134" s="6">
        <v>12</v>
      </c>
      <c r="G134" s="16" t="str">
        <f t="shared" si="2"/>
        <v>(132,'1213','العقلة','El Ogla','El Ogla',12),</v>
      </c>
    </row>
    <row r="135" spans="1:7" ht="20.100000000000001" customHeight="1" x14ac:dyDescent="0.25">
      <c r="A135" s="3">
        <v>133</v>
      </c>
      <c r="B135" s="8">
        <v>1219</v>
      </c>
      <c r="C135" s="4" t="s">
        <v>1358</v>
      </c>
      <c r="D135" s="4" t="s">
        <v>1357</v>
      </c>
      <c r="E135" s="4" t="s">
        <v>1357</v>
      </c>
      <c r="F135" s="6">
        <v>12</v>
      </c>
      <c r="G135" s="16" t="str">
        <f t="shared" si="2"/>
        <v>(133,'1219','الونزة','Ouenza','Ouenza',12),</v>
      </c>
    </row>
    <row r="136" spans="1:7" ht="20.100000000000001" customHeight="1" x14ac:dyDescent="0.25">
      <c r="A136" s="3">
        <v>134</v>
      </c>
      <c r="B136" s="8">
        <v>1220</v>
      </c>
      <c r="C136" s="4" t="s">
        <v>1374</v>
      </c>
      <c r="D136" s="4" t="s">
        <v>1373</v>
      </c>
      <c r="E136" s="4" t="s">
        <v>1373</v>
      </c>
      <c r="F136" s="6">
        <v>12</v>
      </c>
      <c r="G136" s="16" t="str">
        <f t="shared" si="2"/>
        <v>(134,'1220','الماء الابيض','El Malabiod','El Malabiod',12),</v>
      </c>
    </row>
    <row r="137" spans="1:7" ht="20.100000000000001" customHeight="1" x14ac:dyDescent="0.25">
      <c r="A137" s="3">
        <v>135</v>
      </c>
      <c r="B137" s="8">
        <v>1221</v>
      </c>
      <c r="C137" s="4" t="s">
        <v>1378</v>
      </c>
      <c r="D137" s="4" t="s">
        <v>1377</v>
      </c>
      <c r="E137" s="4" t="s">
        <v>1377</v>
      </c>
      <c r="F137" s="6">
        <v>12</v>
      </c>
      <c r="G137" s="16" t="str">
        <f t="shared" si="2"/>
        <v>(135,'1221','أم علي','Oum Ali','Oum Ali',12),</v>
      </c>
    </row>
    <row r="138" spans="1:7" ht="20.100000000000001" customHeight="1" x14ac:dyDescent="0.25">
      <c r="A138" s="3">
        <v>136</v>
      </c>
      <c r="B138" s="8">
        <v>1301</v>
      </c>
      <c r="C138" s="4" t="s">
        <v>996</v>
      </c>
      <c r="D138" s="4" t="s">
        <v>997</v>
      </c>
      <c r="E138" s="4" t="s">
        <v>997</v>
      </c>
      <c r="F138" s="6">
        <v>13</v>
      </c>
      <c r="G138" s="16" t="str">
        <f t="shared" si="2"/>
        <v>(136,'1301','تلمسان','Tlemcen','Tlemcen',13),</v>
      </c>
    </row>
    <row r="139" spans="1:7" ht="20.100000000000001" customHeight="1" x14ac:dyDescent="0.25">
      <c r="A139" s="3">
        <v>137</v>
      </c>
      <c r="B139" s="8">
        <v>1303</v>
      </c>
      <c r="C139" s="4" t="s">
        <v>1386</v>
      </c>
      <c r="D139" s="4" t="s">
        <v>1385</v>
      </c>
      <c r="E139" s="4" t="s">
        <v>1385</v>
      </c>
      <c r="F139" s="6">
        <v>13</v>
      </c>
      <c r="G139" s="16" t="str">
        <f t="shared" si="2"/>
        <v>(137,'1303','عين تالوت','Ain Tellout','Ain Tellout',13),</v>
      </c>
    </row>
    <row r="140" spans="1:7" ht="20.100000000000001" customHeight="1" x14ac:dyDescent="0.25">
      <c r="A140" s="3">
        <v>138</v>
      </c>
      <c r="B140" s="8">
        <v>1304</v>
      </c>
      <c r="C140" s="4" t="s">
        <v>1388</v>
      </c>
      <c r="D140" s="4" t="s">
        <v>1387</v>
      </c>
      <c r="E140" s="4" t="s">
        <v>1387</v>
      </c>
      <c r="F140" s="6">
        <v>13</v>
      </c>
      <c r="G140" s="16" t="str">
        <f t="shared" si="2"/>
        <v>(138,'1304','الرمشي','Remchi','Remchi',13),</v>
      </c>
    </row>
    <row r="141" spans="1:7" ht="20.100000000000001" customHeight="1" x14ac:dyDescent="0.25">
      <c r="A141" s="3">
        <v>139</v>
      </c>
      <c r="B141" s="8">
        <v>1306</v>
      </c>
      <c r="C141" s="4" t="s">
        <v>1402</v>
      </c>
      <c r="D141" s="4" t="s">
        <v>1401</v>
      </c>
      <c r="E141" s="4" t="s">
        <v>1401</v>
      </c>
      <c r="F141" s="6">
        <v>13</v>
      </c>
      <c r="G141" s="16" t="str">
        <f t="shared" si="2"/>
        <v>(139,'1306','صبرة','Sabra','Sabra',13),</v>
      </c>
    </row>
    <row r="142" spans="1:7" ht="20.100000000000001" customHeight="1" x14ac:dyDescent="0.25">
      <c r="A142" s="3">
        <v>140</v>
      </c>
      <c r="B142" s="8">
        <v>1307</v>
      </c>
      <c r="C142" s="4" t="s">
        <v>1406</v>
      </c>
      <c r="D142" s="4" t="s">
        <v>1405</v>
      </c>
      <c r="E142" s="4" t="s">
        <v>1405</v>
      </c>
      <c r="F142" s="6">
        <v>13</v>
      </c>
      <c r="G142" s="16" t="str">
        <f t="shared" si="2"/>
        <v>(140,'1307','الغزوات','Ghazaouet','Ghazaouet',13),</v>
      </c>
    </row>
    <row r="143" spans="1:7" ht="20.100000000000001" customHeight="1" x14ac:dyDescent="0.25">
      <c r="A143" s="3">
        <v>141</v>
      </c>
      <c r="B143" s="8">
        <v>1313</v>
      </c>
      <c r="C143" s="4" t="s">
        <v>1398</v>
      </c>
      <c r="D143" s="4" t="s">
        <v>1397</v>
      </c>
      <c r="E143" s="4" t="s">
        <v>1397</v>
      </c>
      <c r="F143" s="6">
        <v>13</v>
      </c>
      <c r="G143" s="16" t="str">
        <f t="shared" si="2"/>
        <v>(141,'1313','أولاد ميمون','Ouled Mimoun','Ouled Mimoun',13),</v>
      </c>
    </row>
    <row r="144" spans="1:7" ht="20.100000000000001" customHeight="1" x14ac:dyDescent="0.25">
      <c r="A144" s="3">
        <v>142</v>
      </c>
      <c r="B144" s="8">
        <v>1317</v>
      </c>
      <c r="C144" s="4" t="s">
        <v>1392</v>
      </c>
      <c r="D144" s="4" t="s">
        <v>1391</v>
      </c>
      <c r="E144" s="4" t="s">
        <v>1391</v>
      </c>
      <c r="F144" s="6">
        <v>13</v>
      </c>
      <c r="G144" s="16" t="str">
        <f t="shared" si="2"/>
        <v>(142,'1317','بني سنوس','Beni Snous','Beni Snous',13),</v>
      </c>
    </row>
    <row r="145" spans="1:7" ht="20.100000000000001" customHeight="1" x14ac:dyDescent="0.25">
      <c r="A145" s="3">
        <v>143</v>
      </c>
      <c r="B145" s="8">
        <v>1318</v>
      </c>
      <c r="C145" s="4" t="s">
        <v>1390</v>
      </c>
      <c r="D145" s="4" t="s">
        <v>1389</v>
      </c>
      <c r="E145" s="4" t="s">
        <v>1389</v>
      </c>
      <c r="F145" s="6">
        <v>13</v>
      </c>
      <c r="G145" s="16" t="str">
        <f t="shared" si="2"/>
        <v>(143,'1318','باب العسة','Bab El Assa','Bab El Assa',13),</v>
      </c>
    </row>
    <row r="146" spans="1:7" ht="20.100000000000001" customHeight="1" x14ac:dyDescent="0.25">
      <c r="A146" s="3">
        <v>144</v>
      </c>
      <c r="B146" s="8">
        <v>1320</v>
      </c>
      <c r="C146" s="4" t="s">
        <v>1380</v>
      </c>
      <c r="D146" s="4" t="s">
        <v>1379</v>
      </c>
      <c r="E146" s="4" t="s">
        <v>1379</v>
      </c>
      <c r="F146" s="6">
        <v>13</v>
      </c>
      <c r="G146" s="16" t="str">
        <f t="shared" si="2"/>
        <v>(144,'1320','فلاوسن','Fellaoucene','Fellaoucene',13),</v>
      </c>
    </row>
    <row r="147" spans="1:7" ht="20.100000000000001" customHeight="1" x14ac:dyDescent="0.25">
      <c r="A147" s="3">
        <v>145</v>
      </c>
      <c r="B147" s="8">
        <v>1324</v>
      </c>
      <c r="C147" s="4" t="s">
        <v>1400</v>
      </c>
      <c r="D147" s="4" t="s">
        <v>1399</v>
      </c>
      <c r="E147" s="4" t="s">
        <v>1399</v>
      </c>
      <c r="F147" s="6">
        <v>13</v>
      </c>
      <c r="G147" s="16" t="str">
        <f t="shared" si="2"/>
        <v>(145,'1324','بن سكران','Bensekrane','Bensekrane',13),</v>
      </c>
    </row>
    <row r="148" spans="1:7" ht="20.100000000000001" customHeight="1" x14ac:dyDescent="0.25">
      <c r="A148" s="3">
        <v>146</v>
      </c>
      <c r="B148" s="8">
        <v>1326</v>
      </c>
      <c r="C148" s="4" t="s">
        <v>1414</v>
      </c>
      <c r="D148" s="4" t="s">
        <v>1413</v>
      </c>
      <c r="E148" s="4" t="s">
        <v>1413</v>
      </c>
      <c r="F148" s="6">
        <v>13</v>
      </c>
      <c r="G148" s="16" t="str">
        <f t="shared" si="2"/>
        <v>(146,'1326','الحناية','Hennaya','Hennaya',13),</v>
      </c>
    </row>
    <row r="149" spans="1:7" ht="20.100000000000001" customHeight="1" x14ac:dyDescent="0.25">
      <c r="A149" s="3">
        <v>147</v>
      </c>
      <c r="B149" s="8">
        <v>1327</v>
      </c>
      <c r="C149" s="4" t="s">
        <v>1412</v>
      </c>
      <c r="D149" s="4" t="s">
        <v>1411</v>
      </c>
      <c r="E149" s="4" t="s">
        <v>1411</v>
      </c>
      <c r="F149" s="6">
        <v>13</v>
      </c>
      <c r="G149" s="16" t="str">
        <f t="shared" si="2"/>
        <v>(147,'1327','مغنية','Maghnia','Maghnia',13),</v>
      </c>
    </row>
    <row r="150" spans="1:7" ht="20.100000000000001" customHeight="1" x14ac:dyDescent="0.25">
      <c r="A150" s="3">
        <v>148</v>
      </c>
      <c r="B150" s="8">
        <v>1335</v>
      </c>
      <c r="C150" s="4" t="s">
        <v>1410</v>
      </c>
      <c r="D150" s="4" t="s">
        <v>1409</v>
      </c>
      <c r="E150" s="4" t="s">
        <v>1409</v>
      </c>
      <c r="F150" s="6">
        <v>13</v>
      </c>
      <c r="G150" s="16" t="str">
        <f t="shared" si="2"/>
        <v>(148,'1335','سبدو','Sebdou','Sebdou',13),</v>
      </c>
    </row>
    <row r="151" spans="1:7" ht="20.100000000000001" customHeight="1" x14ac:dyDescent="0.25">
      <c r="A151" s="3">
        <v>149</v>
      </c>
      <c r="B151" s="8">
        <v>1338</v>
      </c>
      <c r="C151" s="4" t="s">
        <v>1394</v>
      </c>
      <c r="D151" s="4" t="s">
        <v>1393</v>
      </c>
      <c r="E151" s="4" t="s">
        <v>1393</v>
      </c>
      <c r="F151" s="6">
        <v>13</v>
      </c>
      <c r="G151" s="16" t="str">
        <f t="shared" si="2"/>
        <v>(149,'1338','بني بوسعيد','Beni Boussaid','Beni Boussaid',13),</v>
      </c>
    </row>
    <row r="152" spans="1:7" ht="20.100000000000001" customHeight="1" x14ac:dyDescent="0.25">
      <c r="A152" s="3">
        <v>150</v>
      </c>
      <c r="B152" s="8">
        <v>1339</v>
      </c>
      <c r="C152" s="4" t="s">
        <v>1416</v>
      </c>
      <c r="D152" s="4" t="s">
        <v>1415</v>
      </c>
      <c r="E152" s="4" t="s">
        <v>1415</v>
      </c>
      <c r="F152" s="6">
        <v>13</v>
      </c>
      <c r="G152" s="16" t="str">
        <f t="shared" si="2"/>
        <v>(150,'1339','مرسى بن مهيدي','Marsa Ben Mehdi','Marsa Ben Mehdi',13),</v>
      </c>
    </row>
    <row r="153" spans="1:7" ht="20.100000000000001" customHeight="1" x14ac:dyDescent="0.25">
      <c r="A153" s="3">
        <v>151</v>
      </c>
      <c r="B153" s="8">
        <v>1340</v>
      </c>
      <c r="C153" s="4" t="s">
        <v>1408</v>
      </c>
      <c r="D153" s="4" t="s">
        <v>1407</v>
      </c>
      <c r="E153" s="4" t="s">
        <v>1407</v>
      </c>
      <c r="F153" s="6">
        <v>13</v>
      </c>
      <c r="G153" s="16" t="str">
        <f t="shared" si="2"/>
        <v>(151,'1340','ندرومة','Nedroma','Nedroma',13),</v>
      </c>
    </row>
    <row r="154" spans="1:7" ht="20.100000000000001" customHeight="1" x14ac:dyDescent="0.25">
      <c r="A154" s="3">
        <v>152</v>
      </c>
      <c r="B154" s="8">
        <v>1341</v>
      </c>
      <c r="C154" s="4" t="s">
        <v>1404</v>
      </c>
      <c r="D154" s="4" t="s">
        <v>1403</v>
      </c>
      <c r="E154" s="4" t="s">
        <v>1403</v>
      </c>
      <c r="F154" s="6">
        <v>13</v>
      </c>
      <c r="G154" s="16" t="str">
        <f t="shared" si="2"/>
        <v>(152,'1341','سيدي الجيلالي','Sidi Djillali','Sidi Djillali',13),</v>
      </c>
    </row>
    <row r="155" spans="1:7" ht="20.100000000000001" customHeight="1" x14ac:dyDescent="0.25">
      <c r="A155" s="3">
        <v>153</v>
      </c>
      <c r="B155" s="8">
        <v>1344</v>
      </c>
      <c r="C155" s="4" t="s">
        <v>1396</v>
      </c>
      <c r="D155" s="4" t="s">
        <v>1395</v>
      </c>
      <c r="E155" s="4" t="s">
        <v>1395</v>
      </c>
      <c r="F155" s="6">
        <v>13</v>
      </c>
      <c r="G155" s="16" t="str">
        <f t="shared" si="2"/>
        <v>(153,'1344','هنين','Honnaine','Honnaine',13),</v>
      </c>
    </row>
    <row r="156" spans="1:7" ht="20.100000000000001" customHeight="1" x14ac:dyDescent="0.25">
      <c r="A156" s="3">
        <v>154</v>
      </c>
      <c r="B156" s="8">
        <v>1350</v>
      </c>
      <c r="C156" s="4" t="s">
        <v>1382</v>
      </c>
      <c r="D156" s="4" t="s">
        <v>1381</v>
      </c>
      <c r="E156" s="4" t="s">
        <v>1381</v>
      </c>
      <c r="F156" s="6">
        <v>13</v>
      </c>
      <c r="G156" s="16" t="str">
        <f t="shared" si="2"/>
        <v>(154,'1350','شتوان','Chetouane','Chetouane',13),</v>
      </c>
    </row>
    <row r="157" spans="1:7" ht="20.100000000000001" customHeight="1" x14ac:dyDescent="0.25">
      <c r="A157" s="3">
        <v>155</v>
      </c>
      <c r="B157" s="8">
        <v>1351</v>
      </c>
      <c r="C157" s="4" t="s">
        <v>1384</v>
      </c>
      <c r="D157" s="4" t="s">
        <v>1383</v>
      </c>
      <c r="E157" s="4" t="s">
        <v>1383</v>
      </c>
      <c r="F157" s="6">
        <v>13</v>
      </c>
      <c r="G157" s="16" t="str">
        <f t="shared" si="2"/>
        <v>(155,'1351','منصورة','Mansourah','Mansourah',13),</v>
      </c>
    </row>
    <row r="158" spans="1:7" ht="20.100000000000001" customHeight="1" x14ac:dyDescent="0.25">
      <c r="A158" s="3">
        <v>156</v>
      </c>
      <c r="B158" s="8">
        <v>1401</v>
      </c>
      <c r="C158" s="4" t="s">
        <v>998</v>
      </c>
      <c r="D158" s="4" t="s">
        <v>999</v>
      </c>
      <c r="E158" s="4" t="s">
        <v>999</v>
      </c>
      <c r="F158" s="6">
        <v>14</v>
      </c>
      <c r="G158" s="16" t="str">
        <f t="shared" si="2"/>
        <v>(156,'1401','تيارت','Tiaret','Tiaret',14),</v>
      </c>
    </row>
    <row r="159" spans="1:7" ht="20.100000000000001" customHeight="1" x14ac:dyDescent="0.25">
      <c r="A159" s="3">
        <v>157</v>
      </c>
      <c r="B159" s="8">
        <v>1402</v>
      </c>
      <c r="C159" s="4" t="s">
        <v>1438</v>
      </c>
      <c r="D159" s="4" t="s">
        <v>1437</v>
      </c>
      <c r="E159" s="4" t="s">
        <v>1437</v>
      </c>
      <c r="F159" s="6">
        <v>14</v>
      </c>
      <c r="G159" s="16" t="str">
        <f t="shared" si="2"/>
        <v>(157,'1402','مدروسة','Medroussa','Medroussa',14),</v>
      </c>
    </row>
    <row r="160" spans="1:7" ht="20.100000000000001" customHeight="1" x14ac:dyDescent="0.25">
      <c r="A160" s="3">
        <v>158</v>
      </c>
      <c r="B160" s="8">
        <v>1406</v>
      </c>
      <c r="C160" s="4" t="s">
        <v>1420</v>
      </c>
      <c r="D160" s="4" t="s">
        <v>1419</v>
      </c>
      <c r="E160" s="4" t="s">
        <v>1419</v>
      </c>
      <c r="F160" s="6">
        <v>14</v>
      </c>
      <c r="G160" s="16" t="str">
        <f t="shared" si="2"/>
        <v>(158,'1406','عين الذهب','Ain Deheb','Ain Deheb',14),</v>
      </c>
    </row>
    <row r="161" spans="1:7" ht="20.100000000000001" customHeight="1" x14ac:dyDescent="0.25">
      <c r="A161" s="3">
        <v>159</v>
      </c>
      <c r="B161" s="8">
        <v>1413</v>
      </c>
      <c r="C161" s="4" t="s">
        <v>1418</v>
      </c>
      <c r="D161" s="4" t="s">
        <v>1417</v>
      </c>
      <c r="E161" s="4" t="s">
        <v>1417</v>
      </c>
      <c r="F161" s="6">
        <v>14</v>
      </c>
      <c r="G161" s="16" t="str">
        <f t="shared" si="2"/>
        <v>(159,'1413','دحموني','Dahmouni','Dahmouni',14),</v>
      </c>
    </row>
    <row r="162" spans="1:7" ht="20.100000000000001" customHeight="1" x14ac:dyDescent="0.25">
      <c r="A162" s="3">
        <v>160</v>
      </c>
      <c r="B162" s="8">
        <v>1414</v>
      </c>
      <c r="C162" s="4" t="s">
        <v>1434</v>
      </c>
      <c r="D162" s="4" t="s">
        <v>1433</v>
      </c>
      <c r="E162" s="4" t="s">
        <v>1433</v>
      </c>
      <c r="F162" s="6">
        <v>14</v>
      </c>
      <c r="G162" s="16" t="str">
        <f t="shared" si="2"/>
        <v>(160,'1414','رحوية','Rahouia','Rahouia',14),</v>
      </c>
    </row>
    <row r="163" spans="1:7" ht="20.100000000000001" customHeight="1" x14ac:dyDescent="0.25">
      <c r="A163" s="3">
        <v>161</v>
      </c>
      <c r="B163" s="8">
        <v>1415</v>
      </c>
      <c r="C163" s="4" t="s">
        <v>1422</v>
      </c>
      <c r="D163" s="4" t="s">
        <v>1421</v>
      </c>
      <c r="E163" s="4" t="s">
        <v>1421</v>
      </c>
      <c r="F163" s="6">
        <v>14</v>
      </c>
      <c r="G163" s="16" t="str">
        <f t="shared" si="2"/>
        <v>(161,'1415','مهدية','Mahdia','Mahdia',14),</v>
      </c>
    </row>
    <row r="164" spans="1:7" ht="20.100000000000001" customHeight="1" x14ac:dyDescent="0.25">
      <c r="A164" s="3">
        <v>162</v>
      </c>
      <c r="B164" s="8">
        <v>1416</v>
      </c>
      <c r="C164" s="4" t="s">
        <v>1432</v>
      </c>
      <c r="D164" s="4" t="s">
        <v>1431</v>
      </c>
      <c r="E164" s="4" t="s">
        <v>1431</v>
      </c>
      <c r="F164" s="6">
        <v>14</v>
      </c>
      <c r="G164" s="16" t="str">
        <f t="shared" si="2"/>
        <v>(162,'1416','السوقر','Sougueur','Sougueur',14),</v>
      </c>
    </row>
    <row r="165" spans="1:7" ht="20.100000000000001" customHeight="1" x14ac:dyDescent="0.25">
      <c r="A165" s="3">
        <v>163</v>
      </c>
      <c r="B165" s="8">
        <v>1421</v>
      </c>
      <c r="C165" s="4" t="s">
        <v>1440</v>
      </c>
      <c r="D165" s="4" t="s">
        <v>1439</v>
      </c>
      <c r="E165" s="4" t="s">
        <v>1439</v>
      </c>
      <c r="F165" s="6">
        <v>14</v>
      </c>
      <c r="G165" s="16" t="str">
        <f t="shared" si="2"/>
        <v>(163,'1421','مغيلة','Meghila','Meghila',14),</v>
      </c>
    </row>
    <row r="166" spans="1:7" ht="20.100000000000001" customHeight="1" x14ac:dyDescent="0.25">
      <c r="A166" s="3">
        <v>164</v>
      </c>
      <c r="B166" s="8">
        <v>1427</v>
      </c>
      <c r="C166" s="4" t="s">
        <v>1424</v>
      </c>
      <c r="D166" s="4" t="s">
        <v>1423</v>
      </c>
      <c r="E166" s="4" t="s">
        <v>1423</v>
      </c>
      <c r="F166" s="6">
        <v>14</v>
      </c>
      <c r="G166" s="16" t="str">
        <f t="shared" si="2"/>
        <v>(164,'1427','فرندة','Frenda','Frenda',14),</v>
      </c>
    </row>
    <row r="167" spans="1:7" ht="20.100000000000001" customHeight="1" x14ac:dyDescent="0.25">
      <c r="A167" s="3">
        <v>165</v>
      </c>
      <c r="B167" s="8">
        <v>1428</v>
      </c>
      <c r="C167" s="4" t="s">
        <v>1426</v>
      </c>
      <c r="D167" s="4" t="s">
        <v>1425</v>
      </c>
      <c r="E167" s="4" t="s">
        <v>1425</v>
      </c>
      <c r="F167" s="6">
        <v>14</v>
      </c>
      <c r="G167" s="16" t="str">
        <f t="shared" si="2"/>
        <v>(165,'1428','عين كرمس','Ain Kermes','Ain Kermes',14),</v>
      </c>
    </row>
    <row r="168" spans="1:7" ht="20.100000000000001" customHeight="1" x14ac:dyDescent="0.25">
      <c r="A168" s="3">
        <v>166</v>
      </c>
      <c r="B168" s="8">
        <v>1429</v>
      </c>
      <c r="C168" s="4" t="s">
        <v>1436</v>
      </c>
      <c r="D168" s="4" t="s">
        <v>1435</v>
      </c>
      <c r="E168" s="4" t="s">
        <v>1435</v>
      </c>
      <c r="F168" s="6">
        <v>14</v>
      </c>
      <c r="G168" s="16" t="str">
        <f t="shared" si="2"/>
        <v>(166,'1429','قصر الشلالة','Ksar Chellala','Ksar Chellala',14),</v>
      </c>
    </row>
    <row r="169" spans="1:7" ht="20.100000000000001" customHeight="1" x14ac:dyDescent="0.25">
      <c r="A169" s="3">
        <v>167</v>
      </c>
      <c r="B169" s="8">
        <v>1433</v>
      </c>
      <c r="C169" s="4" t="s">
        <v>1442</v>
      </c>
      <c r="D169" s="4" t="s">
        <v>1441</v>
      </c>
      <c r="E169" s="4" t="s">
        <v>1441</v>
      </c>
      <c r="F169" s="6">
        <v>14</v>
      </c>
      <c r="G169" s="16" t="str">
        <f t="shared" si="2"/>
        <v>(167,'1433','وادي ليلي','Oued Lili','Oued Lili',14),</v>
      </c>
    </row>
    <row r="170" spans="1:7" ht="20.100000000000001" customHeight="1" x14ac:dyDescent="0.25">
      <c r="A170" s="3">
        <v>168</v>
      </c>
      <c r="B170" s="8">
        <v>1434</v>
      </c>
      <c r="C170" s="4" t="s">
        <v>1430</v>
      </c>
      <c r="D170" s="4" t="s">
        <v>1429</v>
      </c>
      <c r="E170" s="4" t="s">
        <v>1429</v>
      </c>
      <c r="F170" s="6">
        <v>14</v>
      </c>
      <c r="G170" s="16" t="str">
        <f t="shared" si="2"/>
        <v>(168,'1434','مشرع الصفا','Mechraa Sfa','Mechraa Sfa',14),</v>
      </c>
    </row>
    <row r="171" spans="1:7" ht="20.100000000000001" customHeight="1" x14ac:dyDescent="0.25">
      <c r="A171" s="3">
        <v>169</v>
      </c>
      <c r="B171" s="8">
        <v>1435</v>
      </c>
      <c r="C171" s="4" t="s">
        <v>1428</v>
      </c>
      <c r="D171" s="4" t="s">
        <v>1427</v>
      </c>
      <c r="E171" s="4" t="s">
        <v>1427</v>
      </c>
      <c r="F171" s="6">
        <v>14</v>
      </c>
      <c r="G171" s="16" t="str">
        <f t="shared" si="2"/>
        <v>(169,'1435','حمادية','Hamadia','Hamadia',14),</v>
      </c>
    </row>
    <row r="172" spans="1:7" ht="20.100000000000001" customHeight="1" x14ac:dyDescent="0.25">
      <c r="A172" s="3">
        <v>170</v>
      </c>
      <c r="B172" s="8">
        <v>1501</v>
      </c>
      <c r="C172" s="4" t="s">
        <v>1000</v>
      </c>
      <c r="D172" s="4" t="s">
        <v>1001</v>
      </c>
      <c r="E172" s="4" t="s">
        <v>1001</v>
      </c>
      <c r="F172" s="6">
        <v>15</v>
      </c>
      <c r="G172" s="16" t="str">
        <f t="shared" si="2"/>
        <v>(170,'1501','تيزي وزو','Tizi Ouzou','Tizi Ouzou',15),</v>
      </c>
    </row>
    <row r="173" spans="1:7" ht="20.100000000000001" customHeight="1" x14ac:dyDescent="0.25">
      <c r="A173" s="3">
        <v>171</v>
      </c>
      <c r="B173" s="8">
        <v>1502</v>
      </c>
      <c r="C173" s="4" t="s">
        <v>1444</v>
      </c>
      <c r="D173" s="4" t="s">
        <v>1443</v>
      </c>
      <c r="E173" s="4" t="s">
        <v>1443</v>
      </c>
      <c r="F173" s="6">
        <v>15</v>
      </c>
      <c r="G173" s="16" t="str">
        <f t="shared" si="2"/>
        <v>(171,'1502','عين الحمام','Ain El Hammam','Ain El Hammam',15),</v>
      </c>
    </row>
    <row r="174" spans="1:7" ht="20.100000000000001" customHeight="1" x14ac:dyDescent="0.25">
      <c r="A174" s="3">
        <v>172</v>
      </c>
      <c r="B174" s="8">
        <v>1509</v>
      </c>
      <c r="C174" s="4" t="s">
        <v>1472</v>
      </c>
      <c r="D174" s="4" t="s">
        <v>1471</v>
      </c>
      <c r="E174" s="4" t="s">
        <v>1471</v>
      </c>
      <c r="F174" s="6">
        <v>15</v>
      </c>
      <c r="G174" s="16" t="str">
        <f t="shared" si="2"/>
        <v>(172,'1509','ماكودة','Makouda','Makouda',15),</v>
      </c>
    </row>
    <row r="175" spans="1:7" ht="20.100000000000001" customHeight="1" x14ac:dyDescent="0.25">
      <c r="A175" s="3">
        <v>173</v>
      </c>
      <c r="B175" s="8">
        <v>1510</v>
      </c>
      <c r="C175" s="4" t="s">
        <v>1450</v>
      </c>
      <c r="D175" s="4" t="s">
        <v>1449</v>
      </c>
      <c r="E175" s="4" t="s">
        <v>1449</v>
      </c>
      <c r="F175" s="6">
        <v>15</v>
      </c>
      <c r="G175" s="16" t="str">
        <f t="shared" si="2"/>
        <v>(173,'1510','ذراع الميزان','Draa El Mizan','Draa El Mizan',15),</v>
      </c>
    </row>
    <row r="176" spans="1:7" ht="20.100000000000001" customHeight="1" x14ac:dyDescent="0.25">
      <c r="A176" s="3">
        <v>174</v>
      </c>
      <c r="B176" s="8">
        <v>1511</v>
      </c>
      <c r="C176" s="4" t="s">
        <v>1482</v>
      </c>
      <c r="D176" s="4" t="s">
        <v>1481</v>
      </c>
      <c r="E176" s="4" t="s">
        <v>1481</v>
      </c>
      <c r="F176" s="6">
        <v>15</v>
      </c>
      <c r="G176" s="16" t="str">
        <f t="shared" si="2"/>
        <v>(174,'1511','تيزي غنيف','Tizi-Ghenif','Tizi-Ghenif',15),</v>
      </c>
    </row>
    <row r="177" spans="1:7" ht="20.100000000000001" customHeight="1" x14ac:dyDescent="0.25">
      <c r="A177" s="3">
        <v>175</v>
      </c>
      <c r="B177" s="8">
        <v>1517</v>
      </c>
      <c r="C177" s="4" t="s">
        <v>1476</v>
      </c>
      <c r="D177" s="4" t="s">
        <v>1475</v>
      </c>
      <c r="E177" s="4" t="s">
        <v>1475</v>
      </c>
      <c r="F177" s="6">
        <v>15</v>
      </c>
      <c r="G177" s="16" t="str">
        <f t="shared" si="2"/>
        <v>(175,'1517','إفرحونان','Iferhounene','Iferhounene',15),</v>
      </c>
    </row>
    <row r="178" spans="1:7" ht="20.100000000000001" customHeight="1" x14ac:dyDescent="0.25">
      <c r="A178" s="3">
        <v>176</v>
      </c>
      <c r="B178" s="8">
        <v>1518</v>
      </c>
      <c r="C178" s="4" t="s">
        <v>1466</v>
      </c>
      <c r="D178" s="4" t="s">
        <v>1465</v>
      </c>
      <c r="E178" s="4" t="s">
        <v>1465</v>
      </c>
      <c r="F178" s="6">
        <v>15</v>
      </c>
      <c r="G178" s="16" t="str">
        <f t="shared" si="2"/>
        <v>(176,'1518','عزازقة','Azazga','Azazga',15),</v>
      </c>
    </row>
    <row r="179" spans="1:7" ht="20.100000000000001" customHeight="1" x14ac:dyDescent="0.25">
      <c r="A179" s="3">
        <v>177</v>
      </c>
      <c r="B179" s="8">
        <v>1521</v>
      </c>
      <c r="C179" s="4" t="s">
        <v>1452</v>
      </c>
      <c r="D179" s="4" t="s">
        <v>1451</v>
      </c>
      <c r="E179" s="4" t="s">
        <v>1451</v>
      </c>
      <c r="F179" s="6">
        <v>15</v>
      </c>
      <c r="G179" s="16" t="str">
        <f t="shared" si="2"/>
        <v>(177,'1521','الأربعاء ناث إيراثن','Larbaa Nath Iraten','Larbaa Nath Iraten',15),</v>
      </c>
    </row>
    <row r="180" spans="1:7" ht="20.100000000000001" customHeight="1" x14ac:dyDescent="0.25">
      <c r="A180" s="3">
        <v>178</v>
      </c>
      <c r="B180" s="8">
        <v>1522</v>
      </c>
      <c r="C180" s="4" t="s">
        <v>1462</v>
      </c>
      <c r="D180" s="4" t="s">
        <v>1461</v>
      </c>
      <c r="E180" s="4" t="s">
        <v>1461</v>
      </c>
      <c r="F180" s="6">
        <v>15</v>
      </c>
      <c r="G180" s="16" t="str">
        <f t="shared" si="2"/>
        <v>(178,'1522','تيزي راشد','Tizi Rached','Tizi Rached',15),</v>
      </c>
    </row>
    <row r="181" spans="1:7" ht="20.100000000000001" customHeight="1" x14ac:dyDescent="0.25">
      <c r="A181" s="3">
        <v>179</v>
      </c>
      <c r="B181" s="8">
        <v>1524</v>
      </c>
      <c r="C181" s="4" t="s">
        <v>1458</v>
      </c>
      <c r="D181" s="4" t="s">
        <v>1457</v>
      </c>
      <c r="E181" s="4" t="s">
        <v>1457</v>
      </c>
      <c r="F181" s="6">
        <v>15</v>
      </c>
      <c r="G181" s="16" t="str">
        <f t="shared" si="2"/>
        <v>(179,'1524','واقنون','Ouaguenoun','Ouaguenoun',15),</v>
      </c>
    </row>
    <row r="182" spans="1:7" ht="20.100000000000001" customHeight="1" x14ac:dyDescent="0.25">
      <c r="A182" s="3">
        <v>180</v>
      </c>
      <c r="B182" s="8">
        <v>1529</v>
      </c>
      <c r="C182" s="4" t="s">
        <v>1480</v>
      </c>
      <c r="D182" s="4" t="s">
        <v>1479</v>
      </c>
      <c r="E182" s="4" t="s">
        <v>1479</v>
      </c>
      <c r="F182" s="6">
        <v>15</v>
      </c>
      <c r="G182" s="16" t="str">
        <f t="shared" si="2"/>
        <v>(180,'1529','معاتقة','Maatkas','Maatkas',15),</v>
      </c>
    </row>
    <row r="183" spans="1:7" ht="20.100000000000001" customHeight="1" x14ac:dyDescent="0.25">
      <c r="A183" s="3">
        <v>181</v>
      </c>
      <c r="B183" s="8">
        <v>1532</v>
      </c>
      <c r="C183" s="4" t="s">
        <v>1460</v>
      </c>
      <c r="D183" s="4" t="s">
        <v>1459</v>
      </c>
      <c r="E183" s="4" t="s">
        <v>1459</v>
      </c>
      <c r="F183" s="6">
        <v>15</v>
      </c>
      <c r="G183" s="16" t="str">
        <f t="shared" si="2"/>
        <v>(181,'1532','بني دوالة','Beni Douala','Beni Douala',15),</v>
      </c>
    </row>
    <row r="184" spans="1:7" ht="20.100000000000001" customHeight="1" x14ac:dyDescent="0.25">
      <c r="A184" s="3">
        <v>182</v>
      </c>
      <c r="B184" s="8">
        <v>1534</v>
      </c>
      <c r="C184" s="4" t="s">
        <v>1470</v>
      </c>
      <c r="D184" s="4" t="s">
        <v>1469</v>
      </c>
      <c r="E184" s="4" t="s">
        <v>1469</v>
      </c>
      <c r="F184" s="6">
        <v>15</v>
      </c>
      <c r="G184" s="16" t="str">
        <f t="shared" si="2"/>
        <v>(182,'1534','بوزقن','Bouzeguene','Bouzeguene',15),</v>
      </c>
    </row>
    <row r="185" spans="1:7" ht="20.100000000000001" customHeight="1" x14ac:dyDescent="0.25">
      <c r="A185" s="3">
        <v>183</v>
      </c>
      <c r="B185" s="8">
        <v>1536</v>
      </c>
      <c r="C185" s="4" t="s">
        <v>1448</v>
      </c>
      <c r="D185" s="4" t="s">
        <v>1447</v>
      </c>
      <c r="E185" s="4" t="s">
        <v>1447</v>
      </c>
      <c r="F185" s="6">
        <v>15</v>
      </c>
      <c r="G185" s="16" t="str">
        <f t="shared" si="2"/>
        <v>(183,'1536','واضية','Ouadhias','Ouadhias',15),</v>
      </c>
    </row>
    <row r="186" spans="1:7" ht="20.100000000000001" customHeight="1" x14ac:dyDescent="0.25">
      <c r="A186" s="3">
        <v>184</v>
      </c>
      <c r="B186" s="8">
        <v>1537</v>
      </c>
      <c r="C186" s="4" t="s">
        <v>1446</v>
      </c>
      <c r="D186" s="4" t="s">
        <v>1445</v>
      </c>
      <c r="E186" s="4" t="s">
        <v>1445</v>
      </c>
      <c r="F186" s="6">
        <v>15</v>
      </c>
      <c r="G186" s="16" t="str">
        <f t="shared" si="2"/>
        <v>(184,'1537','أزفون','Azeffoun','Azeffoun',15),</v>
      </c>
    </row>
    <row r="187" spans="1:7" ht="20.100000000000001" customHeight="1" x14ac:dyDescent="0.25">
      <c r="A187" s="3">
        <v>185</v>
      </c>
      <c r="B187" s="8">
        <v>1538</v>
      </c>
      <c r="C187" s="4" t="s">
        <v>1478</v>
      </c>
      <c r="D187" s="4" t="s">
        <v>1477</v>
      </c>
      <c r="E187" s="4" t="s">
        <v>1477</v>
      </c>
      <c r="F187" s="6">
        <v>15</v>
      </c>
      <c r="G187" s="16" t="str">
        <f t="shared" si="2"/>
        <v>(185,'1538','تيقزيرت','Tigzirt','Tigzirt',15),</v>
      </c>
    </row>
    <row r="188" spans="1:7" ht="20.100000000000001" customHeight="1" x14ac:dyDescent="0.25">
      <c r="A188" s="3">
        <v>186</v>
      </c>
      <c r="B188" s="8">
        <v>1540</v>
      </c>
      <c r="C188" s="4" t="s">
        <v>1464</v>
      </c>
      <c r="D188" s="4" t="s">
        <v>1463</v>
      </c>
      <c r="E188" s="4" t="s">
        <v>1463</v>
      </c>
      <c r="F188" s="6">
        <v>15</v>
      </c>
      <c r="G188" s="16" t="str">
        <f t="shared" si="2"/>
        <v>(186,'1540','بوغني','Boghni','Boghni',15),</v>
      </c>
    </row>
    <row r="189" spans="1:7" ht="20.100000000000001" customHeight="1" x14ac:dyDescent="0.25">
      <c r="A189" s="3">
        <v>187</v>
      </c>
      <c r="B189" s="8">
        <v>1547</v>
      </c>
      <c r="C189" s="4" t="s">
        <v>1474</v>
      </c>
      <c r="D189" s="4" t="s">
        <v>1473</v>
      </c>
      <c r="E189" s="4" t="s">
        <v>1473</v>
      </c>
      <c r="F189" s="6">
        <v>15</v>
      </c>
      <c r="G189" s="16" t="str">
        <f t="shared" si="2"/>
        <v>(187,'1547','ذراع بن خدة','Draa Ben Khedda','Draa Ben Khedda',15),</v>
      </c>
    </row>
    <row r="190" spans="1:7" ht="20.100000000000001" customHeight="1" x14ac:dyDescent="0.25">
      <c r="A190" s="3">
        <v>188</v>
      </c>
      <c r="B190" s="8">
        <v>1548</v>
      </c>
      <c r="C190" s="4" t="s">
        <v>1454</v>
      </c>
      <c r="D190" s="4" t="s">
        <v>1453</v>
      </c>
      <c r="E190" s="4" t="s">
        <v>1453</v>
      </c>
      <c r="F190" s="6">
        <v>15</v>
      </c>
      <c r="G190" s="16" t="str">
        <f t="shared" si="2"/>
        <v>(188,'1548','واسيف','Ouacif','Ouacif',15),</v>
      </c>
    </row>
    <row r="191" spans="1:7" ht="20.100000000000001" customHeight="1" x14ac:dyDescent="0.25">
      <c r="A191" s="3">
        <v>189</v>
      </c>
      <c r="B191" s="8">
        <v>1550</v>
      </c>
      <c r="C191" s="4" t="s">
        <v>1456</v>
      </c>
      <c r="D191" s="4" t="s">
        <v>1455</v>
      </c>
      <c r="E191" s="4" t="s">
        <v>1455</v>
      </c>
      <c r="F191" s="6">
        <v>15</v>
      </c>
      <c r="G191" s="16" t="str">
        <f t="shared" si="2"/>
        <v>(189,'1550','مقلع','Mekla','Mekla',15),</v>
      </c>
    </row>
    <row r="192" spans="1:7" ht="20.100000000000001" customHeight="1" x14ac:dyDescent="0.25">
      <c r="A192" s="3">
        <v>190</v>
      </c>
      <c r="B192" s="8">
        <v>1552</v>
      </c>
      <c r="C192" s="4" t="s">
        <v>1468</v>
      </c>
      <c r="D192" s="4" t="s">
        <v>1467</v>
      </c>
      <c r="E192" s="4" t="s">
        <v>1467</v>
      </c>
      <c r="F192" s="6">
        <v>15</v>
      </c>
      <c r="G192" s="16" t="str">
        <f t="shared" si="2"/>
        <v>(190,'1552','بني يني','Benni Yenni','Benni Yenni',15),</v>
      </c>
    </row>
    <row r="193" spans="1:7" ht="20.100000000000001" customHeight="1" x14ac:dyDescent="0.25">
      <c r="A193" s="3">
        <v>191</v>
      </c>
      <c r="B193" s="8">
        <v>1602</v>
      </c>
      <c r="C193" s="4" t="s">
        <v>1488</v>
      </c>
      <c r="D193" s="4" t="s">
        <v>1487</v>
      </c>
      <c r="E193" s="4" t="s">
        <v>1487</v>
      </c>
      <c r="F193" s="6">
        <v>16</v>
      </c>
      <c r="G193" s="16" t="str">
        <f t="shared" si="2"/>
        <v>(191,'1602','سيدي امحمد','Sidi M'hamed','Sidi M'hamed',16),</v>
      </c>
    </row>
    <row r="194" spans="1:7" ht="20.100000000000001" customHeight="1" x14ac:dyDescent="0.25">
      <c r="A194" s="3">
        <v>192</v>
      </c>
      <c r="B194" s="8">
        <v>1605</v>
      </c>
      <c r="C194" s="4" t="s">
        <v>1490</v>
      </c>
      <c r="D194" s="4" t="s">
        <v>1489</v>
      </c>
      <c r="E194" s="4" t="s">
        <v>1489</v>
      </c>
      <c r="F194" s="6">
        <v>16</v>
      </c>
      <c r="G194" s="16" t="str">
        <f t="shared" si="2"/>
        <v>(192,'1605','باب الوادي','Bab El Oued','Bab El Oued',16),</v>
      </c>
    </row>
    <row r="195" spans="1:7" ht="20.100000000000001" customHeight="1" x14ac:dyDescent="0.25">
      <c r="A195" s="3">
        <v>193</v>
      </c>
      <c r="B195" s="8">
        <v>1609</v>
      </c>
      <c r="C195" s="4" t="s">
        <v>1500</v>
      </c>
      <c r="D195" s="4" t="s">
        <v>1499</v>
      </c>
      <c r="E195" s="4" t="s">
        <v>1499</v>
      </c>
      <c r="F195" s="6">
        <v>16</v>
      </c>
      <c r="G195" s="16" t="str">
        <f t="shared" si="2"/>
        <v>(193,'1609','بئر مراد رايس','Bir Mourad Rais','Bir Mourad Rais',16),</v>
      </c>
    </row>
    <row r="196" spans="1:7" ht="20.100000000000001" customHeight="1" x14ac:dyDescent="0.25">
      <c r="A196" s="3">
        <v>194</v>
      </c>
      <c r="B196" s="8">
        <v>1611</v>
      </c>
      <c r="C196" s="4" t="s">
        <v>1498</v>
      </c>
      <c r="D196" s="4" t="s">
        <v>1497</v>
      </c>
      <c r="E196" s="4" t="s">
        <v>1497</v>
      </c>
      <c r="F196" s="6">
        <v>16</v>
      </c>
      <c r="G196" s="16" t="str">
        <f t="shared" ref="G196:G259" si="3">CONCATENATE("(",A196,",'",B196,"','",C196,"','",D196,"','",E196,"',",F196,"),")</f>
        <v>(194,'1611','بوزريعة','Bouzareah','Bouzareah',16),</v>
      </c>
    </row>
    <row r="197" spans="1:7" ht="20.100000000000001" customHeight="1" x14ac:dyDescent="0.25">
      <c r="A197" s="3">
        <v>195</v>
      </c>
      <c r="B197" s="8">
        <v>1613</v>
      </c>
      <c r="C197" s="4" t="s">
        <v>1494</v>
      </c>
      <c r="D197" s="4" t="s">
        <v>1493</v>
      </c>
      <c r="E197" s="4" t="s">
        <v>1493</v>
      </c>
      <c r="F197" s="6">
        <v>16</v>
      </c>
      <c r="G197" s="16" t="str">
        <f t="shared" si="3"/>
        <v>(195,'1613','الحراش','El Harrach','El Harrach',16),</v>
      </c>
    </row>
    <row r="198" spans="1:7" ht="20.100000000000001" customHeight="1" x14ac:dyDescent="0.25">
      <c r="A198" s="3">
        <v>196</v>
      </c>
      <c r="B198" s="8">
        <v>1614</v>
      </c>
      <c r="C198" s="4" t="s">
        <v>1496</v>
      </c>
      <c r="D198" s="4" t="s">
        <v>1495</v>
      </c>
      <c r="E198" s="4" t="s">
        <v>1495</v>
      </c>
      <c r="F198" s="6">
        <v>16</v>
      </c>
      <c r="G198" s="16" t="str">
        <f t="shared" si="3"/>
        <v>(196,'1614','براقي','Baraki','Baraki',16),</v>
      </c>
    </row>
    <row r="199" spans="1:7" ht="20.100000000000001" customHeight="1" x14ac:dyDescent="0.25">
      <c r="A199" s="3">
        <v>197</v>
      </c>
      <c r="B199" s="8">
        <v>1617</v>
      </c>
      <c r="C199" s="4" t="s">
        <v>1504</v>
      </c>
      <c r="D199" s="4" t="s">
        <v>1503</v>
      </c>
      <c r="E199" s="4" t="s">
        <v>1503</v>
      </c>
      <c r="F199" s="6">
        <v>16</v>
      </c>
      <c r="G199" s="16" t="str">
        <f t="shared" si="3"/>
        <v>(197,'1617','حسين داي','Hussein Dey','Hussein Dey',16),</v>
      </c>
    </row>
    <row r="200" spans="1:7" ht="20.100000000000001" customHeight="1" x14ac:dyDescent="0.25">
      <c r="A200" s="3">
        <v>198</v>
      </c>
      <c r="B200" s="8">
        <v>1620</v>
      </c>
      <c r="C200" s="4" t="s">
        <v>1486</v>
      </c>
      <c r="D200" s="4" t="s">
        <v>1485</v>
      </c>
      <c r="E200" s="4" t="s">
        <v>1485</v>
      </c>
      <c r="F200" s="6">
        <v>16</v>
      </c>
      <c r="G200" s="16" t="str">
        <f t="shared" si="3"/>
        <v>(198,'1620','الدار البيضاء','Dar El Beida','Dar El Beida',16),</v>
      </c>
    </row>
    <row r="201" spans="1:7" ht="20.100000000000001" customHeight="1" x14ac:dyDescent="0.25">
      <c r="A201" s="3">
        <v>199</v>
      </c>
      <c r="B201" s="8">
        <v>1636</v>
      </c>
      <c r="C201" s="4" t="s">
        <v>1502</v>
      </c>
      <c r="D201" s="4" t="s">
        <v>1501</v>
      </c>
      <c r="E201" s="4" t="s">
        <v>1501</v>
      </c>
      <c r="F201" s="6">
        <v>16</v>
      </c>
      <c r="G201" s="16" t="str">
        <f t="shared" si="3"/>
        <v>(199,'1636','بئر توتة','Birtouta','Birtouta',16),</v>
      </c>
    </row>
    <row r="202" spans="1:7" ht="20.100000000000001" customHeight="1" x14ac:dyDescent="0.25">
      <c r="A202" s="3">
        <v>200</v>
      </c>
      <c r="B202" s="8">
        <v>1638</v>
      </c>
      <c r="C202" s="4" t="s">
        <v>1506</v>
      </c>
      <c r="D202" s="4" t="s">
        <v>1505</v>
      </c>
      <c r="E202" s="4" t="s">
        <v>1505</v>
      </c>
      <c r="F202" s="6">
        <v>16</v>
      </c>
      <c r="G202" s="16" t="str">
        <f t="shared" si="3"/>
        <v>(200,'1638','الرويبة','Rouiba','Rouiba',16),</v>
      </c>
    </row>
    <row r="203" spans="1:7" ht="20.100000000000001" customHeight="1" x14ac:dyDescent="0.25">
      <c r="A203" s="3">
        <v>201</v>
      </c>
      <c r="B203" s="8">
        <v>1644</v>
      </c>
      <c r="C203" s="4" t="s">
        <v>1508</v>
      </c>
      <c r="D203" s="4" t="s">
        <v>1507</v>
      </c>
      <c r="E203" s="4" t="s">
        <v>1507</v>
      </c>
      <c r="F203" s="6">
        <v>16</v>
      </c>
      <c r="G203" s="16" t="str">
        <f t="shared" si="3"/>
        <v>(201,'1644','زرالدة','Zeralda','Zeralda',16),</v>
      </c>
    </row>
    <row r="204" spans="1:7" ht="20.100000000000001" customHeight="1" x14ac:dyDescent="0.25">
      <c r="A204" s="3">
        <v>202</v>
      </c>
      <c r="B204" s="8">
        <v>1649</v>
      </c>
      <c r="C204" s="4" t="s">
        <v>1492</v>
      </c>
      <c r="D204" s="4" t="s">
        <v>1491</v>
      </c>
      <c r="E204" s="4" t="s">
        <v>1491</v>
      </c>
      <c r="F204" s="6">
        <v>16</v>
      </c>
      <c r="G204" s="16" t="str">
        <f t="shared" si="3"/>
        <v>(202,'1649','الدرارية','Draria','Draria',16),</v>
      </c>
    </row>
    <row r="205" spans="1:7" ht="20.100000000000001" customHeight="1" x14ac:dyDescent="0.25">
      <c r="A205" s="3">
        <v>203</v>
      </c>
      <c r="B205" s="8">
        <v>1652</v>
      </c>
      <c r="C205" s="4" t="s">
        <v>1484</v>
      </c>
      <c r="D205" s="4" t="s">
        <v>1483</v>
      </c>
      <c r="E205" s="4" t="s">
        <v>1483</v>
      </c>
      <c r="F205" s="6">
        <v>16</v>
      </c>
      <c r="G205" s="16" t="str">
        <f t="shared" si="3"/>
        <v>(203,'1652','الشراقة','Cheraga','Cheraga',16),</v>
      </c>
    </row>
    <row r="206" spans="1:7" ht="20.100000000000001" customHeight="1" x14ac:dyDescent="0.25">
      <c r="A206" s="3">
        <v>204</v>
      </c>
      <c r="B206" s="8">
        <v>1701</v>
      </c>
      <c r="C206" s="4" t="s">
        <v>1003</v>
      </c>
      <c r="D206" s="4" t="s">
        <v>1004</v>
      </c>
      <c r="E206" s="4" t="s">
        <v>1004</v>
      </c>
      <c r="F206" s="6">
        <v>17</v>
      </c>
      <c r="G206" s="16" t="str">
        <f t="shared" si="3"/>
        <v>(204,'1701','الجلفة','Djelfa','Djelfa',17),</v>
      </c>
    </row>
    <row r="207" spans="1:7" ht="20.100000000000001" customHeight="1" x14ac:dyDescent="0.25">
      <c r="A207" s="3">
        <v>205</v>
      </c>
      <c r="B207" s="8">
        <v>1704</v>
      </c>
      <c r="C207" s="4" t="s">
        <v>1516</v>
      </c>
      <c r="D207" s="4" t="s">
        <v>1515</v>
      </c>
      <c r="E207" s="4" t="s">
        <v>1515</v>
      </c>
      <c r="F207" s="6">
        <v>17</v>
      </c>
      <c r="G207" s="16" t="str">
        <f t="shared" si="3"/>
        <v>(205,'1704','حاسي بحبح','Hassi Bahbah','Hassi Bahbah',17),</v>
      </c>
    </row>
    <row r="208" spans="1:7" ht="20.100000000000001" customHeight="1" x14ac:dyDescent="0.25">
      <c r="A208" s="3">
        <v>206</v>
      </c>
      <c r="B208" s="8">
        <v>1707</v>
      </c>
      <c r="C208" s="4" t="s">
        <v>1520</v>
      </c>
      <c r="D208" s="4" t="s">
        <v>1519</v>
      </c>
      <c r="E208" s="4" t="s">
        <v>1519</v>
      </c>
      <c r="F208" s="6">
        <v>17</v>
      </c>
      <c r="G208" s="16" t="str">
        <f t="shared" si="3"/>
        <v>(206,'1707','فيض البطمة','Faidh El Botma','Faidh El Botma',17),</v>
      </c>
    </row>
    <row r="209" spans="1:7" ht="20.100000000000001" customHeight="1" x14ac:dyDescent="0.25">
      <c r="A209" s="3">
        <v>207</v>
      </c>
      <c r="B209" s="8">
        <v>1708</v>
      </c>
      <c r="C209" s="4" t="s">
        <v>1522</v>
      </c>
      <c r="D209" s="4" t="s">
        <v>1521</v>
      </c>
      <c r="E209" s="4" t="s">
        <v>1521</v>
      </c>
      <c r="F209" s="6">
        <v>17</v>
      </c>
      <c r="G209" s="16" t="str">
        <f t="shared" si="3"/>
        <v>(207,'1708','بيرين','Birine','Birine',17),</v>
      </c>
    </row>
    <row r="210" spans="1:7" ht="20.100000000000001" customHeight="1" x14ac:dyDescent="0.25">
      <c r="A210" s="3">
        <v>208</v>
      </c>
      <c r="B210" s="8">
        <v>1714</v>
      </c>
      <c r="C210" s="4" t="s">
        <v>1510</v>
      </c>
      <c r="D210" s="4" t="s">
        <v>1509</v>
      </c>
      <c r="E210" s="4" t="s">
        <v>1509</v>
      </c>
      <c r="F210" s="6">
        <v>17</v>
      </c>
      <c r="G210" s="16" t="str">
        <f t="shared" si="3"/>
        <v>(208,'1714','الادريسية','El Idrissia','El Idrissia',17),</v>
      </c>
    </row>
    <row r="211" spans="1:7" ht="20.100000000000001" customHeight="1" x14ac:dyDescent="0.25">
      <c r="A211" s="3">
        <v>209</v>
      </c>
      <c r="B211" s="8">
        <v>1717</v>
      </c>
      <c r="C211" s="4" t="s">
        <v>1528</v>
      </c>
      <c r="D211" s="4" t="s">
        <v>1527</v>
      </c>
      <c r="E211" s="4" t="s">
        <v>1527</v>
      </c>
      <c r="F211" s="6">
        <v>17</v>
      </c>
      <c r="G211" s="16" t="str">
        <f t="shared" si="3"/>
        <v>(209,'1717','مسعد','Messaad','Messaad',17),</v>
      </c>
    </row>
    <row r="212" spans="1:7" ht="20.100000000000001" customHeight="1" x14ac:dyDescent="0.25">
      <c r="A212" s="3">
        <v>210</v>
      </c>
      <c r="B212" s="8">
        <v>1719</v>
      </c>
      <c r="C212" s="4" t="s">
        <v>1530</v>
      </c>
      <c r="D212" s="4" t="s">
        <v>1529</v>
      </c>
      <c r="E212" s="4" t="s">
        <v>1529</v>
      </c>
      <c r="F212" s="6">
        <v>17</v>
      </c>
      <c r="G212" s="16" t="str">
        <f t="shared" si="3"/>
        <v>(210,'1719','سيدي لعجال','Sidi Laadjel','Sidi Laadjel',17),</v>
      </c>
    </row>
    <row r="213" spans="1:7" ht="20.100000000000001" customHeight="1" x14ac:dyDescent="0.25">
      <c r="A213" s="3">
        <v>211</v>
      </c>
      <c r="B213" s="8">
        <v>1720</v>
      </c>
      <c r="C213" s="4" t="s">
        <v>1514</v>
      </c>
      <c r="D213" s="4" t="s">
        <v>1513</v>
      </c>
      <c r="E213" s="4" t="s">
        <v>1513</v>
      </c>
      <c r="F213" s="6">
        <v>17</v>
      </c>
      <c r="G213" s="16" t="str">
        <f t="shared" si="3"/>
        <v>(211,'1720','حد الصحاري','Had Sahary','Had Sahary',17),</v>
      </c>
    </row>
    <row r="214" spans="1:7" ht="20.100000000000001" customHeight="1" x14ac:dyDescent="0.25">
      <c r="A214" s="3">
        <v>212</v>
      </c>
      <c r="B214" s="8">
        <v>1725</v>
      </c>
      <c r="C214" s="4" t="s">
        <v>1526</v>
      </c>
      <c r="D214" s="4" t="s">
        <v>1525</v>
      </c>
      <c r="E214" s="4" t="s">
        <v>1525</v>
      </c>
      <c r="F214" s="6">
        <v>17</v>
      </c>
      <c r="G214" s="16" t="str">
        <f t="shared" si="3"/>
        <v>(212,'1725','دار الشيوخ','Dar Chioukh','Dar Chioukh',17),</v>
      </c>
    </row>
    <row r="215" spans="1:7" ht="20.100000000000001" customHeight="1" x14ac:dyDescent="0.25">
      <c r="A215" s="3">
        <v>213</v>
      </c>
      <c r="B215" s="8">
        <v>1726</v>
      </c>
      <c r="C215" s="4" t="s">
        <v>1524</v>
      </c>
      <c r="D215" s="4" t="s">
        <v>1523</v>
      </c>
      <c r="E215" s="4" t="s">
        <v>1523</v>
      </c>
      <c r="F215" s="6">
        <v>17</v>
      </c>
      <c r="G215" s="16" t="str">
        <f t="shared" si="3"/>
        <v>(213,'1726','الشارف','Charef','Charef',17),</v>
      </c>
    </row>
    <row r="216" spans="1:7" ht="20.100000000000001" customHeight="1" x14ac:dyDescent="0.25">
      <c r="A216" s="3">
        <v>214</v>
      </c>
      <c r="B216" s="8">
        <v>1730</v>
      </c>
      <c r="C216" s="4" t="s">
        <v>1512</v>
      </c>
      <c r="D216" s="4" t="s">
        <v>1511</v>
      </c>
      <c r="E216" s="4" t="s">
        <v>1511</v>
      </c>
      <c r="F216" s="6">
        <v>17</v>
      </c>
      <c r="G216" s="16" t="str">
        <f t="shared" si="3"/>
        <v>(214,'1730','عين الإبل','Ain El Ibel','Ain El Ibel',17),</v>
      </c>
    </row>
    <row r="217" spans="1:7" ht="20.100000000000001" customHeight="1" x14ac:dyDescent="0.25">
      <c r="A217" s="3">
        <v>215</v>
      </c>
      <c r="B217" s="8">
        <v>1731</v>
      </c>
      <c r="C217" s="4" t="s">
        <v>1518</v>
      </c>
      <c r="D217" s="4" t="s">
        <v>1517</v>
      </c>
      <c r="E217" s="4" t="s">
        <v>1517</v>
      </c>
      <c r="F217" s="6">
        <v>17</v>
      </c>
      <c r="G217" s="16" t="str">
        <f t="shared" si="3"/>
        <v>(215,'1731','عين وسارة','Ain Oussera','Ain Oussera',17),</v>
      </c>
    </row>
    <row r="218" spans="1:7" ht="20.100000000000001" customHeight="1" x14ac:dyDescent="0.25">
      <c r="A218" s="3">
        <v>216</v>
      </c>
      <c r="B218" s="8">
        <v>1801</v>
      </c>
      <c r="C218" s="4" t="s">
        <v>1005</v>
      </c>
      <c r="D218" s="4" t="s">
        <v>1006</v>
      </c>
      <c r="E218" s="4" t="s">
        <v>1006</v>
      </c>
      <c r="F218" s="6">
        <v>18</v>
      </c>
      <c r="G218" s="16" t="str">
        <f t="shared" si="3"/>
        <v>(216,'1801','جيجل','Jijel','Jijel',18),</v>
      </c>
    </row>
    <row r="219" spans="1:7" ht="20.100000000000001" customHeight="1" x14ac:dyDescent="0.25">
      <c r="A219" s="3">
        <v>217</v>
      </c>
      <c r="B219" s="8">
        <v>1803</v>
      </c>
      <c r="C219" s="4" t="s">
        <v>1540</v>
      </c>
      <c r="D219" s="4" t="s">
        <v>1539</v>
      </c>
      <c r="E219" s="4" t="s">
        <v>1539</v>
      </c>
      <c r="F219" s="6">
        <v>18</v>
      </c>
      <c r="G219" s="16" t="str">
        <f t="shared" si="3"/>
        <v>(217,'1803','العوانة','El Aouana','El Aouana',18),</v>
      </c>
    </row>
    <row r="220" spans="1:7" ht="20.100000000000001" customHeight="1" x14ac:dyDescent="0.25">
      <c r="A220" s="3">
        <v>218</v>
      </c>
      <c r="B220" s="8">
        <v>1804</v>
      </c>
      <c r="C220" s="4" t="s">
        <v>1544</v>
      </c>
      <c r="D220" s="4" t="s">
        <v>1543</v>
      </c>
      <c r="E220" s="4" t="s">
        <v>1543</v>
      </c>
      <c r="F220" s="6">
        <v>18</v>
      </c>
      <c r="G220" s="16" t="str">
        <f t="shared" si="3"/>
        <v>(218,'1804','زيامة منصورية','Ziamah Mansouriah','Ziamah Mansouriah',18),</v>
      </c>
    </row>
    <row r="221" spans="1:7" ht="20.100000000000001" customHeight="1" x14ac:dyDescent="0.25">
      <c r="A221" s="3">
        <v>219</v>
      </c>
      <c r="B221" s="8">
        <v>1805</v>
      </c>
      <c r="C221" s="4" t="s">
        <v>1538</v>
      </c>
      <c r="D221" s="4" t="s">
        <v>1537</v>
      </c>
      <c r="E221" s="4" t="s">
        <v>1537</v>
      </c>
      <c r="F221" s="6">
        <v>18</v>
      </c>
      <c r="G221" s="16" t="str">
        <f t="shared" si="3"/>
        <v>(219,'1805','الطاهير','Taher','Taher',18),</v>
      </c>
    </row>
    <row r="222" spans="1:7" ht="20.100000000000001" customHeight="1" x14ac:dyDescent="0.25">
      <c r="A222" s="3">
        <v>220</v>
      </c>
      <c r="B222" s="8">
        <v>1807</v>
      </c>
      <c r="C222" s="4" t="s">
        <v>1532</v>
      </c>
      <c r="D222" s="4" t="s">
        <v>1531</v>
      </c>
      <c r="E222" s="4" t="s">
        <v>1531</v>
      </c>
      <c r="F222" s="6">
        <v>18</v>
      </c>
      <c r="G222" s="16" t="str">
        <f t="shared" si="3"/>
        <v>(220,'1807','الشقفة','Chekfa','Chekfa',18),</v>
      </c>
    </row>
    <row r="223" spans="1:7" ht="20.100000000000001" customHeight="1" x14ac:dyDescent="0.25">
      <c r="A223" s="3">
        <v>221</v>
      </c>
      <c r="B223" s="8">
        <v>1809</v>
      </c>
      <c r="C223" s="4" t="s">
        <v>1542</v>
      </c>
      <c r="D223" s="4" t="s">
        <v>1541</v>
      </c>
      <c r="E223" s="4" t="s">
        <v>1541</v>
      </c>
      <c r="F223" s="6">
        <v>18</v>
      </c>
      <c r="G223" s="16" t="str">
        <f t="shared" si="3"/>
        <v>(221,'1809','الميلية','El Milia','El Milia',18),</v>
      </c>
    </row>
    <row r="224" spans="1:7" ht="20.100000000000001" customHeight="1" x14ac:dyDescent="0.25">
      <c r="A224" s="3">
        <v>222</v>
      </c>
      <c r="B224" s="8">
        <v>1810</v>
      </c>
      <c r="C224" s="4" t="s">
        <v>1550</v>
      </c>
      <c r="D224" s="4" t="s">
        <v>1549</v>
      </c>
      <c r="E224" s="4" t="s">
        <v>1549</v>
      </c>
      <c r="F224" s="6">
        <v>18</v>
      </c>
      <c r="G224" s="16" t="str">
        <f t="shared" si="3"/>
        <v>(222,'1810','سيدي معروف','Sidi Marouf','Sidi Marouf',18),</v>
      </c>
    </row>
    <row r="225" spans="1:7" ht="20.100000000000001" customHeight="1" x14ac:dyDescent="0.25">
      <c r="A225" s="3">
        <v>223</v>
      </c>
      <c r="B225" s="8">
        <v>1811</v>
      </c>
      <c r="C225" s="4" t="s">
        <v>1546</v>
      </c>
      <c r="D225" s="4" t="s">
        <v>1545</v>
      </c>
      <c r="E225" s="4" t="s">
        <v>1545</v>
      </c>
      <c r="F225" s="6">
        <v>18</v>
      </c>
      <c r="G225" s="16" t="str">
        <f t="shared" si="3"/>
        <v>(223,'1811','السطارة','Settara','Settara',18),</v>
      </c>
    </row>
    <row r="226" spans="1:7" ht="20.100000000000001" customHeight="1" x14ac:dyDescent="0.25">
      <c r="A226" s="3">
        <v>224</v>
      </c>
      <c r="B226" s="8">
        <v>1812</v>
      </c>
      <c r="C226" s="4" t="s">
        <v>1536</v>
      </c>
      <c r="D226" s="4" t="s">
        <v>1535</v>
      </c>
      <c r="E226" s="4" t="s">
        <v>1535</v>
      </c>
      <c r="F226" s="6">
        <v>18</v>
      </c>
      <c r="G226" s="16" t="str">
        <f t="shared" si="3"/>
        <v>(224,'1812','العنصر','El Ancer','El Ancer',18),</v>
      </c>
    </row>
    <row r="227" spans="1:7" ht="20.100000000000001" customHeight="1" x14ac:dyDescent="0.25">
      <c r="A227" s="3">
        <v>225</v>
      </c>
      <c r="B227" s="8">
        <v>1817</v>
      </c>
      <c r="C227" s="4" t="s">
        <v>1534</v>
      </c>
      <c r="D227" s="4" t="s">
        <v>1533</v>
      </c>
      <c r="E227" s="4" t="s">
        <v>1533</v>
      </c>
      <c r="F227" s="6">
        <v>18</v>
      </c>
      <c r="G227" s="16" t="str">
        <f t="shared" si="3"/>
        <v>(225,'1817','جيملة','Djimla','Djimla',18),</v>
      </c>
    </row>
    <row r="228" spans="1:7" ht="20.100000000000001" customHeight="1" x14ac:dyDescent="0.25">
      <c r="A228" s="3">
        <v>226</v>
      </c>
      <c r="B228" s="8">
        <v>1824</v>
      </c>
      <c r="C228" s="4" t="s">
        <v>1548</v>
      </c>
      <c r="D228" s="4" t="s">
        <v>1547</v>
      </c>
      <c r="E228" s="4" t="s">
        <v>1547</v>
      </c>
      <c r="F228" s="6">
        <v>18</v>
      </c>
      <c r="G228" s="16" t="str">
        <f t="shared" si="3"/>
        <v>(226,'1824','تاكسنة','Texenna','Texenna',18),</v>
      </c>
    </row>
    <row r="229" spans="1:7" ht="20.100000000000001" customHeight="1" x14ac:dyDescent="0.25">
      <c r="A229" s="3">
        <v>227</v>
      </c>
      <c r="B229" s="8">
        <v>1901</v>
      </c>
      <c r="C229" s="4" t="s">
        <v>1007</v>
      </c>
      <c r="D229" s="4" t="s">
        <v>1094</v>
      </c>
      <c r="E229" s="4" t="s">
        <v>1094</v>
      </c>
      <c r="F229" s="6">
        <v>19</v>
      </c>
      <c r="G229" s="16" t="str">
        <f t="shared" si="3"/>
        <v>(227,'1901','سطيف','Setif','Setif',19),</v>
      </c>
    </row>
    <row r="230" spans="1:7" ht="20.100000000000001" customHeight="1" x14ac:dyDescent="0.25">
      <c r="A230" s="3">
        <v>228</v>
      </c>
      <c r="B230" s="8">
        <v>1902</v>
      </c>
      <c r="C230" s="4" t="s">
        <v>1556</v>
      </c>
      <c r="D230" s="4" t="s">
        <v>1555</v>
      </c>
      <c r="E230" s="4" t="s">
        <v>1555</v>
      </c>
      <c r="F230" s="6">
        <v>19</v>
      </c>
      <c r="G230" s="16" t="str">
        <f t="shared" si="3"/>
        <v>(228,'1902','عين الكبيرة','Ain El Kebira','Ain El Kebira',19),</v>
      </c>
    </row>
    <row r="231" spans="1:7" ht="20.100000000000001" customHeight="1" x14ac:dyDescent="0.25">
      <c r="A231" s="3">
        <v>229</v>
      </c>
      <c r="B231" s="8">
        <v>1903</v>
      </c>
      <c r="C231" s="4" t="s">
        <v>1564</v>
      </c>
      <c r="D231" s="4" t="s">
        <v>1563</v>
      </c>
      <c r="E231" s="4" t="s">
        <v>1563</v>
      </c>
      <c r="F231" s="6">
        <v>19</v>
      </c>
      <c r="G231" s="16" t="str">
        <f t="shared" si="3"/>
        <v>(229,'1903','بني عزيز','Beni Aziz','Beni Aziz',19),</v>
      </c>
    </row>
    <row r="232" spans="1:7" ht="20.100000000000001" customHeight="1" x14ac:dyDescent="0.25">
      <c r="A232" s="3">
        <v>230</v>
      </c>
      <c r="B232" s="8">
        <v>1908</v>
      </c>
      <c r="C232" s="4" t="s">
        <v>1574</v>
      </c>
      <c r="D232" s="4" t="s">
        <v>1573</v>
      </c>
      <c r="E232" s="4" t="s">
        <v>1573</v>
      </c>
      <c r="F232" s="6">
        <v>19</v>
      </c>
      <c r="G232" s="16" t="str">
        <f t="shared" si="3"/>
        <v>(230,'1908','بئر العرش','Bir El Arch','Bir El Arch',19),</v>
      </c>
    </row>
    <row r="233" spans="1:7" ht="20.100000000000001" customHeight="1" x14ac:dyDescent="0.25">
      <c r="A233" s="3">
        <v>231</v>
      </c>
      <c r="B233" s="8">
        <v>1916</v>
      </c>
      <c r="C233" s="4" t="s">
        <v>1570</v>
      </c>
      <c r="D233" s="4" t="s">
        <v>1569</v>
      </c>
      <c r="E233" s="4" t="s">
        <v>1569</v>
      </c>
      <c r="F233" s="6">
        <v>19</v>
      </c>
      <c r="G233" s="16" t="str">
        <f t="shared" si="3"/>
        <v>(231,'1916','بابور','Babor','Babor',19),</v>
      </c>
    </row>
    <row r="234" spans="1:7" ht="20.100000000000001" customHeight="1" x14ac:dyDescent="0.25">
      <c r="A234" s="3">
        <v>232</v>
      </c>
      <c r="B234" s="8">
        <v>1917</v>
      </c>
      <c r="C234" s="4" t="s">
        <v>1584</v>
      </c>
      <c r="D234" s="4" t="s">
        <v>1583</v>
      </c>
      <c r="E234" s="4" t="s">
        <v>1583</v>
      </c>
      <c r="F234" s="6">
        <v>19</v>
      </c>
      <c r="G234" s="16" t="str">
        <f t="shared" si="3"/>
        <v>(232,'1917','قجال','Guidjel','Guidjel',19),</v>
      </c>
    </row>
    <row r="235" spans="1:7" ht="20.100000000000001" customHeight="1" x14ac:dyDescent="0.25">
      <c r="A235" s="3">
        <v>233</v>
      </c>
      <c r="B235" s="8">
        <v>1920</v>
      </c>
      <c r="C235" s="4" t="s">
        <v>1572</v>
      </c>
      <c r="D235" s="4" t="s">
        <v>1571</v>
      </c>
      <c r="E235" s="4" t="s">
        <v>1571</v>
      </c>
      <c r="F235" s="6">
        <v>19</v>
      </c>
      <c r="G235" s="16" t="str">
        <f t="shared" si="3"/>
        <v>(233,'1920','العلمة','El Eulma','El Eulma',19),</v>
      </c>
    </row>
    <row r="236" spans="1:7" ht="20.100000000000001" customHeight="1" x14ac:dyDescent="0.25">
      <c r="A236" s="3">
        <v>234</v>
      </c>
      <c r="B236" s="8">
        <v>1921</v>
      </c>
      <c r="C236" s="4" t="s">
        <v>1576</v>
      </c>
      <c r="D236" s="4" t="s">
        <v>1575</v>
      </c>
      <c r="E236" s="4" t="s">
        <v>1575</v>
      </c>
      <c r="F236" s="6">
        <v>19</v>
      </c>
      <c r="G236" s="16" t="str">
        <f t="shared" si="3"/>
        <v>(234,'1921','جميلة','Djemila','Djemila',19),</v>
      </c>
    </row>
    <row r="237" spans="1:7" ht="20.100000000000001" customHeight="1" x14ac:dyDescent="0.25">
      <c r="A237" s="3">
        <v>235</v>
      </c>
      <c r="B237" s="8">
        <v>1922</v>
      </c>
      <c r="C237" s="4" t="s">
        <v>1560</v>
      </c>
      <c r="D237" s="4" t="s">
        <v>1559</v>
      </c>
      <c r="E237" s="4" t="s">
        <v>1559</v>
      </c>
      <c r="F237" s="6">
        <v>19</v>
      </c>
      <c r="G237" s="16" t="str">
        <f t="shared" si="3"/>
        <v>(235,'1922','بني ورتيلان','Beni Ourtilane','Beni Ourtilane',19),</v>
      </c>
    </row>
    <row r="238" spans="1:7" ht="20.100000000000001" customHeight="1" x14ac:dyDescent="0.25">
      <c r="A238" s="3">
        <v>236</v>
      </c>
      <c r="B238" s="8">
        <v>1926</v>
      </c>
      <c r="C238" s="4" t="s">
        <v>1552</v>
      </c>
      <c r="D238" s="4" t="s">
        <v>1551</v>
      </c>
      <c r="E238" s="4" t="s">
        <v>1551</v>
      </c>
      <c r="F238" s="6">
        <v>19</v>
      </c>
      <c r="G238" s="16" t="str">
        <f t="shared" si="3"/>
        <v>(236,'1926','عين أرنات','Ain Arnat','Ain Arnat',19),</v>
      </c>
    </row>
    <row r="239" spans="1:7" ht="20.100000000000001" customHeight="1" x14ac:dyDescent="0.25">
      <c r="A239" s="3">
        <v>237</v>
      </c>
      <c r="B239" s="8">
        <v>1927</v>
      </c>
      <c r="C239" s="4" t="s">
        <v>1568</v>
      </c>
      <c r="D239" s="4" t="s">
        <v>1567</v>
      </c>
      <c r="E239" s="4" t="s">
        <v>1567</v>
      </c>
      <c r="F239" s="6">
        <v>19</v>
      </c>
      <c r="G239" s="16" t="str">
        <f t="shared" si="3"/>
        <v>(237,'1927','عموشة','Amoucha','Amoucha',19),</v>
      </c>
    </row>
    <row r="240" spans="1:7" ht="20.100000000000001" customHeight="1" x14ac:dyDescent="0.25">
      <c r="A240" s="3">
        <v>238</v>
      </c>
      <c r="B240" s="8">
        <v>1928</v>
      </c>
      <c r="C240" s="4" t="s">
        <v>1558</v>
      </c>
      <c r="D240" s="4" t="s">
        <v>1557</v>
      </c>
      <c r="E240" s="4" t="s">
        <v>1557</v>
      </c>
      <c r="F240" s="6">
        <v>19</v>
      </c>
      <c r="G240" s="16" t="str">
        <f t="shared" si="3"/>
        <v>(238,'1928','عين ولمان','Ain Oulmene','Ain Oulmene',19),</v>
      </c>
    </row>
    <row r="241" spans="1:7" ht="20.100000000000001" customHeight="1" x14ac:dyDescent="0.25">
      <c r="A241" s="3">
        <v>239</v>
      </c>
      <c r="B241" s="8">
        <v>1930</v>
      </c>
      <c r="C241" s="4" t="s">
        <v>1566</v>
      </c>
      <c r="D241" s="4" t="s">
        <v>1565</v>
      </c>
      <c r="E241" s="4" t="s">
        <v>1565</v>
      </c>
      <c r="F241" s="6">
        <v>19</v>
      </c>
      <c r="G241" s="16" t="str">
        <f t="shared" si="3"/>
        <v>(239,'1930','بوعنداس','Bouandas','Bouandas',19),</v>
      </c>
    </row>
    <row r="242" spans="1:7" ht="20.100000000000001" customHeight="1" x14ac:dyDescent="0.25">
      <c r="A242" s="3">
        <v>240</v>
      </c>
      <c r="B242" s="8">
        <v>1932</v>
      </c>
      <c r="C242" s="4" t="s">
        <v>1586</v>
      </c>
      <c r="D242" s="4" t="s">
        <v>1585</v>
      </c>
      <c r="E242" s="4" t="s">
        <v>1585</v>
      </c>
      <c r="F242" s="6">
        <v>19</v>
      </c>
      <c r="G242" s="16" t="str">
        <f t="shared" si="3"/>
        <v>(240,'1932','حمام السخنة','Hammam Sokhna','Hammam Sokhna',19),</v>
      </c>
    </row>
    <row r="243" spans="1:7" ht="20.100000000000001" customHeight="1" x14ac:dyDescent="0.25">
      <c r="A243" s="3">
        <v>241</v>
      </c>
      <c r="B243" s="8">
        <v>1939</v>
      </c>
      <c r="C243" s="4" t="s">
        <v>1578</v>
      </c>
      <c r="D243" s="4" t="s">
        <v>1577</v>
      </c>
      <c r="E243" s="4" t="s">
        <v>1577</v>
      </c>
      <c r="F243" s="6">
        <v>19</v>
      </c>
      <c r="G243" s="16" t="str">
        <f t="shared" si="3"/>
        <v>(241,'1939','صالح باي','Salah Bey','Salah Bey',19),</v>
      </c>
    </row>
    <row r="244" spans="1:7" ht="20.100000000000001" customHeight="1" x14ac:dyDescent="0.25">
      <c r="A244" s="3">
        <v>242</v>
      </c>
      <c r="B244" s="8">
        <v>1940</v>
      </c>
      <c r="C244" s="4" t="s">
        <v>1554</v>
      </c>
      <c r="D244" s="4" t="s">
        <v>1553</v>
      </c>
      <c r="E244" s="4" t="s">
        <v>1553</v>
      </c>
      <c r="F244" s="6">
        <v>19</v>
      </c>
      <c r="G244" s="16" t="str">
        <f t="shared" si="3"/>
        <v>(242,'1940','عين أزال','Ain Azel','Ain Azel',19),</v>
      </c>
    </row>
    <row r="245" spans="1:7" ht="20.100000000000001" customHeight="1" x14ac:dyDescent="0.25">
      <c r="A245" s="3">
        <v>243</v>
      </c>
      <c r="B245" s="8">
        <v>1941</v>
      </c>
      <c r="C245" s="4" t="s">
        <v>1582</v>
      </c>
      <c r="D245" s="4" t="s">
        <v>1581</v>
      </c>
      <c r="E245" s="4" t="s">
        <v>1581</v>
      </c>
      <c r="F245" s="6">
        <v>19</v>
      </c>
      <c r="G245" s="16" t="str">
        <f t="shared" si="3"/>
        <v>(243,'1941','قنزات','Guenzet','Guenzet',19),</v>
      </c>
    </row>
    <row r="246" spans="1:7" ht="20.100000000000001" customHeight="1" x14ac:dyDescent="0.25">
      <c r="A246" s="3">
        <v>244</v>
      </c>
      <c r="B246" s="8">
        <v>1943</v>
      </c>
      <c r="C246" s="4" t="s">
        <v>1562</v>
      </c>
      <c r="D246" s="4" t="s">
        <v>1561</v>
      </c>
      <c r="E246" s="4" t="s">
        <v>1561</v>
      </c>
      <c r="F246" s="6">
        <v>19</v>
      </c>
      <c r="G246" s="16" t="str">
        <f t="shared" si="3"/>
        <v>(244,'1943','بوقاعة','Bougaa','Bougaa',19),</v>
      </c>
    </row>
    <row r="247" spans="1:7" ht="20.100000000000001" customHeight="1" x14ac:dyDescent="0.25">
      <c r="A247" s="3">
        <v>245</v>
      </c>
      <c r="B247" s="8">
        <v>1950</v>
      </c>
      <c r="C247" s="4" t="s">
        <v>1580</v>
      </c>
      <c r="D247" s="4" t="s">
        <v>1579</v>
      </c>
      <c r="E247" s="4" t="s">
        <v>1579</v>
      </c>
      <c r="F247" s="6">
        <v>19</v>
      </c>
      <c r="G247" s="16" t="str">
        <f t="shared" si="3"/>
        <v>(245,'1950','حمام قرقور','Hammam Guergour','Hammam Guergour',19),</v>
      </c>
    </row>
    <row r="248" spans="1:7" ht="20.100000000000001" customHeight="1" x14ac:dyDescent="0.25">
      <c r="A248" s="3">
        <v>246</v>
      </c>
      <c r="B248" s="8">
        <v>1955</v>
      </c>
      <c r="C248" s="4" t="s">
        <v>1588</v>
      </c>
      <c r="D248" s="4" t="s">
        <v>1587</v>
      </c>
      <c r="E248" s="4" t="s">
        <v>1587</v>
      </c>
      <c r="F248" s="6">
        <v>19</v>
      </c>
      <c r="G248" s="16" t="str">
        <f t="shared" si="3"/>
        <v>(246,'1955','ماوكلان','Maoklane','Maoklane',19),</v>
      </c>
    </row>
    <row r="249" spans="1:7" ht="20.100000000000001" customHeight="1" x14ac:dyDescent="0.25">
      <c r="A249" s="3">
        <v>247</v>
      </c>
      <c r="B249" s="8">
        <v>2001</v>
      </c>
      <c r="C249" s="4" t="s">
        <v>1009</v>
      </c>
      <c r="D249" s="4" t="s">
        <v>1089</v>
      </c>
      <c r="E249" s="4" t="s">
        <v>1089</v>
      </c>
      <c r="F249" s="6">
        <v>20</v>
      </c>
      <c r="G249" s="16" t="str">
        <f t="shared" si="3"/>
        <v>(247,'2001','سعيدة','Saida','Saida',20),</v>
      </c>
    </row>
    <row r="250" spans="1:7" ht="20.100000000000001" customHeight="1" x14ac:dyDescent="0.25">
      <c r="A250" s="3">
        <v>248</v>
      </c>
      <c r="B250" s="8">
        <v>2003</v>
      </c>
      <c r="C250" s="4" t="s">
        <v>1590</v>
      </c>
      <c r="D250" s="4" t="s">
        <v>1589</v>
      </c>
      <c r="E250" s="4" t="s">
        <v>1589</v>
      </c>
      <c r="F250" s="6">
        <v>20</v>
      </c>
      <c r="G250" s="16" t="str">
        <f t="shared" si="3"/>
        <v>(248,'2003','عين الحجر','Ain El Hadjar','Ain El Hadjar',20),</v>
      </c>
    </row>
    <row r="251" spans="1:7" ht="20.100000000000001" customHeight="1" x14ac:dyDescent="0.25">
      <c r="A251" s="3">
        <v>249</v>
      </c>
      <c r="B251" s="8">
        <v>2006</v>
      </c>
      <c r="C251" s="4" t="s">
        <v>1596</v>
      </c>
      <c r="D251" s="4" t="s">
        <v>1595</v>
      </c>
      <c r="E251" s="4" t="s">
        <v>1595</v>
      </c>
      <c r="F251" s="6">
        <v>20</v>
      </c>
      <c r="G251" s="16" t="str">
        <f t="shared" si="3"/>
        <v>(249,'2006','يوب','Youb','Youb',20),</v>
      </c>
    </row>
    <row r="252" spans="1:7" ht="20.100000000000001" customHeight="1" x14ac:dyDescent="0.25">
      <c r="A252" s="3">
        <v>250</v>
      </c>
      <c r="B252" s="8">
        <v>2009</v>
      </c>
      <c r="C252" s="4" t="s">
        <v>1598</v>
      </c>
      <c r="D252" s="4" t="s">
        <v>1597</v>
      </c>
      <c r="E252" s="4" t="s">
        <v>1597</v>
      </c>
      <c r="F252" s="6">
        <v>20</v>
      </c>
      <c r="G252" s="16" t="str">
        <f t="shared" si="3"/>
        <v>(250,'2009','سيدي بوبكر','Sidi Boubekeur','Sidi Boubekeur',20),</v>
      </c>
    </row>
    <row r="253" spans="1:7" ht="20.100000000000001" customHeight="1" x14ac:dyDescent="0.25">
      <c r="A253" s="3">
        <v>251</v>
      </c>
      <c r="B253" s="8">
        <v>2010</v>
      </c>
      <c r="C253" s="4" t="s">
        <v>1592</v>
      </c>
      <c r="D253" s="4" t="s">
        <v>1591</v>
      </c>
      <c r="E253" s="4" t="s">
        <v>1591</v>
      </c>
      <c r="F253" s="6">
        <v>20</v>
      </c>
      <c r="G253" s="16" t="str">
        <f t="shared" si="3"/>
        <v>(251,'2010','الحساسنة','El Hassasna','El Hassasna',20),</v>
      </c>
    </row>
    <row r="254" spans="1:7" ht="20.100000000000001" customHeight="1" x14ac:dyDescent="0.25">
      <c r="A254" s="3">
        <v>252</v>
      </c>
      <c r="B254" s="8">
        <v>2014</v>
      </c>
      <c r="C254" s="4" t="s">
        <v>1594</v>
      </c>
      <c r="D254" s="4" t="s">
        <v>1593</v>
      </c>
      <c r="E254" s="4" t="s">
        <v>1593</v>
      </c>
      <c r="F254" s="6">
        <v>20</v>
      </c>
      <c r="G254" s="16" t="str">
        <f t="shared" si="3"/>
        <v>(252,'2014','أولاد ابراهيم','Ouled Brahim','Ouled Brahim',20),</v>
      </c>
    </row>
    <row r="255" spans="1:7" ht="20.100000000000001" customHeight="1" x14ac:dyDescent="0.25">
      <c r="A255" s="3">
        <v>253</v>
      </c>
      <c r="B255" s="8">
        <v>2101</v>
      </c>
      <c r="C255" s="4" t="s">
        <v>1011</v>
      </c>
      <c r="D255" s="4" t="s">
        <v>1012</v>
      </c>
      <c r="E255" s="4" t="s">
        <v>1012</v>
      </c>
      <c r="F255" s="6">
        <v>21</v>
      </c>
      <c r="G255" s="16" t="str">
        <f t="shared" si="3"/>
        <v>(253,'2101','سكيكدة','Skikda','Skikda',21),</v>
      </c>
    </row>
    <row r="256" spans="1:7" ht="20.100000000000001" customHeight="1" x14ac:dyDescent="0.25">
      <c r="A256" s="3">
        <v>254</v>
      </c>
      <c r="B256" s="8">
        <v>2103</v>
      </c>
      <c r="C256" s="4" t="s">
        <v>1606</v>
      </c>
      <c r="D256" s="4" t="s">
        <v>1605</v>
      </c>
      <c r="E256" s="4" t="s">
        <v>1605</v>
      </c>
      <c r="F256" s="6">
        <v>21</v>
      </c>
      <c r="G256" s="16" t="str">
        <f t="shared" si="3"/>
        <v>(254,'2103','الحدائق','El Hadaiek','El Hadaiek',21),</v>
      </c>
    </row>
    <row r="257" spans="1:7" ht="20.100000000000001" customHeight="1" x14ac:dyDescent="0.25">
      <c r="A257" s="3">
        <v>255</v>
      </c>
      <c r="B257" s="8">
        <v>2104</v>
      </c>
      <c r="C257" s="4" t="s">
        <v>1602</v>
      </c>
      <c r="D257" s="4" t="s">
        <v>1601</v>
      </c>
      <c r="E257" s="4" t="s">
        <v>1601</v>
      </c>
      <c r="F257" s="6">
        <v>21</v>
      </c>
      <c r="G257" s="16" t="str">
        <f t="shared" si="3"/>
        <v>(255,'2104','عزابة','Azzaba','Azzaba',21),</v>
      </c>
    </row>
    <row r="258" spans="1:7" ht="20.100000000000001" customHeight="1" x14ac:dyDescent="0.25">
      <c r="A258" s="3">
        <v>256</v>
      </c>
      <c r="B258" s="8">
        <v>2108</v>
      </c>
      <c r="C258" s="4" t="s">
        <v>1608</v>
      </c>
      <c r="D258" s="4" t="s">
        <v>1607</v>
      </c>
      <c r="E258" s="4" t="s">
        <v>1607</v>
      </c>
      <c r="F258" s="6">
        <v>21</v>
      </c>
      <c r="G258" s="16" t="str">
        <f t="shared" si="3"/>
        <v>(256,'2108','بن عزوز','Ben Azzouz','Ben Azzouz',21),</v>
      </c>
    </row>
    <row r="259" spans="1:7" ht="20.100000000000001" customHeight="1" x14ac:dyDescent="0.25">
      <c r="A259" s="3">
        <v>257</v>
      </c>
      <c r="B259" s="8">
        <v>2110</v>
      </c>
      <c r="C259" s="4" t="s">
        <v>1612</v>
      </c>
      <c r="D259" s="4" t="s">
        <v>1611</v>
      </c>
      <c r="E259" s="4" t="s">
        <v>1611</v>
      </c>
      <c r="F259" s="6">
        <v>21</v>
      </c>
      <c r="G259" s="16" t="str">
        <f t="shared" si="3"/>
        <v>(257,'2110','القل','Collo','Collo',21),</v>
      </c>
    </row>
    <row r="260" spans="1:7" ht="20.100000000000001" customHeight="1" x14ac:dyDescent="0.25">
      <c r="A260" s="3">
        <v>258</v>
      </c>
      <c r="B260" s="8">
        <v>2113</v>
      </c>
      <c r="C260" s="4" t="s">
        <v>1620</v>
      </c>
      <c r="D260" s="4" t="s">
        <v>1619</v>
      </c>
      <c r="E260" s="4" t="s">
        <v>1619</v>
      </c>
      <c r="F260" s="6">
        <v>21</v>
      </c>
      <c r="G260" s="16" t="str">
        <f t="shared" ref="G260:G323" si="4">CONCATENATE("(",A260,",'",B260,"','",C260,"','",D260,"','",E260,"',",F260,"),")</f>
        <v>(258,'2113','أولاد عطية','Ouled Attia','Ouled Attia',21),</v>
      </c>
    </row>
    <row r="261" spans="1:7" ht="20.100000000000001" customHeight="1" x14ac:dyDescent="0.25">
      <c r="A261" s="3">
        <v>259</v>
      </c>
      <c r="B261" s="8">
        <v>2115</v>
      </c>
      <c r="C261" s="4" t="s">
        <v>1618</v>
      </c>
      <c r="D261" s="4" t="s">
        <v>1617</v>
      </c>
      <c r="E261" s="4" t="s">
        <v>1617</v>
      </c>
      <c r="F261" s="6">
        <v>21</v>
      </c>
      <c r="G261" s="16" t="str">
        <f t="shared" si="4"/>
        <v>(259,'2115','الزيتونة','Zitouna','Zitouna',21),</v>
      </c>
    </row>
    <row r="262" spans="1:7" ht="20.100000000000001" customHeight="1" x14ac:dyDescent="0.25">
      <c r="A262" s="3">
        <v>260</v>
      </c>
      <c r="B262" s="8">
        <v>2116</v>
      </c>
      <c r="C262" s="4" t="s">
        <v>1616</v>
      </c>
      <c r="D262" s="4" t="s">
        <v>1615</v>
      </c>
      <c r="E262" s="4" t="s">
        <v>1615</v>
      </c>
      <c r="F262" s="6">
        <v>21</v>
      </c>
      <c r="G262" s="16" t="str">
        <f t="shared" si="4"/>
        <v>(260,'2116','الحروش','El Harrouch','El Harrouch',21),</v>
      </c>
    </row>
    <row r="263" spans="1:7" ht="20.100000000000001" customHeight="1" x14ac:dyDescent="0.25">
      <c r="A263" s="3">
        <v>261</v>
      </c>
      <c r="B263" s="8">
        <v>2119</v>
      </c>
      <c r="C263" s="4" t="s">
        <v>1600</v>
      </c>
      <c r="D263" s="4" t="s">
        <v>1599</v>
      </c>
      <c r="E263" s="4" t="s">
        <v>1599</v>
      </c>
      <c r="F263" s="6">
        <v>21</v>
      </c>
      <c r="G263" s="16" t="str">
        <f t="shared" si="4"/>
        <v>(261,'2119','سيدي مزغيش','Sidi Mezghiche','Sidi Mezghiche',21),</v>
      </c>
    </row>
    <row r="264" spans="1:7" ht="20.100000000000001" customHeight="1" x14ac:dyDescent="0.25">
      <c r="A264" s="3">
        <v>262</v>
      </c>
      <c r="B264" s="8">
        <v>2123</v>
      </c>
      <c r="C264" s="4" t="s">
        <v>1610</v>
      </c>
      <c r="D264" s="4" t="s">
        <v>1609</v>
      </c>
      <c r="E264" s="4" t="s">
        <v>1609</v>
      </c>
      <c r="F264" s="6">
        <v>21</v>
      </c>
      <c r="G264" s="16" t="str">
        <f t="shared" si="4"/>
        <v>(262,'2123','رمضان جمال','Ramdane Djamel','Ramdane Djamel',21),</v>
      </c>
    </row>
    <row r="265" spans="1:7" ht="20.100000000000001" customHeight="1" x14ac:dyDescent="0.25">
      <c r="A265" s="3">
        <v>263</v>
      </c>
      <c r="B265" s="8">
        <v>2126</v>
      </c>
      <c r="C265" s="4" t="s">
        <v>1614</v>
      </c>
      <c r="D265" s="4" t="s">
        <v>1613</v>
      </c>
      <c r="E265" s="4" t="s">
        <v>1613</v>
      </c>
      <c r="F265" s="6">
        <v>21</v>
      </c>
      <c r="G265" s="16" t="str">
        <f t="shared" si="4"/>
        <v>(263,'2126','تمالوس','Tamalous','Tamalous',21),</v>
      </c>
    </row>
    <row r="266" spans="1:7" ht="20.100000000000001" customHeight="1" x14ac:dyDescent="0.25">
      <c r="A266" s="3">
        <v>264</v>
      </c>
      <c r="B266" s="8">
        <v>2127</v>
      </c>
      <c r="C266" s="4" t="s">
        <v>1604</v>
      </c>
      <c r="D266" s="4" t="s">
        <v>1603</v>
      </c>
      <c r="E266" s="4" t="s">
        <v>1603</v>
      </c>
      <c r="F266" s="6">
        <v>21</v>
      </c>
      <c r="G266" s="16" t="str">
        <f t="shared" si="4"/>
        <v>(264,'2127','عين قشرة','Ain Kechra','Ain Kechra',21),</v>
      </c>
    </row>
    <row r="267" spans="1:7" ht="20.100000000000001" customHeight="1" x14ac:dyDescent="0.25">
      <c r="A267" s="3">
        <v>265</v>
      </c>
      <c r="B267" s="8">
        <v>2128</v>
      </c>
      <c r="C267" s="4" t="s">
        <v>1622</v>
      </c>
      <c r="D267" s="4" t="s">
        <v>1621</v>
      </c>
      <c r="E267" s="4" t="s">
        <v>1621</v>
      </c>
      <c r="F267" s="6">
        <v>21</v>
      </c>
      <c r="G267" s="16" t="str">
        <f t="shared" si="4"/>
        <v>(265,'2128','أم الطوب','Oum Toub','Oum Toub',21),</v>
      </c>
    </row>
    <row r="268" spans="1:7" ht="20.100000000000001" customHeight="1" x14ac:dyDescent="0.25">
      <c r="A268" s="3">
        <v>266</v>
      </c>
      <c r="B268" s="8">
        <v>2201</v>
      </c>
      <c r="C268" s="4" t="s">
        <v>1013</v>
      </c>
      <c r="D268" s="4" t="s">
        <v>1099</v>
      </c>
      <c r="E268" s="4" t="s">
        <v>1099</v>
      </c>
      <c r="F268" s="6">
        <v>22</v>
      </c>
      <c r="G268" s="16" t="str">
        <f t="shared" si="4"/>
        <v>(266,'2201','سيدي بلعباس','Sidi Bel Abbes','Sidi Bel Abbes',22),</v>
      </c>
    </row>
    <row r="269" spans="1:7" ht="20.100000000000001" customHeight="1" x14ac:dyDescent="0.25">
      <c r="A269" s="3">
        <v>267</v>
      </c>
      <c r="B269" s="8">
        <v>2202</v>
      </c>
      <c r="C269" s="4" t="s">
        <v>1628</v>
      </c>
      <c r="D269" s="4" t="s">
        <v>1627</v>
      </c>
      <c r="E269" s="4" t="s">
        <v>1627</v>
      </c>
      <c r="F269" s="6">
        <v>22</v>
      </c>
      <c r="G269" s="16" t="str">
        <f t="shared" si="4"/>
        <v>(267,'2202','تسالة','Tessala','Tessala',22),</v>
      </c>
    </row>
    <row r="270" spans="1:7" ht="20.100000000000001" customHeight="1" x14ac:dyDescent="0.25">
      <c r="A270" s="3">
        <v>268</v>
      </c>
      <c r="B270" s="8">
        <v>2204</v>
      </c>
      <c r="C270" s="4" t="s">
        <v>1638</v>
      </c>
      <c r="D270" s="4" t="s">
        <v>1637</v>
      </c>
      <c r="E270" s="4" t="s">
        <v>1637</v>
      </c>
      <c r="F270" s="6">
        <v>22</v>
      </c>
      <c r="G270" s="16" t="str">
        <f t="shared" si="4"/>
        <v>(268,'2204','مصطفى بن ابراهيم','Mostefa  Ben Brahim','Mostefa  Ben Brahim',22),</v>
      </c>
    </row>
    <row r="271" spans="1:7" ht="20.100000000000001" customHeight="1" x14ac:dyDescent="0.25">
      <c r="A271" s="3">
        <v>269</v>
      </c>
      <c r="B271" s="8">
        <v>2205</v>
      </c>
      <c r="C271" s="4" t="s">
        <v>1646</v>
      </c>
      <c r="D271" s="4" t="s">
        <v>1645</v>
      </c>
      <c r="E271" s="4" t="s">
        <v>1645</v>
      </c>
      <c r="F271" s="6">
        <v>22</v>
      </c>
      <c r="G271" s="16" t="str">
        <f t="shared" si="4"/>
        <v>(269,'2205','تلاغ','Telagh','Telagh',22),</v>
      </c>
    </row>
    <row r="272" spans="1:7" ht="20.100000000000001" customHeight="1" x14ac:dyDescent="0.25">
      <c r="A272" s="3">
        <v>270</v>
      </c>
      <c r="B272" s="8">
        <v>2208</v>
      </c>
      <c r="C272" s="4" t="s">
        <v>1626</v>
      </c>
      <c r="D272" s="4" t="s">
        <v>1625</v>
      </c>
      <c r="E272" s="4" t="s">
        <v>1625</v>
      </c>
      <c r="F272" s="6">
        <v>22</v>
      </c>
      <c r="G272" s="16" t="str">
        <f t="shared" si="4"/>
        <v>(270,'2208','سيدي علي بوسيدي','Sidi Ali Boussidi','Sidi Ali Boussidi',22),</v>
      </c>
    </row>
    <row r="273" spans="1:7" ht="20.100000000000001" customHeight="1" x14ac:dyDescent="0.25">
      <c r="A273" s="3">
        <v>271</v>
      </c>
      <c r="B273" s="8">
        <v>2210</v>
      </c>
      <c r="C273" s="4" t="s">
        <v>1642</v>
      </c>
      <c r="D273" s="4" t="s">
        <v>1641</v>
      </c>
      <c r="E273" s="4" t="s">
        <v>1641</v>
      </c>
      <c r="F273" s="6">
        <v>22</v>
      </c>
      <c r="G273" s="16" t="str">
        <f t="shared" si="4"/>
        <v>(271,'2210','مرحوم','Marhoum','Marhoum',22),</v>
      </c>
    </row>
    <row r="274" spans="1:7" ht="20.100000000000001" customHeight="1" x14ac:dyDescent="0.25">
      <c r="A274" s="3">
        <v>272</v>
      </c>
      <c r="B274" s="8">
        <v>2214</v>
      </c>
      <c r="C274" s="4" t="s">
        <v>1634</v>
      </c>
      <c r="D274" s="4" t="s">
        <v>1633</v>
      </c>
      <c r="E274" s="4" t="s">
        <v>1633</v>
      </c>
      <c r="F274" s="6">
        <v>22</v>
      </c>
      <c r="G274" s="16" t="str">
        <f t="shared" si="4"/>
        <v>(272,'2214','سيدي لحسن','Sidi Lahcene','Sidi Lahcene',22),</v>
      </c>
    </row>
    <row r="275" spans="1:7" ht="20.100000000000001" customHeight="1" x14ac:dyDescent="0.25">
      <c r="A275" s="3">
        <v>273</v>
      </c>
      <c r="B275" s="8">
        <v>2217</v>
      </c>
      <c r="C275" s="4" t="s">
        <v>1640</v>
      </c>
      <c r="D275" s="4" t="s">
        <v>1639</v>
      </c>
      <c r="E275" s="4" t="s">
        <v>1639</v>
      </c>
      <c r="F275" s="6">
        <v>22</v>
      </c>
      <c r="G275" s="16" t="str">
        <f t="shared" si="4"/>
        <v>(273,'2217','تنيرة','Tenira','Tenira',22),</v>
      </c>
    </row>
    <row r="276" spans="1:7" ht="20.100000000000001" customHeight="1" x14ac:dyDescent="0.25">
      <c r="A276" s="3">
        <v>274</v>
      </c>
      <c r="B276" s="8">
        <v>2218</v>
      </c>
      <c r="C276" s="4" t="s">
        <v>1630</v>
      </c>
      <c r="D276" s="4" t="s">
        <v>1629</v>
      </c>
      <c r="E276" s="4" t="s">
        <v>1629</v>
      </c>
      <c r="F276" s="6">
        <v>22</v>
      </c>
      <c r="G276" s="16" t="str">
        <f t="shared" si="4"/>
        <v>(274,'2218','مولاي سليسن','Moulay Slissen','Moulay Slissen',22),</v>
      </c>
    </row>
    <row r="277" spans="1:7" ht="20.100000000000001" customHeight="1" x14ac:dyDescent="0.25">
      <c r="A277" s="3">
        <v>275</v>
      </c>
      <c r="B277" s="8">
        <v>2222</v>
      </c>
      <c r="C277" s="4" t="s">
        <v>1648</v>
      </c>
      <c r="D277" s="4" t="s">
        <v>1647</v>
      </c>
      <c r="E277" s="4" t="s">
        <v>1647</v>
      </c>
      <c r="F277" s="6">
        <v>22</v>
      </c>
      <c r="G277" s="16" t="str">
        <f t="shared" si="4"/>
        <v>(275,'2222','مرين','Merine','Merine',22),</v>
      </c>
    </row>
    <row r="278" spans="1:7" ht="20.100000000000001" customHeight="1" x14ac:dyDescent="0.25">
      <c r="A278" s="3">
        <v>276</v>
      </c>
      <c r="B278" s="8">
        <v>2223</v>
      </c>
      <c r="C278" s="4" t="s">
        <v>1650</v>
      </c>
      <c r="D278" s="4" t="s">
        <v>1649</v>
      </c>
      <c r="E278" s="4" t="s">
        <v>1649</v>
      </c>
      <c r="F278" s="6">
        <v>22</v>
      </c>
      <c r="G278" s="16" t="str">
        <f t="shared" si="4"/>
        <v>(276,'2223','راس الماء','Ras El Ma','Ras El Ma',22),</v>
      </c>
    </row>
    <row r="279" spans="1:7" ht="20.100000000000001" customHeight="1" x14ac:dyDescent="0.25">
      <c r="A279" s="3">
        <v>277</v>
      </c>
      <c r="B279" s="8">
        <v>2228</v>
      </c>
      <c r="C279" s="4" t="s">
        <v>1624</v>
      </c>
      <c r="D279" s="4" t="s">
        <v>1623</v>
      </c>
      <c r="E279" s="4" t="s">
        <v>1623</v>
      </c>
      <c r="F279" s="6">
        <v>22</v>
      </c>
      <c r="G279" s="16" t="str">
        <f t="shared" si="4"/>
        <v>(277,'2228','عين البرد','Ain El Berd','Ain El Berd',22),</v>
      </c>
    </row>
    <row r="280" spans="1:7" ht="20.100000000000001" customHeight="1" x14ac:dyDescent="0.25">
      <c r="A280" s="3">
        <v>278</v>
      </c>
      <c r="B280" s="8">
        <v>2229</v>
      </c>
      <c r="C280" s="4" t="s">
        <v>1632</v>
      </c>
      <c r="D280" s="4" t="s">
        <v>1631</v>
      </c>
      <c r="E280" s="4" t="s">
        <v>1631</v>
      </c>
      <c r="F280" s="6">
        <v>22</v>
      </c>
      <c r="G280" s="16" t="str">
        <f t="shared" si="4"/>
        <v>(278,'2229','سفيزف','Sfisef','Sfisef',22),</v>
      </c>
    </row>
    <row r="281" spans="1:7" ht="20.100000000000001" customHeight="1" x14ac:dyDescent="0.25">
      <c r="A281" s="3">
        <v>279</v>
      </c>
      <c r="B281" s="8">
        <v>2245</v>
      </c>
      <c r="C281" s="4" t="s">
        <v>1636</v>
      </c>
      <c r="D281" s="4" t="s">
        <v>1635</v>
      </c>
      <c r="E281" s="4" t="s">
        <v>1635</v>
      </c>
      <c r="F281" s="6">
        <v>22</v>
      </c>
      <c r="G281" s="16" t="str">
        <f t="shared" si="4"/>
        <v>(279,'2245','بن باديس','Ben Badis','Ben Badis',22),</v>
      </c>
    </row>
    <row r="282" spans="1:7" ht="20.100000000000001" customHeight="1" x14ac:dyDescent="0.25">
      <c r="A282" s="3">
        <v>280</v>
      </c>
      <c r="B282" s="8">
        <v>2246</v>
      </c>
      <c r="C282" s="4" t="s">
        <v>1644</v>
      </c>
      <c r="D282" s="4" t="s">
        <v>1643</v>
      </c>
      <c r="E282" s="4" t="s">
        <v>1643</v>
      </c>
      <c r="F282" s="6">
        <v>22</v>
      </c>
      <c r="G282" s="16" t="str">
        <f t="shared" si="4"/>
        <v>(280,'2246','سيدي علي بن يوب','Sidi Ali Ben Youb','Sidi Ali Ben Youb',22),</v>
      </c>
    </row>
    <row r="283" spans="1:7" ht="20.100000000000001" customHeight="1" x14ac:dyDescent="0.25">
      <c r="A283" s="3">
        <v>281</v>
      </c>
      <c r="B283" s="8">
        <v>2301</v>
      </c>
      <c r="C283" s="4" t="s">
        <v>1015</v>
      </c>
      <c r="D283" s="4" t="s">
        <v>1016</v>
      </c>
      <c r="E283" s="4" t="s">
        <v>1016</v>
      </c>
      <c r="F283" s="6">
        <v>23</v>
      </c>
      <c r="G283" s="16" t="str">
        <f t="shared" si="4"/>
        <v>(281,'2301','عنابة','Annaba','Annaba',23),</v>
      </c>
    </row>
    <row r="284" spans="1:7" ht="20.100000000000001" customHeight="1" x14ac:dyDescent="0.25">
      <c r="A284" s="3">
        <v>282</v>
      </c>
      <c r="B284" s="8">
        <v>2302</v>
      </c>
      <c r="C284" s="4" t="s">
        <v>1654</v>
      </c>
      <c r="D284" s="4" t="s">
        <v>1653</v>
      </c>
      <c r="E284" s="4" t="s">
        <v>1653</v>
      </c>
      <c r="F284" s="6">
        <v>23</v>
      </c>
      <c r="G284" s="16" t="str">
        <f t="shared" si="4"/>
        <v>(282,'2302','برحال','Berrahal','Berrahal',23),</v>
      </c>
    </row>
    <row r="285" spans="1:7" ht="20.100000000000001" customHeight="1" x14ac:dyDescent="0.25">
      <c r="A285" s="3">
        <v>283</v>
      </c>
      <c r="B285" s="8">
        <v>2303</v>
      </c>
      <c r="C285" s="4" t="s">
        <v>1660</v>
      </c>
      <c r="D285" s="4" t="s">
        <v>1659</v>
      </c>
      <c r="E285" s="4" t="s">
        <v>1659</v>
      </c>
      <c r="F285" s="6">
        <v>23</v>
      </c>
      <c r="G285" s="16" t="str">
        <f t="shared" si="4"/>
        <v>(283,'2303','الحجار','El Hadjar','El Hadjar',23),</v>
      </c>
    </row>
    <row r="286" spans="1:7" ht="20.100000000000001" customHeight="1" x14ac:dyDescent="0.25">
      <c r="A286" s="3">
        <v>284</v>
      </c>
      <c r="B286" s="8">
        <v>2305</v>
      </c>
      <c r="C286" s="4" t="s">
        <v>1658</v>
      </c>
      <c r="D286" s="4" t="s">
        <v>1657</v>
      </c>
      <c r="E286" s="4" t="s">
        <v>1657</v>
      </c>
      <c r="F286" s="6">
        <v>23</v>
      </c>
      <c r="G286" s="16" t="str">
        <f t="shared" si="4"/>
        <v>(284,'2305','البوني','El Bouni','El Bouni',23),</v>
      </c>
    </row>
    <row r="287" spans="1:7" ht="20.100000000000001" customHeight="1" x14ac:dyDescent="0.25">
      <c r="A287" s="3">
        <v>285</v>
      </c>
      <c r="B287" s="8">
        <v>2309</v>
      </c>
      <c r="C287" s="4" t="s">
        <v>1652</v>
      </c>
      <c r="D287" s="4" t="s">
        <v>1651</v>
      </c>
      <c r="E287" s="4" t="s">
        <v>1651</v>
      </c>
      <c r="F287" s="6">
        <v>23</v>
      </c>
      <c r="G287" s="16" t="str">
        <f t="shared" si="4"/>
        <v>(285,'2309','عين الباردة','Ain El Berda','Ain El Berda',23),</v>
      </c>
    </row>
    <row r="288" spans="1:7" ht="20.100000000000001" customHeight="1" x14ac:dyDescent="0.25">
      <c r="A288" s="3">
        <v>286</v>
      </c>
      <c r="B288" s="8">
        <v>2310</v>
      </c>
      <c r="C288" s="4" t="s">
        <v>1656</v>
      </c>
      <c r="D288" s="4" t="s">
        <v>1655</v>
      </c>
      <c r="E288" s="4" t="s">
        <v>1655</v>
      </c>
      <c r="F288" s="6">
        <v>23</v>
      </c>
      <c r="G288" s="16" t="str">
        <f t="shared" si="4"/>
        <v>(286,'2310','شطايبي','Chetaibi','Chetaibi',23),</v>
      </c>
    </row>
    <row r="289" spans="1:7" ht="20.100000000000001" customHeight="1" x14ac:dyDescent="0.25">
      <c r="A289" s="3">
        <v>287</v>
      </c>
      <c r="B289" s="8">
        <v>2401</v>
      </c>
      <c r="C289" s="4" t="s">
        <v>1017</v>
      </c>
      <c r="D289" s="4" t="s">
        <v>1018</v>
      </c>
      <c r="E289" s="4" t="s">
        <v>1018</v>
      </c>
      <c r="F289" s="6">
        <v>24</v>
      </c>
      <c r="G289" s="16" t="str">
        <f t="shared" si="4"/>
        <v>(287,'2401','قالمة','Guelma','Guelma',24),</v>
      </c>
    </row>
    <row r="290" spans="1:7" ht="20.100000000000001" customHeight="1" x14ac:dyDescent="0.25">
      <c r="A290" s="3">
        <v>288</v>
      </c>
      <c r="B290" s="8">
        <v>2404</v>
      </c>
      <c r="C290" s="4" t="s">
        <v>1666</v>
      </c>
      <c r="D290" s="4" t="s">
        <v>1665</v>
      </c>
      <c r="E290" s="4" t="s">
        <v>1665</v>
      </c>
      <c r="F290" s="6">
        <v>24</v>
      </c>
      <c r="G290" s="16" t="str">
        <f t="shared" si="4"/>
        <v>(288,'2404','وادي الزناتي','Oued Zenati','Oued Zenati',24),</v>
      </c>
    </row>
    <row r="291" spans="1:7" ht="20.100000000000001" customHeight="1" x14ac:dyDescent="0.25">
      <c r="A291" s="3">
        <v>289</v>
      </c>
      <c r="B291" s="8">
        <v>2413</v>
      </c>
      <c r="C291" s="4" t="s">
        <v>1664</v>
      </c>
      <c r="D291" s="4" t="s">
        <v>1663</v>
      </c>
      <c r="E291" s="4" t="s">
        <v>1663</v>
      </c>
      <c r="F291" s="6">
        <v>24</v>
      </c>
      <c r="G291" s="16" t="str">
        <f t="shared" si="4"/>
        <v>(289,'2413','عين مخلوف','Ain Makhlouf','Ain Makhlouf',24),</v>
      </c>
    </row>
    <row r="292" spans="1:7" ht="20.100000000000001" customHeight="1" x14ac:dyDescent="0.25">
      <c r="A292" s="3">
        <v>290</v>
      </c>
      <c r="B292" s="8">
        <v>2415</v>
      </c>
      <c r="C292" s="4" t="s">
        <v>1668</v>
      </c>
      <c r="D292" s="4" t="s">
        <v>1667</v>
      </c>
      <c r="E292" s="4" t="s">
        <v>1667</v>
      </c>
      <c r="F292" s="6">
        <v>24</v>
      </c>
      <c r="G292" s="16" t="str">
        <f t="shared" si="4"/>
        <v>(290,'2415','خزارة','Khezaras','Khezaras',24),</v>
      </c>
    </row>
    <row r="293" spans="1:7" ht="20.100000000000001" customHeight="1" x14ac:dyDescent="0.25">
      <c r="A293" s="3">
        <v>291</v>
      </c>
      <c r="B293" s="8">
        <v>2418</v>
      </c>
      <c r="C293" s="4" t="s">
        <v>1670</v>
      </c>
      <c r="D293" s="4" t="s">
        <v>1669</v>
      </c>
      <c r="E293" s="4" t="s">
        <v>1669</v>
      </c>
      <c r="F293" s="6">
        <v>24</v>
      </c>
      <c r="G293" s="16" t="str">
        <f t="shared" si="4"/>
        <v>(291,'2418','قلعة بوصبع','Guelaat Bousbaa','Guelaat Bousbaa',24),</v>
      </c>
    </row>
    <row r="294" spans="1:7" ht="20.100000000000001" customHeight="1" x14ac:dyDescent="0.25">
      <c r="A294" s="3">
        <v>292</v>
      </c>
      <c r="B294" s="8">
        <v>2419</v>
      </c>
      <c r="C294" s="4" t="s">
        <v>1672</v>
      </c>
      <c r="D294" s="4" t="s">
        <v>1671</v>
      </c>
      <c r="E294" s="4" t="s">
        <v>1671</v>
      </c>
      <c r="F294" s="6">
        <v>24</v>
      </c>
      <c r="G294" s="16" t="str">
        <f t="shared" si="4"/>
        <v>(292,'2419','حمام دباغ','Hammam Debagh','Hammam Debagh',24),</v>
      </c>
    </row>
    <row r="295" spans="1:7" ht="20.100000000000001" customHeight="1" x14ac:dyDescent="0.25">
      <c r="A295" s="3">
        <v>293</v>
      </c>
      <c r="B295" s="8">
        <v>2422</v>
      </c>
      <c r="C295" s="4" t="s">
        <v>1676</v>
      </c>
      <c r="D295" s="4" t="s">
        <v>1675</v>
      </c>
      <c r="E295" s="4" t="s">
        <v>1675</v>
      </c>
      <c r="F295" s="6">
        <v>24</v>
      </c>
      <c r="G295" s="16" t="str">
        <f t="shared" si="4"/>
        <v>(293,'2422','حمام النبايل','Hammam N'bails','Hammam N'bails',24),</v>
      </c>
    </row>
    <row r="296" spans="1:7" ht="20.100000000000001" customHeight="1" x14ac:dyDescent="0.25">
      <c r="A296" s="3">
        <v>294</v>
      </c>
      <c r="B296" s="8">
        <v>2425</v>
      </c>
      <c r="C296" s="4" t="s">
        <v>1662</v>
      </c>
      <c r="D296" s="4" t="s">
        <v>1661</v>
      </c>
      <c r="E296" s="4" t="s">
        <v>1661</v>
      </c>
      <c r="F296" s="6">
        <v>24</v>
      </c>
      <c r="G296" s="16" t="str">
        <f t="shared" si="4"/>
        <v>(294,'2425','بوشقوف','Bouchegouf','Bouchegouf',24),</v>
      </c>
    </row>
    <row r="297" spans="1:7" ht="20.100000000000001" customHeight="1" x14ac:dyDescent="0.25">
      <c r="A297" s="3">
        <v>295</v>
      </c>
      <c r="B297" s="8">
        <v>2426</v>
      </c>
      <c r="C297" s="4" t="s">
        <v>1674</v>
      </c>
      <c r="D297" s="4" t="s">
        <v>1673</v>
      </c>
      <c r="E297" s="4" t="s">
        <v>1673</v>
      </c>
      <c r="F297" s="6">
        <v>24</v>
      </c>
      <c r="G297" s="16" t="str">
        <f t="shared" si="4"/>
        <v>(295,'2426','هيليوبوليس','Heliopolis','Heliopolis',24),</v>
      </c>
    </row>
    <row r="298" spans="1:7" ht="20.100000000000001" customHeight="1" x14ac:dyDescent="0.25">
      <c r="A298" s="3">
        <v>296</v>
      </c>
      <c r="B298" s="8">
        <v>2427</v>
      </c>
      <c r="C298" s="4" t="s">
        <v>1678</v>
      </c>
      <c r="D298" s="4" t="s">
        <v>1677</v>
      </c>
      <c r="E298" s="4" t="s">
        <v>1677</v>
      </c>
      <c r="F298" s="6">
        <v>24</v>
      </c>
      <c r="G298" s="16" t="str">
        <f t="shared" si="4"/>
        <v>(296,'2427','عين حساينية','Ain Hessainia','Ain Hessainia',24),</v>
      </c>
    </row>
    <row r="299" spans="1:7" ht="20.100000000000001" customHeight="1" x14ac:dyDescent="0.25">
      <c r="A299" s="3">
        <v>297</v>
      </c>
      <c r="B299" s="8">
        <v>2501</v>
      </c>
      <c r="C299" s="4" t="s">
        <v>1019</v>
      </c>
      <c r="D299" s="4" t="s">
        <v>1020</v>
      </c>
      <c r="E299" s="4" t="s">
        <v>1020</v>
      </c>
      <c r="F299" s="6">
        <v>25</v>
      </c>
      <c r="G299" s="16" t="str">
        <f t="shared" si="4"/>
        <v>(297,'2501','قسنطينة','Constantine','Constantine',25),</v>
      </c>
    </row>
    <row r="300" spans="1:7" ht="20.100000000000001" customHeight="1" x14ac:dyDescent="0.25">
      <c r="A300" s="3">
        <v>298</v>
      </c>
      <c r="B300" s="8">
        <v>2502</v>
      </c>
      <c r="C300" s="4" t="s">
        <v>1686</v>
      </c>
      <c r="D300" s="4" t="s">
        <v>1685</v>
      </c>
      <c r="E300" s="4" t="s">
        <v>1685</v>
      </c>
      <c r="F300" s="6">
        <v>25</v>
      </c>
      <c r="G300" s="16" t="str">
        <f t="shared" si="4"/>
        <v>(298,'2502','حامة بوزيان','Hamma Bouziane','Hamma Bouziane',25),</v>
      </c>
    </row>
    <row r="301" spans="1:7" ht="20.100000000000001" customHeight="1" x14ac:dyDescent="0.25">
      <c r="A301" s="3">
        <v>299</v>
      </c>
      <c r="B301" s="8">
        <v>2504</v>
      </c>
      <c r="C301" s="4" t="s">
        <v>1684</v>
      </c>
      <c r="D301" s="4" t="s">
        <v>1683</v>
      </c>
      <c r="E301" s="4" t="s">
        <v>1683</v>
      </c>
      <c r="F301" s="6">
        <v>25</v>
      </c>
      <c r="G301" s="16" t="str">
        <f t="shared" si="4"/>
        <v>(299,'2504','زيغود يوسف','Zighoud Youcef','Zighoud Youcef',25),</v>
      </c>
    </row>
    <row r="302" spans="1:7" ht="20.100000000000001" customHeight="1" x14ac:dyDescent="0.25">
      <c r="A302" s="3">
        <v>300</v>
      </c>
      <c r="B302" s="8">
        <v>2506</v>
      </c>
      <c r="C302" s="4" t="s">
        <v>1682</v>
      </c>
      <c r="D302" s="4" t="s">
        <v>1681</v>
      </c>
      <c r="E302" s="4" t="s">
        <v>1681</v>
      </c>
      <c r="F302" s="6">
        <v>25</v>
      </c>
      <c r="G302" s="16" t="str">
        <f t="shared" si="4"/>
        <v>(300,'2506','الخروب','El Khroub','El Khroub',25),</v>
      </c>
    </row>
    <row r="303" spans="1:7" ht="20.100000000000001" customHeight="1" x14ac:dyDescent="0.25">
      <c r="A303" s="3">
        <v>301</v>
      </c>
      <c r="B303" s="8">
        <v>2507</v>
      </c>
      <c r="C303" s="4" t="s">
        <v>1680</v>
      </c>
      <c r="D303" s="4" t="s">
        <v>1679</v>
      </c>
      <c r="E303" s="4" t="s">
        <v>1679</v>
      </c>
      <c r="F303" s="6">
        <v>25</v>
      </c>
      <c r="G303" s="16" t="str">
        <f t="shared" si="4"/>
        <v>(301,'2507','عين عبيد','Ain Abid','Ain Abid',25),</v>
      </c>
    </row>
    <row r="304" spans="1:7" ht="20.100000000000001" customHeight="1" x14ac:dyDescent="0.25">
      <c r="A304" s="3">
        <v>302</v>
      </c>
      <c r="B304" s="8">
        <v>2512</v>
      </c>
      <c r="C304" s="4" t="s">
        <v>1688</v>
      </c>
      <c r="D304" s="4" t="s">
        <v>1687</v>
      </c>
      <c r="E304" s="4" t="s">
        <v>1687</v>
      </c>
      <c r="F304" s="6">
        <v>25</v>
      </c>
      <c r="G304" s="16" t="str">
        <f t="shared" si="4"/>
        <v>(302,'2512','ابن زياد','Ibn Ziad','Ibn Ziad',25),</v>
      </c>
    </row>
    <row r="305" spans="1:7" ht="20.100000000000001" customHeight="1" x14ac:dyDescent="0.25">
      <c r="A305" s="3">
        <v>303</v>
      </c>
      <c r="B305" s="8">
        <v>2601</v>
      </c>
      <c r="C305" s="4" t="s">
        <v>1021</v>
      </c>
      <c r="D305" s="4" t="s">
        <v>1095</v>
      </c>
      <c r="E305" s="4" t="s">
        <v>1095</v>
      </c>
      <c r="F305" s="6">
        <v>26</v>
      </c>
      <c r="G305" s="16" t="str">
        <f t="shared" si="4"/>
        <v>(303,'2601','المدية','Medea','Medea',26),</v>
      </c>
    </row>
    <row r="306" spans="1:7" ht="20.100000000000001" customHeight="1" x14ac:dyDescent="0.25">
      <c r="A306" s="3">
        <v>304</v>
      </c>
      <c r="B306" s="8">
        <v>2602</v>
      </c>
      <c r="C306" s="4" t="s">
        <v>1700</v>
      </c>
      <c r="D306" s="4" t="s">
        <v>1699</v>
      </c>
      <c r="E306" s="4" t="s">
        <v>1699</v>
      </c>
      <c r="F306" s="6">
        <v>26</v>
      </c>
      <c r="G306" s="16" t="str">
        <f t="shared" si="4"/>
        <v>(304,'2602','وزرة','Ouzera','Ouzera',26),</v>
      </c>
    </row>
    <row r="307" spans="1:7" ht="20.100000000000001" customHeight="1" x14ac:dyDescent="0.25">
      <c r="A307" s="3">
        <v>305</v>
      </c>
      <c r="B307" s="8">
        <v>2604</v>
      </c>
      <c r="C307" s="4" t="s">
        <v>1690</v>
      </c>
      <c r="D307" s="4" t="s">
        <v>1689</v>
      </c>
      <c r="E307" s="4" t="s">
        <v>1689</v>
      </c>
      <c r="F307" s="6">
        <v>26</v>
      </c>
      <c r="G307" s="16" t="str">
        <f t="shared" si="4"/>
        <v>(305,'2604','عين بوسيف','Ain Boucif','Ain Boucif',26),</v>
      </c>
    </row>
    <row r="308" spans="1:7" ht="20.100000000000001" customHeight="1" x14ac:dyDescent="0.25">
      <c r="A308" s="3">
        <v>306</v>
      </c>
      <c r="B308" s="8">
        <v>2607</v>
      </c>
      <c r="C308" s="4" t="s">
        <v>1698</v>
      </c>
      <c r="D308" s="4" t="s">
        <v>1697</v>
      </c>
      <c r="E308" s="4" t="s">
        <v>1697</v>
      </c>
      <c r="F308" s="6">
        <v>26</v>
      </c>
      <c r="G308" s="16" t="str">
        <f t="shared" si="4"/>
        <v>(306,'2607','العمارية','El Omaria','El Omaria',26),</v>
      </c>
    </row>
    <row r="309" spans="1:7" ht="20.100000000000001" customHeight="1" x14ac:dyDescent="0.25">
      <c r="A309" s="3">
        <v>307</v>
      </c>
      <c r="B309" s="8">
        <v>2609</v>
      </c>
      <c r="C309" s="4" t="s">
        <v>1706</v>
      </c>
      <c r="D309" s="4" t="s">
        <v>1705</v>
      </c>
      <c r="E309" s="4" t="s">
        <v>1705</v>
      </c>
      <c r="F309" s="6">
        <v>26</v>
      </c>
      <c r="G309" s="16" t="str">
        <f t="shared" si="4"/>
        <v>(307,'2609','القلب الكبير','Guelb El Kebir','Guelb El Kebir',26),</v>
      </c>
    </row>
    <row r="310" spans="1:7" ht="20.100000000000001" customHeight="1" x14ac:dyDescent="0.25">
      <c r="A310" s="3">
        <v>308</v>
      </c>
      <c r="B310" s="8">
        <v>2618</v>
      </c>
      <c r="C310" s="4" t="s">
        <v>1692</v>
      </c>
      <c r="D310" s="4" t="s">
        <v>1691</v>
      </c>
      <c r="E310" s="4" t="s">
        <v>1691</v>
      </c>
      <c r="F310" s="6">
        <v>26</v>
      </c>
      <c r="G310" s="16" t="str">
        <f t="shared" si="4"/>
        <v>(308,'2618','شلالة العذاورة','Chellalat El Adhaoura','Chellalat El Adhaoura',26),</v>
      </c>
    </row>
    <row r="311" spans="1:7" ht="20.100000000000001" customHeight="1" x14ac:dyDescent="0.25">
      <c r="A311" s="3">
        <v>309</v>
      </c>
      <c r="B311" s="8">
        <v>2626</v>
      </c>
      <c r="C311" s="4" t="s">
        <v>1714</v>
      </c>
      <c r="D311" s="4" t="s">
        <v>1713</v>
      </c>
      <c r="E311" s="4" t="s">
        <v>1713</v>
      </c>
      <c r="F311" s="6">
        <v>26</v>
      </c>
      <c r="G311" s="16" t="str">
        <f t="shared" si="4"/>
        <v>(309,'2626','سيدي نعمان','Sidi Naamane','Sidi Naamane',26),</v>
      </c>
    </row>
    <row r="312" spans="1:7" ht="20.100000000000001" customHeight="1" x14ac:dyDescent="0.25">
      <c r="A312" s="3">
        <v>310</v>
      </c>
      <c r="B312" s="8">
        <v>2632</v>
      </c>
      <c r="C312" s="4" t="s">
        <v>1696</v>
      </c>
      <c r="D312" s="4" t="s">
        <v>1695</v>
      </c>
      <c r="E312" s="4" t="s">
        <v>1695</v>
      </c>
      <c r="F312" s="6">
        <v>26</v>
      </c>
      <c r="G312" s="16" t="str">
        <f t="shared" si="4"/>
        <v>(310,'2632','عزيز','Aziz','Aziz',26),</v>
      </c>
    </row>
    <row r="313" spans="1:7" ht="20.100000000000001" customHeight="1" x14ac:dyDescent="0.25">
      <c r="A313" s="3">
        <v>311</v>
      </c>
      <c r="B313" s="8">
        <v>2633</v>
      </c>
      <c r="C313" s="4" t="s">
        <v>1716</v>
      </c>
      <c r="D313" s="4" t="s">
        <v>1715</v>
      </c>
      <c r="E313" s="4" t="s">
        <v>1715</v>
      </c>
      <c r="F313" s="6">
        <v>26</v>
      </c>
      <c r="G313" s="16" t="str">
        <f t="shared" si="4"/>
        <v>(311,'2633','السواقي','Souaghi','Souaghi',26),</v>
      </c>
    </row>
    <row r="314" spans="1:7" ht="20.100000000000001" customHeight="1" x14ac:dyDescent="0.25">
      <c r="A314" s="3">
        <v>312</v>
      </c>
      <c r="B314" s="8">
        <v>2635</v>
      </c>
      <c r="C314" s="4" t="s">
        <v>1722</v>
      </c>
      <c r="D314" s="4" t="s">
        <v>1721</v>
      </c>
      <c r="E314" s="4" t="s">
        <v>1721</v>
      </c>
      <c r="F314" s="6">
        <v>26</v>
      </c>
      <c r="G314" s="16" t="str">
        <f t="shared" si="4"/>
        <v>(312,'2635','قصر البخاري','Ksar El Boukhari','Ksar El Boukhari',26),</v>
      </c>
    </row>
    <row r="315" spans="1:7" ht="20.100000000000001" customHeight="1" x14ac:dyDescent="0.25">
      <c r="A315" s="3">
        <v>313</v>
      </c>
      <c r="B315" s="8">
        <v>2636</v>
      </c>
      <c r="C315" s="4" t="s">
        <v>1718</v>
      </c>
      <c r="D315" s="4" t="s">
        <v>1717</v>
      </c>
      <c r="E315" s="4" t="s">
        <v>1717</v>
      </c>
      <c r="F315" s="6">
        <v>26</v>
      </c>
      <c r="G315" s="16" t="str">
        <f t="shared" si="4"/>
        <v>(313,'2636','العزيزية','El Azizia','El Azizia',26),</v>
      </c>
    </row>
    <row r="316" spans="1:7" ht="20.100000000000001" customHeight="1" x14ac:dyDescent="0.25">
      <c r="A316" s="3">
        <v>314</v>
      </c>
      <c r="B316" s="8">
        <v>2638</v>
      </c>
      <c r="C316" s="4" t="s">
        <v>1710</v>
      </c>
      <c r="D316" s="4" t="s">
        <v>1709</v>
      </c>
      <c r="E316" s="4" t="s">
        <v>1709</v>
      </c>
      <c r="F316" s="6">
        <v>26</v>
      </c>
      <c r="G316" s="16" t="str">
        <f t="shared" si="4"/>
        <v>(314,'2638','الشهبونية','Chahbounia','Chahbounia',26),</v>
      </c>
    </row>
    <row r="317" spans="1:7" ht="20.100000000000001" customHeight="1" x14ac:dyDescent="0.25">
      <c r="A317" s="3">
        <v>315</v>
      </c>
      <c r="B317" s="8">
        <v>2643</v>
      </c>
      <c r="C317" s="4" t="s">
        <v>1720</v>
      </c>
      <c r="D317" s="4" t="s">
        <v>1719</v>
      </c>
      <c r="E317" s="4" t="s">
        <v>1719</v>
      </c>
      <c r="F317" s="6">
        <v>26</v>
      </c>
      <c r="G317" s="16" t="str">
        <f t="shared" si="4"/>
        <v>(315,'2643','عوامري','Ouamri','Ouamri',26),</v>
      </c>
    </row>
    <row r="318" spans="1:7" ht="20.100000000000001" customHeight="1" x14ac:dyDescent="0.25">
      <c r="A318" s="3">
        <v>316</v>
      </c>
      <c r="B318" s="8">
        <v>2644</v>
      </c>
      <c r="C318" s="4" t="s">
        <v>1712</v>
      </c>
      <c r="D318" s="4" t="s">
        <v>1711</v>
      </c>
      <c r="E318" s="4" t="s">
        <v>1711</v>
      </c>
      <c r="F318" s="6">
        <v>26</v>
      </c>
      <c r="G318" s="16" t="str">
        <f t="shared" si="4"/>
        <v>(316,'2644','سي المحجوب','Si Mahdjoub','Si Mahdjoub',26),</v>
      </c>
    </row>
    <row r="319" spans="1:7" ht="20.100000000000001" customHeight="1" x14ac:dyDescent="0.25">
      <c r="A319" s="3">
        <v>317</v>
      </c>
      <c r="B319" s="8">
        <v>2646</v>
      </c>
      <c r="C319" s="4" t="s">
        <v>1702</v>
      </c>
      <c r="D319" s="4" t="s">
        <v>1701</v>
      </c>
      <c r="E319" s="4" t="s">
        <v>1701</v>
      </c>
      <c r="F319" s="6">
        <v>26</v>
      </c>
      <c r="G319" s="16" t="str">
        <f t="shared" si="4"/>
        <v>(317,'2646','بني سليمان','Beni Slimane','Beni Slimane',26),</v>
      </c>
    </row>
    <row r="320" spans="1:7" ht="20.100000000000001" customHeight="1" x14ac:dyDescent="0.25">
      <c r="A320" s="3">
        <v>318</v>
      </c>
      <c r="B320" s="8">
        <v>2647</v>
      </c>
      <c r="C320" s="4" t="s">
        <v>1704</v>
      </c>
      <c r="D320" s="4" t="s">
        <v>1703</v>
      </c>
      <c r="E320" s="4" t="s">
        <v>1703</v>
      </c>
      <c r="F320" s="6">
        <v>26</v>
      </c>
      <c r="G320" s="16" t="str">
        <f t="shared" si="4"/>
        <v>(318,'2647','البرواقية','Berrouaghia','Berrouaghia',26),</v>
      </c>
    </row>
    <row r="321" spans="1:7" ht="20.100000000000001" customHeight="1" x14ac:dyDescent="0.25">
      <c r="A321" s="3">
        <v>319</v>
      </c>
      <c r="B321" s="8">
        <v>2648</v>
      </c>
      <c r="C321" s="4" t="s">
        <v>1724</v>
      </c>
      <c r="D321" s="4" t="s">
        <v>1723</v>
      </c>
      <c r="E321" s="4" t="s">
        <v>1723</v>
      </c>
      <c r="F321" s="6">
        <v>26</v>
      </c>
      <c r="G321" s="16" t="str">
        <f t="shared" si="4"/>
        <v>(319,'2648','سغوان','Seghouane','Seghouane',26),</v>
      </c>
    </row>
    <row r="322" spans="1:7" ht="20.100000000000001" customHeight="1" x14ac:dyDescent="0.25">
      <c r="A322" s="3">
        <v>320</v>
      </c>
      <c r="B322" s="8">
        <v>2652</v>
      </c>
      <c r="C322" s="4" t="s">
        <v>1694</v>
      </c>
      <c r="D322" s="4" t="s">
        <v>1693</v>
      </c>
      <c r="E322" s="4" t="s">
        <v>1693</v>
      </c>
      <c r="F322" s="6">
        <v>26</v>
      </c>
      <c r="G322" s="16" t="str">
        <f t="shared" si="4"/>
        <v>(320,'2652','تابلاط','Tablat','Tablat',26),</v>
      </c>
    </row>
    <row r="323" spans="1:7" ht="20.100000000000001" customHeight="1" x14ac:dyDescent="0.25">
      <c r="A323" s="3">
        <v>321</v>
      </c>
      <c r="B323" s="8">
        <v>2658</v>
      </c>
      <c r="C323" s="4" t="s">
        <v>1708</v>
      </c>
      <c r="D323" s="4" t="s">
        <v>1707</v>
      </c>
      <c r="E323" s="4" t="s">
        <v>1707</v>
      </c>
      <c r="F323" s="6">
        <v>26</v>
      </c>
      <c r="G323" s="16" t="str">
        <f t="shared" si="4"/>
        <v>(321,'2658','أولاد عنتر','Ouled Antar','Ouled Antar',26),</v>
      </c>
    </row>
    <row r="324" spans="1:7" ht="20.100000000000001" customHeight="1" x14ac:dyDescent="0.25">
      <c r="A324" s="3">
        <v>322</v>
      </c>
      <c r="B324" s="8">
        <v>2701</v>
      </c>
      <c r="C324" s="4" t="s">
        <v>1023</v>
      </c>
      <c r="D324" s="4" t="s">
        <v>1024</v>
      </c>
      <c r="E324" s="4" t="s">
        <v>1024</v>
      </c>
      <c r="F324" s="6">
        <v>27</v>
      </c>
      <c r="G324" s="16" t="str">
        <f t="shared" ref="G324:G387" si="5">CONCATENATE("(",A324,",'",B324,"','",C324,"','",D324,"','",E324,"',",F324,"),")</f>
        <v>(322,'2701','مستغانم','Mostaganem','Mostaganem',27),</v>
      </c>
    </row>
    <row r="325" spans="1:7" ht="20.100000000000001" customHeight="1" x14ac:dyDescent="0.25">
      <c r="A325" s="3">
        <v>323</v>
      </c>
      <c r="B325" s="8">
        <v>2705</v>
      </c>
      <c r="C325" s="4" t="s">
        <v>1730</v>
      </c>
      <c r="D325" s="4" t="s">
        <v>1729</v>
      </c>
      <c r="E325" s="4" t="s">
        <v>1729</v>
      </c>
      <c r="F325" s="6">
        <v>27</v>
      </c>
      <c r="G325" s="16" t="str">
        <f t="shared" si="5"/>
        <v>(323,'2705','عين نويسي','Ain Nouicy','Ain Nouicy',27),</v>
      </c>
    </row>
    <row r="326" spans="1:7" ht="20.100000000000001" customHeight="1" x14ac:dyDescent="0.25">
      <c r="A326" s="3">
        <v>324</v>
      </c>
      <c r="B326" s="8">
        <v>2706</v>
      </c>
      <c r="C326" s="4" t="s">
        <v>1740</v>
      </c>
      <c r="D326" s="4" t="s">
        <v>1739</v>
      </c>
      <c r="E326" s="4" t="s">
        <v>1739</v>
      </c>
      <c r="F326" s="6">
        <v>27</v>
      </c>
      <c r="G326" s="16" t="str">
        <f t="shared" si="5"/>
        <v>(324,'2706','حاسي ماماش','Hassi Mameche','Hassi Mameche',27),</v>
      </c>
    </row>
    <row r="327" spans="1:7" ht="20.100000000000001" customHeight="1" x14ac:dyDescent="0.25">
      <c r="A327" s="3">
        <v>325</v>
      </c>
      <c r="B327" s="8">
        <v>2707</v>
      </c>
      <c r="C327" s="4" t="s">
        <v>1734</v>
      </c>
      <c r="D327" s="4" t="s">
        <v>1733</v>
      </c>
      <c r="E327" s="4" t="s">
        <v>1733</v>
      </c>
      <c r="F327" s="6">
        <v>27</v>
      </c>
      <c r="G327" s="16" t="str">
        <f t="shared" si="5"/>
        <v>(325,'2707','عين تادلس','Ain Tedeles','Ain Tedeles',27),</v>
      </c>
    </row>
    <row r="328" spans="1:7" ht="20.100000000000001" customHeight="1" x14ac:dyDescent="0.25">
      <c r="A328" s="3">
        <v>326</v>
      </c>
      <c r="B328" s="8">
        <v>2711</v>
      </c>
      <c r="C328" s="4" t="s">
        <v>1728</v>
      </c>
      <c r="D328" s="4" t="s">
        <v>1727</v>
      </c>
      <c r="E328" s="4" t="s">
        <v>1727</v>
      </c>
      <c r="F328" s="6">
        <v>27</v>
      </c>
      <c r="G328" s="16" t="str">
        <f t="shared" si="5"/>
        <v>(326,'2711','خير الدين','Kheir Eddine','Kheir Eddine',27),</v>
      </c>
    </row>
    <row r="329" spans="1:7" ht="20.100000000000001" customHeight="1" x14ac:dyDescent="0.25">
      <c r="A329" s="3">
        <v>327</v>
      </c>
      <c r="B329" s="8">
        <v>2712</v>
      </c>
      <c r="C329" s="4" t="s">
        <v>1742</v>
      </c>
      <c r="D329" s="4" t="s">
        <v>1741</v>
      </c>
      <c r="E329" s="4" t="s">
        <v>1741</v>
      </c>
      <c r="F329" s="6">
        <v>27</v>
      </c>
      <c r="G329" s="16" t="str">
        <f t="shared" si="5"/>
        <v>(327,'2712','سيدي علي','Sidi Ali','Sidi Ali',27),</v>
      </c>
    </row>
    <row r="330" spans="1:7" ht="20.100000000000001" customHeight="1" x14ac:dyDescent="0.25">
      <c r="A330" s="3">
        <v>328</v>
      </c>
      <c r="B330" s="8">
        <v>2716</v>
      </c>
      <c r="C330" s="4" t="s">
        <v>1736</v>
      </c>
      <c r="D330" s="4" t="s">
        <v>1735</v>
      </c>
      <c r="E330" s="4" t="s">
        <v>1735</v>
      </c>
      <c r="F330" s="6">
        <v>27</v>
      </c>
      <c r="G330" s="16" t="str">
        <f t="shared" si="5"/>
        <v>(328,'2716','سيدي لخضر','Sidi Lakhdar','Sidi Lakhdar',27),</v>
      </c>
    </row>
    <row r="331" spans="1:7" ht="20.100000000000001" customHeight="1" x14ac:dyDescent="0.25">
      <c r="A331" s="3">
        <v>329</v>
      </c>
      <c r="B331" s="8">
        <v>2717</v>
      </c>
      <c r="C331" s="4" t="s">
        <v>1726</v>
      </c>
      <c r="D331" s="4" t="s">
        <v>1725</v>
      </c>
      <c r="E331" s="4" t="s">
        <v>1725</v>
      </c>
      <c r="F331" s="6">
        <v>27</v>
      </c>
      <c r="G331" s="16" t="str">
        <f t="shared" si="5"/>
        <v>(329,'2717','عشعاشة','Achaacha','Achaacha',27),</v>
      </c>
    </row>
    <row r="332" spans="1:7" ht="20.100000000000001" customHeight="1" x14ac:dyDescent="0.25">
      <c r="A332" s="3">
        <v>330</v>
      </c>
      <c r="B332" s="8">
        <v>2719</v>
      </c>
      <c r="C332" s="4" t="s">
        <v>1738</v>
      </c>
      <c r="D332" s="4" t="s">
        <v>1737</v>
      </c>
      <c r="E332" s="4" t="s">
        <v>1737</v>
      </c>
      <c r="F332" s="6">
        <v>27</v>
      </c>
      <c r="G332" s="16" t="str">
        <f t="shared" si="5"/>
        <v>(330,'2719','بوقيراط','Bouguirat','Bouguirat',27),</v>
      </c>
    </row>
    <row r="333" spans="1:7" ht="20.100000000000001" customHeight="1" x14ac:dyDescent="0.25">
      <c r="A333" s="3">
        <v>331</v>
      </c>
      <c r="B333" s="8">
        <v>2722</v>
      </c>
      <c r="C333" s="4" t="s">
        <v>1732</v>
      </c>
      <c r="D333" s="4" t="s">
        <v>1731</v>
      </c>
      <c r="E333" s="4" t="s">
        <v>1731</v>
      </c>
      <c r="F333" s="6">
        <v>27</v>
      </c>
      <c r="G333" s="16" t="str">
        <f t="shared" si="5"/>
        <v>(331,'2722','ماسرة','Mesra','Mesra',27),</v>
      </c>
    </row>
    <row r="334" spans="1:7" ht="20.100000000000001" customHeight="1" x14ac:dyDescent="0.25">
      <c r="A334" s="3">
        <v>332</v>
      </c>
      <c r="B334" s="8">
        <v>2801</v>
      </c>
      <c r="C334" s="4" t="s">
        <v>1025</v>
      </c>
      <c r="D334" s="4" t="s">
        <v>1769</v>
      </c>
      <c r="E334" s="4" t="s">
        <v>1769</v>
      </c>
      <c r="F334" s="6">
        <v>28</v>
      </c>
      <c r="G334" s="16" t="str">
        <f t="shared" si="5"/>
        <v>(332,'2801','المسيلة','M'sila','M'sila',28),</v>
      </c>
    </row>
    <row r="335" spans="1:7" ht="20.100000000000001" customHeight="1" x14ac:dyDescent="0.25">
      <c r="A335" s="3">
        <v>333</v>
      </c>
      <c r="B335" s="8">
        <v>2803</v>
      </c>
      <c r="C335" s="4" t="s">
        <v>1764</v>
      </c>
      <c r="D335" s="4" t="s">
        <v>1763</v>
      </c>
      <c r="E335" s="4" t="s">
        <v>1763</v>
      </c>
      <c r="F335" s="6">
        <v>28</v>
      </c>
      <c r="G335" s="16" t="str">
        <f t="shared" si="5"/>
        <v>(333,'2803','حمام الضلعة','Hammam Dalaa','Hammam Dalaa',28),</v>
      </c>
    </row>
    <row r="336" spans="1:7" ht="20.100000000000001" customHeight="1" x14ac:dyDescent="0.25">
      <c r="A336" s="3">
        <v>334</v>
      </c>
      <c r="B336" s="8">
        <v>2804</v>
      </c>
      <c r="C336" s="4" t="s">
        <v>1766</v>
      </c>
      <c r="D336" s="4" t="s">
        <v>1765</v>
      </c>
      <c r="E336" s="4" t="s">
        <v>1765</v>
      </c>
      <c r="F336" s="6">
        <v>28</v>
      </c>
      <c r="G336" s="16" t="str">
        <f t="shared" si="5"/>
        <v>(334,'2804','أولاد دراج','Ouled Derradj','Ouled Derradj',28),</v>
      </c>
    </row>
    <row r="337" spans="1:7" ht="20.100000000000001" customHeight="1" x14ac:dyDescent="0.25">
      <c r="A337" s="3">
        <v>335</v>
      </c>
      <c r="B337" s="8">
        <v>2807</v>
      </c>
      <c r="C337" s="4" t="s">
        <v>1762</v>
      </c>
      <c r="D337" s="4" t="s">
        <v>1761</v>
      </c>
      <c r="E337" s="4" t="s">
        <v>1761</v>
      </c>
      <c r="F337" s="6">
        <v>28</v>
      </c>
      <c r="G337" s="16" t="str">
        <f t="shared" si="5"/>
        <v>(335,'2807','خبانة','Khoubana','Khoubana',28),</v>
      </c>
    </row>
    <row r="338" spans="1:7" ht="20.100000000000001" customHeight="1" x14ac:dyDescent="0.25">
      <c r="A338" s="3">
        <v>336</v>
      </c>
      <c r="B338" s="8">
        <v>2809</v>
      </c>
      <c r="C338" s="4" t="s">
        <v>1758</v>
      </c>
      <c r="D338" s="4" t="s">
        <v>1757</v>
      </c>
      <c r="E338" s="4" t="s">
        <v>1757</v>
      </c>
      <c r="F338" s="6">
        <v>28</v>
      </c>
      <c r="G338" s="16" t="str">
        <f t="shared" si="5"/>
        <v>(336,'2809','شلال','Chellal','Chellal',28),</v>
      </c>
    </row>
    <row r="339" spans="1:7" ht="20.100000000000001" customHeight="1" x14ac:dyDescent="0.25">
      <c r="A339" s="3">
        <v>337</v>
      </c>
      <c r="B339" s="8">
        <v>2811</v>
      </c>
      <c r="C339" s="4" t="s">
        <v>1748</v>
      </c>
      <c r="D339" s="4" t="s">
        <v>1747</v>
      </c>
      <c r="E339" s="4" t="s">
        <v>1747</v>
      </c>
      <c r="F339" s="6">
        <v>28</v>
      </c>
      <c r="G339" s="16" t="str">
        <f t="shared" si="5"/>
        <v>(337,'2811','مقرة','Magra','Magra',28),</v>
      </c>
    </row>
    <row r="340" spans="1:7" ht="20.100000000000001" customHeight="1" x14ac:dyDescent="0.25">
      <c r="A340" s="3">
        <v>338</v>
      </c>
      <c r="B340" s="8">
        <v>2816</v>
      </c>
      <c r="C340" s="4" t="s">
        <v>1752</v>
      </c>
      <c r="D340" s="4" t="s">
        <v>1751</v>
      </c>
      <c r="E340" s="4" t="s">
        <v>1751</v>
      </c>
      <c r="F340" s="6">
        <v>28</v>
      </c>
      <c r="G340" s="16" t="str">
        <f t="shared" si="5"/>
        <v>(338,'2816','سيدي عيسى','Sidi Aissa','Sidi Aissa',28),</v>
      </c>
    </row>
    <row r="341" spans="1:7" ht="20.100000000000001" customHeight="1" x14ac:dyDescent="0.25">
      <c r="A341" s="3">
        <v>339</v>
      </c>
      <c r="B341" s="8">
        <v>2817</v>
      </c>
      <c r="C341" s="4" t="s">
        <v>1744</v>
      </c>
      <c r="D341" s="4" t="s">
        <v>1743</v>
      </c>
      <c r="E341" s="4" t="s">
        <v>1743</v>
      </c>
      <c r="F341" s="6">
        <v>28</v>
      </c>
      <c r="G341" s="16" t="str">
        <f t="shared" si="5"/>
        <v>(339,'2817','عين الحجل','Ain El Hadjel','Ain El Hadjel',28),</v>
      </c>
    </row>
    <row r="342" spans="1:7" ht="20.100000000000001" customHeight="1" x14ac:dyDescent="0.25">
      <c r="A342" s="3">
        <v>340</v>
      </c>
      <c r="B342" s="8">
        <v>2820</v>
      </c>
      <c r="C342" s="4" t="s">
        <v>1756</v>
      </c>
      <c r="D342" s="4" t="s">
        <v>1755</v>
      </c>
      <c r="E342" s="4" t="s">
        <v>1755</v>
      </c>
      <c r="F342" s="6">
        <v>28</v>
      </c>
      <c r="G342" s="16" t="str">
        <f t="shared" si="5"/>
        <v>(340,'2820','بوسعادة','Bousaada','Bousaada',28),</v>
      </c>
    </row>
    <row r="343" spans="1:7" ht="20.100000000000001" customHeight="1" x14ac:dyDescent="0.25">
      <c r="A343" s="3">
        <v>341</v>
      </c>
      <c r="B343" s="8">
        <v>2821</v>
      </c>
      <c r="C343" s="4" t="s">
        <v>1754</v>
      </c>
      <c r="D343" s="4" t="s">
        <v>1753</v>
      </c>
      <c r="E343" s="4" t="s">
        <v>1753</v>
      </c>
      <c r="F343" s="6">
        <v>28</v>
      </c>
      <c r="G343" s="16" t="str">
        <f t="shared" si="5"/>
        <v>(341,'2821','أولاد سيدي ابراهيم','Ouled Sidi Brahim','Ouled Sidi Brahim',28),</v>
      </c>
    </row>
    <row r="344" spans="1:7" ht="20.100000000000001" customHeight="1" x14ac:dyDescent="0.25">
      <c r="A344" s="3">
        <v>342</v>
      </c>
      <c r="B344" s="8">
        <v>2822</v>
      </c>
      <c r="C344" s="4" t="s">
        <v>1771</v>
      </c>
      <c r="D344" s="4" t="s">
        <v>1770</v>
      </c>
      <c r="E344" s="4" t="s">
        <v>1770</v>
      </c>
      <c r="F344" s="6">
        <v>28</v>
      </c>
      <c r="G344" s="16" t="str">
        <f t="shared" si="5"/>
        <v>(342,'2822','سيدي عامر','Sidi Ameur','Sidi Ameur',28),</v>
      </c>
    </row>
    <row r="345" spans="1:7" ht="20.100000000000001" customHeight="1" x14ac:dyDescent="0.25">
      <c r="A345" s="3">
        <v>343</v>
      </c>
      <c r="B345" s="8">
        <v>2824</v>
      </c>
      <c r="C345" s="4" t="s">
        <v>1750</v>
      </c>
      <c r="D345" s="4" t="s">
        <v>1749</v>
      </c>
      <c r="E345" s="4" t="s">
        <v>1749</v>
      </c>
      <c r="F345" s="6">
        <v>28</v>
      </c>
      <c r="G345" s="16" t="str">
        <f t="shared" si="5"/>
        <v>(343,'2824','بن سرور','Ben Srour','Ben Srour',28),</v>
      </c>
    </row>
    <row r="346" spans="1:7" ht="20.100000000000001" customHeight="1" x14ac:dyDescent="0.25">
      <c r="A346" s="3">
        <v>344</v>
      </c>
      <c r="B346" s="8">
        <v>2841</v>
      </c>
      <c r="C346" s="4" t="s">
        <v>1746</v>
      </c>
      <c r="D346" s="4" t="s">
        <v>1745</v>
      </c>
      <c r="E346" s="4" t="s">
        <v>1745</v>
      </c>
      <c r="F346" s="6">
        <v>28</v>
      </c>
      <c r="G346" s="16" t="str">
        <f t="shared" si="5"/>
        <v>(344,'2841','عين الملح','Ain El Melh','Ain El Melh',28),</v>
      </c>
    </row>
    <row r="347" spans="1:7" ht="20.100000000000001" customHeight="1" x14ac:dyDescent="0.25">
      <c r="A347" s="3">
        <v>345</v>
      </c>
      <c r="B347" s="8">
        <v>2842</v>
      </c>
      <c r="C347" s="4" t="s">
        <v>1768</v>
      </c>
      <c r="D347" s="4" t="s">
        <v>1767</v>
      </c>
      <c r="E347" s="4" t="s">
        <v>1767</v>
      </c>
      <c r="F347" s="6">
        <v>28</v>
      </c>
      <c r="G347" s="16" t="str">
        <f t="shared" si="5"/>
        <v>(345,'2842','امجدل','Medjedel','Medjedel',28),</v>
      </c>
    </row>
    <row r="348" spans="1:7" ht="20.100000000000001" customHeight="1" x14ac:dyDescent="0.25">
      <c r="A348" s="3">
        <v>346</v>
      </c>
      <c r="B348" s="8">
        <v>2847</v>
      </c>
      <c r="C348" s="4" t="s">
        <v>1760</v>
      </c>
      <c r="D348" s="4" t="s">
        <v>1759</v>
      </c>
      <c r="E348" s="4" t="s">
        <v>1759</v>
      </c>
      <c r="F348" s="6">
        <v>28</v>
      </c>
      <c r="G348" s="16" t="str">
        <f t="shared" si="5"/>
        <v>(346,'2847','جبل مساعد','Djebel Messaad','Djebel Messaad',28),</v>
      </c>
    </row>
    <row r="349" spans="1:7" ht="20.100000000000001" customHeight="1" x14ac:dyDescent="0.25">
      <c r="A349" s="3">
        <v>347</v>
      </c>
      <c r="B349" s="8">
        <v>2901</v>
      </c>
      <c r="C349" s="4" t="s">
        <v>1027</v>
      </c>
      <c r="D349" s="4" t="s">
        <v>1028</v>
      </c>
      <c r="E349" s="4" t="s">
        <v>1028</v>
      </c>
      <c r="F349" s="6">
        <v>29</v>
      </c>
      <c r="G349" s="16" t="str">
        <f t="shared" si="5"/>
        <v>(347,'2901','معسكر','Mascara','Mascara',29),</v>
      </c>
    </row>
    <row r="350" spans="1:7" ht="20.100000000000001" customHeight="1" x14ac:dyDescent="0.25">
      <c r="A350" s="3">
        <v>348</v>
      </c>
      <c r="B350" s="8">
        <v>2902</v>
      </c>
      <c r="C350" s="4" t="s">
        <v>1785</v>
      </c>
      <c r="D350" s="4" t="s">
        <v>1784</v>
      </c>
      <c r="E350" s="4" t="s">
        <v>1784</v>
      </c>
      <c r="F350" s="6">
        <v>29</v>
      </c>
      <c r="G350" s="16" t="str">
        <f t="shared" si="5"/>
        <v>(348,'2902','بوحنيفية','Bouhanifia','Bouhanifia',29),</v>
      </c>
    </row>
    <row r="351" spans="1:7" ht="20.100000000000001" customHeight="1" x14ac:dyDescent="0.25">
      <c r="A351" s="3">
        <v>349</v>
      </c>
      <c r="B351" s="8">
        <v>2903</v>
      </c>
      <c r="C351" s="4" t="s">
        <v>1795</v>
      </c>
      <c r="D351" s="4" t="s">
        <v>1794</v>
      </c>
      <c r="E351" s="4" t="s">
        <v>1794</v>
      </c>
      <c r="F351" s="6">
        <v>29</v>
      </c>
      <c r="G351" s="16" t="str">
        <f t="shared" si="5"/>
        <v>(349,'2903','تيزي','Tizi','Tizi',29),</v>
      </c>
    </row>
    <row r="352" spans="1:7" ht="20.100000000000001" customHeight="1" x14ac:dyDescent="0.25">
      <c r="A352" s="3">
        <v>350</v>
      </c>
      <c r="B352" s="8">
        <v>2906</v>
      </c>
      <c r="C352" s="4" t="s">
        <v>1801</v>
      </c>
      <c r="D352" s="4" t="s">
        <v>1800</v>
      </c>
      <c r="E352" s="4" t="s">
        <v>1800</v>
      </c>
      <c r="F352" s="6">
        <v>29</v>
      </c>
      <c r="G352" s="16" t="str">
        <f t="shared" si="5"/>
        <v>(350,'2906','تيغنيف','Tighennif','Tighennif',29),</v>
      </c>
    </row>
    <row r="353" spans="1:7" ht="20.100000000000001" customHeight="1" x14ac:dyDescent="0.25">
      <c r="A353" s="3">
        <v>351</v>
      </c>
      <c r="B353" s="8">
        <v>2907</v>
      </c>
      <c r="C353" s="4" t="s">
        <v>1793</v>
      </c>
      <c r="D353" s="4" t="s">
        <v>1792</v>
      </c>
      <c r="E353" s="4" t="s">
        <v>1792</v>
      </c>
      <c r="F353" s="6">
        <v>29</v>
      </c>
      <c r="G353" s="16" t="str">
        <f t="shared" si="5"/>
        <v>(351,'2907','الحشم','Hachem','Hachem',29),</v>
      </c>
    </row>
    <row r="354" spans="1:7" ht="20.100000000000001" customHeight="1" x14ac:dyDescent="0.25">
      <c r="A354" s="3">
        <v>352</v>
      </c>
      <c r="B354" s="8">
        <v>2910</v>
      </c>
      <c r="C354" s="4" t="s">
        <v>1777</v>
      </c>
      <c r="D354" s="4" t="s">
        <v>1776</v>
      </c>
      <c r="E354" s="4" t="s">
        <v>1776</v>
      </c>
      <c r="F354" s="6">
        <v>29</v>
      </c>
      <c r="G354" s="16" t="str">
        <f t="shared" si="5"/>
        <v>(352,'2910','وادي الأبطال','Oued El Abtal','Oued El Abtal',29),</v>
      </c>
    </row>
    <row r="355" spans="1:7" ht="20.100000000000001" customHeight="1" x14ac:dyDescent="0.25">
      <c r="A355" s="3">
        <v>353</v>
      </c>
      <c r="B355" s="8">
        <v>2912</v>
      </c>
      <c r="C355" s="4" t="s">
        <v>1797</v>
      </c>
      <c r="D355" s="4" t="s">
        <v>1796</v>
      </c>
      <c r="E355" s="4" t="s">
        <v>1796</v>
      </c>
      <c r="F355" s="6">
        <v>29</v>
      </c>
      <c r="G355" s="16" t="str">
        <f t="shared" si="5"/>
        <v>(353,'2912','غريس','Ghriss','Ghriss',29),</v>
      </c>
    </row>
    <row r="356" spans="1:7" ht="20.100000000000001" customHeight="1" x14ac:dyDescent="0.25">
      <c r="A356" s="3">
        <v>354</v>
      </c>
      <c r="B356" s="8">
        <v>2917</v>
      </c>
      <c r="C356" s="4" t="s">
        <v>1787</v>
      </c>
      <c r="D356" s="4" t="s">
        <v>1786</v>
      </c>
      <c r="E356" s="4" t="s">
        <v>1786</v>
      </c>
      <c r="F356" s="6">
        <v>29</v>
      </c>
      <c r="G356" s="16" t="str">
        <f t="shared" si="5"/>
        <v>(354,'2917','البرج','El Bordj','El Bordj',29),</v>
      </c>
    </row>
    <row r="357" spans="1:7" ht="20.100000000000001" customHeight="1" x14ac:dyDescent="0.25">
      <c r="A357" s="3">
        <v>355</v>
      </c>
      <c r="B357" s="8">
        <v>2918</v>
      </c>
      <c r="C357" s="4" t="s">
        <v>1775</v>
      </c>
      <c r="D357" s="4" t="s">
        <v>1774</v>
      </c>
      <c r="E357" s="4" t="s">
        <v>1774</v>
      </c>
      <c r="F357" s="6">
        <v>29</v>
      </c>
      <c r="G357" s="16" t="str">
        <f t="shared" si="5"/>
        <v>(355,'2918','عين فكان','Ain Fekan','Ain Fekan',29),</v>
      </c>
    </row>
    <row r="358" spans="1:7" ht="20.100000000000001" customHeight="1" x14ac:dyDescent="0.25">
      <c r="A358" s="3">
        <v>356</v>
      </c>
      <c r="B358" s="8">
        <v>2922</v>
      </c>
      <c r="C358" s="4" t="s">
        <v>1799</v>
      </c>
      <c r="D358" s="4" t="s">
        <v>1798</v>
      </c>
      <c r="E358" s="4" t="s">
        <v>1798</v>
      </c>
      <c r="F358" s="6">
        <v>29</v>
      </c>
      <c r="G358" s="16" t="str">
        <f t="shared" si="5"/>
        <v>(356,'2922','وادي التاغية','Oued Taria','Oued Taria',29),</v>
      </c>
    </row>
    <row r="359" spans="1:7" ht="20.100000000000001" customHeight="1" x14ac:dyDescent="0.25">
      <c r="A359" s="3">
        <v>357</v>
      </c>
      <c r="B359" s="8">
        <v>2923</v>
      </c>
      <c r="C359" s="4" t="s">
        <v>1781</v>
      </c>
      <c r="D359" s="4" t="s">
        <v>1780</v>
      </c>
      <c r="E359" s="4" t="s">
        <v>1780</v>
      </c>
      <c r="F359" s="6">
        <v>29</v>
      </c>
      <c r="G359" s="16" t="str">
        <f t="shared" si="5"/>
        <v>(357,'2923','عوف','Aouf','Aouf',29),</v>
      </c>
    </row>
    <row r="360" spans="1:7" ht="20.100000000000001" customHeight="1" x14ac:dyDescent="0.25">
      <c r="A360" s="3">
        <v>358</v>
      </c>
      <c r="B360" s="8">
        <v>2924</v>
      </c>
      <c r="C360" s="4" t="s">
        <v>1773</v>
      </c>
      <c r="D360" s="4" t="s">
        <v>1772</v>
      </c>
      <c r="E360" s="4" t="s">
        <v>1772</v>
      </c>
      <c r="F360" s="6">
        <v>29</v>
      </c>
      <c r="G360" s="16" t="str">
        <f t="shared" si="5"/>
        <v>(358,'2924','عين فارس','Ain Fares','Ain Fares',29),</v>
      </c>
    </row>
    <row r="361" spans="1:7" ht="20.100000000000001" customHeight="1" x14ac:dyDescent="0.25">
      <c r="A361" s="3">
        <v>359</v>
      </c>
      <c r="B361" s="8">
        <v>2926</v>
      </c>
      <c r="C361" s="4" t="s">
        <v>1783</v>
      </c>
      <c r="D361" s="4" t="s">
        <v>1782</v>
      </c>
      <c r="E361" s="4" t="s">
        <v>1782</v>
      </c>
      <c r="F361" s="6">
        <v>29</v>
      </c>
      <c r="G361" s="16" t="str">
        <f t="shared" si="5"/>
        <v>(359,'2926','سيق','Sig','Sig',29),</v>
      </c>
    </row>
    <row r="362" spans="1:7" ht="20.100000000000001" customHeight="1" x14ac:dyDescent="0.25">
      <c r="A362" s="3">
        <v>360</v>
      </c>
      <c r="B362" s="8">
        <v>2927</v>
      </c>
      <c r="C362" s="4" t="s">
        <v>1779</v>
      </c>
      <c r="D362" s="4" t="s">
        <v>1778</v>
      </c>
      <c r="E362" s="4" t="s">
        <v>1778</v>
      </c>
      <c r="F362" s="6">
        <v>29</v>
      </c>
      <c r="G362" s="16" t="str">
        <f t="shared" si="5"/>
        <v>(360,'2927','عقاز','Oggaz','Oggaz',29),</v>
      </c>
    </row>
    <row r="363" spans="1:7" ht="20.100000000000001" customHeight="1" x14ac:dyDescent="0.25">
      <c r="A363" s="3">
        <v>361</v>
      </c>
      <c r="B363" s="8">
        <v>2930</v>
      </c>
      <c r="C363" s="4" t="s">
        <v>1789</v>
      </c>
      <c r="D363" s="4" t="s">
        <v>1788</v>
      </c>
      <c r="E363" s="4" t="s">
        <v>1788</v>
      </c>
      <c r="F363" s="6">
        <v>29</v>
      </c>
      <c r="G363" s="16" t="str">
        <f t="shared" si="5"/>
        <v>(361,'2930','زهانة','Zahana','Zahana',29),</v>
      </c>
    </row>
    <row r="364" spans="1:7" ht="20.100000000000001" customHeight="1" x14ac:dyDescent="0.25">
      <c r="A364" s="3">
        <v>362</v>
      </c>
      <c r="B364" s="8">
        <v>2931</v>
      </c>
      <c r="C364" s="4" t="s">
        <v>1791</v>
      </c>
      <c r="D364" s="4" t="s">
        <v>1790</v>
      </c>
      <c r="E364" s="4" t="s">
        <v>1790</v>
      </c>
      <c r="F364" s="6">
        <v>29</v>
      </c>
      <c r="G364" s="16" t="str">
        <f t="shared" si="5"/>
        <v>(362,'2931','المحمدية','Mohammadia','Mohammadia',29),</v>
      </c>
    </row>
    <row r="365" spans="1:7" ht="20.100000000000001" customHeight="1" x14ac:dyDescent="0.25">
      <c r="A365" s="3">
        <v>363</v>
      </c>
      <c r="B365" s="8">
        <v>3001</v>
      </c>
      <c r="C365" s="4" t="s">
        <v>1029</v>
      </c>
      <c r="D365" s="4" t="s">
        <v>1030</v>
      </c>
      <c r="E365" s="4" t="s">
        <v>1030</v>
      </c>
      <c r="F365" s="6">
        <v>30</v>
      </c>
      <c r="G365" s="16" t="str">
        <f t="shared" si="5"/>
        <v>(363,'3001','ورقلة','Ouargla','Ouargla',30),</v>
      </c>
    </row>
    <row r="366" spans="1:7" ht="20.100000000000001" customHeight="1" x14ac:dyDescent="0.25">
      <c r="A366" s="3">
        <v>364</v>
      </c>
      <c r="B366" s="8">
        <v>3003</v>
      </c>
      <c r="C366" s="4" t="s">
        <v>1817</v>
      </c>
      <c r="D366" s="4" t="s">
        <v>1816</v>
      </c>
      <c r="E366" s="4" t="s">
        <v>1816</v>
      </c>
      <c r="F366" s="6">
        <v>30</v>
      </c>
      <c r="G366" s="16" t="str">
        <f t="shared" si="5"/>
        <v>(364,'3003','انقوسة','N'goussa','N'goussa',30),</v>
      </c>
    </row>
    <row r="367" spans="1:7" ht="20.100000000000001" customHeight="1" x14ac:dyDescent="0.25">
      <c r="A367" s="3">
        <v>365</v>
      </c>
      <c r="B367" s="8">
        <v>3004</v>
      </c>
      <c r="C367" s="4" t="s">
        <v>1813</v>
      </c>
      <c r="D367" s="4" t="s">
        <v>1812</v>
      </c>
      <c r="E367" s="4" t="s">
        <v>1812</v>
      </c>
      <c r="F367" s="6">
        <v>30</v>
      </c>
      <c r="G367" s="16" t="str">
        <f t="shared" si="5"/>
        <v>(365,'3004','حاسي مسعود','Hassi Messaoud','Hassi Messaoud',30),</v>
      </c>
    </row>
    <row r="368" spans="1:7" ht="20.100000000000001" customHeight="1" x14ac:dyDescent="0.25">
      <c r="A368" s="3">
        <v>366</v>
      </c>
      <c r="B368" s="8">
        <v>3011</v>
      </c>
      <c r="C368" s="4" t="s">
        <v>1803</v>
      </c>
      <c r="D368" s="4" t="s">
        <v>1802</v>
      </c>
      <c r="E368" s="4" t="s">
        <v>1802</v>
      </c>
      <c r="F368" s="6">
        <v>30</v>
      </c>
      <c r="G368" s="16" t="str">
        <f t="shared" si="5"/>
        <v>(366,'3011','سيدي خويلد','Sidi Khouiled','Sidi Khouiled',30),</v>
      </c>
    </row>
    <row r="369" spans="1:7" ht="20.100000000000001" customHeight="1" x14ac:dyDescent="0.25">
      <c r="A369" s="3">
        <v>367</v>
      </c>
      <c r="B369" s="8">
        <v>3021</v>
      </c>
      <c r="C369" s="4" t="s">
        <v>1811</v>
      </c>
      <c r="D369" s="4" t="s">
        <v>1810</v>
      </c>
      <c r="E369" s="4" t="s">
        <v>1810</v>
      </c>
      <c r="F369" s="6">
        <v>30</v>
      </c>
      <c r="G369" s="16" t="str">
        <f t="shared" si="5"/>
        <v>(367,'3021','البرمة','El Borma','El Borma',30),</v>
      </c>
    </row>
    <row r="370" spans="1:7" ht="20.100000000000001" customHeight="1" x14ac:dyDescent="0.25">
      <c r="A370" s="3">
        <v>368</v>
      </c>
      <c r="B370" s="8">
        <v>3101</v>
      </c>
      <c r="C370" s="4" t="s">
        <v>1031</v>
      </c>
      <c r="D370" s="4" t="s">
        <v>1032</v>
      </c>
      <c r="E370" s="4" t="s">
        <v>1032</v>
      </c>
      <c r="F370" s="6">
        <v>31</v>
      </c>
      <c r="G370" s="16" t="str">
        <f t="shared" si="5"/>
        <v>(368,'3101','وهران','Oran','Oran',31),</v>
      </c>
    </row>
    <row r="371" spans="1:7" ht="20.100000000000001" customHeight="1" x14ac:dyDescent="0.25">
      <c r="A371" s="3">
        <v>369</v>
      </c>
      <c r="B371" s="8">
        <v>3102</v>
      </c>
      <c r="C371" s="4" t="s">
        <v>1827</v>
      </c>
      <c r="D371" s="4" t="s">
        <v>1826</v>
      </c>
      <c r="E371" s="4" t="s">
        <v>1826</v>
      </c>
      <c r="F371" s="6">
        <v>31</v>
      </c>
      <c r="G371" s="16" t="str">
        <f t="shared" si="5"/>
        <v>(369,'3102','قديل','Gdyel','Gdyel',31),</v>
      </c>
    </row>
    <row r="372" spans="1:7" ht="20.100000000000001" customHeight="1" x14ac:dyDescent="0.25">
      <c r="A372" s="3">
        <v>370</v>
      </c>
      <c r="B372" s="8">
        <v>3103</v>
      </c>
      <c r="C372" s="4" t="s">
        <v>1829</v>
      </c>
      <c r="D372" s="4" t="s">
        <v>1828</v>
      </c>
      <c r="E372" s="4" t="s">
        <v>1828</v>
      </c>
      <c r="F372" s="6">
        <v>31</v>
      </c>
      <c r="G372" s="16" t="str">
        <f t="shared" si="5"/>
        <v>(370,'3103','بئر الجير','Bir El Djir','Bir El Djir',31),</v>
      </c>
    </row>
    <row r="373" spans="1:7" ht="20.100000000000001" customHeight="1" x14ac:dyDescent="0.25">
      <c r="A373" s="3">
        <v>371</v>
      </c>
      <c r="B373" s="8">
        <v>3105</v>
      </c>
      <c r="C373" s="4" t="s">
        <v>1833</v>
      </c>
      <c r="D373" s="4" t="s">
        <v>1832</v>
      </c>
      <c r="E373" s="4" t="s">
        <v>1832</v>
      </c>
      <c r="F373" s="6">
        <v>31</v>
      </c>
      <c r="G373" s="16" t="str">
        <f t="shared" si="5"/>
        <v>(371,'3105','السانية','Es Senia','Es Senia',31),</v>
      </c>
    </row>
    <row r="374" spans="1:7" ht="20.100000000000001" customHeight="1" x14ac:dyDescent="0.25">
      <c r="A374" s="3">
        <v>372</v>
      </c>
      <c r="B374" s="8">
        <v>3106</v>
      </c>
      <c r="C374" s="4" t="s">
        <v>1825</v>
      </c>
      <c r="D374" s="4" t="s">
        <v>1824</v>
      </c>
      <c r="E374" s="4" t="s">
        <v>1824</v>
      </c>
      <c r="F374" s="6">
        <v>31</v>
      </c>
      <c r="G374" s="16" t="str">
        <f t="shared" si="5"/>
        <v>(372,'3106','أرزيو','Arzew','Arzew',31),</v>
      </c>
    </row>
    <row r="375" spans="1:7" ht="20.100000000000001" customHeight="1" x14ac:dyDescent="0.25">
      <c r="A375" s="3">
        <v>373</v>
      </c>
      <c r="B375" s="8">
        <v>3107</v>
      </c>
      <c r="C375" s="4" t="s">
        <v>1819</v>
      </c>
      <c r="D375" s="4" t="s">
        <v>1818</v>
      </c>
      <c r="E375" s="4" t="s">
        <v>1818</v>
      </c>
      <c r="F375" s="6">
        <v>31</v>
      </c>
      <c r="G375" s="16" t="str">
        <f t="shared" si="5"/>
        <v>(373,'3107','بطيوة','Bethioua','Bethioua',31),</v>
      </c>
    </row>
    <row r="376" spans="1:7" ht="20.100000000000001" customHeight="1" x14ac:dyDescent="0.25">
      <c r="A376" s="3">
        <v>374</v>
      </c>
      <c r="B376" s="8">
        <v>3109</v>
      </c>
      <c r="C376" s="4" t="s">
        <v>1823</v>
      </c>
      <c r="D376" s="4" t="s">
        <v>1822</v>
      </c>
      <c r="E376" s="4" t="s">
        <v>1822</v>
      </c>
      <c r="F376" s="6">
        <v>31</v>
      </c>
      <c r="G376" s="16" t="str">
        <f t="shared" si="5"/>
        <v>(374,'3109','عين الترك','Ain Turk','Ain Turk',31),</v>
      </c>
    </row>
    <row r="377" spans="1:7" ht="20.100000000000001" customHeight="1" x14ac:dyDescent="0.25">
      <c r="A377" s="3">
        <v>375</v>
      </c>
      <c r="B377" s="8">
        <v>3111</v>
      </c>
      <c r="C377" s="4" t="s">
        <v>1831</v>
      </c>
      <c r="D377" s="4" t="s">
        <v>1830</v>
      </c>
      <c r="E377" s="4" t="s">
        <v>1830</v>
      </c>
      <c r="F377" s="6">
        <v>31</v>
      </c>
      <c r="G377" s="16" t="str">
        <f t="shared" si="5"/>
        <v>(375,'3111','وادي تليلات','Oued Tlelat','Oued Tlelat',31),</v>
      </c>
    </row>
    <row r="378" spans="1:7" ht="20.100000000000001" customHeight="1" x14ac:dyDescent="0.25">
      <c r="A378" s="3">
        <v>376</v>
      </c>
      <c r="B378" s="8">
        <v>3124</v>
      </c>
      <c r="C378" s="4" t="s">
        <v>1821</v>
      </c>
      <c r="D378" s="4" t="s">
        <v>1820</v>
      </c>
      <c r="E378" s="4" t="s">
        <v>1820</v>
      </c>
      <c r="F378" s="6">
        <v>31</v>
      </c>
      <c r="G378" s="16" t="str">
        <f t="shared" si="5"/>
        <v>(376,'3124','بوتليليس','Boutlelis','Boutlelis',31),</v>
      </c>
    </row>
    <row r="379" spans="1:7" ht="20.100000000000001" customHeight="1" x14ac:dyDescent="0.25">
      <c r="A379" s="3">
        <v>377</v>
      </c>
      <c r="B379" s="8">
        <v>3201</v>
      </c>
      <c r="C379" s="4" t="s">
        <v>1033</v>
      </c>
      <c r="D379" s="4" t="s">
        <v>1034</v>
      </c>
      <c r="E379" s="4" t="s">
        <v>1034</v>
      </c>
      <c r="F379" s="6">
        <v>32</v>
      </c>
      <c r="G379" s="16" t="str">
        <f t="shared" si="5"/>
        <v>(377,'3201','البيض','El Bayadh','El Bayadh',32),</v>
      </c>
    </row>
    <row r="380" spans="1:7" ht="20.100000000000001" customHeight="1" x14ac:dyDescent="0.25">
      <c r="A380" s="3">
        <v>378</v>
      </c>
      <c r="B380" s="8">
        <v>3202</v>
      </c>
      <c r="C380" s="4" t="s">
        <v>1845</v>
      </c>
      <c r="D380" s="4" t="s">
        <v>1844</v>
      </c>
      <c r="E380" s="4" t="s">
        <v>1844</v>
      </c>
      <c r="F380" s="6">
        <v>32</v>
      </c>
      <c r="G380" s="16" t="str">
        <f t="shared" si="5"/>
        <v>(378,'3202','رقاصة','Rogassa','Rogassa',32),</v>
      </c>
    </row>
    <row r="381" spans="1:7" ht="20.100000000000001" customHeight="1" x14ac:dyDescent="0.25">
      <c r="A381" s="3">
        <v>379</v>
      </c>
      <c r="B381" s="8">
        <v>3203</v>
      </c>
      <c r="C381" s="4" t="s">
        <v>1843</v>
      </c>
      <c r="D381" s="4" t="s">
        <v>1842</v>
      </c>
      <c r="E381" s="4" t="s">
        <v>1842</v>
      </c>
      <c r="F381" s="6">
        <v>32</v>
      </c>
      <c r="G381" s="16" t="str">
        <f t="shared" si="5"/>
        <v>(379,'3203','بريزينة','Brezina','Brezina',32),</v>
      </c>
    </row>
    <row r="382" spans="1:7" ht="20.100000000000001" customHeight="1" x14ac:dyDescent="0.25">
      <c r="A382" s="3">
        <v>380</v>
      </c>
      <c r="B382" s="8">
        <v>3204</v>
      </c>
      <c r="C382" s="4" t="s">
        <v>1837</v>
      </c>
      <c r="D382" s="4" t="s">
        <v>1836</v>
      </c>
      <c r="E382" s="4" t="s">
        <v>1836</v>
      </c>
      <c r="F382" s="6">
        <v>32</v>
      </c>
      <c r="G382" s="16" t="str">
        <f t="shared" si="5"/>
        <v>(380,'3204','بوعلام','Boualem','Boualem',32),</v>
      </c>
    </row>
    <row r="383" spans="1:7" ht="20.100000000000001" customHeight="1" x14ac:dyDescent="0.25">
      <c r="A383" s="3">
        <v>381</v>
      </c>
      <c r="B383" s="8">
        <v>3205</v>
      </c>
      <c r="C383" s="4" t="s">
        <v>1835</v>
      </c>
      <c r="D383" s="4" t="s">
        <v>1834</v>
      </c>
      <c r="E383" s="4" t="s">
        <v>1834</v>
      </c>
      <c r="F383" s="6">
        <v>32</v>
      </c>
      <c r="G383" s="16" t="str">
        <f t="shared" si="5"/>
        <v>(381,'3205','الأبيض سيدي الشيخ','Labiodh Sidi Cheikh','Labiodh Sidi Cheikh',32),</v>
      </c>
    </row>
    <row r="384" spans="1:7" ht="20.100000000000001" customHeight="1" x14ac:dyDescent="0.25">
      <c r="A384" s="3">
        <v>382</v>
      </c>
      <c r="B384" s="8">
        <v>3206</v>
      </c>
      <c r="C384" s="4" t="s">
        <v>1839</v>
      </c>
      <c r="D384" s="4" t="s">
        <v>1838</v>
      </c>
      <c r="E384" s="4" t="s">
        <v>1838</v>
      </c>
      <c r="F384" s="6">
        <v>32</v>
      </c>
      <c r="G384" s="16" t="str">
        <f t="shared" si="5"/>
        <v>(382,'3206','بوقطب','Bougtoub','Bougtoub',32),</v>
      </c>
    </row>
    <row r="385" spans="1:7" ht="20.100000000000001" customHeight="1" x14ac:dyDescent="0.25">
      <c r="A385" s="3">
        <v>383</v>
      </c>
      <c r="B385" s="8">
        <v>3207</v>
      </c>
      <c r="C385" s="4" t="s">
        <v>1841</v>
      </c>
      <c r="D385" s="4" t="s">
        <v>1840</v>
      </c>
      <c r="E385" s="4" t="s">
        <v>1840</v>
      </c>
      <c r="F385" s="6">
        <v>32</v>
      </c>
      <c r="G385" s="16" t="str">
        <f t="shared" si="5"/>
        <v>(383,'3207','بوسمغون','Boussemghoun','Boussemghoun',32),</v>
      </c>
    </row>
    <row r="386" spans="1:7" ht="20.100000000000001" customHeight="1" x14ac:dyDescent="0.25">
      <c r="A386" s="3">
        <v>384</v>
      </c>
      <c r="B386" s="8">
        <v>3208</v>
      </c>
      <c r="C386" s="4" t="s">
        <v>1847</v>
      </c>
      <c r="D386" s="4" t="s">
        <v>1846</v>
      </c>
      <c r="E386" s="4" t="s">
        <v>1846</v>
      </c>
      <c r="F386" s="6">
        <v>32</v>
      </c>
      <c r="G386" s="16" t="str">
        <f t="shared" si="5"/>
        <v>(384,'3208','شلالة','Chellala','Chellala',32),</v>
      </c>
    </row>
    <row r="387" spans="1:7" ht="20.100000000000001" customHeight="1" x14ac:dyDescent="0.25">
      <c r="A387" s="3">
        <v>385</v>
      </c>
      <c r="B387" s="8">
        <v>3301</v>
      </c>
      <c r="C387" s="4" t="s">
        <v>1850</v>
      </c>
      <c r="D387" s="4" t="s">
        <v>1036</v>
      </c>
      <c r="E387" s="4" t="s">
        <v>1036</v>
      </c>
      <c r="F387" s="6">
        <v>33</v>
      </c>
      <c r="G387" s="16" t="str">
        <f t="shared" si="5"/>
        <v>(385,'3301','إيليزي','Illizi','Illizi',33),</v>
      </c>
    </row>
    <row r="388" spans="1:7" ht="20.100000000000001" customHeight="1" x14ac:dyDescent="0.25">
      <c r="A388" s="3">
        <v>386</v>
      </c>
      <c r="B388" s="8">
        <v>3306</v>
      </c>
      <c r="C388" s="4" t="s">
        <v>1849</v>
      </c>
      <c r="D388" s="4" t="s">
        <v>1848</v>
      </c>
      <c r="E388" s="4" t="s">
        <v>1848</v>
      </c>
      <c r="F388" s="6">
        <v>33</v>
      </c>
      <c r="G388" s="16" t="str">
        <f t="shared" ref="G388:G451" si="6">CONCATENATE("(",A388,",'",B388,"','",C388,"','",D388,"','",E388,"',",F388,"),")</f>
        <v>(386,'3306','إن أمناس','In Amenas','In Amenas',33),</v>
      </c>
    </row>
    <row r="389" spans="1:7" ht="20.100000000000001" customHeight="1" x14ac:dyDescent="0.25">
      <c r="A389" s="3">
        <v>387</v>
      </c>
      <c r="B389" s="8">
        <v>3401</v>
      </c>
      <c r="C389" s="4" t="s">
        <v>1037</v>
      </c>
      <c r="D389" s="4" t="s">
        <v>1096</v>
      </c>
      <c r="E389" s="4" t="s">
        <v>1096</v>
      </c>
      <c r="F389" s="6">
        <v>34</v>
      </c>
      <c r="G389" s="16" t="str">
        <f t="shared" si="6"/>
        <v>(387,'3401','برج بوعريريج','Bordj Bou Arreridj','Bordj Bou Arreridj',34),</v>
      </c>
    </row>
    <row r="390" spans="1:7" ht="20.100000000000001" customHeight="1" x14ac:dyDescent="0.25">
      <c r="A390" s="3">
        <v>388</v>
      </c>
      <c r="B390" s="8">
        <v>3402</v>
      </c>
      <c r="C390" s="4" t="s">
        <v>1854</v>
      </c>
      <c r="D390" s="4" t="s">
        <v>1853</v>
      </c>
      <c r="E390" s="4" t="s">
        <v>1853</v>
      </c>
      <c r="F390" s="6">
        <v>34</v>
      </c>
      <c r="G390" s="16" t="str">
        <f t="shared" si="6"/>
        <v>(388,'3402','رأس الوادي','Ras El Oued','Ras El Oued',34),</v>
      </c>
    </row>
    <row r="391" spans="1:7" ht="20.100000000000001" customHeight="1" x14ac:dyDescent="0.25">
      <c r="A391" s="3">
        <v>389</v>
      </c>
      <c r="B391" s="8">
        <v>3403</v>
      </c>
      <c r="C391" s="4" t="s">
        <v>1861</v>
      </c>
      <c r="D391" s="4" t="s">
        <v>1860</v>
      </c>
      <c r="E391" s="4" t="s">
        <v>1860</v>
      </c>
      <c r="F391" s="6">
        <v>34</v>
      </c>
      <c r="G391" s="16" t="str">
        <f t="shared" si="6"/>
        <v>(389,'3403','برج زمورة','Bordj Zemmoura','Bordj Zemmoura',34),</v>
      </c>
    </row>
    <row r="392" spans="1:7" ht="20.100000000000001" customHeight="1" x14ac:dyDescent="0.25">
      <c r="A392" s="3">
        <v>390</v>
      </c>
      <c r="B392" s="8">
        <v>3404</v>
      </c>
      <c r="C392" s="4" t="s">
        <v>1857</v>
      </c>
      <c r="D392" s="4" t="s">
        <v>1383</v>
      </c>
      <c r="E392" s="4" t="s">
        <v>1383</v>
      </c>
      <c r="F392" s="6">
        <v>34</v>
      </c>
      <c r="G392" s="16" t="str">
        <f t="shared" si="6"/>
        <v>(390,'3404','المنصورة','Mansourah','Mansourah',34),</v>
      </c>
    </row>
    <row r="393" spans="1:7" ht="20.100000000000001" customHeight="1" x14ac:dyDescent="0.25">
      <c r="A393" s="3">
        <v>391</v>
      </c>
      <c r="B393" s="8">
        <v>3408</v>
      </c>
      <c r="C393" s="4" t="s">
        <v>1852</v>
      </c>
      <c r="D393" s="4" t="s">
        <v>1851</v>
      </c>
      <c r="E393" s="4" t="s">
        <v>1851</v>
      </c>
      <c r="F393" s="6">
        <v>34</v>
      </c>
      <c r="G393" s="16" t="str">
        <f t="shared" si="6"/>
        <v>(391,'3408','عين تاغروت','Ain Taghrout','Ain Taghrout',34),</v>
      </c>
    </row>
    <row r="394" spans="1:7" ht="20.100000000000001" customHeight="1" x14ac:dyDescent="0.25">
      <c r="A394" s="3">
        <v>392</v>
      </c>
      <c r="B394" s="8">
        <v>3409</v>
      </c>
      <c r="C394" s="4" t="s">
        <v>1856</v>
      </c>
      <c r="D394" s="4" t="s">
        <v>1855</v>
      </c>
      <c r="E394" s="4" t="s">
        <v>1855</v>
      </c>
      <c r="F394" s="6">
        <v>34</v>
      </c>
      <c r="G394" s="16" t="str">
        <f t="shared" si="6"/>
        <v>(392,'3409','برج الغدير','Bordj Ghedir','Bordj Ghedir',34),</v>
      </c>
    </row>
    <row r="395" spans="1:7" ht="20.100000000000001" customHeight="1" x14ac:dyDescent="0.25">
      <c r="A395" s="3">
        <v>393</v>
      </c>
      <c r="B395" s="8">
        <v>3411</v>
      </c>
      <c r="C395" s="4" t="s">
        <v>1865</v>
      </c>
      <c r="D395" s="4" t="s">
        <v>1864</v>
      </c>
      <c r="E395" s="4" t="s">
        <v>1864</v>
      </c>
      <c r="F395" s="6">
        <v>34</v>
      </c>
      <c r="G395" s="16" t="str">
        <f t="shared" si="6"/>
        <v>(393,'3411','الحمادية','El Hamadia','El Hamadia',34),</v>
      </c>
    </row>
    <row r="396" spans="1:7" ht="20.100000000000001" customHeight="1" x14ac:dyDescent="0.25">
      <c r="A396" s="3">
        <v>394</v>
      </c>
      <c r="B396" s="8">
        <v>3413</v>
      </c>
      <c r="C396" s="4" t="s">
        <v>1867</v>
      </c>
      <c r="D396" s="4" t="s">
        <v>1866</v>
      </c>
      <c r="E396" s="4" t="s">
        <v>1866</v>
      </c>
      <c r="F396" s="6">
        <v>34</v>
      </c>
      <c r="G396" s="16" t="str">
        <f t="shared" si="6"/>
        <v>(394,'3413','مجانة','Medjana','Medjana',34),</v>
      </c>
    </row>
    <row r="397" spans="1:7" ht="20.100000000000001" customHeight="1" x14ac:dyDescent="0.25">
      <c r="A397" s="3">
        <v>395</v>
      </c>
      <c r="B397" s="8">
        <v>3415</v>
      </c>
      <c r="C397" s="4" t="s">
        <v>1863</v>
      </c>
      <c r="D397" s="4" t="s">
        <v>1862</v>
      </c>
      <c r="E397" s="4" t="s">
        <v>1862</v>
      </c>
      <c r="F397" s="6">
        <v>34</v>
      </c>
      <c r="G397" s="16" t="str">
        <f t="shared" si="6"/>
        <v>(395,'3415','جعافرة','Djaafra','Djaafra',34),</v>
      </c>
    </row>
    <row r="398" spans="1:7" ht="20.100000000000001" customHeight="1" x14ac:dyDescent="0.25">
      <c r="A398" s="3">
        <v>396</v>
      </c>
      <c r="B398" s="8">
        <v>3431</v>
      </c>
      <c r="C398" s="4" t="s">
        <v>1859</v>
      </c>
      <c r="D398" s="4" t="s">
        <v>1858</v>
      </c>
      <c r="E398" s="4" t="s">
        <v>1858</v>
      </c>
      <c r="F398" s="6">
        <v>34</v>
      </c>
      <c r="G398" s="16" t="str">
        <f t="shared" si="6"/>
        <v>(396,'3431','بئر قاصد علي','Bir Kasdali','Bir Kasdali',34),</v>
      </c>
    </row>
    <row r="399" spans="1:7" ht="20.100000000000001" customHeight="1" x14ac:dyDescent="0.25">
      <c r="A399" s="3">
        <v>397</v>
      </c>
      <c r="B399" s="8">
        <v>3501</v>
      </c>
      <c r="C399" s="4" t="s">
        <v>1039</v>
      </c>
      <c r="D399" s="4" t="s">
        <v>1100</v>
      </c>
      <c r="E399" s="4" t="s">
        <v>1100</v>
      </c>
      <c r="F399" s="6">
        <v>35</v>
      </c>
      <c r="G399" s="16" t="str">
        <f t="shared" si="6"/>
        <v>(397,'3501','بومرداس','Boumerdes','Boumerdes',35),</v>
      </c>
    </row>
    <row r="400" spans="1:7" ht="20.100000000000001" customHeight="1" x14ac:dyDescent="0.25">
      <c r="A400" s="3">
        <v>398</v>
      </c>
      <c r="B400" s="8">
        <v>3502</v>
      </c>
      <c r="C400" s="4" t="s">
        <v>1877</v>
      </c>
      <c r="D400" s="4" t="s">
        <v>1876</v>
      </c>
      <c r="E400" s="4" t="s">
        <v>1876</v>
      </c>
      <c r="F400" s="6">
        <v>35</v>
      </c>
      <c r="G400" s="16" t="str">
        <f t="shared" si="6"/>
        <v>(398,'3502','بودواو','Boudouaou','Boudouaou',35),</v>
      </c>
    </row>
    <row r="401" spans="1:7" ht="20.100000000000001" customHeight="1" x14ac:dyDescent="0.25">
      <c r="A401" s="3">
        <v>399</v>
      </c>
      <c r="B401" s="8">
        <v>3504</v>
      </c>
      <c r="C401" s="4" t="s">
        <v>1875</v>
      </c>
      <c r="D401" s="4" t="s">
        <v>1874</v>
      </c>
      <c r="E401" s="4" t="s">
        <v>1874</v>
      </c>
      <c r="F401" s="6">
        <v>35</v>
      </c>
      <c r="G401" s="16" t="str">
        <f t="shared" si="6"/>
        <v>(399,'3504','برج منايل','Bordj Menaiel','Bordj Menaiel',35),</v>
      </c>
    </row>
    <row r="402" spans="1:7" ht="20.100000000000001" customHeight="1" x14ac:dyDescent="0.25">
      <c r="A402" s="3">
        <v>400</v>
      </c>
      <c r="B402" s="8">
        <v>3505</v>
      </c>
      <c r="C402" s="4" t="s">
        <v>1873</v>
      </c>
      <c r="D402" s="4" t="s">
        <v>1872</v>
      </c>
      <c r="E402" s="4" t="s">
        <v>1872</v>
      </c>
      <c r="F402" s="6">
        <v>35</v>
      </c>
      <c r="G402" s="16" t="str">
        <f t="shared" si="6"/>
        <v>(400,'3505','بغلية','Baghlia','Baghlia',35),</v>
      </c>
    </row>
    <row r="403" spans="1:7" ht="20.100000000000001" customHeight="1" x14ac:dyDescent="0.25">
      <c r="A403" s="3">
        <v>401</v>
      </c>
      <c r="B403" s="8">
        <v>3507</v>
      </c>
      <c r="C403" s="4" t="s">
        <v>1883</v>
      </c>
      <c r="D403" s="4" t="s">
        <v>1882</v>
      </c>
      <c r="E403" s="4" t="s">
        <v>1882</v>
      </c>
      <c r="F403" s="6">
        <v>35</v>
      </c>
      <c r="G403" s="16" t="str">
        <f t="shared" si="6"/>
        <v>(401,'3507','الناصرية','Naciria','Naciria',35),</v>
      </c>
    </row>
    <row r="404" spans="1:7" ht="20.100000000000001" customHeight="1" x14ac:dyDescent="0.25">
      <c r="A404" s="3">
        <v>402</v>
      </c>
      <c r="B404" s="8">
        <v>3509</v>
      </c>
      <c r="C404" s="4" t="s">
        <v>1879</v>
      </c>
      <c r="D404" s="4" t="s">
        <v>1878</v>
      </c>
      <c r="E404" s="4" t="s">
        <v>1878</v>
      </c>
      <c r="F404" s="6">
        <v>35</v>
      </c>
      <c r="G404" s="16" t="str">
        <f t="shared" si="6"/>
        <v>(402,'3509','يسر','Isser','Isser',35),</v>
      </c>
    </row>
    <row r="405" spans="1:7" ht="20.100000000000001" customHeight="1" x14ac:dyDescent="0.25">
      <c r="A405" s="3">
        <v>403</v>
      </c>
      <c r="B405" s="8">
        <v>3514</v>
      </c>
      <c r="C405" s="4" t="s">
        <v>1871</v>
      </c>
      <c r="D405" s="4" t="s">
        <v>1870</v>
      </c>
      <c r="E405" s="4" t="s">
        <v>1870</v>
      </c>
      <c r="F405" s="6">
        <v>35</v>
      </c>
      <c r="G405" s="16" t="str">
        <f t="shared" si="6"/>
        <v>(403,'3514','الثنية','Thenia','Thenia',35),</v>
      </c>
    </row>
    <row r="406" spans="1:7" ht="20.100000000000001" customHeight="1" x14ac:dyDescent="0.25">
      <c r="A406" s="3">
        <v>404</v>
      </c>
      <c r="B406" s="8">
        <v>3523</v>
      </c>
      <c r="C406" s="4" t="s">
        <v>1869</v>
      </c>
      <c r="D406" s="4" t="s">
        <v>1868</v>
      </c>
      <c r="E406" s="4" t="s">
        <v>1868</v>
      </c>
      <c r="F406" s="6">
        <v>35</v>
      </c>
      <c r="G406" s="16" t="str">
        <f t="shared" si="6"/>
        <v>(404,'3523','دلس','Dellys','Dellys',35),</v>
      </c>
    </row>
    <row r="407" spans="1:7" ht="20.100000000000001" customHeight="1" x14ac:dyDescent="0.25">
      <c r="A407" s="3">
        <v>405</v>
      </c>
      <c r="B407" s="8">
        <v>3531</v>
      </c>
      <c r="C407" s="4" t="s">
        <v>1881</v>
      </c>
      <c r="D407" s="4" t="s">
        <v>1880</v>
      </c>
      <c r="E407" s="4" t="s">
        <v>1880</v>
      </c>
      <c r="F407" s="6">
        <v>35</v>
      </c>
      <c r="G407" s="16" t="str">
        <f t="shared" si="6"/>
        <v>(405,'3531','خميس الخشنة','Khemis El Khechna','Khemis El Khechna',35),</v>
      </c>
    </row>
    <row r="408" spans="1:7" ht="20.100000000000001" customHeight="1" x14ac:dyDescent="0.25">
      <c r="A408" s="3">
        <v>406</v>
      </c>
      <c r="B408" s="8">
        <v>3601</v>
      </c>
      <c r="C408" s="4" t="s">
        <v>1041</v>
      </c>
      <c r="D408" s="4" t="s">
        <v>1042</v>
      </c>
      <c r="E408" s="4" t="s">
        <v>1042</v>
      </c>
      <c r="F408" s="6">
        <v>36</v>
      </c>
      <c r="G408" s="16" t="str">
        <f t="shared" si="6"/>
        <v>(406,'3601','الطارف','El Tarf','El Tarf',36),</v>
      </c>
    </row>
    <row r="409" spans="1:7" ht="20.100000000000001" customHeight="1" x14ac:dyDescent="0.25">
      <c r="A409" s="3">
        <v>407</v>
      </c>
      <c r="B409" s="8">
        <v>3602</v>
      </c>
      <c r="C409" s="4" t="s">
        <v>1885</v>
      </c>
      <c r="D409" s="4" t="s">
        <v>1884</v>
      </c>
      <c r="E409" s="4" t="s">
        <v>1884</v>
      </c>
      <c r="F409" s="6">
        <v>36</v>
      </c>
      <c r="G409" s="16" t="str">
        <f t="shared" si="6"/>
        <v>(407,'3602','بوحجار','Bouhadjar','Bouhadjar',36),</v>
      </c>
    </row>
    <row r="410" spans="1:7" ht="20.100000000000001" customHeight="1" x14ac:dyDescent="0.25">
      <c r="A410" s="3">
        <v>408</v>
      </c>
      <c r="B410" s="8">
        <v>3603</v>
      </c>
      <c r="C410" s="4" t="s">
        <v>1889</v>
      </c>
      <c r="D410" s="4" t="s">
        <v>1888</v>
      </c>
      <c r="E410" s="4" t="s">
        <v>1888</v>
      </c>
      <c r="F410" s="6">
        <v>36</v>
      </c>
      <c r="G410" s="16" t="str">
        <f t="shared" si="6"/>
        <v>(408,'3603','بن مهيدي','Ben M'hidi','Ben M'hidi',36),</v>
      </c>
    </row>
    <row r="411" spans="1:7" ht="20.100000000000001" customHeight="1" x14ac:dyDescent="0.25">
      <c r="A411" s="3">
        <v>409</v>
      </c>
      <c r="B411" s="8">
        <v>3605</v>
      </c>
      <c r="C411" s="4" t="s">
        <v>1895</v>
      </c>
      <c r="D411" s="4" t="s">
        <v>1894</v>
      </c>
      <c r="E411" s="4" t="s">
        <v>1894</v>
      </c>
      <c r="F411" s="6">
        <v>36</v>
      </c>
      <c r="G411" s="16" t="str">
        <f t="shared" si="6"/>
        <v>(409,'3605','القالة','El Kala','El Kala',36),</v>
      </c>
    </row>
    <row r="412" spans="1:7" ht="20.100000000000001" customHeight="1" x14ac:dyDescent="0.25">
      <c r="A412" s="3">
        <v>410</v>
      </c>
      <c r="B412" s="8">
        <v>3608</v>
      </c>
      <c r="C412" s="4" t="s">
        <v>1891</v>
      </c>
      <c r="D412" s="4" t="s">
        <v>1890</v>
      </c>
      <c r="E412" s="4" t="s">
        <v>1890</v>
      </c>
      <c r="F412" s="6">
        <v>36</v>
      </c>
      <c r="G412" s="16" t="str">
        <f t="shared" si="6"/>
        <v>(410,'3608','بوثلجة','Bouteldja','Bouteldja',36),</v>
      </c>
    </row>
    <row r="413" spans="1:7" ht="20.100000000000001" customHeight="1" x14ac:dyDescent="0.25">
      <c r="A413" s="3">
        <v>411</v>
      </c>
      <c r="B413" s="8">
        <v>3613</v>
      </c>
      <c r="C413" s="4" t="s">
        <v>1893</v>
      </c>
      <c r="D413" s="4" t="s">
        <v>1892</v>
      </c>
      <c r="E413" s="4" t="s">
        <v>1892</v>
      </c>
      <c r="F413" s="6">
        <v>36</v>
      </c>
      <c r="G413" s="16" t="str">
        <f t="shared" si="6"/>
        <v>(411,'3613','الذرعان','Drean','Drean',36),</v>
      </c>
    </row>
    <row r="414" spans="1:7" ht="20.100000000000001" customHeight="1" x14ac:dyDescent="0.25">
      <c r="A414" s="3">
        <v>412</v>
      </c>
      <c r="B414" s="8">
        <v>3616</v>
      </c>
      <c r="C414" s="4" t="s">
        <v>1887</v>
      </c>
      <c r="D414" s="4" t="s">
        <v>1886</v>
      </c>
      <c r="E414" s="4" t="s">
        <v>1886</v>
      </c>
      <c r="F414" s="6">
        <v>36</v>
      </c>
      <c r="G414" s="16" t="str">
        <f t="shared" si="6"/>
        <v>(412,'3616','البسباس','Besbes','Besbes',36),</v>
      </c>
    </row>
    <row r="415" spans="1:7" ht="20.100000000000001" customHeight="1" x14ac:dyDescent="0.25">
      <c r="A415" s="3">
        <v>413</v>
      </c>
      <c r="B415" s="8">
        <v>3701</v>
      </c>
      <c r="C415" s="4" t="s">
        <v>1043</v>
      </c>
      <c r="D415" s="4" t="s">
        <v>1044</v>
      </c>
      <c r="E415" s="4" t="s">
        <v>1044</v>
      </c>
      <c r="F415" s="6">
        <v>37</v>
      </c>
      <c r="G415" s="16" t="str">
        <f t="shared" si="6"/>
        <v>(413,'3701','تندوف','Tindouf','Tindouf',37),</v>
      </c>
    </row>
    <row r="416" spans="1:7" ht="20.100000000000001" customHeight="1" x14ac:dyDescent="0.25">
      <c r="A416" s="3">
        <v>414</v>
      </c>
      <c r="B416" s="8">
        <v>3801</v>
      </c>
      <c r="C416" s="4" t="s">
        <v>1045</v>
      </c>
      <c r="D416" s="4" t="s">
        <v>1046</v>
      </c>
      <c r="E416" s="4" t="s">
        <v>1046</v>
      </c>
      <c r="F416" s="6">
        <v>38</v>
      </c>
      <c r="G416" s="16" t="str">
        <f t="shared" si="6"/>
        <v>(414,'3801','تيسمسيلت','Tissemsilt','Tissemsilt',38),</v>
      </c>
    </row>
    <row r="417" spans="1:7" ht="20.100000000000001" customHeight="1" x14ac:dyDescent="0.25">
      <c r="A417" s="3">
        <v>415</v>
      </c>
      <c r="B417" s="8">
        <v>3802</v>
      </c>
      <c r="C417" s="4" t="s">
        <v>1899</v>
      </c>
      <c r="D417" s="4" t="s">
        <v>1898</v>
      </c>
      <c r="E417" s="4" t="s">
        <v>1898</v>
      </c>
      <c r="F417" s="6">
        <v>38</v>
      </c>
      <c r="G417" s="16" t="str">
        <f t="shared" si="6"/>
        <v>(415,'3802','برج بونعامة','Bordj Bounaama','Bordj Bounaama',38),</v>
      </c>
    </row>
    <row r="418" spans="1:7" ht="20.100000000000001" customHeight="1" x14ac:dyDescent="0.25">
      <c r="A418" s="3">
        <v>416</v>
      </c>
      <c r="B418" s="8">
        <v>3803</v>
      </c>
      <c r="C418" s="4" t="s">
        <v>1909</v>
      </c>
      <c r="D418" s="4" t="s">
        <v>1908</v>
      </c>
      <c r="E418" s="4" t="s">
        <v>1908</v>
      </c>
      <c r="F418" s="6">
        <v>38</v>
      </c>
      <c r="G418" s="16" t="str">
        <f t="shared" si="6"/>
        <v>(416,'3803','ثنية الاحد','Theniet El Had','Theniet El Had',38),</v>
      </c>
    </row>
    <row r="419" spans="1:7" ht="20.100000000000001" customHeight="1" x14ac:dyDescent="0.25">
      <c r="A419" s="3">
        <v>417</v>
      </c>
      <c r="B419" s="8">
        <v>3804</v>
      </c>
      <c r="C419" s="4" t="s">
        <v>1903</v>
      </c>
      <c r="D419" s="4" t="s">
        <v>1902</v>
      </c>
      <c r="E419" s="4" t="s">
        <v>1902</v>
      </c>
      <c r="F419" s="6">
        <v>38</v>
      </c>
      <c r="G419" s="16" t="str">
        <f t="shared" si="6"/>
        <v>(417,'3804','الأزهرية','Lazharia','Lazharia',38),</v>
      </c>
    </row>
    <row r="420" spans="1:7" ht="20.100000000000001" customHeight="1" x14ac:dyDescent="0.25">
      <c r="A420" s="3">
        <v>418</v>
      </c>
      <c r="B420" s="8">
        <v>3806</v>
      </c>
      <c r="C420" s="4" t="s">
        <v>1907</v>
      </c>
      <c r="D420" s="4" t="s">
        <v>1906</v>
      </c>
      <c r="E420" s="4" t="s">
        <v>1906</v>
      </c>
      <c r="F420" s="6">
        <v>38</v>
      </c>
      <c r="G420" s="16" t="str">
        <f t="shared" si="6"/>
        <v>(418,'3806','لرجام','Lardjem','Lardjem',38),</v>
      </c>
    </row>
    <row r="421" spans="1:7" ht="20.100000000000001" customHeight="1" x14ac:dyDescent="0.25">
      <c r="A421" s="3">
        <v>419</v>
      </c>
      <c r="B421" s="8">
        <v>3809</v>
      </c>
      <c r="C421" s="4" t="s">
        <v>1901</v>
      </c>
      <c r="D421" s="4" t="s">
        <v>1900</v>
      </c>
      <c r="E421" s="4" t="s">
        <v>1900</v>
      </c>
      <c r="F421" s="6">
        <v>38</v>
      </c>
      <c r="G421" s="16" t="str">
        <f t="shared" si="6"/>
        <v>(419,'3809','برج الأمير عبد القادر','Bordj Emir Abdelkader','Bordj Emir Abdelkader',38),</v>
      </c>
    </row>
    <row r="422" spans="1:7" ht="20.100000000000001" customHeight="1" x14ac:dyDescent="0.25">
      <c r="A422" s="3">
        <v>420</v>
      </c>
      <c r="B422" s="8">
        <v>3811</v>
      </c>
      <c r="C422" s="4" t="s">
        <v>1905</v>
      </c>
      <c r="D422" s="4" t="s">
        <v>1904</v>
      </c>
      <c r="E422" s="4" t="s">
        <v>1904</v>
      </c>
      <c r="F422" s="6">
        <v>38</v>
      </c>
      <c r="G422" s="16" t="str">
        <f t="shared" si="6"/>
        <v>(420,'3811','خميستي','Khemisti','Khemisti',38),</v>
      </c>
    </row>
    <row r="423" spans="1:7" ht="20.100000000000001" customHeight="1" x14ac:dyDescent="0.25">
      <c r="A423" s="3">
        <v>421</v>
      </c>
      <c r="B423" s="8">
        <v>3813</v>
      </c>
      <c r="C423" s="4" t="s">
        <v>1897</v>
      </c>
      <c r="D423" s="4" t="s">
        <v>1896</v>
      </c>
      <c r="E423" s="4" t="s">
        <v>1896</v>
      </c>
      <c r="F423" s="6">
        <v>38</v>
      </c>
      <c r="G423" s="16" t="str">
        <f t="shared" si="6"/>
        <v>(421,'3813','عماري','Ammari','Ammari',38),</v>
      </c>
    </row>
    <row r="424" spans="1:7" ht="20.100000000000001" customHeight="1" x14ac:dyDescent="0.25">
      <c r="A424" s="3">
        <v>422</v>
      </c>
      <c r="B424" s="8">
        <v>3901</v>
      </c>
      <c r="C424" s="4" t="s">
        <v>1047</v>
      </c>
      <c r="D424" s="4" t="s">
        <v>1048</v>
      </c>
      <c r="E424" s="4" t="s">
        <v>1048</v>
      </c>
      <c r="F424" s="6">
        <v>39</v>
      </c>
      <c r="G424" s="16" t="str">
        <f t="shared" si="6"/>
        <v>(422,'3901','الوادي','El Oued','El Oued',39),</v>
      </c>
    </row>
    <row r="425" spans="1:7" ht="20.100000000000001" customHeight="1" x14ac:dyDescent="0.25">
      <c r="A425" s="3">
        <v>423</v>
      </c>
      <c r="B425" s="8">
        <v>3902</v>
      </c>
      <c r="C425" s="4" t="s">
        <v>1919</v>
      </c>
      <c r="D425" s="4" t="s">
        <v>1918</v>
      </c>
      <c r="E425" s="4" t="s">
        <v>1918</v>
      </c>
      <c r="F425" s="6">
        <v>39</v>
      </c>
      <c r="G425" s="16" t="str">
        <f t="shared" si="6"/>
        <v>(423,'3902','الرباح','Robbah','Robbah',39),</v>
      </c>
    </row>
    <row r="426" spans="1:7" ht="20.100000000000001" customHeight="1" x14ac:dyDescent="0.25">
      <c r="A426" s="3">
        <v>424</v>
      </c>
      <c r="B426" s="8">
        <v>3904</v>
      </c>
      <c r="C426" s="4" t="s">
        <v>1911</v>
      </c>
      <c r="D426" s="4" t="s">
        <v>1910</v>
      </c>
      <c r="E426" s="4" t="s">
        <v>1910</v>
      </c>
      <c r="F426" s="6">
        <v>39</v>
      </c>
      <c r="G426" s="16" t="str">
        <f t="shared" si="6"/>
        <v>(424,'3904','البياضة','Bayadha','Bayadha',39),</v>
      </c>
    </row>
    <row r="427" spans="1:7" ht="20.100000000000001" customHeight="1" x14ac:dyDescent="0.25">
      <c r="A427" s="3">
        <v>425</v>
      </c>
      <c r="B427" s="8">
        <v>3906</v>
      </c>
      <c r="C427" s="4" t="s">
        <v>1922</v>
      </c>
      <c r="D427" s="4" t="s">
        <v>1921</v>
      </c>
      <c r="E427" s="4" t="s">
        <v>1921</v>
      </c>
      <c r="F427" s="6">
        <v>39</v>
      </c>
      <c r="G427" s="16" t="str">
        <f t="shared" si="6"/>
        <v>(425,'3906','قمار','Guemar','Guemar',39),</v>
      </c>
    </row>
    <row r="428" spans="1:7" ht="20.100000000000001" customHeight="1" x14ac:dyDescent="0.25">
      <c r="A428" s="3">
        <v>426</v>
      </c>
      <c r="B428" s="8">
        <v>3908</v>
      </c>
      <c r="C428" s="4" t="s">
        <v>1924</v>
      </c>
      <c r="D428" s="4" t="s">
        <v>1923</v>
      </c>
      <c r="E428" s="4" t="s">
        <v>1923</v>
      </c>
      <c r="F428" s="6">
        <v>39</v>
      </c>
      <c r="G428" s="16" t="str">
        <f t="shared" si="6"/>
        <v>(426,'3908','الرقيبة','Reguiba','Reguiba',39),</v>
      </c>
    </row>
    <row r="429" spans="1:7" ht="20.100000000000001" customHeight="1" x14ac:dyDescent="0.25">
      <c r="A429" s="3">
        <v>427</v>
      </c>
      <c r="B429" s="8">
        <v>3911</v>
      </c>
      <c r="C429" s="4" t="s">
        <v>1915</v>
      </c>
      <c r="D429" s="4" t="s">
        <v>1914</v>
      </c>
      <c r="E429" s="4" t="s">
        <v>1914</v>
      </c>
      <c r="F429" s="6">
        <v>39</v>
      </c>
      <c r="G429" s="16" t="str">
        <f t="shared" si="6"/>
        <v>(427,'3911','الدبيلة','Debila','Debila',39),</v>
      </c>
    </row>
    <row r="430" spans="1:7" ht="20.100000000000001" customHeight="1" x14ac:dyDescent="0.25">
      <c r="A430" s="3">
        <v>428</v>
      </c>
      <c r="B430" s="8">
        <v>3913</v>
      </c>
      <c r="C430" s="4" t="s">
        <v>1926</v>
      </c>
      <c r="D430" s="4" t="s">
        <v>1925</v>
      </c>
      <c r="E430" s="4" t="s">
        <v>1925</v>
      </c>
      <c r="F430" s="6">
        <v>39</v>
      </c>
      <c r="G430" s="16" t="str">
        <f t="shared" si="6"/>
        <v>(428,'3913','حاسي خليفة','Hassi Khalifa','Hassi Khalifa',39),</v>
      </c>
    </row>
    <row r="431" spans="1:7" ht="20.100000000000001" customHeight="1" x14ac:dyDescent="0.25">
      <c r="A431" s="3">
        <v>429</v>
      </c>
      <c r="B431" s="8">
        <v>3914</v>
      </c>
      <c r="C431" s="4" t="s">
        <v>1913</v>
      </c>
      <c r="D431" s="4" t="s">
        <v>1912</v>
      </c>
      <c r="E431" s="4" t="s">
        <v>1912</v>
      </c>
      <c r="F431" s="6">
        <v>39</v>
      </c>
      <c r="G431" s="16" t="str">
        <f t="shared" si="6"/>
        <v>(429,'3914','الطالب العربي','Taleb Larbi','Taleb Larbi',39),</v>
      </c>
    </row>
    <row r="432" spans="1:7" ht="20.100000000000001" customHeight="1" x14ac:dyDescent="0.25">
      <c r="A432" s="3">
        <v>430</v>
      </c>
      <c r="B432" s="8">
        <v>3918</v>
      </c>
      <c r="C432" s="4" t="s">
        <v>1928</v>
      </c>
      <c r="D432" s="4" t="s">
        <v>1927</v>
      </c>
      <c r="E432" s="4" t="s">
        <v>1927</v>
      </c>
      <c r="F432" s="6">
        <v>39</v>
      </c>
      <c r="G432" s="16" t="str">
        <f t="shared" si="6"/>
        <v>(430,'3918','المقرن','Magrane','Magrane',39),</v>
      </c>
    </row>
    <row r="433" spans="1:7" ht="20.100000000000001" customHeight="1" x14ac:dyDescent="0.25">
      <c r="A433" s="3">
        <v>431</v>
      </c>
      <c r="B433" s="8">
        <v>3926</v>
      </c>
      <c r="C433" s="4" t="s">
        <v>1930</v>
      </c>
      <c r="D433" s="4" t="s">
        <v>1929</v>
      </c>
      <c r="E433" s="4" t="s">
        <v>1929</v>
      </c>
      <c r="F433" s="6">
        <v>39</v>
      </c>
      <c r="G433" s="16" t="str">
        <f t="shared" si="6"/>
        <v>(431,'3926','اميه وانسة','Mih Ouensa','Mih Ouensa',39),</v>
      </c>
    </row>
    <row r="434" spans="1:7" ht="20.100000000000001" customHeight="1" x14ac:dyDescent="0.25">
      <c r="A434" s="3">
        <v>432</v>
      </c>
      <c r="B434" s="8">
        <v>4001</v>
      </c>
      <c r="C434" s="4" t="s">
        <v>1049</v>
      </c>
      <c r="D434" s="4" t="s">
        <v>1050</v>
      </c>
      <c r="E434" s="4" t="s">
        <v>1050</v>
      </c>
      <c r="F434" s="6">
        <v>40</v>
      </c>
      <c r="G434" s="16" t="str">
        <f t="shared" si="6"/>
        <v>(432,'4001','خنشلة','Khenchela','Khenchela',40),</v>
      </c>
    </row>
    <row r="435" spans="1:7" ht="20.100000000000001" customHeight="1" x14ac:dyDescent="0.25">
      <c r="A435" s="3">
        <v>433</v>
      </c>
      <c r="B435" s="8">
        <v>4003</v>
      </c>
      <c r="C435" s="4" t="s">
        <v>1944</v>
      </c>
      <c r="D435" s="4" t="s">
        <v>1943</v>
      </c>
      <c r="E435" s="4" t="s">
        <v>1943</v>
      </c>
      <c r="F435" s="6">
        <v>40</v>
      </c>
      <c r="G435" s="16" t="str">
        <f t="shared" si="6"/>
        <v>(433,'4003','قايس','Kais','Kais',40),</v>
      </c>
    </row>
    <row r="436" spans="1:7" ht="20.100000000000001" customHeight="1" x14ac:dyDescent="0.25">
      <c r="A436" s="3">
        <v>434</v>
      </c>
      <c r="B436" s="8">
        <v>4005</v>
      </c>
      <c r="C436" s="4" t="s">
        <v>1936</v>
      </c>
      <c r="D436" s="4" t="s">
        <v>1935</v>
      </c>
      <c r="E436" s="4" t="s">
        <v>1935</v>
      </c>
      <c r="F436" s="6">
        <v>40</v>
      </c>
      <c r="G436" s="16" t="str">
        <f t="shared" si="6"/>
        <v>(434,'4005','الحامة','El Hamma','El Hamma',40),</v>
      </c>
    </row>
    <row r="437" spans="1:7" ht="20.100000000000001" customHeight="1" x14ac:dyDescent="0.25">
      <c r="A437" s="3">
        <v>435</v>
      </c>
      <c r="B437" s="8">
        <v>4006</v>
      </c>
      <c r="C437" s="4" t="s">
        <v>1932</v>
      </c>
      <c r="D437" s="4" t="s">
        <v>1931</v>
      </c>
      <c r="E437" s="4" t="s">
        <v>1931</v>
      </c>
      <c r="F437" s="6">
        <v>40</v>
      </c>
      <c r="G437" s="16" t="str">
        <f t="shared" si="6"/>
        <v>(435,'4006','عين الطويلة','Ain Touila','Ain Touila',40),</v>
      </c>
    </row>
    <row r="438" spans="1:7" ht="20.100000000000001" customHeight="1" x14ac:dyDescent="0.25">
      <c r="A438" s="3">
        <v>436</v>
      </c>
      <c r="B438" s="8">
        <v>4008</v>
      </c>
      <c r="C438" s="4" t="s">
        <v>1938</v>
      </c>
      <c r="D438" s="4" t="s">
        <v>1937</v>
      </c>
      <c r="E438" s="4" t="s">
        <v>1937</v>
      </c>
      <c r="F438" s="6">
        <v>40</v>
      </c>
      <c r="G438" s="16" t="str">
        <f t="shared" si="6"/>
        <v>(436,'4008','بوحمامة','Bouhmama','Bouhmama',40),</v>
      </c>
    </row>
    <row r="439" spans="1:7" ht="20.100000000000001" customHeight="1" x14ac:dyDescent="0.25">
      <c r="A439" s="3">
        <v>437</v>
      </c>
      <c r="B439" s="8">
        <v>4011</v>
      </c>
      <c r="C439" s="4" t="s">
        <v>1940</v>
      </c>
      <c r="D439" s="4" t="s">
        <v>1939</v>
      </c>
      <c r="E439" s="4" t="s">
        <v>1939</v>
      </c>
      <c r="F439" s="6">
        <v>40</v>
      </c>
      <c r="G439" s="16" t="str">
        <f t="shared" si="6"/>
        <v>(437,'4011','ششار','Chechar','Chechar',40),</v>
      </c>
    </row>
    <row r="440" spans="1:7" ht="20.100000000000001" customHeight="1" x14ac:dyDescent="0.25">
      <c r="A440" s="3">
        <v>438</v>
      </c>
      <c r="B440" s="8">
        <v>4013</v>
      </c>
      <c r="C440" s="4" t="s">
        <v>1934</v>
      </c>
      <c r="D440" s="4" t="s">
        <v>1933</v>
      </c>
      <c r="E440" s="4" t="s">
        <v>1933</v>
      </c>
      <c r="F440" s="6">
        <v>40</v>
      </c>
      <c r="G440" s="16" t="str">
        <f t="shared" si="6"/>
        <v>(438,'4013','بابار','Babar','Babar',40),</v>
      </c>
    </row>
    <row r="441" spans="1:7" ht="20.100000000000001" customHeight="1" x14ac:dyDescent="0.25">
      <c r="A441" s="3">
        <v>439</v>
      </c>
      <c r="B441" s="8">
        <v>4016</v>
      </c>
      <c r="C441" s="4" t="s">
        <v>1942</v>
      </c>
      <c r="D441" s="4" t="s">
        <v>1941</v>
      </c>
      <c r="E441" s="4" t="s">
        <v>1941</v>
      </c>
      <c r="F441" s="6">
        <v>40</v>
      </c>
      <c r="G441" s="16" t="str">
        <f t="shared" si="6"/>
        <v>(439,'4016','أولاد رشاش','Ouled Rechache','Ouled Rechache',40),</v>
      </c>
    </row>
    <row r="442" spans="1:7" ht="20.100000000000001" customHeight="1" x14ac:dyDescent="0.25">
      <c r="A442" s="3">
        <v>440</v>
      </c>
      <c r="B442" s="8">
        <v>4101</v>
      </c>
      <c r="C442" s="4" t="s">
        <v>1051</v>
      </c>
      <c r="D442" s="4" t="s">
        <v>1052</v>
      </c>
      <c r="E442" s="4" t="s">
        <v>1052</v>
      </c>
      <c r="F442" s="6">
        <v>41</v>
      </c>
      <c r="G442" s="16" t="str">
        <f t="shared" si="6"/>
        <v>(440,'4101','سوق أهراس','Souk Ahras','Souk Ahras',41),</v>
      </c>
    </row>
    <row r="443" spans="1:7" ht="20.100000000000001" customHeight="1" x14ac:dyDescent="0.25">
      <c r="A443" s="3">
        <v>441</v>
      </c>
      <c r="B443" s="8">
        <v>4102</v>
      </c>
      <c r="C443" s="4" t="s">
        <v>1946</v>
      </c>
      <c r="D443" s="4" t="s">
        <v>1945</v>
      </c>
      <c r="E443" s="4" t="s">
        <v>1945</v>
      </c>
      <c r="F443" s="6">
        <v>41</v>
      </c>
      <c r="G443" s="16" t="str">
        <f t="shared" si="6"/>
        <v>(441,'4102','سدراتة','Sedrata','Sedrata',41),</v>
      </c>
    </row>
    <row r="444" spans="1:7" ht="20.100000000000001" customHeight="1" x14ac:dyDescent="0.25">
      <c r="A444" s="3">
        <v>442</v>
      </c>
      <c r="B444" s="8">
        <v>4104</v>
      </c>
      <c r="C444" s="4" t="s">
        <v>1956</v>
      </c>
      <c r="D444" s="4" t="s">
        <v>1955</v>
      </c>
      <c r="E444" s="4" t="s">
        <v>1955</v>
      </c>
      <c r="F444" s="6">
        <v>41</v>
      </c>
      <c r="G444" s="16" t="str">
        <f t="shared" si="6"/>
        <v>(442,'4104','المشروحة','Mechroha','Mechroha',41),</v>
      </c>
    </row>
    <row r="445" spans="1:7" ht="20.100000000000001" customHeight="1" x14ac:dyDescent="0.25">
      <c r="A445" s="3">
        <v>443</v>
      </c>
      <c r="B445" s="8">
        <v>4105</v>
      </c>
      <c r="C445" s="4" t="s">
        <v>1948</v>
      </c>
      <c r="D445" s="4" t="s">
        <v>1947</v>
      </c>
      <c r="E445" s="4" t="s">
        <v>1947</v>
      </c>
      <c r="F445" s="6">
        <v>41</v>
      </c>
      <c r="G445" s="16" t="str">
        <f t="shared" si="6"/>
        <v>(443,'4105','أولاد إدريس','Ouled Driss','Ouled Driss',41),</v>
      </c>
    </row>
    <row r="446" spans="1:7" ht="20.100000000000001" customHeight="1" x14ac:dyDescent="0.25">
      <c r="A446" s="3">
        <v>444</v>
      </c>
      <c r="B446" s="8">
        <v>4108</v>
      </c>
      <c r="C446" s="4" t="s">
        <v>1952</v>
      </c>
      <c r="D446" s="4" t="s">
        <v>1951</v>
      </c>
      <c r="E446" s="4" t="s">
        <v>1951</v>
      </c>
      <c r="F446" s="6">
        <v>41</v>
      </c>
      <c r="G446" s="16" t="str">
        <f t="shared" si="6"/>
        <v>(444,'4108','تاورة','Taoura','Taoura',41),</v>
      </c>
    </row>
    <row r="447" spans="1:7" ht="20.100000000000001" customHeight="1" x14ac:dyDescent="0.25">
      <c r="A447" s="3">
        <v>445</v>
      </c>
      <c r="B447" s="8">
        <v>4110</v>
      </c>
      <c r="C447" s="4" t="s">
        <v>1954</v>
      </c>
      <c r="D447" s="4" t="s">
        <v>1953</v>
      </c>
      <c r="E447" s="4" t="s">
        <v>1953</v>
      </c>
      <c r="F447" s="6">
        <v>41</v>
      </c>
      <c r="G447" s="16" t="str">
        <f t="shared" si="6"/>
        <v>(445,'4110','الحدادة','Haddada','Haddada',41),</v>
      </c>
    </row>
    <row r="448" spans="1:7" ht="20.100000000000001" customHeight="1" x14ac:dyDescent="0.25">
      <c r="A448" s="3">
        <v>446</v>
      </c>
      <c r="B448" s="8">
        <v>4112</v>
      </c>
      <c r="C448" s="4" t="s">
        <v>1960</v>
      </c>
      <c r="D448" s="4" t="s">
        <v>1959</v>
      </c>
      <c r="E448" s="4" t="s">
        <v>1959</v>
      </c>
      <c r="F448" s="6">
        <v>41</v>
      </c>
      <c r="G448" s="16" t="str">
        <f t="shared" si="6"/>
        <v>(446,'4112','المراهنة','Merahna','Merahna',41),</v>
      </c>
    </row>
    <row r="449" spans="1:7" ht="20.100000000000001" customHeight="1" x14ac:dyDescent="0.25">
      <c r="A449" s="3">
        <v>447</v>
      </c>
      <c r="B449" s="8">
        <v>4114</v>
      </c>
      <c r="C449" s="4" t="s">
        <v>1950</v>
      </c>
      <c r="D449" s="4" t="s">
        <v>1949</v>
      </c>
      <c r="E449" s="4" t="s">
        <v>1949</v>
      </c>
      <c r="F449" s="6">
        <v>41</v>
      </c>
      <c r="G449" s="16" t="str">
        <f t="shared" si="6"/>
        <v>(447,'4114','بئر بوحوش','Bir Bouhouche','Bir Bouhouche',41),</v>
      </c>
    </row>
    <row r="450" spans="1:7" ht="20.100000000000001" customHeight="1" x14ac:dyDescent="0.25">
      <c r="A450" s="3">
        <v>448</v>
      </c>
      <c r="B450" s="8">
        <v>4115</v>
      </c>
      <c r="C450" s="4" t="s">
        <v>1958</v>
      </c>
      <c r="D450" s="4" t="s">
        <v>1957</v>
      </c>
      <c r="E450" s="4" t="s">
        <v>1957</v>
      </c>
      <c r="F450" s="6">
        <v>41</v>
      </c>
      <c r="G450" s="16" t="str">
        <f t="shared" si="6"/>
        <v>(448,'4115','مداوروش','M'daourouche','M'daourouche',41),</v>
      </c>
    </row>
    <row r="451" spans="1:7" ht="20.100000000000001" customHeight="1" x14ac:dyDescent="0.25">
      <c r="A451" s="3">
        <v>449</v>
      </c>
      <c r="B451" s="8">
        <v>4116</v>
      </c>
      <c r="C451" s="4" t="s">
        <v>1962</v>
      </c>
      <c r="D451" s="4" t="s">
        <v>1961</v>
      </c>
      <c r="E451" s="4" t="s">
        <v>1961</v>
      </c>
      <c r="F451" s="6">
        <v>41</v>
      </c>
      <c r="G451" s="16" t="str">
        <f t="shared" si="6"/>
        <v>(449,'4116','أم العظايم','Oum El Adhaim','Oum El Adhaim',41),</v>
      </c>
    </row>
    <row r="452" spans="1:7" ht="20.100000000000001" customHeight="1" x14ac:dyDescent="0.25">
      <c r="A452" s="3">
        <v>450</v>
      </c>
      <c r="B452" s="8">
        <v>4201</v>
      </c>
      <c r="C452" s="4" t="s">
        <v>1053</v>
      </c>
      <c r="D452" s="4" t="s">
        <v>1054</v>
      </c>
      <c r="E452" s="4" t="s">
        <v>1054</v>
      </c>
      <c r="F452" s="6">
        <v>42</v>
      </c>
      <c r="G452" s="16" t="str">
        <f t="shared" ref="G452:G515" si="7">CONCATENATE("(",A452,",'",B452,"','",C452,"','",D452,"','",E452,"',",F452,"),")</f>
        <v>(450,'4201','تيبازة','Tipaza','Tipaza',42),</v>
      </c>
    </row>
    <row r="453" spans="1:7" ht="20.100000000000001" customHeight="1" x14ac:dyDescent="0.25">
      <c r="A453" s="3">
        <v>451</v>
      </c>
      <c r="B453" s="8">
        <v>4208</v>
      </c>
      <c r="C453" s="4" t="s">
        <v>1978</v>
      </c>
      <c r="D453" s="4" t="s">
        <v>1977</v>
      </c>
      <c r="E453" s="4" t="s">
        <v>1977</v>
      </c>
      <c r="F453" s="6">
        <v>42</v>
      </c>
      <c r="G453" s="16" t="str">
        <f t="shared" si="7"/>
        <v>(451,'4208','حجوط','Hadjout','Hadjout',42),</v>
      </c>
    </row>
    <row r="454" spans="1:7" ht="20.100000000000001" customHeight="1" x14ac:dyDescent="0.25">
      <c r="A454" s="3">
        <v>452</v>
      </c>
      <c r="B454" s="8">
        <v>4209</v>
      </c>
      <c r="C454" s="4" t="s">
        <v>1980</v>
      </c>
      <c r="D454" s="4" t="s">
        <v>1979</v>
      </c>
      <c r="E454" s="4" t="s">
        <v>1979</v>
      </c>
      <c r="F454" s="6">
        <v>42</v>
      </c>
      <c r="G454" s="16" t="str">
        <f t="shared" si="7"/>
        <v>(452,'4209','سيدي أعمر','Sidi Amar','Sidi Amar',42),</v>
      </c>
    </row>
    <row r="455" spans="1:7" ht="20.100000000000001" customHeight="1" x14ac:dyDescent="0.25">
      <c r="A455" s="3">
        <v>453</v>
      </c>
      <c r="B455" s="8">
        <v>4210</v>
      </c>
      <c r="C455" s="4" t="s">
        <v>1964</v>
      </c>
      <c r="D455" s="4" t="s">
        <v>1963</v>
      </c>
      <c r="E455" s="4" t="s">
        <v>1963</v>
      </c>
      <c r="F455" s="6">
        <v>42</v>
      </c>
      <c r="G455" s="16" t="str">
        <f t="shared" si="7"/>
        <v>(453,'4210','قوراية','Gouraya','Gouraya',42),</v>
      </c>
    </row>
    <row r="456" spans="1:7" ht="20.100000000000001" customHeight="1" x14ac:dyDescent="0.25">
      <c r="A456" s="3">
        <v>454</v>
      </c>
      <c r="B456" s="8">
        <v>4214</v>
      </c>
      <c r="C456" s="4" t="s">
        <v>1974</v>
      </c>
      <c r="D456" s="4" t="s">
        <v>1973</v>
      </c>
      <c r="E456" s="4" t="s">
        <v>1973</v>
      </c>
      <c r="F456" s="6">
        <v>42</v>
      </c>
      <c r="G456" s="16" t="str">
        <f t="shared" si="7"/>
        <v>(454,'4214','شرشال','Cherchell','Cherchell',42),</v>
      </c>
    </row>
    <row r="457" spans="1:7" ht="20.100000000000001" customHeight="1" x14ac:dyDescent="0.25">
      <c r="A457" s="3">
        <v>455</v>
      </c>
      <c r="B457" s="8">
        <v>4215</v>
      </c>
      <c r="C457" s="4" t="s">
        <v>1972</v>
      </c>
      <c r="D457" s="4" t="s">
        <v>1971</v>
      </c>
      <c r="E457" s="4" t="s">
        <v>1971</v>
      </c>
      <c r="F457" s="6">
        <v>42</v>
      </c>
      <c r="G457" s="16" t="str">
        <f t="shared" si="7"/>
        <v>(455,'4215','الداموس','Damous','Damous',42),</v>
      </c>
    </row>
    <row r="458" spans="1:7" ht="20.100000000000001" customHeight="1" x14ac:dyDescent="0.25">
      <c r="A458" s="3">
        <v>456</v>
      </c>
      <c r="B458" s="8">
        <v>4217</v>
      </c>
      <c r="C458" s="4" t="s">
        <v>1976</v>
      </c>
      <c r="D458" s="4" t="s">
        <v>1975</v>
      </c>
      <c r="E458" s="4" t="s">
        <v>1975</v>
      </c>
      <c r="F458" s="6">
        <v>42</v>
      </c>
      <c r="G458" s="16" t="str">
        <f t="shared" si="7"/>
        <v>(456,'4217','فوكة','Fouka','Fouka',42),</v>
      </c>
    </row>
    <row r="459" spans="1:7" ht="20.100000000000001" customHeight="1" x14ac:dyDescent="0.25">
      <c r="A459" s="3">
        <v>457</v>
      </c>
      <c r="B459" s="8">
        <v>4218</v>
      </c>
      <c r="C459" s="4" t="s">
        <v>1968</v>
      </c>
      <c r="D459" s="4" t="s">
        <v>1967</v>
      </c>
      <c r="E459" s="4" t="s">
        <v>1967</v>
      </c>
      <c r="F459" s="6">
        <v>42</v>
      </c>
      <c r="G459" s="16" t="str">
        <f t="shared" si="7"/>
        <v>(457,'4218','بواسماعيل','Bou Ismail','Bou Ismail',42),</v>
      </c>
    </row>
    <row r="460" spans="1:7" ht="20.100000000000001" customHeight="1" x14ac:dyDescent="0.25">
      <c r="A460" s="3">
        <v>458</v>
      </c>
      <c r="B460" s="8">
        <v>4219</v>
      </c>
      <c r="C460" s="4" t="s">
        <v>1966</v>
      </c>
      <c r="D460" s="4" t="s">
        <v>1965</v>
      </c>
      <c r="E460" s="4" t="s">
        <v>1965</v>
      </c>
      <c r="F460" s="6">
        <v>42</v>
      </c>
      <c r="G460" s="16" t="str">
        <f t="shared" si="7"/>
        <v>(458,'4219','أحمر العين','Ahmar El Ain','Ahmar El Ain',42),</v>
      </c>
    </row>
    <row r="461" spans="1:7" ht="20.100000000000001" customHeight="1" x14ac:dyDescent="0.25">
      <c r="A461" s="3">
        <v>459</v>
      </c>
      <c r="B461" s="8">
        <v>4224</v>
      </c>
      <c r="C461" s="4" t="s">
        <v>1970</v>
      </c>
      <c r="D461" s="4" t="s">
        <v>1969</v>
      </c>
      <c r="E461" s="4" t="s">
        <v>1969</v>
      </c>
      <c r="F461" s="6">
        <v>42</v>
      </c>
      <c r="G461" s="16" t="str">
        <f t="shared" si="7"/>
        <v>(459,'4224','القليعة','Kolea','Kolea',42),</v>
      </c>
    </row>
    <row r="462" spans="1:7" ht="20.100000000000001" customHeight="1" x14ac:dyDescent="0.25">
      <c r="A462" s="3">
        <v>460</v>
      </c>
      <c r="B462" s="8">
        <v>4301</v>
      </c>
      <c r="C462" s="4" t="s">
        <v>1055</v>
      </c>
      <c r="D462" s="4" t="s">
        <v>1056</v>
      </c>
      <c r="E462" s="4" t="s">
        <v>1056</v>
      </c>
      <c r="F462" s="6">
        <v>43</v>
      </c>
      <c r="G462" s="16" t="str">
        <f t="shared" si="7"/>
        <v>(460,'4301','ميلة','Mila','Mila',43),</v>
      </c>
    </row>
    <row r="463" spans="1:7" ht="20.100000000000001" customHeight="1" x14ac:dyDescent="0.25">
      <c r="A463" s="3">
        <v>461</v>
      </c>
      <c r="B463" s="8">
        <v>4302</v>
      </c>
      <c r="C463" s="4" t="s">
        <v>1998</v>
      </c>
      <c r="D463" s="4" t="s">
        <v>1997</v>
      </c>
      <c r="E463" s="4" t="s">
        <v>1997</v>
      </c>
      <c r="F463" s="6">
        <v>43</v>
      </c>
      <c r="G463" s="16" t="str">
        <f t="shared" si="7"/>
        <v>(461,'4302','فرجيوة','Ferdjioua','Ferdjioua',43),</v>
      </c>
    </row>
    <row r="464" spans="1:7" ht="20.100000000000001" customHeight="1" x14ac:dyDescent="0.25">
      <c r="A464" s="3">
        <v>462</v>
      </c>
      <c r="B464" s="8">
        <v>4303</v>
      </c>
      <c r="C464" s="4" t="s">
        <v>1986</v>
      </c>
      <c r="D464" s="4" t="s">
        <v>1985</v>
      </c>
      <c r="E464" s="4" t="s">
        <v>1985</v>
      </c>
      <c r="F464" s="6">
        <v>43</v>
      </c>
      <c r="G464" s="16" t="str">
        <f t="shared" si="7"/>
        <v>(462,'4303','شلغوم العيد','Chelghoum Laid','Chelghoum Laid',43),</v>
      </c>
    </row>
    <row r="465" spans="1:7" ht="20.100000000000001" customHeight="1" x14ac:dyDescent="0.25">
      <c r="A465" s="3">
        <v>463</v>
      </c>
      <c r="B465" s="8">
        <v>4306</v>
      </c>
      <c r="C465" s="4" t="s">
        <v>1996</v>
      </c>
      <c r="D465" s="4" t="s">
        <v>1995</v>
      </c>
      <c r="E465" s="4" t="s">
        <v>1995</v>
      </c>
      <c r="F465" s="6">
        <v>43</v>
      </c>
      <c r="G465" s="16" t="str">
        <f t="shared" si="7"/>
        <v>(463,'4306','التلاغمة','Teleghma','Teleghma',43),</v>
      </c>
    </row>
    <row r="466" spans="1:7" ht="20.100000000000001" customHeight="1" x14ac:dyDescent="0.25">
      <c r="A466" s="3">
        <v>464</v>
      </c>
      <c r="B466" s="8">
        <v>4308</v>
      </c>
      <c r="C466" s="4" t="s">
        <v>1990</v>
      </c>
      <c r="D466" s="4" t="s">
        <v>1989</v>
      </c>
      <c r="E466" s="4" t="s">
        <v>1989</v>
      </c>
      <c r="F466" s="6">
        <v>43</v>
      </c>
      <c r="G466" s="16" t="str">
        <f t="shared" si="7"/>
        <v>(464,'4308','تاجنانت','Tadjenanet','Tadjenanet',43),</v>
      </c>
    </row>
    <row r="467" spans="1:7" ht="20.100000000000001" customHeight="1" x14ac:dyDescent="0.25">
      <c r="A467" s="3">
        <v>465</v>
      </c>
      <c r="B467" s="8">
        <v>4310</v>
      </c>
      <c r="C467" s="4" t="s">
        <v>1982</v>
      </c>
      <c r="D467" s="4" t="s">
        <v>1981</v>
      </c>
      <c r="E467" s="4" t="s">
        <v>1981</v>
      </c>
      <c r="F467" s="6">
        <v>43</v>
      </c>
      <c r="G467" s="16" t="str">
        <f t="shared" si="7"/>
        <v>(465,'4310','وادي النجاء','Oued Endja','Oued Endja',43),</v>
      </c>
    </row>
    <row r="468" spans="1:7" ht="20.100000000000001" customHeight="1" x14ac:dyDescent="0.25">
      <c r="A468" s="3">
        <v>466</v>
      </c>
      <c r="B468" s="8">
        <v>4314</v>
      </c>
      <c r="C468" s="4" t="s">
        <v>1992</v>
      </c>
      <c r="D468" s="4" t="s">
        <v>1991</v>
      </c>
      <c r="E468" s="4" t="s">
        <v>1991</v>
      </c>
      <c r="F468" s="6">
        <v>43</v>
      </c>
      <c r="G468" s="16" t="str">
        <f t="shared" si="7"/>
        <v>(466,'4314','بوحاتم','Bouhatem','Bouhatem',43),</v>
      </c>
    </row>
    <row r="469" spans="1:7" ht="20.100000000000001" customHeight="1" x14ac:dyDescent="0.25">
      <c r="A469" s="3">
        <v>467</v>
      </c>
      <c r="B469" s="8">
        <v>4315</v>
      </c>
      <c r="C469" s="4" t="s">
        <v>2004</v>
      </c>
      <c r="D469" s="4" t="s">
        <v>2003</v>
      </c>
      <c r="E469" s="4" t="s">
        <v>2003</v>
      </c>
      <c r="F469" s="6">
        <v>43</v>
      </c>
      <c r="G469" s="16" t="str">
        <f t="shared" si="7"/>
        <v>(467,'4315','الرواشد','Rouached','Rouached',43),</v>
      </c>
    </row>
    <row r="470" spans="1:7" ht="20.100000000000001" customHeight="1" x14ac:dyDescent="0.25">
      <c r="A470" s="3">
        <v>468</v>
      </c>
      <c r="B470" s="8">
        <v>4317</v>
      </c>
      <c r="C470" s="4" t="s">
        <v>2000</v>
      </c>
      <c r="D470" s="4" t="s">
        <v>1999</v>
      </c>
      <c r="E470" s="4" t="s">
        <v>1999</v>
      </c>
      <c r="F470" s="6">
        <v>43</v>
      </c>
      <c r="G470" s="16" t="str">
        <f t="shared" si="7"/>
        <v>(468,'4317','القرارم قوقة','Grarem Gouga','Grarem Gouga',43),</v>
      </c>
    </row>
    <row r="471" spans="1:7" ht="20.100000000000001" customHeight="1" x14ac:dyDescent="0.25">
      <c r="A471" s="3">
        <v>469</v>
      </c>
      <c r="B471" s="8">
        <v>4318</v>
      </c>
      <c r="C471" s="4" t="s">
        <v>1994</v>
      </c>
      <c r="D471" s="4" t="s">
        <v>1993</v>
      </c>
      <c r="E471" s="4" t="s">
        <v>1993</v>
      </c>
      <c r="F471" s="6">
        <v>43</v>
      </c>
      <c r="G471" s="16" t="str">
        <f t="shared" si="7"/>
        <v>(469,'4318','سيدي مروان','Sidi Merouane','Sidi Merouane',43),</v>
      </c>
    </row>
    <row r="472" spans="1:7" ht="20.100000000000001" customHeight="1" x14ac:dyDescent="0.25">
      <c r="A472" s="3">
        <v>470</v>
      </c>
      <c r="B472" s="8">
        <v>4319</v>
      </c>
      <c r="C472" s="4" t="s">
        <v>2002</v>
      </c>
      <c r="D472" s="4" t="s">
        <v>2001</v>
      </c>
      <c r="E472" s="4" t="s">
        <v>2001</v>
      </c>
      <c r="F472" s="6">
        <v>43</v>
      </c>
      <c r="G472" s="16" t="str">
        <f t="shared" si="7"/>
        <v>(470,'4319','تسدان حدادة','Tassadane Haddada','Tassadane Haddada',43),</v>
      </c>
    </row>
    <row r="473" spans="1:7" ht="20.100000000000001" customHeight="1" x14ac:dyDescent="0.25">
      <c r="A473" s="3">
        <v>471</v>
      </c>
      <c r="B473" s="8">
        <v>4323</v>
      </c>
      <c r="C473" s="4" t="s">
        <v>1988</v>
      </c>
      <c r="D473" s="4" t="s">
        <v>1987</v>
      </c>
      <c r="E473" s="4" t="s">
        <v>1987</v>
      </c>
      <c r="F473" s="6">
        <v>43</v>
      </c>
      <c r="G473" s="16" t="str">
        <f t="shared" si="7"/>
        <v>(471,'4323','ترعي باينان','Terrai Bainen','Terrai Bainen',43),</v>
      </c>
    </row>
    <row r="474" spans="1:7" ht="20.100000000000001" customHeight="1" x14ac:dyDescent="0.25">
      <c r="A474" s="3">
        <v>472</v>
      </c>
      <c r="B474" s="8">
        <v>4330</v>
      </c>
      <c r="C474" s="4" t="s">
        <v>1984</v>
      </c>
      <c r="D474" s="4" t="s">
        <v>1983</v>
      </c>
      <c r="E474" s="4" t="s">
        <v>1983</v>
      </c>
      <c r="F474" s="6">
        <v>43</v>
      </c>
      <c r="G474" s="16" t="str">
        <f t="shared" si="7"/>
        <v>(472,'4330','عين البيضاء أحريش','Ain Beida Harriche','Ain Beida Harriche',43),</v>
      </c>
    </row>
    <row r="475" spans="1:7" ht="20.100000000000001" customHeight="1" x14ac:dyDescent="0.25">
      <c r="A475" s="3">
        <v>473</v>
      </c>
      <c r="B475" s="8">
        <v>4401</v>
      </c>
      <c r="C475" s="4" t="s">
        <v>1057</v>
      </c>
      <c r="D475" s="4" t="s">
        <v>1090</v>
      </c>
      <c r="E475" s="4" t="s">
        <v>1090</v>
      </c>
      <c r="F475" s="6">
        <v>44</v>
      </c>
      <c r="G475" s="16" t="str">
        <f t="shared" si="7"/>
        <v>(473,'4401','عين الدفلى','Ain Defla','Ain Defla',44),</v>
      </c>
    </row>
    <row r="476" spans="1:7" ht="20.100000000000001" customHeight="1" x14ac:dyDescent="0.25">
      <c r="A476" s="3">
        <v>474</v>
      </c>
      <c r="B476" s="8">
        <v>4402</v>
      </c>
      <c r="C476" s="4" t="s">
        <v>2018</v>
      </c>
      <c r="D476" s="4" t="s">
        <v>2017</v>
      </c>
      <c r="E476" s="4" t="s">
        <v>2017</v>
      </c>
      <c r="F476" s="6">
        <v>44</v>
      </c>
      <c r="G476" s="16" t="str">
        <f t="shared" si="7"/>
        <v>(474,'4402','مليانة','Miliana','Miliana',44),</v>
      </c>
    </row>
    <row r="477" spans="1:7" ht="20.100000000000001" customHeight="1" x14ac:dyDescent="0.25">
      <c r="A477" s="3">
        <v>475</v>
      </c>
      <c r="B477" s="8">
        <v>4403</v>
      </c>
      <c r="C477" s="4" t="s">
        <v>2022</v>
      </c>
      <c r="D477" s="4" t="s">
        <v>2021</v>
      </c>
      <c r="E477" s="4" t="s">
        <v>2021</v>
      </c>
      <c r="F477" s="6">
        <v>44</v>
      </c>
      <c r="G477" s="16" t="str">
        <f t="shared" si="7"/>
        <v>(475,'4403','بومدفع','Boumedfaa','Boumedfaa',44),</v>
      </c>
    </row>
    <row r="478" spans="1:7" ht="20.100000000000001" customHeight="1" x14ac:dyDescent="0.25">
      <c r="A478" s="3">
        <v>476</v>
      </c>
      <c r="B478" s="8">
        <v>4404</v>
      </c>
      <c r="C478" s="4" t="s">
        <v>2030</v>
      </c>
      <c r="D478" s="4" t="s">
        <v>2029</v>
      </c>
      <c r="E478" s="4" t="s">
        <v>2029</v>
      </c>
      <c r="F478" s="6">
        <v>44</v>
      </c>
      <c r="G478" s="16" t="str">
        <f t="shared" si="7"/>
        <v>(476,'4404','خميس','Khemis','Khemis',44),</v>
      </c>
    </row>
    <row r="479" spans="1:7" ht="20.100000000000001" customHeight="1" x14ac:dyDescent="0.25">
      <c r="A479" s="3">
        <v>477</v>
      </c>
      <c r="B479" s="8">
        <v>4405</v>
      </c>
      <c r="C479" s="4" t="s">
        <v>2006</v>
      </c>
      <c r="D479" s="4" t="s">
        <v>2005</v>
      </c>
      <c r="E479" s="4" t="s">
        <v>2005</v>
      </c>
      <c r="F479" s="6">
        <v>44</v>
      </c>
      <c r="G479" s="16" t="str">
        <f t="shared" si="7"/>
        <v>(477,'4405','حمام ريغة','Hammam Righa','Hammam Righa',44),</v>
      </c>
    </row>
    <row r="480" spans="1:7" ht="20.100000000000001" customHeight="1" x14ac:dyDescent="0.25">
      <c r="A480" s="3">
        <v>478</v>
      </c>
      <c r="B480" s="8">
        <v>4407</v>
      </c>
      <c r="C480" s="4" t="s">
        <v>2024</v>
      </c>
      <c r="D480" s="4" t="s">
        <v>2023</v>
      </c>
      <c r="E480" s="4" t="s">
        <v>2023</v>
      </c>
      <c r="F480" s="6">
        <v>44</v>
      </c>
      <c r="G480" s="16" t="str">
        <f t="shared" si="7"/>
        <v>(478,'4407','جليدة','Djelida','Djelida',44),</v>
      </c>
    </row>
    <row r="481" spans="1:7" ht="20.100000000000001" customHeight="1" x14ac:dyDescent="0.25">
      <c r="A481" s="3">
        <v>479</v>
      </c>
      <c r="B481" s="8">
        <v>4408</v>
      </c>
      <c r="C481" s="4" t="s">
        <v>2012</v>
      </c>
      <c r="D481" s="4" t="s">
        <v>2011</v>
      </c>
      <c r="E481" s="4" t="s">
        <v>2011</v>
      </c>
      <c r="F481" s="6">
        <v>44</v>
      </c>
      <c r="G481" s="16" t="str">
        <f t="shared" si="7"/>
        <v>(479,'4408','العامرة','El Amra','El Amra',44),</v>
      </c>
    </row>
    <row r="482" spans="1:7" ht="20.100000000000001" customHeight="1" x14ac:dyDescent="0.25">
      <c r="A482" s="3">
        <v>480</v>
      </c>
      <c r="B482" s="8">
        <v>4410</v>
      </c>
      <c r="C482" s="4" t="s">
        <v>2026</v>
      </c>
      <c r="D482" s="4" t="s">
        <v>2025</v>
      </c>
      <c r="E482" s="4" t="s">
        <v>2025</v>
      </c>
      <c r="F482" s="6">
        <v>44</v>
      </c>
      <c r="G482" s="16" t="str">
        <f t="shared" si="7"/>
        <v>(480,'4410','العطاف','El Attaf','El Attaf',44),</v>
      </c>
    </row>
    <row r="483" spans="1:7" ht="20.100000000000001" customHeight="1" x14ac:dyDescent="0.25">
      <c r="A483" s="3">
        <v>481</v>
      </c>
      <c r="B483" s="8">
        <v>4411</v>
      </c>
      <c r="C483" s="4" t="s">
        <v>2008</v>
      </c>
      <c r="D483" s="4" t="s">
        <v>2007</v>
      </c>
      <c r="E483" s="4" t="s">
        <v>2007</v>
      </c>
      <c r="F483" s="6">
        <v>44</v>
      </c>
      <c r="G483" s="16" t="str">
        <f t="shared" si="7"/>
        <v>(481,'4411','العبادية','El Abadia','El Abadia',44),</v>
      </c>
    </row>
    <row r="484" spans="1:7" ht="20.100000000000001" customHeight="1" x14ac:dyDescent="0.25">
      <c r="A484" s="3">
        <v>482</v>
      </c>
      <c r="B484" s="8">
        <v>4412</v>
      </c>
      <c r="C484" s="4" t="s">
        <v>2014</v>
      </c>
      <c r="D484" s="4" t="s">
        <v>2013</v>
      </c>
      <c r="E484" s="4" t="s">
        <v>2013</v>
      </c>
      <c r="F484" s="6">
        <v>44</v>
      </c>
      <c r="G484" s="16" t="str">
        <f t="shared" si="7"/>
        <v>(482,'4412','جندل','Djendel','Djendel',44),</v>
      </c>
    </row>
    <row r="485" spans="1:7" ht="20.100000000000001" customHeight="1" x14ac:dyDescent="0.25">
      <c r="A485" s="3">
        <v>483</v>
      </c>
      <c r="B485" s="8">
        <v>4414</v>
      </c>
      <c r="C485" s="4" t="s">
        <v>2010</v>
      </c>
      <c r="D485" s="4" t="s">
        <v>2009</v>
      </c>
      <c r="E485" s="4" t="s">
        <v>2009</v>
      </c>
      <c r="F485" s="6">
        <v>44</v>
      </c>
      <c r="G485" s="16" t="str">
        <f t="shared" si="7"/>
        <v>(483,'4414','عين الاشياخ','Ain Lechiakh','Ain Lechiakh',44),</v>
      </c>
    </row>
    <row r="486" spans="1:7" ht="20.100000000000001" customHeight="1" x14ac:dyDescent="0.25">
      <c r="A486" s="3">
        <v>484</v>
      </c>
      <c r="B486" s="8">
        <v>4416</v>
      </c>
      <c r="C486" s="4" t="s">
        <v>2028</v>
      </c>
      <c r="D486" s="4" t="s">
        <v>2027</v>
      </c>
      <c r="E486" s="4" t="s">
        <v>2027</v>
      </c>
      <c r="F486" s="6">
        <v>44</v>
      </c>
      <c r="G486" s="16" t="str">
        <f t="shared" si="7"/>
        <v>(484,'4416','الروينة','Rouina','Rouina',44),</v>
      </c>
    </row>
    <row r="487" spans="1:7" ht="20.100000000000001" customHeight="1" x14ac:dyDescent="0.25">
      <c r="A487" s="3">
        <v>485</v>
      </c>
      <c r="B487" s="8">
        <v>4422</v>
      </c>
      <c r="C487" s="4" t="s">
        <v>2020</v>
      </c>
      <c r="D487" s="4" t="s">
        <v>2019</v>
      </c>
      <c r="E487" s="4" t="s">
        <v>2019</v>
      </c>
      <c r="F487" s="6">
        <v>44</v>
      </c>
      <c r="G487" s="16" t="str">
        <f t="shared" si="7"/>
        <v>(485,'4422','برج الأمير خالد','Bordj El Emir Khaled','Bordj El Emir Khaled',44),</v>
      </c>
    </row>
    <row r="488" spans="1:7" ht="20.100000000000001" customHeight="1" x14ac:dyDescent="0.25">
      <c r="A488" s="3">
        <v>486</v>
      </c>
      <c r="B488" s="8">
        <v>4431</v>
      </c>
      <c r="C488" s="4" t="s">
        <v>2016</v>
      </c>
      <c r="D488" s="4" t="s">
        <v>2015</v>
      </c>
      <c r="E488" s="4" t="s">
        <v>2015</v>
      </c>
      <c r="F488" s="6">
        <v>44</v>
      </c>
      <c r="G488" s="16" t="str">
        <f t="shared" si="7"/>
        <v>(486,'4431','بطحية','Bathia','Bathia',44),</v>
      </c>
    </row>
    <row r="489" spans="1:7" ht="20.100000000000001" customHeight="1" x14ac:dyDescent="0.25">
      <c r="A489" s="3">
        <v>487</v>
      </c>
      <c r="B489" s="8">
        <v>4501</v>
      </c>
      <c r="C489" s="4" t="s">
        <v>1059</v>
      </c>
      <c r="D489" s="4" t="s">
        <v>2041</v>
      </c>
      <c r="E489" s="4" t="s">
        <v>2041</v>
      </c>
      <c r="F489" s="6">
        <v>45</v>
      </c>
      <c r="G489" s="16" t="str">
        <f t="shared" si="7"/>
        <v>(487,'4501','النعامة','Naama','Naama',45),</v>
      </c>
    </row>
    <row r="490" spans="1:7" ht="20.100000000000001" customHeight="1" x14ac:dyDescent="0.25">
      <c r="A490" s="3">
        <v>488</v>
      </c>
      <c r="B490" s="8">
        <v>4502</v>
      </c>
      <c r="C490" s="4" t="s">
        <v>2032</v>
      </c>
      <c r="D490" s="4" t="s">
        <v>2031</v>
      </c>
      <c r="E490" s="4" t="s">
        <v>2031</v>
      </c>
      <c r="F490" s="6">
        <v>45</v>
      </c>
      <c r="G490" s="16" t="str">
        <f t="shared" si="7"/>
        <v>(488,'4502','المشرية','Mecheria','Mecheria',45),</v>
      </c>
    </row>
    <row r="491" spans="1:7" ht="20.100000000000001" customHeight="1" x14ac:dyDescent="0.25">
      <c r="A491" s="3">
        <v>489</v>
      </c>
      <c r="B491" s="8">
        <v>4503</v>
      </c>
      <c r="C491" s="4" t="s">
        <v>2034</v>
      </c>
      <c r="D491" s="4" t="s">
        <v>2033</v>
      </c>
      <c r="E491" s="4" t="s">
        <v>2033</v>
      </c>
      <c r="F491" s="6">
        <v>45</v>
      </c>
      <c r="G491" s="16" t="str">
        <f t="shared" si="7"/>
        <v>(489,'4503','عين الصفراء','Ain Sefra','Ain Sefra',45),</v>
      </c>
    </row>
    <row r="492" spans="1:7" ht="20.100000000000001" customHeight="1" x14ac:dyDescent="0.25">
      <c r="A492" s="3">
        <v>490</v>
      </c>
      <c r="B492" s="8">
        <v>4505</v>
      </c>
      <c r="C492" s="4" t="s">
        <v>2043</v>
      </c>
      <c r="D492" s="4" t="s">
        <v>2042</v>
      </c>
      <c r="E492" s="4" t="s">
        <v>2042</v>
      </c>
      <c r="F492" s="6">
        <v>45</v>
      </c>
      <c r="G492" s="16" t="str">
        <f t="shared" si="7"/>
        <v>(490,'4505','سفيسيفة','Sfissifa','Sfissifa',45),</v>
      </c>
    </row>
    <row r="493" spans="1:7" ht="20.100000000000001" customHeight="1" x14ac:dyDescent="0.25">
      <c r="A493" s="3">
        <v>491</v>
      </c>
      <c r="B493" s="8">
        <v>4506</v>
      </c>
      <c r="C493" s="4" t="s">
        <v>2038</v>
      </c>
      <c r="D493" s="4" t="s">
        <v>2037</v>
      </c>
      <c r="E493" s="4" t="s">
        <v>2037</v>
      </c>
      <c r="F493" s="6">
        <v>45</v>
      </c>
      <c r="G493" s="16" t="str">
        <f t="shared" si="7"/>
        <v>(491,'4506','مغرار','Moghrar','Moghrar',45),</v>
      </c>
    </row>
    <row r="494" spans="1:7" ht="20.100000000000001" customHeight="1" x14ac:dyDescent="0.25">
      <c r="A494" s="3">
        <v>492</v>
      </c>
      <c r="B494" s="8">
        <v>4507</v>
      </c>
      <c r="C494" s="4" t="s">
        <v>2036</v>
      </c>
      <c r="D494" s="4" t="s">
        <v>2035</v>
      </c>
      <c r="E494" s="4" t="s">
        <v>2035</v>
      </c>
      <c r="F494" s="6">
        <v>45</v>
      </c>
      <c r="G494" s="16" t="str">
        <f t="shared" si="7"/>
        <v>(492,'4507','عسلة','Asla','Asla',45),</v>
      </c>
    </row>
    <row r="495" spans="1:7" ht="20.100000000000001" customHeight="1" x14ac:dyDescent="0.25">
      <c r="A495" s="3">
        <v>493</v>
      </c>
      <c r="B495" s="8">
        <v>4510</v>
      </c>
      <c r="C495" s="4" t="s">
        <v>2040</v>
      </c>
      <c r="D495" s="4" t="s">
        <v>2039</v>
      </c>
      <c r="E495" s="4" t="s">
        <v>2039</v>
      </c>
      <c r="F495" s="6">
        <v>45</v>
      </c>
      <c r="G495" s="16" t="str">
        <f t="shared" si="7"/>
        <v>(493,'4510','مكمن بن عمار','Mekmen Ben Amar','Mekmen Ben Amar',45),</v>
      </c>
    </row>
    <row r="496" spans="1:7" ht="20.100000000000001" customHeight="1" x14ac:dyDescent="0.25">
      <c r="A496" s="3">
        <v>494</v>
      </c>
      <c r="B496" s="8">
        <v>4601</v>
      </c>
      <c r="C496" s="4" t="s">
        <v>1061</v>
      </c>
      <c r="D496" s="4" t="s">
        <v>1097</v>
      </c>
      <c r="E496" s="4" t="s">
        <v>1097</v>
      </c>
      <c r="F496" s="6">
        <v>46</v>
      </c>
      <c r="G496" s="16" t="str">
        <f t="shared" si="7"/>
        <v>(494,'4601','عين تموشنت','Ain Temouchent','Ain Temouchent',46),</v>
      </c>
    </row>
    <row r="497" spans="1:7" ht="20.100000000000001" customHeight="1" x14ac:dyDescent="0.25">
      <c r="A497" s="3">
        <v>495</v>
      </c>
      <c r="B497" s="8">
        <v>4604</v>
      </c>
      <c r="C497" s="4" t="s">
        <v>2055</v>
      </c>
      <c r="D497" s="4" t="s">
        <v>2054</v>
      </c>
      <c r="E497" s="4" t="s">
        <v>2054</v>
      </c>
      <c r="F497" s="6">
        <v>46</v>
      </c>
      <c r="G497" s="16" t="str">
        <f t="shared" si="7"/>
        <v>(495,'4604','حمام بوحجر','Hammam Bou Hadjar','Hammam Bou Hadjar',46),</v>
      </c>
    </row>
    <row r="498" spans="1:7" ht="20.100000000000001" customHeight="1" x14ac:dyDescent="0.25">
      <c r="A498" s="3">
        <v>496</v>
      </c>
      <c r="B498" s="8">
        <v>4609</v>
      </c>
      <c r="C498" s="4" t="s">
        <v>2047</v>
      </c>
      <c r="D498" s="4" t="s">
        <v>2046</v>
      </c>
      <c r="E498" s="4" t="s">
        <v>2046</v>
      </c>
      <c r="F498" s="6">
        <v>46</v>
      </c>
      <c r="G498" s="16" t="str">
        <f t="shared" si="7"/>
        <v>(496,'4609','عين الأربعاء','Ain Larbaa','Ain Larbaa',46),</v>
      </c>
    </row>
    <row r="499" spans="1:7" ht="20.100000000000001" customHeight="1" x14ac:dyDescent="0.25">
      <c r="A499" s="3">
        <v>497</v>
      </c>
      <c r="B499" s="8">
        <v>4614</v>
      </c>
      <c r="C499" s="4" t="s">
        <v>2053</v>
      </c>
      <c r="D499" s="4" t="s">
        <v>2052</v>
      </c>
      <c r="E499" s="4" t="s">
        <v>2052</v>
      </c>
      <c r="F499" s="6">
        <v>46</v>
      </c>
      <c r="G499" s="16" t="str">
        <f t="shared" si="7"/>
        <v>(497,'4614','المالح','El Maleh','El Maleh',46),</v>
      </c>
    </row>
    <row r="500" spans="1:7" ht="20.100000000000001" customHeight="1" x14ac:dyDescent="0.25">
      <c r="A500" s="3">
        <v>498</v>
      </c>
      <c r="B500" s="8">
        <v>4619</v>
      </c>
      <c r="C500" s="4" t="s">
        <v>2051</v>
      </c>
      <c r="D500" s="4" t="s">
        <v>2050</v>
      </c>
      <c r="E500" s="4" t="s">
        <v>2050</v>
      </c>
      <c r="F500" s="6">
        <v>46</v>
      </c>
      <c r="G500" s="16" t="str">
        <f t="shared" si="7"/>
        <v>(498,'4619','العامرية','El Amria','El Amria',46),</v>
      </c>
    </row>
    <row r="501" spans="1:7" ht="20.100000000000001" customHeight="1" x14ac:dyDescent="0.25">
      <c r="A501" s="3">
        <v>499</v>
      </c>
      <c r="B501" s="8">
        <v>4622</v>
      </c>
      <c r="C501" s="4" t="s">
        <v>2045</v>
      </c>
      <c r="D501" s="4" t="s">
        <v>2044</v>
      </c>
      <c r="E501" s="4" t="s">
        <v>2044</v>
      </c>
      <c r="F501" s="6">
        <v>46</v>
      </c>
      <c r="G501" s="16" t="str">
        <f t="shared" si="7"/>
        <v>(499,'4622','عين الكيحل','Ain Kihel','Ain Kihel',46),</v>
      </c>
    </row>
    <row r="502" spans="1:7" ht="20.100000000000001" customHeight="1" x14ac:dyDescent="0.25">
      <c r="A502" s="3">
        <v>500</v>
      </c>
      <c r="B502" s="8">
        <v>4623</v>
      </c>
      <c r="C502" s="4" t="s">
        <v>2049</v>
      </c>
      <c r="D502" s="4" t="s">
        <v>2048</v>
      </c>
      <c r="E502" s="4" t="s">
        <v>2048</v>
      </c>
      <c r="F502" s="6">
        <v>46</v>
      </c>
      <c r="G502" s="16" t="str">
        <f t="shared" si="7"/>
        <v>(500,'4623','بني صاف','Beni Saf','Beni Saf',46),</v>
      </c>
    </row>
    <row r="503" spans="1:7" ht="20.100000000000001" customHeight="1" x14ac:dyDescent="0.25">
      <c r="A503" s="3">
        <v>501</v>
      </c>
      <c r="B503" s="8">
        <v>4625</v>
      </c>
      <c r="C503" s="4" t="s">
        <v>2057</v>
      </c>
      <c r="D503" s="4" t="s">
        <v>2056</v>
      </c>
      <c r="E503" s="4" t="s">
        <v>2056</v>
      </c>
      <c r="F503" s="6">
        <v>46</v>
      </c>
      <c r="G503" s="16" t="str">
        <f t="shared" si="7"/>
        <v>(501,'4625','ولهاصة الغرابة','Oulhassa Gheraba','Oulhassa Gheraba',46),</v>
      </c>
    </row>
    <row r="504" spans="1:7" ht="20.100000000000001" customHeight="1" x14ac:dyDescent="0.25">
      <c r="A504" s="3">
        <v>502</v>
      </c>
      <c r="B504" s="8">
        <v>4701</v>
      </c>
      <c r="C504" s="4" t="s">
        <v>1063</v>
      </c>
      <c r="D504" s="4" t="s">
        <v>1087</v>
      </c>
      <c r="E504" s="4" t="s">
        <v>1087</v>
      </c>
      <c r="F504" s="6">
        <v>47</v>
      </c>
      <c r="G504" s="16" t="str">
        <f t="shared" si="7"/>
        <v>(502,'4701','غرداية','Ghardaia','Ghardaia',47),</v>
      </c>
    </row>
    <row r="505" spans="1:7" ht="20.100000000000001" customHeight="1" x14ac:dyDescent="0.25">
      <c r="A505" s="3">
        <v>503</v>
      </c>
      <c r="B505" s="8">
        <v>4703</v>
      </c>
      <c r="C505" s="4" t="s">
        <v>2063</v>
      </c>
      <c r="D505" s="4" t="s">
        <v>2062</v>
      </c>
      <c r="E505" s="4" t="s">
        <v>2062</v>
      </c>
      <c r="F505" s="6">
        <v>47</v>
      </c>
      <c r="G505" s="16" t="str">
        <f t="shared" si="7"/>
        <v>(503,'4703','ضاية بن ضحوة','Dhayet Ben Dhahoua','Dhayet Ben Dhahoua',47),</v>
      </c>
    </row>
    <row r="506" spans="1:7" ht="20.100000000000001" customHeight="1" x14ac:dyDescent="0.25">
      <c r="A506" s="3">
        <v>504</v>
      </c>
      <c r="B506" s="8">
        <v>4704</v>
      </c>
      <c r="C506" s="4" t="s">
        <v>2059</v>
      </c>
      <c r="D506" s="4" t="s">
        <v>2058</v>
      </c>
      <c r="E506" s="4" t="s">
        <v>2058</v>
      </c>
      <c r="F506" s="6">
        <v>47</v>
      </c>
      <c r="G506" s="16" t="str">
        <f t="shared" si="7"/>
        <v>(504,'4704','بريان','Berriane','Berriane',47),</v>
      </c>
    </row>
    <row r="507" spans="1:7" ht="20.100000000000001" customHeight="1" x14ac:dyDescent="0.25">
      <c r="A507" s="3">
        <v>505</v>
      </c>
      <c r="B507" s="8">
        <v>4705</v>
      </c>
      <c r="C507" s="4" t="s">
        <v>2067</v>
      </c>
      <c r="D507" s="4" t="s">
        <v>2066</v>
      </c>
      <c r="E507" s="4" t="s">
        <v>2066</v>
      </c>
      <c r="F507" s="6">
        <v>47</v>
      </c>
      <c r="G507" s="16" t="str">
        <f t="shared" si="7"/>
        <v>(505,'4705','متليلي','Metlili','Metlili',47),</v>
      </c>
    </row>
    <row r="508" spans="1:7" ht="20.100000000000001" customHeight="1" x14ac:dyDescent="0.25">
      <c r="A508" s="3">
        <v>506</v>
      </c>
      <c r="B508" s="8">
        <v>4706</v>
      </c>
      <c r="C508" s="4" t="s">
        <v>2065</v>
      </c>
      <c r="D508" s="4" t="s">
        <v>2064</v>
      </c>
      <c r="E508" s="4" t="s">
        <v>2064</v>
      </c>
      <c r="F508" s="6">
        <v>47</v>
      </c>
      <c r="G508" s="16" t="str">
        <f t="shared" si="7"/>
        <v>(506,'4706','القرارة','El Guerrara','El Guerrara',47),</v>
      </c>
    </row>
    <row r="509" spans="1:7" ht="20.100000000000001" customHeight="1" x14ac:dyDescent="0.25">
      <c r="A509" s="3">
        <v>507</v>
      </c>
      <c r="B509" s="8">
        <v>4708</v>
      </c>
      <c r="C509" s="4" t="s">
        <v>2069</v>
      </c>
      <c r="D509" s="4" t="s">
        <v>2068</v>
      </c>
      <c r="E509" s="4" t="s">
        <v>2068</v>
      </c>
      <c r="F509" s="6">
        <v>47</v>
      </c>
      <c r="G509" s="16" t="str">
        <f t="shared" si="7"/>
        <v>(507,'4708','زلفانة','Zelfana','Zelfana',47),</v>
      </c>
    </row>
    <row r="510" spans="1:7" ht="20.100000000000001" customHeight="1" x14ac:dyDescent="0.25">
      <c r="A510" s="3">
        <v>508</v>
      </c>
      <c r="B510" s="8">
        <v>4710</v>
      </c>
      <c r="C510" s="4" t="s">
        <v>2061</v>
      </c>
      <c r="D510" s="4" t="s">
        <v>2060</v>
      </c>
      <c r="E510" s="4" t="s">
        <v>2060</v>
      </c>
      <c r="F510" s="6">
        <v>47</v>
      </c>
      <c r="G510" s="16" t="str">
        <f t="shared" si="7"/>
        <v>(508,'4710','بونورة','Bounoura','Bounoura',47),</v>
      </c>
    </row>
    <row r="511" spans="1:7" ht="20.100000000000001" customHeight="1" x14ac:dyDescent="0.25">
      <c r="A511" s="3">
        <v>509</v>
      </c>
      <c r="B511" s="8">
        <v>4801</v>
      </c>
      <c r="C511" s="4" t="s">
        <v>1065</v>
      </c>
      <c r="D511" s="4" t="s">
        <v>1066</v>
      </c>
      <c r="E511" s="4" t="s">
        <v>1066</v>
      </c>
      <c r="F511" s="6">
        <v>48</v>
      </c>
      <c r="G511" s="16" t="str">
        <f t="shared" si="7"/>
        <v>(509,'4801','غليزان','Relizane','Relizane',48),</v>
      </c>
    </row>
    <row r="512" spans="1:7" ht="20.100000000000001" customHeight="1" x14ac:dyDescent="0.25">
      <c r="A512" s="3">
        <v>510</v>
      </c>
      <c r="B512" s="8">
        <v>4802</v>
      </c>
      <c r="C512" s="4" t="s">
        <v>2089</v>
      </c>
      <c r="D512" s="4" t="s">
        <v>2088</v>
      </c>
      <c r="E512" s="4" t="s">
        <v>2088</v>
      </c>
      <c r="F512" s="6">
        <v>48</v>
      </c>
      <c r="G512" s="16" t="str">
        <f t="shared" si="7"/>
        <v>(510,'4802','وادي رهيو','Oued Rhiou','Oued Rhiou',48),</v>
      </c>
    </row>
    <row r="513" spans="1:7" ht="20.100000000000001" customHeight="1" x14ac:dyDescent="0.25">
      <c r="A513" s="3">
        <v>511</v>
      </c>
      <c r="B513" s="8">
        <v>4807</v>
      </c>
      <c r="C513" s="4" t="s">
        <v>2085</v>
      </c>
      <c r="D513" s="4" t="s">
        <v>2084</v>
      </c>
      <c r="E513" s="4" t="s">
        <v>2084</v>
      </c>
      <c r="F513" s="6">
        <v>48</v>
      </c>
      <c r="G513" s="16" t="str">
        <f t="shared" si="7"/>
        <v>(511,'4807','الحمادنة','El H'madna','El H'madna',48),</v>
      </c>
    </row>
    <row r="514" spans="1:7" ht="20.100000000000001" customHeight="1" x14ac:dyDescent="0.25">
      <c r="A514" s="3">
        <v>512</v>
      </c>
      <c r="B514" s="8">
        <v>4808</v>
      </c>
      <c r="C514" s="4" t="s">
        <v>2081</v>
      </c>
      <c r="D514" s="4" t="s">
        <v>2080</v>
      </c>
      <c r="E514" s="4" t="s">
        <v>2080</v>
      </c>
      <c r="F514" s="6">
        <v>48</v>
      </c>
      <c r="G514" s="16" t="str">
        <f t="shared" si="7"/>
        <v>(512,'4808','سيدي أمحمد بن علي','Sidi M'hamed Ben Ali','Sidi M'hamed Ben Ali',48),</v>
      </c>
    </row>
    <row r="515" spans="1:7" ht="20.100000000000001" customHeight="1" x14ac:dyDescent="0.25">
      <c r="A515" s="3">
        <v>513</v>
      </c>
      <c r="B515" s="8">
        <v>4811</v>
      </c>
      <c r="C515" s="4" t="s">
        <v>2075</v>
      </c>
      <c r="D515" s="4" t="s">
        <v>2074</v>
      </c>
      <c r="E515" s="4" t="s">
        <v>2074</v>
      </c>
      <c r="F515" s="6">
        <v>48</v>
      </c>
      <c r="G515" s="16" t="str">
        <f t="shared" si="7"/>
        <v>(513,'4811','عمي موسى','Ammi Moussa','Ammi Moussa',48),</v>
      </c>
    </row>
    <row r="516" spans="1:7" ht="20.100000000000001" customHeight="1" x14ac:dyDescent="0.25">
      <c r="A516" s="3">
        <v>514</v>
      </c>
      <c r="B516" s="8">
        <v>4812</v>
      </c>
      <c r="C516" s="4" t="s">
        <v>2079</v>
      </c>
      <c r="D516" s="4" t="s">
        <v>2078</v>
      </c>
      <c r="E516" s="4" t="s">
        <v>2078</v>
      </c>
      <c r="F516" s="6">
        <v>48</v>
      </c>
      <c r="G516" s="16" t="str">
        <f t="shared" ref="G516:G549" si="8">CONCATENATE("(",A516,",'",B516,"','",C516,"','",D516,"','",E516,"',",F516,"),")</f>
        <v>(514,'4812','زمورة','Zemmoura','Zemmoura',48),</v>
      </c>
    </row>
    <row r="517" spans="1:7" ht="20.100000000000001" customHeight="1" x14ac:dyDescent="0.25">
      <c r="A517" s="3">
        <v>515</v>
      </c>
      <c r="B517" s="8">
        <v>4814</v>
      </c>
      <c r="C517" s="4" t="s">
        <v>2083</v>
      </c>
      <c r="D517" s="4" t="s">
        <v>2082</v>
      </c>
      <c r="E517" s="4" t="s">
        <v>2082</v>
      </c>
      <c r="F517" s="6">
        <v>48</v>
      </c>
      <c r="G517" s="16" t="str">
        <f t="shared" si="8"/>
        <v>(515,'4814','جديوية','Djidiouia','Djidiouia',48),</v>
      </c>
    </row>
    <row r="518" spans="1:7" ht="20.100000000000001" customHeight="1" x14ac:dyDescent="0.25">
      <c r="A518" s="3">
        <v>516</v>
      </c>
      <c r="B518" s="8">
        <v>4817</v>
      </c>
      <c r="C518" s="4" t="s">
        <v>2077</v>
      </c>
      <c r="D518" s="4" t="s">
        <v>2076</v>
      </c>
      <c r="E518" s="4" t="s">
        <v>2076</v>
      </c>
      <c r="F518" s="6">
        <v>48</v>
      </c>
      <c r="G518" s="16" t="str">
        <f t="shared" si="8"/>
        <v>(516,'4817','المطمر','El Matmar','El Matmar',48),</v>
      </c>
    </row>
    <row r="519" spans="1:7" ht="20.100000000000001" customHeight="1" x14ac:dyDescent="0.25">
      <c r="A519" s="3">
        <v>517</v>
      </c>
      <c r="B519" s="8">
        <v>4819</v>
      </c>
      <c r="C519" s="4" t="s">
        <v>2073</v>
      </c>
      <c r="D519" s="4" t="s">
        <v>2072</v>
      </c>
      <c r="E519" s="4" t="s">
        <v>2072</v>
      </c>
      <c r="F519" s="6">
        <v>48</v>
      </c>
      <c r="G519" s="16" t="str">
        <f t="shared" si="8"/>
        <v>(517,'4819','عين طارق','Ain Tarek','Ain Tarek',48),</v>
      </c>
    </row>
    <row r="520" spans="1:7" ht="20.100000000000001" customHeight="1" x14ac:dyDescent="0.25">
      <c r="A520" s="3">
        <v>518</v>
      </c>
      <c r="B520" s="8">
        <v>4822</v>
      </c>
      <c r="C520" s="4" t="s">
        <v>2087</v>
      </c>
      <c r="D520" s="4" t="s">
        <v>2086</v>
      </c>
      <c r="E520" s="4" t="s">
        <v>2086</v>
      </c>
      <c r="F520" s="6">
        <v>48</v>
      </c>
      <c r="G520" s="16" t="str">
        <f t="shared" si="8"/>
        <v>(518,'4822','مازونة','Mazouna','Mazouna',48),</v>
      </c>
    </row>
    <row r="521" spans="1:7" ht="20.100000000000001" customHeight="1" x14ac:dyDescent="0.25">
      <c r="A521" s="3">
        <v>519</v>
      </c>
      <c r="B521" s="8">
        <v>4825</v>
      </c>
      <c r="C521" s="4" t="s">
        <v>2071</v>
      </c>
      <c r="D521" s="4" t="s">
        <v>2070</v>
      </c>
      <c r="E521" s="4" t="s">
        <v>2070</v>
      </c>
      <c r="F521" s="6">
        <v>48</v>
      </c>
      <c r="G521" s="16" t="str">
        <f t="shared" si="8"/>
        <v>(519,'4825','يلل','Yellel','Yellel',48),</v>
      </c>
    </row>
    <row r="522" spans="1:7" ht="20.100000000000001" customHeight="1" x14ac:dyDescent="0.25">
      <c r="A522" s="3">
        <v>520</v>
      </c>
      <c r="B522" s="8">
        <v>4827</v>
      </c>
      <c r="C522" s="4" t="s">
        <v>2093</v>
      </c>
      <c r="D522" s="4" t="s">
        <v>2092</v>
      </c>
      <c r="E522" s="4" t="s">
        <v>2092</v>
      </c>
      <c r="F522" s="6">
        <v>48</v>
      </c>
      <c r="G522" s="16" t="str">
        <f t="shared" si="8"/>
        <v>(520,'4827','الرمكة','Ramka','Ramka',48),</v>
      </c>
    </row>
    <row r="523" spans="1:7" ht="20.100000000000001" customHeight="1" x14ac:dyDescent="0.25">
      <c r="A523" s="3">
        <v>521</v>
      </c>
      <c r="B523" s="8">
        <v>4828</v>
      </c>
      <c r="C523" s="4" t="s">
        <v>2091</v>
      </c>
      <c r="D523" s="4" t="s">
        <v>2090</v>
      </c>
      <c r="E523" s="4" t="s">
        <v>2090</v>
      </c>
      <c r="F523" s="6">
        <v>48</v>
      </c>
      <c r="G523" s="16" t="str">
        <f t="shared" si="8"/>
        <v>(521,'4828','منداس','Mendes','Mendes',48),</v>
      </c>
    </row>
    <row r="524" spans="1:7" ht="20.100000000000001" customHeight="1" x14ac:dyDescent="0.25">
      <c r="A524" s="3">
        <v>522</v>
      </c>
      <c r="B524" s="8">
        <v>103</v>
      </c>
      <c r="C524" s="4" t="s">
        <v>1116</v>
      </c>
      <c r="D524" s="4" t="s">
        <v>1115</v>
      </c>
      <c r="E524" s="4" t="s">
        <v>1115</v>
      </c>
      <c r="F524" s="6">
        <v>49</v>
      </c>
      <c r="G524" s="16" t="str">
        <f t="shared" si="8"/>
        <v>(522,'103','شروين','Charouine','Charouine',49),</v>
      </c>
    </row>
    <row r="525" spans="1:7" ht="20.100000000000001" customHeight="1" x14ac:dyDescent="0.25">
      <c r="A525" s="3">
        <v>523</v>
      </c>
      <c r="B525" s="8">
        <v>109</v>
      </c>
      <c r="C525" s="4" t="s">
        <v>1067</v>
      </c>
      <c r="D525" s="4" t="s">
        <v>1068</v>
      </c>
      <c r="E525" s="4" t="s">
        <v>1068</v>
      </c>
      <c r="F525" s="6">
        <v>49</v>
      </c>
      <c r="G525" s="16" t="str">
        <f t="shared" si="8"/>
        <v>(523,'109','تيميمون','Timimoun','Timimoun',49),</v>
      </c>
    </row>
    <row r="526" spans="1:7" ht="20.100000000000001" customHeight="1" x14ac:dyDescent="0.25">
      <c r="A526" s="3">
        <v>524</v>
      </c>
      <c r="B526" s="8">
        <v>116</v>
      </c>
      <c r="C526" s="4" t="s">
        <v>1122</v>
      </c>
      <c r="D526" s="4" t="s">
        <v>1121</v>
      </c>
      <c r="E526" s="4" t="s">
        <v>1121</v>
      </c>
      <c r="F526" s="6">
        <v>49</v>
      </c>
      <c r="G526" s="16" t="str">
        <f t="shared" si="8"/>
        <v>(524,'116','تنركوك','Tinerkouk','Tinerkouk',49),</v>
      </c>
    </row>
    <row r="527" spans="1:7" ht="20.100000000000001" customHeight="1" x14ac:dyDescent="0.25">
      <c r="A527" s="3">
        <v>525</v>
      </c>
      <c r="B527" s="8">
        <v>123</v>
      </c>
      <c r="C527" s="4" t="s">
        <v>1113</v>
      </c>
      <c r="D527" s="4" t="s">
        <v>1112</v>
      </c>
      <c r="E527" s="4" t="s">
        <v>1112</v>
      </c>
      <c r="F527" s="6">
        <v>49</v>
      </c>
      <c r="G527" s="16" t="str">
        <f t="shared" si="8"/>
        <v>(525,'123','أوقروت','Aougrout','Aougrout',49),</v>
      </c>
    </row>
    <row r="528" spans="1:7" ht="20.100000000000001" customHeight="1" x14ac:dyDescent="0.25">
      <c r="A528" s="3">
        <v>526</v>
      </c>
      <c r="B528" s="8">
        <v>125</v>
      </c>
      <c r="C528" s="4" t="s">
        <v>1069</v>
      </c>
      <c r="D528" s="4" t="s">
        <v>1114</v>
      </c>
      <c r="E528" s="4" t="s">
        <v>1114</v>
      </c>
      <c r="F528" s="6">
        <v>50</v>
      </c>
      <c r="G528" s="16" t="str">
        <f t="shared" si="8"/>
        <v>(526,'125','برج باجي مختار','Bordj Badji Mokhtar','Bordj Badji Mokhtar',50),</v>
      </c>
    </row>
    <row r="529" spans="1:7" ht="20.100000000000001" customHeight="1" x14ac:dyDescent="0.25">
      <c r="A529" s="3">
        <v>527</v>
      </c>
      <c r="B529" s="8">
        <v>705</v>
      </c>
      <c r="C529" s="4" t="s">
        <v>1071</v>
      </c>
      <c r="D529" s="4" t="s">
        <v>1072</v>
      </c>
      <c r="E529" s="4" t="s">
        <v>1072</v>
      </c>
      <c r="F529" s="6">
        <v>51</v>
      </c>
      <c r="G529" s="16" t="str">
        <f t="shared" si="8"/>
        <v>(527,'705','أولاد جلال','Ouled Djellal','Ouled Djellal',51),</v>
      </c>
    </row>
    <row r="530" spans="1:7" ht="20.100000000000001" customHeight="1" x14ac:dyDescent="0.25">
      <c r="A530" s="3">
        <v>528</v>
      </c>
      <c r="B530" s="8">
        <v>708</v>
      </c>
      <c r="C530" s="4" t="s">
        <v>1272</v>
      </c>
      <c r="D530" s="4" t="s">
        <v>1271</v>
      </c>
      <c r="E530" s="4" t="s">
        <v>1271</v>
      </c>
      <c r="F530" s="6">
        <v>51</v>
      </c>
      <c r="G530" s="16" t="str">
        <f t="shared" si="8"/>
        <v>(528,'708','سيدي  خالد','Sidi Khaled','Sidi Khaled',51),</v>
      </c>
    </row>
    <row r="531" spans="1:7" ht="20.100000000000001" customHeight="1" x14ac:dyDescent="0.25">
      <c r="A531" s="3">
        <v>529</v>
      </c>
      <c r="B531" s="8">
        <v>803</v>
      </c>
      <c r="C531" s="4" t="s">
        <v>1302</v>
      </c>
      <c r="D531" s="4" t="s">
        <v>1301</v>
      </c>
      <c r="E531" s="4" t="s">
        <v>1301</v>
      </c>
      <c r="F531" s="6">
        <v>52</v>
      </c>
      <c r="G531" s="16" t="str">
        <f t="shared" si="8"/>
        <v>(529,'803','أولاد خضير','Ouled Khodeir','Ouled Khodeir',52),</v>
      </c>
    </row>
    <row r="532" spans="1:7" ht="20.100000000000001" customHeight="1" x14ac:dyDescent="0.25">
      <c r="A532" s="3">
        <v>530</v>
      </c>
      <c r="B532" s="8">
        <v>807</v>
      </c>
      <c r="C532" s="4" t="s">
        <v>1073</v>
      </c>
      <c r="D532" s="4" t="s">
        <v>1098</v>
      </c>
      <c r="E532" s="4" t="s">
        <v>1098</v>
      </c>
      <c r="F532" s="6">
        <v>52</v>
      </c>
      <c r="G532" s="16" t="str">
        <f t="shared" si="8"/>
        <v>(530,'807','بني عباس','Beni Abbes','Beni Abbes',52),</v>
      </c>
    </row>
    <row r="533" spans="1:7" ht="20.100000000000001" customHeight="1" x14ac:dyDescent="0.25">
      <c r="A533" s="3">
        <v>531</v>
      </c>
      <c r="B533" s="8">
        <v>811</v>
      </c>
      <c r="C533" s="4" t="s">
        <v>1298</v>
      </c>
      <c r="D533" s="4" t="s">
        <v>1297</v>
      </c>
      <c r="E533" s="4" t="s">
        <v>1297</v>
      </c>
      <c r="F533" s="6">
        <v>52</v>
      </c>
      <c r="G533" s="16" t="str">
        <f t="shared" si="8"/>
        <v>(531,'811','إقلي','Igli','Igli',52),</v>
      </c>
    </row>
    <row r="534" spans="1:7" ht="20.100000000000001" customHeight="1" x14ac:dyDescent="0.25">
      <c r="A534" s="3">
        <v>532</v>
      </c>
      <c r="B534" s="8">
        <v>814</v>
      </c>
      <c r="C534" s="4" t="s">
        <v>1296</v>
      </c>
      <c r="D534" s="4" t="s">
        <v>1295</v>
      </c>
      <c r="E534" s="4" t="s">
        <v>1295</v>
      </c>
      <c r="F534" s="6">
        <v>52</v>
      </c>
      <c r="G534" s="16" t="str">
        <f t="shared" si="8"/>
        <v>(532,'814','الواتة','El Ouata','El Ouata',52),</v>
      </c>
    </row>
    <row r="535" spans="1:7" ht="20.100000000000001" customHeight="1" x14ac:dyDescent="0.25">
      <c r="A535" s="3">
        <v>533</v>
      </c>
      <c r="B535" s="8">
        <v>818</v>
      </c>
      <c r="C535" s="4" t="s">
        <v>1290</v>
      </c>
      <c r="D535" s="4" t="s">
        <v>1289</v>
      </c>
      <c r="E535" s="4" t="s">
        <v>1289</v>
      </c>
      <c r="F535" s="6">
        <v>52</v>
      </c>
      <c r="G535" s="16" t="str">
        <f t="shared" si="8"/>
        <v>(533,'818','كرزاز','Kerzaz','Kerzaz',52),</v>
      </c>
    </row>
    <row r="536" spans="1:7" ht="20.100000000000001" customHeight="1" x14ac:dyDescent="0.25">
      <c r="A536" s="3">
        <v>534</v>
      </c>
      <c r="B536" s="8">
        <v>1103</v>
      </c>
      <c r="C536" s="4" t="s">
        <v>1354</v>
      </c>
      <c r="D536" s="4" t="s">
        <v>1353</v>
      </c>
      <c r="E536" s="4" t="s">
        <v>1353</v>
      </c>
      <c r="F536" s="6">
        <v>53</v>
      </c>
      <c r="G536" s="16" t="str">
        <f t="shared" si="8"/>
        <v>(534,'1103','إينغر','In Ghar','In Ghar',53),</v>
      </c>
    </row>
    <row r="537" spans="1:7" ht="20.100000000000001" customHeight="1" x14ac:dyDescent="0.25">
      <c r="A537" s="3">
        <v>535</v>
      </c>
      <c r="B537" s="8">
        <v>1108</v>
      </c>
      <c r="C537" s="4" t="s">
        <v>1350</v>
      </c>
      <c r="D537" s="4" t="s">
        <v>1076</v>
      </c>
      <c r="E537" s="4" t="s">
        <v>1076</v>
      </c>
      <c r="F537" s="6">
        <v>53</v>
      </c>
      <c r="G537" s="16" t="str">
        <f t="shared" si="8"/>
        <v>(535,'1108','عين صالح','In Salah','In Salah',53),</v>
      </c>
    </row>
    <row r="538" spans="1:7" ht="20.100000000000001" customHeight="1" x14ac:dyDescent="0.25">
      <c r="A538" s="3">
        <v>536</v>
      </c>
      <c r="B538" s="8">
        <v>1104</v>
      </c>
      <c r="C538" s="4" t="s">
        <v>1349</v>
      </c>
      <c r="D538" s="4" t="s">
        <v>1078</v>
      </c>
      <c r="E538" s="4" t="s">
        <v>1078</v>
      </c>
      <c r="F538" s="6">
        <v>54</v>
      </c>
      <c r="G538" s="16" t="str">
        <f t="shared" si="8"/>
        <v>(536,'1104','عين قزام','In Guezzam','In Guezzam',54),</v>
      </c>
    </row>
    <row r="539" spans="1:7" ht="20.100000000000001" customHeight="1" x14ac:dyDescent="0.25">
      <c r="A539" s="3">
        <v>537</v>
      </c>
      <c r="B539" s="8">
        <v>1107</v>
      </c>
      <c r="C539" s="4" t="s">
        <v>1356</v>
      </c>
      <c r="D539" s="4" t="s">
        <v>1355</v>
      </c>
      <c r="E539" s="4" t="s">
        <v>1355</v>
      </c>
      <c r="F539" s="6">
        <v>54</v>
      </c>
      <c r="G539" s="16" t="str">
        <f t="shared" si="8"/>
        <v>(537,'1107','تين زواتين','Tin Zouatine','Tin Zouatine',54),</v>
      </c>
    </row>
    <row r="540" spans="1:7" ht="20.100000000000001" customHeight="1" x14ac:dyDescent="0.25">
      <c r="A540" s="3">
        <v>538</v>
      </c>
      <c r="B540" s="8">
        <v>3013</v>
      </c>
      <c r="C540" s="4" t="s">
        <v>1079</v>
      </c>
      <c r="D540" s="4" t="s">
        <v>1080</v>
      </c>
      <c r="E540" s="4" t="s">
        <v>1080</v>
      </c>
      <c r="F540" s="6">
        <v>55</v>
      </c>
      <c r="G540" s="16" t="str">
        <f t="shared" si="8"/>
        <v>(538,'3013','تقرت','Touggourt','Touggourt',55),</v>
      </c>
    </row>
    <row r="541" spans="1:7" ht="20.100000000000001" customHeight="1" x14ac:dyDescent="0.25">
      <c r="A541" s="3">
        <v>539</v>
      </c>
      <c r="B541" s="8">
        <v>3014</v>
      </c>
      <c r="C541" s="4" t="s">
        <v>1809</v>
      </c>
      <c r="D541" s="4" t="s">
        <v>1808</v>
      </c>
      <c r="E541" s="4" t="s">
        <v>1808</v>
      </c>
      <c r="F541" s="6">
        <v>55</v>
      </c>
      <c r="G541" s="16" t="str">
        <f t="shared" si="8"/>
        <v>(539,'3014','الحجيرة','El-Hadjira','El-Hadjira',55),</v>
      </c>
    </row>
    <row r="542" spans="1:7" ht="20.100000000000001" customHeight="1" x14ac:dyDescent="0.25">
      <c r="A542" s="3">
        <v>540</v>
      </c>
      <c r="B542" s="8">
        <v>3015</v>
      </c>
      <c r="C542" s="4" t="s">
        <v>1805</v>
      </c>
      <c r="D542" s="4" t="s">
        <v>1804</v>
      </c>
      <c r="E542" s="4" t="s">
        <v>1804</v>
      </c>
      <c r="F542" s="6">
        <v>55</v>
      </c>
      <c r="G542" s="16" t="str">
        <f t="shared" si="8"/>
        <v>(540,'3015','الطيبات','Taibet','Taibet',55),</v>
      </c>
    </row>
    <row r="543" spans="1:7" ht="20.100000000000001" customHeight="1" x14ac:dyDescent="0.25">
      <c r="A543" s="3">
        <v>541</v>
      </c>
      <c r="B543" s="8">
        <v>3016</v>
      </c>
      <c r="C543" s="4" t="s">
        <v>1807</v>
      </c>
      <c r="D543" s="4" t="s">
        <v>1806</v>
      </c>
      <c r="E543" s="4" t="s">
        <v>1806</v>
      </c>
      <c r="F543" s="6">
        <v>55</v>
      </c>
      <c r="G543" s="16" t="str">
        <f t="shared" si="8"/>
        <v>(541,'3016','تماسين','Temacine','Temacine',55),</v>
      </c>
    </row>
    <row r="544" spans="1:7" ht="20.100000000000001" customHeight="1" x14ac:dyDescent="0.25">
      <c r="A544" s="3">
        <v>542</v>
      </c>
      <c r="B544" s="8">
        <v>3019</v>
      </c>
      <c r="C544" s="4" t="s">
        <v>1815</v>
      </c>
      <c r="D544" s="4" t="s">
        <v>1814</v>
      </c>
      <c r="E544" s="4" t="s">
        <v>1814</v>
      </c>
      <c r="F544" s="6">
        <v>55</v>
      </c>
      <c r="G544" s="16" t="str">
        <f t="shared" si="8"/>
        <v>(542,'3019','المقارين','Megarine','Megarine',55),</v>
      </c>
    </row>
    <row r="545" spans="1:7" ht="20.100000000000001" customHeight="1" x14ac:dyDescent="0.25">
      <c r="A545" s="3">
        <v>543</v>
      </c>
      <c r="B545" s="8">
        <v>3302</v>
      </c>
      <c r="C545" s="4" t="s">
        <v>1081</v>
      </c>
      <c r="D545" s="4" t="s">
        <v>1082</v>
      </c>
      <c r="E545" s="4" t="s">
        <v>1082</v>
      </c>
      <c r="F545" s="6">
        <v>56</v>
      </c>
      <c r="G545" s="16" t="str">
        <f t="shared" si="8"/>
        <v>(543,'3302','جانت','Djanet','Djanet',56),</v>
      </c>
    </row>
    <row r="546" spans="1:7" ht="20.100000000000001" customHeight="1" x14ac:dyDescent="0.25">
      <c r="A546" s="3">
        <v>544</v>
      </c>
      <c r="B546" s="8">
        <v>3927</v>
      </c>
      <c r="C546" s="4" t="s">
        <v>1083</v>
      </c>
      <c r="D546" s="4" t="s">
        <v>1920</v>
      </c>
      <c r="E546" s="4" t="s">
        <v>1920</v>
      </c>
      <c r="F546" s="6">
        <v>57</v>
      </c>
      <c r="G546" s="16" t="str">
        <f t="shared" si="8"/>
        <v>(544,'3927','المغير','El Meghaier','El Meghaier',57),</v>
      </c>
    </row>
    <row r="547" spans="1:7" ht="20.100000000000001" customHeight="1" x14ac:dyDescent="0.25">
      <c r="A547" s="3">
        <v>545</v>
      </c>
      <c r="B547" s="8">
        <v>3928</v>
      </c>
      <c r="C547" s="4" t="s">
        <v>1917</v>
      </c>
      <c r="D547" s="4" t="s">
        <v>1916</v>
      </c>
      <c r="E547" s="4" t="s">
        <v>1916</v>
      </c>
      <c r="F547" s="6">
        <v>57</v>
      </c>
      <c r="G547" s="16" t="str">
        <f t="shared" si="8"/>
        <v>(545,'3928','جامعة','Djamaa','Djamaa',57),</v>
      </c>
    </row>
    <row r="548" spans="1:7" ht="20.100000000000001" customHeight="1" x14ac:dyDescent="0.25">
      <c r="A548" s="3">
        <v>546</v>
      </c>
      <c r="B548" s="8">
        <v>4702</v>
      </c>
      <c r="C548" s="4" t="s">
        <v>1085</v>
      </c>
      <c r="D548" s="4" t="s">
        <v>1086</v>
      </c>
      <c r="E548" s="4" t="s">
        <v>1086</v>
      </c>
      <c r="F548" s="6">
        <v>58</v>
      </c>
      <c r="G548" s="16" t="str">
        <f t="shared" si="8"/>
        <v>(546,'4702','المنيعة','El Menia','El Menia',58),</v>
      </c>
    </row>
    <row r="549" spans="1:7" ht="20.100000000000001" customHeight="1" x14ac:dyDescent="0.25">
      <c r="A549" s="3">
        <v>547</v>
      </c>
      <c r="B549" s="8">
        <v>4713</v>
      </c>
      <c r="C549" s="4" t="s">
        <v>1857</v>
      </c>
      <c r="D549" s="4" t="s">
        <v>1383</v>
      </c>
      <c r="E549" s="4" t="s">
        <v>1383</v>
      </c>
      <c r="F549" s="6">
        <v>58</v>
      </c>
      <c r="G549" s="16" t="str">
        <f t="shared" si="8"/>
        <v>(547,'4713','المنصورة','Mansourah','Mansourah',58),</v>
      </c>
    </row>
  </sheetData>
  <autoFilter ref="A2:G549"/>
  <phoneticPr fontId="2" type="noConversion"/>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70C0"/>
  </sheetPr>
  <dimension ref="A1:H1543"/>
  <sheetViews>
    <sheetView topLeftCell="A22" workbookViewId="0">
      <selection activeCell="G1008" sqref="G1008"/>
    </sheetView>
  </sheetViews>
  <sheetFormatPr baseColWidth="10" defaultColWidth="10.85546875" defaultRowHeight="15.75" x14ac:dyDescent="0.25"/>
  <cols>
    <col min="1" max="1" width="5.5703125" style="2" customWidth="1"/>
    <col min="2" max="2" width="10.5703125" style="2" customWidth="1"/>
    <col min="3" max="5" width="30.5703125" style="2" customWidth="1"/>
    <col min="6" max="7" width="10.5703125" style="2" customWidth="1"/>
    <col min="8" max="8" width="100.7109375" style="2" customWidth="1"/>
    <col min="9" max="16384" width="10.85546875" style="2"/>
  </cols>
  <sheetData>
    <row r="1" spans="1:8" ht="20.100000000000001" customHeight="1" x14ac:dyDescent="0.25">
      <c r="A1" s="1" t="s">
        <v>37</v>
      </c>
      <c r="B1" s="1" t="s">
        <v>54</v>
      </c>
      <c r="C1" s="1" t="s">
        <v>38</v>
      </c>
      <c r="D1" s="1" t="s">
        <v>39</v>
      </c>
      <c r="E1" s="1" t="s">
        <v>40</v>
      </c>
      <c r="F1" s="1" t="s">
        <v>2095</v>
      </c>
      <c r="G1" s="1" t="s">
        <v>4074</v>
      </c>
      <c r="H1" s="1" t="s">
        <v>5597</v>
      </c>
    </row>
    <row r="2" spans="1:8" ht="20.100000000000001" customHeight="1" x14ac:dyDescent="0.25">
      <c r="A2" s="1" t="s">
        <v>44</v>
      </c>
      <c r="B2" s="1" t="s">
        <v>41</v>
      </c>
      <c r="C2" s="1" t="s">
        <v>42</v>
      </c>
      <c r="D2" s="1" t="s">
        <v>43</v>
      </c>
      <c r="E2" s="1" t="s">
        <v>53</v>
      </c>
      <c r="F2" s="1" t="s">
        <v>2094</v>
      </c>
      <c r="G2" s="1" t="s">
        <v>4075</v>
      </c>
      <c r="H2" s="1" t="s">
        <v>5619</v>
      </c>
    </row>
    <row r="3" spans="1:8" ht="20.100000000000001" customHeight="1" x14ac:dyDescent="0.25">
      <c r="A3" s="3">
        <v>1</v>
      </c>
      <c r="B3" s="8">
        <v>1</v>
      </c>
      <c r="C3" s="4" t="s">
        <v>971</v>
      </c>
      <c r="D3" s="4" t="s">
        <v>973</v>
      </c>
      <c r="E3" s="4" t="s">
        <v>973</v>
      </c>
      <c r="F3" s="7">
        <v>1</v>
      </c>
      <c r="G3" s="7">
        <v>1</v>
      </c>
      <c r="H3" s="16" t="str">
        <f>CONCATENATE("(",A3,",'",B3,"','",C3,"','",D3,"','",E3,"',",F3,"),")</f>
        <v>(1,'1','أدرار','Adrar','Adrar',1),</v>
      </c>
    </row>
    <row r="4" spans="1:8" ht="20.100000000000001" customHeight="1" x14ac:dyDescent="0.25">
      <c r="A4" s="3">
        <v>2</v>
      </c>
      <c r="B4" s="8">
        <v>6</v>
      </c>
      <c r="C4" s="4" t="s">
        <v>2096</v>
      </c>
      <c r="D4" s="4" t="s">
        <v>2097</v>
      </c>
      <c r="E4" s="4" t="s">
        <v>2097</v>
      </c>
      <c r="F4" s="7">
        <v>1</v>
      </c>
      <c r="G4" s="7">
        <v>1</v>
      </c>
      <c r="H4" s="16" t="str">
        <f t="shared" ref="H4:H67" si="0">CONCATENATE("(",A4,",'",B4,"','",C4,"','",D4,"','",E4,"',",F4,"),")</f>
        <v>(2,'6','بودة','Bouda','Bouda',1),</v>
      </c>
    </row>
    <row r="5" spans="1:8" ht="20.100000000000001" customHeight="1" x14ac:dyDescent="0.25">
      <c r="A5" s="3">
        <v>3</v>
      </c>
      <c r="B5" s="8">
        <v>13</v>
      </c>
      <c r="C5" s="4" t="s">
        <v>2098</v>
      </c>
      <c r="D5" s="4" t="s">
        <v>2099</v>
      </c>
      <c r="E5" s="4" t="s">
        <v>2099</v>
      </c>
      <c r="F5" s="7">
        <v>1</v>
      </c>
      <c r="G5" s="7">
        <v>1</v>
      </c>
      <c r="H5" s="16" t="str">
        <f t="shared" si="0"/>
        <v>(3,'13','أولاد أحمد تيمي','Ouled Ahmed Timmi','Ouled Ahmed Timmi',1),</v>
      </c>
    </row>
    <row r="6" spans="1:8" ht="20.100000000000001" customHeight="1" x14ac:dyDescent="0.25">
      <c r="A6" s="3">
        <v>4</v>
      </c>
      <c r="B6" s="8">
        <v>16</v>
      </c>
      <c r="C6" s="4" t="s">
        <v>1124</v>
      </c>
      <c r="D6" s="4" t="s">
        <v>1123</v>
      </c>
      <c r="E6" s="4" t="s">
        <v>1123</v>
      </c>
      <c r="F6" s="7">
        <v>2</v>
      </c>
      <c r="G6" s="7">
        <v>1</v>
      </c>
      <c r="H6" s="16" t="str">
        <f t="shared" si="0"/>
        <v>(4,'16','رقان','Reggane','Reggane',2),</v>
      </c>
    </row>
    <row r="7" spans="1:8" ht="20.100000000000001" customHeight="1" x14ac:dyDescent="0.25">
      <c r="A7" s="3">
        <v>5</v>
      </c>
      <c r="B7" s="8">
        <v>17</v>
      </c>
      <c r="C7" s="4" t="s">
        <v>2100</v>
      </c>
      <c r="D7" s="4" t="s">
        <v>2101</v>
      </c>
      <c r="E7" s="4" t="s">
        <v>2101</v>
      </c>
      <c r="F7" s="7">
        <v>2</v>
      </c>
      <c r="G7" s="7">
        <v>1</v>
      </c>
      <c r="H7" s="16" t="str">
        <f t="shared" si="0"/>
        <v>(5,'17','سالي','Sali','Sali',2),</v>
      </c>
    </row>
    <row r="8" spans="1:8" ht="20.100000000000001" customHeight="1" x14ac:dyDescent="0.25">
      <c r="A8" s="3">
        <v>6</v>
      </c>
      <c r="B8" s="8">
        <v>18</v>
      </c>
      <c r="C8" s="4" t="s">
        <v>2102</v>
      </c>
      <c r="D8" s="4" t="s">
        <v>2103</v>
      </c>
      <c r="E8" s="4" t="s">
        <v>2103</v>
      </c>
      <c r="F8" s="7">
        <v>3</v>
      </c>
      <c r="G8" s="7">
        <v>1</v>
      </c>
      <c r="H8" s="16" t="str">
        <f t="shared" si="0"/>
        <v>(6,'18','السبع','Sebaa','Sebaa',3),</v>
      </c>
    </row>
    <row r="9" spans="1:8" ht="20.100000000000001" customHeight="1" x14ac:dyDescent="0.25">
      <c r="A9" s="3">
        <v>7</v>
      </c>
      <c r="B9" s="8">
        <v>27</v>
      </c>
      <c r="C9" s="4" t="s">
        <v>1126</v>
      </c>
      <c r="D9" s="4" t="s">
        <v>1125</v>
      </c>
      <c r="E9" s="4" t="s">
        <v>1125</v>
      </c>
      <c r="F9" s="7">
        <v>3</v>
      </c>
      <c r="G9" s="7">
        <v>1</v>
      </c>
      <c r="H9" s="16" t="str">
        <f t="shared" si="0"/>
        <v>(7,'27','تسابيت','Tsabit','Tsabit',3),</v>
      </c>
    </row>
    <row r="10" spans="1:8" ht="20.100000000000001" customHeight="1" x14ac:dyDescent="0.25">
      <c r="A10" s="3">
        <v>8</v>
      </c>
      <c r="B10" s="8">
        <v>10</v>
      </c>
      <c r="C10" s="4" t="s">
        <v>2104</v>
      </c>
      <c r="D10" s="4" t="s">
        <v>2105</v>
      </c>
      <c r="E10" s="4" t="s">
        <v>2105</v>
      </c>
      <c r="F10" s="7">
        <v>4</v>
      </c>
      <c r="G10" s="7">
        <v>1</v>
      </c>
      <c r="H10" s="16" t="str">
        <f t="shared" si="0"/>
        <v>(8,'10','إن زغمير','In Zghmir','In Zghmir',4),</v>
      </c>
    </row>
    <row r="11" spans="1:8" ht="20.100000000000001" customHeight="1" x14ac:dyDescent="0.25">
      <c r="A11" s="3">
        <v>9</v>
      </c>
      <c r="B11" s="8">
        <v>28</v>
      </c>
      <c r="C11" s="4" t="s">
        <v>1120</v>
      </c>
      <c r="D11" s="4" t="s">
        <v>2106</v>
      </c>
      <c r="E11" s="4" t="s">
        <v>2106</v>
      </c>
      <c r="F11" s="7">
        <v>4</v>
      </c>
      <c r="G11" s="7">
        <v>1</v>
      </c>
      <c r="H11" s="16" t="str">
        <f t="shared" si="0"/>
        <v>(9,'28','زاوية كنتة','Zaouiet Kounta','Zaouiet Kounta',4),</v>
      </c>
    </row>
    <row r="12" spans="1:8" ht="20.100000000000001" customHeight="1" x14ac:dyDescent="0.25">
      <c r="A12" s="3">
        <v>10</v>
      </c>
      <c r="B12" s="8">
        <v>2</v>
      </c>
      <c r="C12" s="4" t="s">
        <v>2107</v>
      </c>
      <c r="D12" s="4" t="s">
        <v>2108</v>
      </c>
      <c r="E12" s="4" t="s">
        <v>2108</v>
      </c>
      <c r="F12" s="7">
        <v>5</v>
      </c>
      <c r="G12" s="7">
        <v>1</v>
      </c>
      <c r="H12" s="16" t="str">
        <f t="shared" si="0"/>
        <v>(10,'2','اقبلي','Akabli','Akabli',5),</v>
      </c>
    </row>
    <row r="13" spans="1:8" ht="20.100000000000001" customHeight="1" x14ac:dyDescent="0.25">
      <c r="A13" s="3">
        <v>11</v>
      </c>
      <c r="B13" s="8">
        <v>4</v>
      </c>
      <c r="C13" s="4" t="s">
        <v>1111</v>
      </c>
      <c r="D13" s="4" t="s">
        <v>1110</v>
      </c>
      <c r="E13" s="4" t="s">
        <v>1110</v>
      </c>
      <c r="F13" s="7">
        <v>5</v>
      </c>
      <c r="G13" s="7">
        <v>1</v>
      </c>
      <c r="H13" s="16" t="str">
        <f t="shared" si="0"/>
        <v>(11,'4','أولف','Aoulef','Aoulef',5),</v>
      </c>
    </row>
    <row r="14" spans="1:8" ht="20.100000000000001" customHeight="1" x14ac:dyDescent="0.25">
      <c r="A14" s="3">
        <v>12</v>
      </c>
      <c r="B14" s="8">
        <v>22</v>
      </c>
      <c r="C14" s="4" t="s">
        <v>2109</v>
      </c>
      <c r="D14" s="4" t="s">
        <v>2110</v>
      </c>
      <c r="E14" s="4" t="s">
        <v>2110</v>
      </c>
      <c r="F14" s="7">
        <v>5</v>
      </c>
      <c r="G14" s="7">
        <v>1</v>
      </c>
      <c r="H14" s="16" t="str">
        <f t="shared" si="0"/>
        <v>(12,'22','تيمقتن','Timekten','Timekten',5),</v>
      </c>
    </row>
    <row r="15" spans="1:8" ht="20.100000000000001" customHeight="1" x14ac:dyDescent="0.25">
      <c r="A15" s="3">
        <v>13</v>
      </c>
      <c r="B15" s="8">
        <v>26</v>
      </c>
      <c r="C15" s="4" t="s">
        <v>2111</v>
      </c>
      <c r="D15" s="4" t="s">
        <v>2112</v>
      </c>
      <c r="E15" s="4" t="s">
        <v>2112</v>
      </c>
      <c r="F15" s="7">
        <v>5</v>
      </c>
      <c r="G15" s="7">
        <v>1</v>
      </c>
      <c r="H15" s="16" t="str">
        <f t="shared" si="0"/>
        <v>(13,'26','تيت','Tit','Tit',5),</v>
      </c>
    </row>
    <row r="16" spans="1:8" ht="20.100000000000001" customHeight="1" x14ac:dyDescent="0.25">
      <c r="A16" s="3">
        <v>14</v>
      </c>
      <c r="B16" s="8">
        <v>9</v>
      </c>
      <c r="C16" s="4" t="s">
        <v>1118</v>
      </c>
      <c r="D16" s="4" t="s">
        <v>1117</v>
      </c>
      <c r="E16" s="4" t="s">
        <v>1117</v>
      </c>
      <c r="F16" s="7">
        <v>6</v>
      </c>
      <c r="G16" s="7">
        <v>1</v>
      </c>
      <c r="H16" s="16" t="str">
        <f t="shared" si="0"/>
        <v>(14,'9','فنوغيل','Fenoughil','Fenoughil',6),</v>
      </c>
    </row>
    <row r="17" spans="1:8" ht="20.100000000000001" customHeight="1" x14ac:dyDescent="0.25">
      <c r="A17" s="3">
        <v>15</v>
      </c>
      <c r="B17" s="8">
        <v>20</v>
      </c>
      <c r="C17" s="4" t="s">
        <v>2113</v>
      </c>
      <c r="D17" s="4" t="s">
        <v>2114</v>
      </c>
      <c r="E17" s="4" t="s">
        <v>2114</v>
      </c>
      <c r="F17" s="7">
        <v>6</v>
      </c>
      <c r="G17" s="7">
        <v>1</v>
      </c>
      <c r="H17" s="16" t="str">
        <f t="shared" si="0"/>
        <v>(15,'20','تامنطيط','Tamantit','Tamantit',6),</v>
      </c>
    </row>
    <row r="18" spans="1:8" ht="20.100000000000001" customHeight="1" x14ac:dyDescent="0.25">
      <c r="A18" s="3">
        <v>16</v>
      </c>
      <c r="B18" s="8">
        <v>21</v>
      </c>
      <c r="C18" s="4" t="s">
        <v>2115</v>
      </c>
      <c r="D18" s="4" t="s">
        <v>2116</v>
      </c>
      <c r="E18" s="4" t="s">
        <v>2116</v>
      </c>
      <c r="F18" s="7">
        <v>6</v>
      </c>
      <c r="G18" s="7">
        <v>1</v>
      </c>
      <c r="H18" s="16" t="str">
        <f t="shared" si="0"/>
        <v>(16,'21','تامست','Tamest','Tamest',6),</v>
      </c>
    </row>
    <row r="19" spans="1:8" ht="20.100000000000001" customHeight="1" x14ac:dyDescent="0.25">
      <c r="A19" s="3">
        <v>17</v>
      </c>
      <c r="B19" s="8">
        <v>39</v>
      </c>
      <c r="C19" s="4" t="s">
        <v>974</v>
      </c>
      <c r="D19" s="4" t="s">
        <v>975</v>
      </c>
      <c r="E19" s="4" t="s">
        <v>975</v>
      </c>
      <c r="F19" s="7">
        <v>7</v>
      </c>
      <c r="G19" s="7">
        <v>2</v>
      </c>
      <c r="H19" s="16" t="str">
        <f t="shared" si="0"/>
        <v>(17,'39','الشلف','Chlef','Chlef',7),</v>
      </c>
    </row>
    <row r="20" spans="1:8" ht="20.100000000000001" customHeight="1" x14ac:dyDescent="0.25">
      <c r="A20" s="3">
        <v>18</v>
      </c>
      <c r="B20" s="8">
        <v>54</v>
      </c>
      <c r="C20" s="4" t="s">
        <v>2117</v>
      </c>
      <c r="D20" s="4" t="s">
        <v>2118</v>
      </c>
      <c r="E20" s="4" t="s">
        <v>2118</v>
      </c>
      <c r="F20" s="7">
        <v>7</v>
      </c>
      <c r="G20" s="7">
        <v>2</v>
      </c>
      <c r="H20" s="16" t="str">
        <f t="shared" si="0"/>
        <v>(18,'54','أم الدروع','Oum Drou','Oum Drou',7),</v>
      </c>
    </row>
    <row r="21" spans="1:8" ht="20.100000000000001" customHeight="1" x14ac:dyDescent="0.25">
      <c r="A21" s="3">
        <v>19</v>
      </c>
      <c r="B21" s="8">
        <v>55</v>
      </c>
      <c r="C21" s="4" t="s">
        <v>2119</v>
      </c>
      <c r="D21" s="4" t="s">
        <v>2120</v>
      </c>
      <c r="E21" s="4" t="s">
        <v>2120</v>
      </c>
      <c r="F21" s="7">
        <v>7</v>
      </c>
      <c r="G21" s="7">
        <v>2</v>
      </c>
      <c r="H21" s="16" t="str">
        <f t="shared" si="0"/>
        <v>(19,'55','سنجاس','Sendjas','Sendjas',7),</v>
      </c>
    </row>
    <row r="22" spans="1:8" ht="20.100000000000001" customHeight="1" x14ac:dyDescent="0.25">
      <c r="A22" s="3">
        <v>20</v>
      </c>
      <c r="B22" s="8">
        <v>56</v>
      </c>
      <c r="C22" s="4" t="s">
        <v>2121</v>
      </c>
      <c r="D22" s="4" t="s">
        <v>2122</v>
      </c>
      <c r="E22" s="4" t="s">
        <v>2122</v>
      </c>
      <c r="F22" s="7">
        <v>8</v>
      </c>
      <c r="G22" s="7">
        <v>2</v>
      </c>
      <c r="H22" s="16" t="str">
        <f t="shared" si="0"/>
        <v>(20,'56','سيدي عبد الرحمن','Sidi Abderrahmane','Sidi Abderrahmane',8),</v>
      </c>
    </row>
    <row r="23" spans="1:8" ht="20.100000000000001" customHeight="1" x14ac:dyDescent="0.25">
      <c r="A23" s="3">
        <v>21</v>
      </c>
      <c r="B23" s="8">
        <v>57</v>
      </c>
      <c r="C23" s="4" t="s">
        <v>2123</v>
      </c>
      <c r="D23" s="4" t="s">
        <v>2124</v>
      </c>
      <c r="E23" s="4" t="s">
        <v>2124</v>
      </c>
      <c r="F23" s="7">
        <v>8</v>
      </c>
      <c r="G23" s="7">
        <v>2</v>
      </c>
      <c r="H23" s="16" t="str">
        <f t="shared" si="0"/>
        <v>(21,'57','سيدي عكاشة','Sidi Akkacha','Sidi Akkacha',8),</v>
      </c>
    </row>
    <row r="24" spans="1:8" ht="20.100000000000001" customHeight="1" x14ac:dyDescent="0.25">
      <c r="A24" s="3">
        <v>22</v>
      </c>
      <c r="B24" s="8">
        <v>62</v>
      </c>
      <c r="C24" s="4" t="s">
        <v>1150</v>
      </c>
      <c r="D24" s="4" t="s">
        <v>1149</v>
      </c>
      <c r="E24" s="4" t="s">
        <v>1149</v>
      </c>
      <c r="F24" s="7">
        <v>8</v>
      </c>
      <c r="G24" s="7">
        <v>2</v>
      </c>
      <c r="H24" s="16" t="str">
        <f t="shared" si="0"/>
        <v>(22,'62','تنس','Tenes','Tenes',8),</v>
      </c>
    </row>
    <row r="25" spans="1:8" ht="20.100000000000001" customHeight="1" x14ac:dyDescent="0.25">
      <c r="A25" s="3">
        <v>23</v>
      </c>
      <c r="B25" s="8">
        <v>32</v>
      </c>
      <c r="C25" s="4" t="s">
        <v>2125</v>
      </c>
      <c r="D25" s="4" t="s">
        <v>2126</v>
      </c>
      <c r="E25" s="4" t="s">
        <v>2126</v>
      </c>
      <c r="F25" s="7">
        <v>9</v>
      </c>
      <c r="G25" s="7">
        <v>2</v>
      </c>
      <c r="H25" s="16" t="str">
        <f t="shared" si="0"/>
        <v>(23,'32','بني بوعتاب','Beni  Bouattab','Beni  Bouattab',9),</v>
      </c>
    </row>
    <row r="26" spans="1:8" ht="20.100000000000001" customHeight="1" x14ac:dyDescent="0.25">
      <c r="A26" s="3">
        <v>24</v>
      </c>
      <c r="B26" s="8">
        <v>42</v>
      </c>
      <c r="C26" s="4" t="s">
        <v>1134</v>
      </c>
      <c r="D26" s="4" t="s">
        <v>1133</v>
      </c>
      <c r="E26" s="4" t="s">
        <v>1133</v>
      </c>
      <c r="F26" s="7">
        <v>9</v>
      </c>
      <c r="G26" s="7">
        <v>2</v>
      </c>
      <c r="H26" s="16" t="str">
        <f t="shared" si="0"/>
        <v>(24,'42','الكريمية','El Karimia','El Karimia',9),</v>
      </c>
    </row>
    <row r="27" spans="1:8" ht="20.100000000000001" customHeight="1" x14ac:dyDescent="0.25">
      <c r="A27" s="3">
        <v>25</v>
      </c>
      <c r="B27" s="8">
        <v>44</v>
      </c>
      <c r="C27" s="4" t="s">
        <v>2127</v>
      </c>
      <c r="D27" s="4" t="s">
        <v>2128</v>
      </c>
      <c r="E27" s="4" t="s">
        <v>2128</v>
      </c>
      <c r="F27" s="7">
        <v>9</v>
      </c>
      <c r="G27" s="7">
        <v>2</v>
      </c>
      <c r="H27" s="16" t="str">
        <f t="shared" si="0"/>
        <v>(25,'44','حرشون','Harchoun','Harchoun',9),</v>
      </c>
    </row>
    <row r="28" spans="1:8" ht="20.100000000000001" customHeight="1" x14ac:dyDescent="0.25">
      <c r="A28" s="3">
        <v>26</v>
      </c>
      <c r="B28" s="8">
        <v>40</v>
      </c>
      <c r="C28" s="4" t="s">
        <v>2129</v>
      </c>
      <c r="D28" s="4" t="s">
        <v>2130</v>
      </c>
      <c r="E28" s="4" t="s">
        <v>2130</v>
      </c>
      <c r="F28" s="7">
        <v>10</v>
      </c>
      <c r="G28" s="7">
        <v>2</v>
      </c>
      <c r="H28" s="16" t="str">
        <f t="shared" si="0"/>
        <v>(26,'40','الظهرة','Dahra','Dahra',10),</v>
      </c>
    </row>
    <row r="29" spans="1:8" ht="20.100000000000001" customHeight="1" x14ac:dyDescent="0.25">
      <c r="A29" s="3">
        <v>27</v>
      </c>
      <c r="B29" s="8">
        <v>61</v>
      </c>
      <c r="C29" s="4" t="s">
        <v>1144</v>
      </c>
      <c r="D29" s="4" t="s">
        <v>1143</v>
      </c>
      <c r="E29" s="4" t="s">
        <v>1143</v>
      </c>
      <c r="F29" s="7">
        <v>10</v>
      </c>
      <c r="G29" s="7">
        <v>2</v>
      </c>
      <c r="H29" s="16" t="str">
        <f t="shared" si="0"/>
        <v>(27,'61','تاوقريت','Taougrit','Taougrit',10),</v>
      </c>
    </row>
    <row r="30" spans="1:8" ht="20.100000000000001" customHeight="1" x14ac:dyDescent="0.25">
      <c r="A30" s="3">
        <v>28</v>
      </c>
      <c r="B30" s="8">
        <v>33</v>
      </c>
      <c r="C30" s="4" t="s">
        <v>1136</v>
      </c>
      <c r="D30" s="4" t="s">
        <v>1135</v>
      </c>
      <c r="E30" s="4" t="s">
        <v>1135</v>
      </c>
      <c r="F30" s="7">
        <v>11</v>
      </c>
      <c r="G30" s="7">
        <v>2</v>
      </c>
      <c r="H30" s="16" t="str">
        <f t="shared" si="0"/>
        <v>(28,'33','بني حواء','Beni Haoua','Beni Haoua',11),</v>
      </c>
    </row>
    <row r="31" spans="1:8" ht="20.100000000000001" customHeight="1" x14ac:dyDescent="0.25">
      <c r="A31" s="3">
        <v>29</v>
      </c>
      <c r="B31" s="8">
        <v>37</v>
      </c>
      <c r="C31" s="4" t="s">
        <v>2131</v>
      </c>
      <c r="D31" s="4" t="s">
        <v>2132</v>
      </c>
      <c r="E31" s="4" t="s">
        <v>2132</v>
      </c>
      <c r="F31" s="7">
        <v>11</v>
      </c>
      <c r="G31" s="7">
        <v>2</v>
      </c>
      <c r="H31" s="16" t="str">
        <f t="shared" si="0"/>
        <v>(29,'37','بريرة','Breira','Breira',11),</v>
      </c>
    </row>
    <row r="32" spans="1:8" ht="20.100000000000001" customHeight="1" x14ac:dyDescent="0.25">
      <c r="A32" s="3">
        <v>30</v>
      </c>
      <c r="B32" s="8">
        <v>49</v>
      </c>
      <c r="C32" s="4" t="s">
        <v>2133</v>
      </c>
      <c r="D32" s="4" t="s">
        <v>2134</v>
      </c>
      <c r="E32" s="4" t="s">
        <v>2134</v>
      </c>
      <c r="F32" s="7">
        <v>11</v>
      </c>
      <c r="G32" s="7">
        <v>2</v>
      </c>
      <c r="H32" s="16" t="str">
        <f t="shared" si="0"/>
        <v>(30,'49','وادي قوسين','Oued Goussine','Oued Goussine',11),</v>
      </c>
    </row>
    <row r="33" spans="1:8" ht="20.100000000000001" customHeight="1" x14ac:dyDescent="0.25">
      <c r="A33" s="3">
        <v>31</v>
      </c>
      <c r="B33" s="8">
        <v>38</v>
      </c>
      <c r="C33" s="4" t="s">
        <v>2135</v>
      </c>
      <c r="D33" s="4" t="s">
        <v>2136</v>
      </c>
      <c r="E33" s="4" t="s">
        <v>2136</v>
      </c>
      <c r="F33" s="7">
        <v>12</v>
      </c>
      <c r="G33" s="7">
        <v>2</v>
      </c>
      <c r="H33" s="16" t="str">
        <f t="shared" si="0"/>
        <v>(31,'38','الشطية','Chettia','Chettia',12),</v>
      </c>
    </row>
    <row r="34" spans="1:8" ht="20.100000000000001" customHeight="1" x14ac:dyDescent="0.25">
      <c r="A34" s="3">
        <v>32</v>
      </c>
      <c r="B34" s="8">
        <v>46</v>
      </c>
      <c r="C34" s="4" t="s">
        <v>2137</v>
      </c>
      <c r="D34" s="4" t="s">
        <v>2138</v>
      </c>
      <c r="E34" s="4" t="s">
        <v>2138</v>
      </c>
      <c r="F34" s="7">
        <v>12</v>
      </c>
      <c r="G34" s="7">
        <v>2</v>
      </c>
      <c r="H34" s="16" t="str">
        <f t="shared" si="0"/>
        <v>(32,'46','الأبيض مجاجة','Labiod Medjadja','Labiod Medjadja',12),</v>
      </c>
    </row>
    <row r="35" spans="1:8" ht="20.100000000000001" customHeight="1" x14ac:dyDescent="0.25">
      <c r="A35" s="3">
        <v>33</v>
      </c>
      <c r="B35" s="8">
        <v>53</v>
      </c>
      <c r="C35" s="4" t="s">
        <v>1142</v>
      </c>
      <c r="D35" s="4" t="s">
        <v>1141</v>
      </c>
      <c r="E35" s="4" t="s">
        <v>1141</v>
      </c>
      <c r="F35" s="7">
        <v>12</v>
      </c>
      <c r="G35" s="7">
        <v>2</v>
      </c>
      <c r="H35" s="16" t="str">
        <f t="shared" si="0"/>
        <v>(33,'53','أولاد فارس','Ouled Fares','Ouled Fares',12),</v>
      </c>
    </row>
    <row r="36" spans="1:8" ht="20.100000000000001" customHeight="1" x14ac:dyDescent="0.25">
      <c r="A36" s="3">
        <v>34</v>
      </c>
      <c r="B36" s="8">
        <v>35</v>
      </c>
      <c r="C36" s="4" t="s">
        <v>1140</v>
      </c>
      <c r="D36" s="4" t="s">
        <v>1139</v>
      </c>
      <c r="E36" s="4" t="s">
        <v>1139</v>
      </c>
      <c r="F36" s="7">
        <v>13</v>
      </c>
      <c r="G36" s="7">
        <v>2</v>
      </c>
      <c r="H36" s="16" t="str">
        <f t="shared" si="0"/>
        <v>(34,'35','بوقادير','Boukadir','Boukadir',13),</v>
      </c>
    </row>
    <row r="37" spans="1:8" ht="20.100000000000001" customHeight="1" x14ac:dyDescent="0.25">
      <c r="A37" s="3">
        <v>35</v>
      </c>
      <c r="B37" s="8">
        <v>50</v>
      </c>
      <c r="C37" s="4" t="s">
        <v>2139</v>
      </c>
      <c r="D37" s="4" t="s">
        <v>2140</v>
      </c>
      <c r="E37" s="4" t="s">
        <v>2140</v>
      </c>
      <c r="F37" s="7">
        <v>13</v>
      </c>
      <c r="G37" s="7">
        <v>2</v>
      </c>
      <c r="H37" s="16" t="str">
        <f t="shared" si="0"/>
        <v>(35,'50','وادي سلي','Oued Sly','Oued Sly',13),</v>
      </c>
    </row>
    <row r="38" spans="1:8" ht="20.100000000000001" customHeight="1" x14ac:dyDescent="0.25">
      <c r="A38" s="3">
        <v>36</v>
      </c>
      <c r="B38" s="8">
        <v>58</v>
      </c>
      <c r="C38" s="4" t="s">
        <v>2141</v>
      </c>
      <c r="D38" s="4" t="s">
        <v>2142</v>
      </c>
      <c r="E38" s="4" t="s">
        <v>2142</v>
      </c>
      <c r="F38" s="7">
        <v>13</v>
      </c>
      <c r="G38" s="7">
        <v>2</v>
      </c>
      <c r="H38" s="16" t="str">
        <f t="shared" si="0"/>
        <v>(36,'58','الصبحة','Sobha','Sobha',13),</v>
      </c>
    </row>
    <row r="39" spans="1:8" ht="20.100000000000001" customHeight="1" x14ac:dyDescent="0.25">
      <c r="A39" s="3">
        <v>37</v>
      </c>
      <c r="B39" s="8">
        <v>31</v>
      </c>
      <c r="C39" s="4" t="s">
        <v>2143</v>
      </c>
      <c r="D39" s="4" t="s">
        <v>2144</v>
      </c>
      <c r="E39" s="4" t="s">
        <v>2144</v>
      </c>
      <c r="F39" s="7">
        <v>14</v>
      </c>
      <c r="G39" s="7">
        <v>2</v>
      </c>
      <c r="H39" s="16" t="str">
        <f t="shared" si="0"/>
        <v>(37,'31','بنايرية','Benairia','Benairia',14),</v>
      </c>
    </row>
    <row r="40" spans="1:8" ht="20.100000000000001" customHeight="1" x14ac:dyDescent="0.25">
      <c r="A40" s="3">
        <v>38</v>
      </c>
      <c r="B40" s="8">
        <v>36</v>
      </c>
      <c r="C40" s="4" t="s">
        <v>2145</v>
      </c>
      <c r="D40" s="4" t="s">
        <v>2146</v>
      </c>
      <c r="E40" s="4" t="s">
        <v>2146</v>
      </c>
      <c r="F40" s="7">
        <v>14</v>
      </c>
      <c r="G40" s="7">
        <v>2</v>
      </c>
      <c r="H40" s="16" t="str">
        <f t="shared" si="0"/>
        <v>(38,'36','بوزغاية','Bouzeghaia','Bouzeghaia',14),</v>
      </c>
    </row>
    <row r="41" spans="1:8" ht="20.100000000000001" customHeight="1" x14ac:dyDescent="0.25">
      <c r="A41" s="3">
        <v>39</v>
      </c>
      <c r="B41" s="8">
        <v>63</v>
      </c>
      <c r="C41" s="4" t="s">
        <v>1132</v>
      </c>
      <c r="D41" s="4" t="s">
        <v>1131</v>
      </c>
      <c r="E41" s="4" t="s">
        <v>1131</v>
      </c>
      <c r="F41" s="7">
        <v>14</v>
      </c>
      <c r="G41" s="7">
        <v>2</v>
      </c>
      <c r="H41" s="16" t="str">
        <f t="shared" si="0"/>
        <v>(39,'63','الزبوجة','Zeboudja','Zeboudja',14),</v>
      </c>
    </row>
    <row r="42" spans="1:8" ht="20.100000000000001" customHeight="1" x14ac:dyDescent="0.25">
      <c r="A42" s="3">
        <v>40</v>
      </c>
      <c r="B42" s="8">
        <v>29</v>
      </c>
      <c r="C42" s="4" t="s">
        <v>1128</v>
      </c>
      <c r="D42" s="4" t="s">
        <v>1127</v>
      </c>
      <c r="E42" s="4" t="s">
        <v>1127</v>
      </c>
      <c r="F42" s="7">
        <v>15</v>
      </c>
      <c r="G42" s="7">
        <v>2</v>
      </c>
      <c r="H42" s="16" t="str">
        <f t="shared" si="0"/>
        <v>(40,'29','أبو الحسن','Abou El Hassane','Abou El Hassane',15),</v>
      </c>
    </row>
    <row r="43" spans="1:8" ht="20.100000000000001" customHeight="1" x14ac:dyDescent="0.25">
      <c r="A43" s="3">
        <v>41</v>
      </c>
      <c r="B43" s="8">
        <v>59</v>
      </c>
      <c r="C43" s="4" t="s">
        <v>2147</v>
      </c>
      <c r="D43" s="4" t="s">
        <v>2148</v>
      </c>
      <c r="E43" s="4" t="s">
        <v>2148</v>
      </c>
      <c r="F43" s="7">
        <v>15</v>
      </c>
      <c r="G43" s="7">
        <v>2</v>
      </c>
      <c r="H43" s="16" t="str">
        <f t="shared" si="0"/>
        <v>(41,'59','تاجنة','Tadjena','Tadjena',15),</v>
      </c>
    </row>
    <row r="44" spans="1:8" ht="20.100000000000001" customHeight="1" x14ac:dyDescent="0.25">
      <c r="A44" s="3">
        <v>42</v>
      </c>
      <c r="B44" s="8">
        <v>60</v>
      </c>
      <c r="C44" s="4" t="s">
        <v>2149</v>
      </c>
      <c r="D44" s="4" t="s">
        <v>2150</v>
      </c>
      <c r="E44" s="4" t="s">
        <v>2150</v>
      </c>
      <c r="F44" s="7">
        <v>15</v>
      </c>
      <c r="G44" s="7">
        <v>2</v>
      </c>
      <c r="H44" s="16" t="str">
        <f t="shared" si="0"/>
        <v>(42,'60','تلعصة','Talassa','Talassa',15),</v>
      </c>
    </row>
    <row r="45" spans="1:8" ht="20.100000000000001" customHeight="1" x14ac:dyDescent="0.25">
      <c r="A45" s="3">
        <v>43</v>
      </c>
      <c r="B45" s="8">
        <v>43</v>
      </c>
      <c r="C45" s="4" t="s">
        <v>1148</v>
      </c>
      <c r="D45" s="4" t="s">
        <v>1147</v>
      </c>
      <c r="E45" s="4" t="s">
        <v>1147</v>
      </c>
      <c r="F45" s="7">
        <v>16</v>
      </c>
      <c r="G45" s="7">
        <v>2</v>
      </c>
      <c r="H45" s="16" t="str">
        <f t="shared" si="0"/>
        <v>(43,'43','المرسى','El Marsa','El Marsa',16),</v>
      </c>
    </row>
    <row r="46" spans="1:8" ht="20.100000000000001" customHeight="1" x14ac:dyDescent="0.25">
      <c r="A46" s="3">
        <v>44</v>
      </c>
      <c r="B46" s="8">
        <v>47</v>
      </c>
      <c r="C46" s="4" t="s">
        <v>2151</v>
      </c>
      <c r="D46" s="4" t="s">
        <v>2152</v>
      </c>
      <c r="E46" s="4" t="s">
        <v>2152</v>
      </c>
      <c r="F46" s="7">
        <v>16</v>
      </c>
      <c r="G46" s="7">
        <v>2</v>
      </c>
      <c r="H46" s="16" t="str">
        <f t="shared" si="0"/>
        <v>(44,'47','مصدق','Moussadek','Moussadek',16),</v>
      </c>
    </row>
    <row r="47" spans="1:8" ht="20.100000000000001" customHeight="1" x14ac:dyDescent="0.25">
      <c r="A47" s="3">
        <v>45</v>
      </c>
      <c r="B47" s="8">
        <v>34</v>
      </c>
      <c r="C47" s="4" t="s">
        <v>2153</v>
      </c>
      <c r="D47" s="4" t="s">
        <v>2154</v>
      </c>
      <c r="E47" s="4" t="s">
        <v>2154</v>
      </c>
      <c r="F47" s="7">
        <v>17</v>
      </c>
      <c r="G47" s="7">
        <v>2</v>
      </c>
      <c r="H47" s="16" t="str">
        <f t="shared" si="0"/>
        <v>(45,'34','بني راشد','Beni Rached','Beni Rached',17),</v>
      </c>
    </row>
    <row r="48" spans="1:8" ht="20.100000000000001" customHeight="1" x14ac:dyDescent="0.25">
      <c r="A48" s="3">
        <v>46</v>
      </c>
      <c r="B48" s="8">
        <v>48</v>
      </c>
      <c r="C48" s="4" t="s">
        <v>1138</v>
      </c>
      <c r="D48" s="4" t="s">
        <v>1137</v>
      </c>
      <c r="E48" s="4" t="s">
        <v>1137</v>
      </c>
      <c r="F48" s="7">
        <v>17</v>
      </c>
      <c r="G48" s="7">
        <v>2</v>
      </c>
      <c r="H48" s="16" t="str">
        <f t="shared" si="0"/>
        <v>(46,'48','وادي الفضة','Oued Fodda','Oued Fodda',17),</v>
      </c>
    </row>
    <row r="49" spans="1:8" ht="20.100000000000001" customHeight="1" x14ac:dyDescent="0.25">
      <c r="A49" s="3">
        <v>47</v>
      </c>
      <c r="B49" s="8">
        <v>51</v>
      </c>
      <c r="C49" s="4" t="s">
        <v>2155</v>
      </c>
      <c r="D49" s="4" t="s">
        <v>2156</v>
      </c>
      <c r="E49" s="4" t="s">
        <v>2156</v>
      </c>
      <c r="F49" s="7">
        <v>17</v>
      </c>
      <c r="G49" s="7">
        <v>2</v>
      </c>
      <c r="H49" s="16" t="str">
        <f t="shared" si="0"/>
        <v>(47,'51','أولاد عباس','Ouled Abbes','Ouled Abbes',17),</v>
      </c>
    </row>
    <row r="50" spans="1:8" ht="20.100000000000001" customHeight="1" x14ac:dyDescent="0.25">
      <c r="A50" s="3">
        <v>48</v>
      </c>
      <c r="B50" s="8">
        <v>41</v>
      </c>
      <c r="C50" s="4" t="s">
        <v>2157</v>
      </c>
      <c r="D50" s="4" t="s">
        <v>2158</v>
      </c>
      <c r="E50" s="4" t="s">
        <v>2158</v>
      </c>
      <c r="F50" s="7">
        <v>18</v>
      </c>
      <c r="G50" s="7">
        <v>2</v>
      </c>
      <c r="H50" s="16" t="str">
        <f t="shared" si="0"/>
        <v>(48,'41','الحجاج','El Hadjadj','El Hadjadj',18),</v>
      </c>
    </row>
    <row r="51" spans="1:8" ht="20.100000000000001" customHeight="1" x14ac:dyDescent="0.25">
      <c r="A51" s="3">
        <v>49</v>
      </c>
      <c r="B51" s="8">
        <v>52</v>
      </c>
      <c r="C51" s="4" t="s">
        <v>1146</v>
      </c>
      <c r="D51" s="4" t="s">
        <v>1145</v>
      </c>
      <c r="E51" s="4" t="s">
        <v>1145</v>
      </c>
      <c r="F51" s="7">
        <v>18</v>
      </c>
      <c r="G51" s="7">
        <v>2</v>
      </c>
      <c r="H51" s="16" t="str">
        <f t="shared" si="0"/>
        <v>(49,'52','أولاد بن عبد القادر','Ouled Ben Abdelkader','Ouled Ben Abdelkader',18),</v>
      </c>
    </row>
    <row r="52" spans="1:8" ht="20.100000000000001" customHeight="1" x14ac:dyDescent="0.25">
      <c r="A52" s="3">
        <v>50</v>
      </c>
      <c r="B52" s="8">
        <v>30</v>
      </c>
      <c r="C52" s="4" t="s">
        <v>1130</v>
      </c>
      <c r="D52" s="4" t="s">
        <v>1129</v>
      </c>
      <c r="E52" s="4" t="s">
        <v>1129</v>
      </c>
      <c r="F52" s="7">
        <v>19</v>
      </c>
      <c r="G52" s="7">
        <v>2</v>
      </c>
      <c r="H52" s="16" t="str">
        <f t="shared" si="0"/>
        <v>(50,'30','عين مران','Ain Merane','Ain Merane',19),</v>
      </c>
    </row>
    <row r="53" spans="1:8" ht="20.100000000000001" customHeight="1" x14ac:dyDescent="0.25">
      <c r="A53" s="3">
        <v>51</v>
      </c>
      <c r="B53" s="8">
        <v>45</v>
      </c>
      <c r="C53" s="4" t="s">
        <v>2159</v>
      </c>
      <c r="D53" s="4" t="s">
        <v>2160</v>
      </c>
      <c r="E53" s="4" t="s">
        <v>2160</v>
      </c>
      <c r="F53" s="7">
        <v>19</v>
      </c>
      <c r="G53" s="7">
        <v>2</v>
      </c>
      <c r="H53" s="16" t="str">
        <f t="shared" si="0"/>
        <v>(51,'45','الهرانفة','Herenfa','Herenfa',19),</v>
      </c>
    </row>
    <row r="54" spans="1:8" ht="20.100000000000001" customHeight="1" x14ac:dyDescent="0.25">
      <c r="A54" s="3">
        <v>52</v>
      </c>
      <c r="B54" s="8">
        <v>79</v>
      </c>
      <c r="C54" s="4" t="s">
        <v>976</v>
      </c>
      <c r="D54" s="4" t="s">
        <v>977</v>
      </c>
      <c r="E54" s="4" t="s">
        <v>977</v>
      </c>
      <c r="F54" s="7">
        <v>20</v>
      </c>
      <c r="G54" s="7">
        <v>3</v>
      </c>
      <c r="H54" s="16" t="str">
        <f t="shared" si="0"/>
        <v>(52,'79','الأغواط','Laghouat','Laghouat',20),</v>
      </c>
    </row>
    <row r="55" spans="1:8" ht="20.100000000000001" customHeight="1" x14ac:dyDescent="0.25">
      <c r="A55" s="3">
        <v>53</v>
      </c>
      <c r="B55" s="8">
        <v>68</v>
      </c>
      <c r="C55" s="4" t="s">
        <v>2161</v>
      </c>
      <c r="D55" s="4" t="s">
        <v>2162</v>
      </c>
      <c r="E55" s="4" t="s">
        <v>2162</v>
      </c>
      <c r="F55" s="7">
        <v>21</v>
      </c>
      <c r="G55" s="7">
        <v>3</v>
      </c>
      <c r="H55" s="16" t="str">
        <f t="shared" si="0"/>
        <v>(53,'68','بن ناصر بن شهرة','Benacer Benchohra','Benacer Benchohra',21),</v>
      </c>
    </row>
    <row r="56" spans="1:8" ht="20.100000000000001" customHeight="1" x14ac:dyDescent="0.25">
      <c r="A56" s="3">
        <v>54</v>
      </c>
      <c r="B56" s="8">
        <v>78</v>
      </c>
      <c r="C56" s="4" t="s">
        <v>1158</v>
      </c>
      <c r="D56" s="4" t="s">
        <v>1157</v>
      </c>
      <c r="E56" s="4" t="s">
        <v>1157</v>
      </c>
      <c r="F56" s="7">
        <v>21</v>
      </c>
      <c r="G56" s="7">
        <v>3</v>
      </c>
      <c r="H56" s="16" t="str">
        <f t="shared" si="0"/>
        <v>(54,'78','قصر الحيران','Ksar El Hirane','Ksar El Hirane',21),</v>
      </c>
    </row>
    <row r="57" spans="1:8" ht="20.100000000000001" customHeight="1" x14ac:dyDescent="0.25">
      <c r="A57" s="3">
        <v>55</v>
      </c>
      <c r="B57" s="8">
        <v>70</v>
      </c>
      <c r="C57" s="4" t="s">
        <v>2163</v>
      </c>
      <c r="D57" s="4" t="s">
        <v>2164</v>
      </c>
      <c r="E57" s="4" t="s">
        <v>2164</v>
      </c>
      <c r="F57" s="7">
        <v>22</v>
      </c>
      <c r="G57" s="7">
        <v>3</v>
      </c>
      <c r="H57" s="16" t="str">
        <f t="shared" si="0"/>
        <v>(55,'70','العسافية','El Assafia','El Assafia',22),</v>
      </c>
    </row>
    <row r="58" spans="1:8" ht="20.100000000000001" customHeight="1" x14ac:dyDescent="0.25">
      <c r="A58" s="3">
        <v>56</v>
      </c>
      <c r="B58" s="8">
        <v>84</v>
      </c>
      <c r="C58" s="4" t="s">
        <v>1162</v>
      </c>
      <c r="D58" s="4" t="s">
        <v>1161</v>
      </c>
      <c r="E58" s="4" t="s">
        <v>1161</v>
      </c>
      <c r="F58" s="7">
        <v>22</v>
      </c>
      <c r="G58" s="7">
        <v>3</v>
      </c>
      <c r="H58" s="16" t="str">
        <f t="shared" si="0"/>
        <v>(56,'84','سيدي مخلوف','Sidi Makhlouf','Sidi Makhlouf',22),</v>
      </c>
    </row>
    <row r="59" spans="1:8" ht="20.100000000000001" customHeight="1" x14ac:dyDescent="0.25">
      <c r="A59" s="3">
        <v>57</v>
      </c>
      <c r="B59" s="8">
        <v>75</v>
      </c>
      <c r="C59" s="4" t="s">
        <v>2165</v>
      </c>
      <c r="D59" s="4" t="s">
        <v>2166</v>
      </c>
      <c r="E59" s="4" t="s">
        <v>2166</v>
      </c>
      <c r="F59" s="7">
        <v>23</v>
      </c>
      <c r="G59" s="7">
        <v>3</v>
      </c>
      <c r="H59" s="16" t="str">
        <f t="shared" si="0"/>
        <v>(57,'75','حاسي الدلاعة','Hassi Delaa','Hassi Delaa',23),</v>
      </c>
    </row>
    <row r="60" spans="1:8" ht="20.100000000000001" customHeight="1" x14ac:dyDescent="0.25">
      <c r="A60" s="3">
        <v>58</v>
      </c>
      <c r="B60" s="8">
        <v>76</v>
      </c>
      <c r="C60" s="4" t="s">
        <v>1166</v>
      </c>
      <c r="D60" s="4" t="s">
        <v>5846</v>
      </c>
      <c r="E60" s="4" t="s">
        <v>5846</v>
      </c>
      <c r="F60" s="7">
        <v>23</v>
      </c>
      <c r="G60" s="7">
        <v>3</v>
      </c>
      <c r="H60" s="16" t="str">
        <f t="shared" si="0"/>
        <v>(58,'76','حاسي الرمل','Hassi R\'mel','Hassi R\'mel',23),</v>
      </c>
    </row>
    <row r="61" spans="1:8" ht="20.100000000000001" customHeight="1" x14ac:dyDescent="0.25">
      <c r="A61" s="3">
        <v>59</v>
      </c>
      <c r="B61" s="8">
        <v>65</v>
      </c>
      <c r="C61" s="4" t="s">
        <v>1154</v>
      </c>
      <c r="D61" s="4" t="s">
        <v>1153</v>
      </c>
      <c r="E61" s="4" t="s">
        <v>1153</v>
      </c>
      <c r="F61" s="7">
        <v>24</v>
      </c>
      <c r="G61" s="7">
        <v>3</v>
      </c>
      <c r="H61" s="16" t="str">
        <f t="shared" si="0"/>
        <v>(59,'65','عين ماضي','Ain Madhi','Ain Madhi',24),</v>
      </c>
    </row>
    <row r="62" spans="1:8" ht="20.100000000000001" customHeight="1" x14ac:dyDescent="0.25">
      <c r="A62" s="3">
        <v>60</v>
      </c>
      <c r="B62" s="8">
        <v>72</v>
      </c>
      <c r="C62" s="4" t="s">
        <v>2167</v>
      </c>
      <c r="D62" s="4" t="s">
        <v>2168</v>
      </c>
      <c r="E62" s="4" t="s">
        <v>2168</v>
      </c>
      <c r="F62" s="7">
        <v>24</v>
      </c>
      <c r="G62" s="7">
        <v>3</v>
      </c>
      <c r="H62" s="16" t="str">
        <f t="shared" si="0"/>
        <v>(60,'72','الحويطة','El Haouaita','El Haouaita',24),</v>
      </c>
    </row>
    <row r="63" spans="1:8" ht="20.100000000000001" customHeight="1" x14ac:dyDescent="0.25">
      <c r="A63" s="3">
        <v>61</v>
      </c>
      <c r="B63" s="8">
        <v>77</v>
      </c>
      <c r="C63" s="4" t="s">
        <v>2169</v>
      </c>
      <c r="D63" s="4" t="s">
        <v>2170</v>
      </c>
      <c r="E63" s="4" t="s">
        <v>2170</v>
      </c>
      <c r="F63" s="7">
        <v>24</v>
      </c>
      <c r="G63" s="7">
        <v>3</v>
      </c>
      <c r="H63" s="16" t="str">
        <f t="shared" si="0"/>
        <v>(61,'77','الخنق','Kheneg','Kheneg',24),</v>
      </c>
    </row>
    <row r="64" spans="1:8" ht="20.100000000000001" customHeight="1" x14ac:dyDescent="0.25">
      <c r="A64" s="3">
        <v>62</v>
      </c>
      <c r="B64" s="8">
        <v>85</v>
      </c>
      <c r="C64" s="4" t="s">
        <v>2171</v>
      </c>
      <c r="D64" s="4" t="s">
        <v>2172</v>
      </c>
      <c r="E64" s="4" t="s">
        <v>2172</v>
      </c>
      <c r="F64" s="7">
        <v>24</v>
      </c>
      <c r="G64" s="7">
        <v>3</v>
      </c>
      <c r="H64" s="16" t="str">
        <f t="shared" si="0"/>
        <v>(62,'85','تاجموت','Tadjemout','Tadjemout',24),</v>
      </c>
    </row>
    <row r="65" spans="1:8" ht="20.100000000000001" customHeight="1" x14ac:dyDescent="0.25">
      <c r="A65" s="3">
        <v>63</v>
      </c>
      <c r="B65" s="8">
        <v>86</v>
      </c>
      <c r="C65" s="4" t="s">
        <v>2173</v>
      </c>
      <c r="D65" s="4" t="s">
        <v>2174</v>
      </c>
      <c r="E65" s="4" t="s">
        <v>2174</v>
      </c>
      <c r="F65" s="7">
        <v>24</v>
      </c>
      <c r="G65" s="7">
        <v>3</v>
      </c>
      <c r="H65" s="16" t="str">
        <f t="shared" si="0"/>
        <v>(63,'86','تاجرونة','Tadjrouna','Tadjrouna',24),</v>
      </c>
    </row>
    <row r="66" spans="1:8" ht="20.100000000000001" customHeight="1" x14ac:dyDescent="0.25">
      <c r="A66" s="3">
        <v>64</v>
      </c>
      <c r="B66" s="8">
        <v>66</v>
      </c>
      <c r="C66" s="4" t="s">
        <v>2175</v>
      </c>
      <c r="D66" s="4" t="s">
        <v>2176</v>
      </c>
      <c r="E66" s="4" t="s">
        <v>2176</v>
      </c>
      <c r="F66" s="7">
        <v>25</v>
      </c>
      <c r="G66" s="7">
        <v>3</v>
      </c>
      <c r="H66" s="16" t="str">
        <f t="shared" si="0"/>
        <v>(64,'66','عين سيدي علي','Ain Sidi Ali','Ain Sidi Ali',25),</v>
      </c>
    </row>
    <row r="67" spans="1:8" ht="20.100000000000001" customHeight="1" x14ac:dyDescent="0.25">
      <c r="A67" s="3">
        <v>65</v>
      </c>
      <c r="B67" s="8">
        <v>67</v>
      </c>
      <c r="C67" s="4" t="s">
        <v>2177</v>
      </c>
      <c r="D67" s="4" t="s">
        <v>2178</v>
      </c>
      <c r="E67" s="4" t="s">
        <v>2178</v>
      </c>
      <c r="F67" s="7">
        <v>25</v>
      </c>
      <c r="G67" s="7">
        <v>3</v>
      </c>
      <c r="H67" s="16" t="str">
        <f t="shared" si="0"/>
        <v>(65,'67','البيضاء','El Beidha','El Beidha',25),</v>
      </c>
    </row>
    <row r="68" spans="1:8" ht="20.100000000000001" customHeight="1" x14ac:dyDescent="0.25">
      <c r="A68" s="3">
        <v>66</v>
      </c>
      <c r="B68" s="8">
        <v>73</v>
      </c>
      <c r="C68" s="4" t="s">
        <v>2179</v>
      </c>
      <c r="D68" s="4" t="s">
        <v>1155</v>
      </c>
      <c r="E68" s="4" t="s">
        <v>1155</v>
      </c>
      <c r="F68" s="7">
        <v>25</v>
      </c>
      <c r="G68" s="7">
        <v>3</v>
      </c>
      <c r="H68" s="16" t="str">
        <f t="shared" ref="H68:H131" si="1">CONCATENATE("(",A68,",'",B68,"','",C68,"','",D68,"','",E68,"',",F68,"),")</f>
        <v>(66,'73','قلتة سيدي سعد','Gueltat Sidi Saad','Gueltat Sidi Saad',25),</v>
      </c>
    </row>
    <row r="69" spans="1:8" ht="20.100000000000001" customHeight="1" x14ac:dyDescent="0.25">
      <c r="A69" s="3">
        <v>67</v>
      </c>
      <c r="B69" s="8">
        <v>69</v>
      </c>
      <c r="C69" s="4" t="s">
        <v>1160</v>
      </c>
      <c r="D69" s="4" t="s">
        <v>1159</v>
      </c>
      <c r="E69" s="4" t="s">
        <v>1159</v>
      </c>
      <c r="F69" s="7">
        <v>26</v>
      </c>
      <c r="G69" s="7">
        <v>3</v>
      </c>
      <c r="H69" s="16" t="str">
        <f t="shared" si="1"/>
        <v>(67,'69','بريدة','Brida','Brida',26),</v>
      </c>
    </row>
    <row r="70" spans="1:8" ht="20.100000000000001" customHeight="1" x14ac:dyDescent="0.25">
      <c r="A70" s="3">
        <v>68</v>
      </c>
      <c r="B70" s="8">
        <v>74</v>
      </c>
      <c r="C70" s="4" t="s">
        <v>2180</v>
      </c>
      <c r="D70" s="4" t="s">
        <v>2181</v>
      </c>
      <c r="E70" s="4" t="s">
        <v>2181</v>
      </c>
      <c r="F70" s="7">
        <v>26</v>
      </c>
      <c r="G70" s="7">
        <v>3</v>
      </c>
      <c r="H70" s="16" t="str">
        <f t="shared" si="1"/>
        <v>(68,'74','الحاج مشري','Hadj Mechri','Hadj Mechri',26),</v>
      </c>
    </row>
    <row r="71" spans="1:8" ht="20.100000000000001" customHeight="1" x14ac:dyDescent="0.25">
      <c r="A71" s="3">
        <v>69</v>
      </c>
      <c r="B71" s="8">
        <v>87</v>
      </c>
      <c r="C71" s="4" t="s">
        <v>2182</v>
      </c>
      <c r="D71" s="4" t="s">
        <v>2183</v>
      </c>
      <c r="E71" s="4" t="s">
        <v>2183</v>
      </c>
      <c r="F71" s="7">
        <v>26</v>
      </c>
      <c r="G71" s="7">
        <v>3</v>
      </c>
      <c r="H71" s="16" t="str">
        <f t="shared" si="1"/>
        <v>(69,'87','تاويالة','Taouiala','Taouiala',26),</v>
      </c>
    </row>
    <row r="72" spans="1:8" ht="20.100000000000001" customHeight="1" x14ac:dyDescent="0.25">
      <c r="A72" s="3">
        <v>70</v>
      </c>
      <c r="B72" s="8">
        <v>71</v>
      </c>
      <c r="C72" s="4" t="s">
        <v>1164</v>
      </c>
      <c r="D72" s="4" t="s">
        <v>1163</v>
      </c>
      <c r="E72" s="4" t="s">
        <v>1163</v>
      </c>
      <c r="F72" s="7">
        <v>27</v>
      </c>
      <c r="G72" s="7">
        <v>3</v>
      </c>
      <c r="H72" s="16" t="str">
        <f t="shared" si="1"/>
        <v>(70,'71','الغيشة','El Ghicha','El Ghicha',27),</v>
      </c>
    </row>
    <row r="73" spans="1:8" ht="20.100000000000001" customHeight="1" x14ac:dyDescent="0.25">
      <c r="A73" s="3">
        <v>71</v>
      </c>
      <c r="B73" s="8">
        <v>64</v>
      </c>
      <c r="C73" s="4" t="s">
        <v>1152</v>
      </c>
      <c r="D73" s="4" t="s">
        <v>1151</v>
      </c>
      <c r="E73" s="4" t="s">
        <v>1151</v>
      </c>
      <c r="F73" s="7">
        <v>28</v>
      </c>
      <c r="G73" s="7">
        <v>3</v>
      </c>
      <c r="H73" s="16" t="str">
        <f t="shared" si="1"/>
        <v>(71,'64','أفلو','Aflou','Aflou',28),</v>
      </c>
    </row>
    <row r="74" spans="1:8" ht="20.100000000000001" customHeight="1" x14ac:dyDescent="0.25">
      <c r="A74" s="3">
        <v>72</v>
      </c>
      <c r="B74" s="8">
        <v>82</v>
      </c>
      <c r="C74" s="4" t="s">
        <v>2184</v>
      </c>
      <c r="D74" s="4" t="s">
        <v>2185</v>
      </c>
      <c r="E74" s="4" t="s">
        <v>2185</v>
      </c>
      <c r="F74" s="7">
        <v>28</v>
      </c>
      <c r="G74" s="7">
        <v>3</v>
      </c>
      <c r="H74" s="16" t="str">
        <f t="shared" si="1"/>
        <v>(72,'82','سبقاق','Sebgag','Sebgag',28),</v>
      </c>
    </row>
    <row r="75" spans="1:8" ht="20.100000000000001" customHeight="1" x14ac:dyDescent="0.25">
      <c r="A75" s="3">
        <v>73</v>
      </c>
      <c r="B75" s="8">
        <v>83</v>
      </c>
      <c r="C75" s="4" t="s">
        <v>2186</v>
      </c>
      <c r="D75" s="4" t="s">
        <v>2187</v>
      </c>
      <c r="E75" s="4" t="s">
        <v>2187</v>
      </c>
      <c r="F75" s="7">
        <v>28</v>
      </c>
      <c r="G75" s="7">
        <v>3</v>
      </c>
      <c r="H75" s="16" t="str">
        <f t="shared" si="1"/>
        <v>(73,'83','سيدي بوزيد','Sidi Bouzid','Sidi Bouzid',28),</v>
      </c>
    </row>
    <row r="76" spans="1:8" ht="20.100000000000001" customHeight="1" x14ac:dyDescent="0.25">
      <c r="A76" s="3">
        <v>74</v>
      </c>
      <c r="B76" s="8">
        <v>80</v>
      </c>
      <c r="C76" s="4" t="s">
        <v>1168</v>
      </c>
      <c r="D76" s="4" t="s">
        <v>1167</v>
      </c>
      <c r="E76" s="4" t="s">
        <v>1167</v>
      </c>
      <c r="F76" s="7">
        <v>29</v>
      </c>
      <c r="G76" s="7">
        <v>3</v>
      </c>
      <c r="H76" s="16" t="str">
        <f t="shared" si="1"/>
        <v>(74,'80','وادي مرة','Oued Morra','Oued Morra',29),</v>
      </c>
    </row>
    <row r="77" spans="1:8" ht="20.100000000000001" customHeight="1" x14ac:dyDescent="0.25">
      <c r="A77" s="3">
        <v>75</v>
      </c>
      <c r="B77" s="8">
        <v>81</v>
      </c>
      <c r="C77" s="4" t="s">
        <v>2188</v>
      </c>
      <c r="D77" s="4" t="s">
        <v>5847</v>
      </c>
      <c r="E77" s="4" t="s">
        <v>5847</v>
      </c>
      <c r="F77" s="7">
        <v>29</v>
      </c>
      <c r="G77" s="7">
        <v>3</v>
      </c>
      <c r="H77" s="16" t="str">
        <f t="shared" si="1"/>
        <v>(75,'81','وادي مزي','Oued M\'zi','Oued M\'zi',29),</v>
      </c>
    </row>
    <row r="78" spans="1:8" ht="20.100000000000001" customHeight="1" x14ac:dyDescent="0.25">
      <c r="A78" s="3">
        <v>76</v>
      </c>
      <c r="B78" s="8">
        <v>94</v>
      </c>
      <c r="C78" s="4" t="s">
        <v>2189</v>
      </c>
      <c r="D78" s="4" t="s">
        <v>2190</v>
      </c>
      <c r="E78" s="4" t="s">
        <v>2190</v>
      </c>
      <c r="F78" s="7">
        <v>30</v>
      </c>
      <c r="G78" s="7">
        <v>4</v>
      </c>
      <c r="H78" s="16" t="str">
        <f t="shared" si="1"/>
        <v>(76,'94','عين الزيتون','Ain Zitoun','Ain Zitoun',30),</v>
      </c>
    </row>
    <row r="79" spans="1:8" ht="20.100000000000001" customHeight="1" x14ac:dyDescent="0.25">
      <c r="A79" s="3">
        <v>77</v>
      </c>
      <c r="B79" s="8">
        <v>112</v>
      </c>
      <c r="C79" s="4" t="s">
        <v>978</v>
      </c>
      <c r="D79" s="4" t="s">
        <v>979</v>
      </c>
      <c r="E79" s="4" t="s">
        <v>979</v>
      </c>
      <c r="F79" s="7">
        <v>30</v>
      </c>
      <c r="G79" s="7">
        <v>4</v>
      </c>
      <c r="H79" s="16" t="str">
        <f t="shared" si="1"/>
        <v>(77,'112','أم البواقي','Oum El Bouaghi','Oum El Bouaghi',30),</v>
      </c>
    </row>
    <row r="80" spans="1:8" ht="20.100000000000001" customHeight="1" x14ac:dyDescent="0.25">
      <c r="A80" s="3">
        <v>78</v>
      </c>
      <c r="B80" s="8">
        <v>89</v>
      </c>
      <c r="C80" s="4" t="s">
        <v>1172</v>
      </c>
      <c r="D80" s="4" t="s">
        <v>1171</v>
      </c>
      <c r="E80" s="4" t="s">
        <v>1171</v>
      </c>
      <c r="F80" s="7">
        <v>31</v>
      </c>
      <c r="G80" s="7">
        <v>4</v>
      </c>
      <c r="H80" s="16" t="str">
        <f t="shared" si="1"/>
        <v>(78,'89','عين البيضاء','Ain Beida','Ain Beida',31),</v>
      </c>
    </row>
    <row r="81" spans="1:8" ht="20.100000000000001" customHeight="1" x14ac:dyDescent="0.25">
      <c r="A81" s="3">
        <v>79</v>
      </c>
      <c r="B81" s="8">
        <v>96</v>
      </c>
      <c r="C81" s="4" t="s">
        <v>2191</v>
      </c>
      <c r="D81" s="4" t="s">
        <v>2192</v>
      </c>
      <c r="E81" s="4" t="s">
        <v>2192</v>
      </c>
      <c r="F81" s="7">
        <v>31</v>
      </c>
      <c r="G81" s="7">
        <v>4</v>
      </c>
      <c r="H81" s="16" t="str">
        <f t="shared" si="1"/>
        <v>(79,'96','بريش','Berriche','Berriche',31),</v>
      </c>
    </row>
    <row r="82" spans="1:8" ht="20.100000000000001" customHeight="1" x14ac:dyDescent="0.25">
      <c r="A82" s="3">
        <v>80</v>
      </c>
      <c r="B82" s="8">
        <v>116</v>
      </c>
      <c r="C82" s="4" t="s">
        <v>2193</v>
      </c>
      <c r="D82" s="4" t="s">
        <v>2194</v>
      </c>
      <c r="E82" s="4" t="s">
        <v>2194</v>
      </c>
      <c r="F82" s="7">
        <v>31</v>
      </c>
      <c r="G82" s="7">
        <v>4</v>
      </c>
      <c r="H82" s="16" t="str">
        <f t="shared" si="1"/>
        <v>(80,'116','الزرق','Zorg','Zorg',31),</v>
      </c>
    </row>
    <row r="83" spans="1:8" ht="20.100000000000001" customHeight="1" x14ac:dyDescent="0.25">
      <c r="A83" s="3">
        <v>81</v>
      </c>
      <c r="B83" s="8">
        <v>93</v>
      </c>
      <c r="C83" s="4" t="s">
        <v>1178</v>
      </c>
      <c r="D83" s="4" t="s">
        <v>5848</v>
      </c>
      <c r="E83" s="4" t="s">
        <v>5848</v>
      </c>
      <c r="F83" s="7">
        <v>32</v>
      </c>
      <c r="G83" s="7">
        <v>4</v>
      </c>
      <c r="H83" s="16" t="str">
        <f t="shared" si="1"/>
        <v>(81,'93','عين مليلة','Ain M\'lila','Ain M\'lila',32),</v>
      </c>
    </row>
    <row r="84" spans="1:8" ht="20.100000000000001" customHeight="1" x14ac:dyDescent="0.25">
      <c r="A84" s="3">
        <v>82</v>
      </c>
      <c r="B84" s="8">
        <v>109</v>
      </c>
      <c r="C84" s="4" t="s">
        <v>2195</v>
      </c>
      <c r="D84" s="4" t="s">
        <v>2196</v>
      </c>
      <c r="E84" s="4" t="s">
        <v>2196</v>
      </c>
      <c r="F84" s="7">
        <v>32</v>
      </c>
      <c r="G84" s="7">
        <v>4</v>
      </c>
      <c r="H84" s="16" t="str">
        <f t="shared" si="1"/>
        <v>(82,'109','أولاد قاسم','Ouled Gacem','Ouled Gacem',32),</v>
      </c>
    </row>
    <row r="85" spans="1:8" ht="20.100000000000001" customHeight="1" x14ac:dyDescent="0.25">
      <c r="A85" s="3">
        <v>83</v>
      </c>
      <c r="B85" s="8">
        <v>110</v>
      </c>
      <c r="C85" s="4" t="s">
        <v>2197</v>
      </c>
      <c r="D85" s="4" t="s">
        <v>2198</v>
      </c>
      <c r="E85" s="4" t="s">
        <v>2198</v>
      </c>
      <c r="F85" s="7">
        <v>32</v>
      </c>
      <c r="G85" s="7">
        <v>4</v>
      </c>
      <c r="H85" s="16" t="str">
        <f t="shared" si="1"/>
        <v>(83,'110','أولاد حملة','Ouled Hamla','Ouled Hamla',32),</v>
      </c>
    </row>
    <row r="86" spans="1:8" ht="20.100000000000001" customHeight="1" x14ac:dyDescent="0.25">
      <c r="A86" s="3">
        <v>84</v>
      </c>
      <c r="B86" s="8">
        <v>99</v>
      </c>
      <c r="C86" s="4" t="s">
        <v>2051</v>
      </c>
      <c r="D86" s="4" t="s">
        <v>2199</v>
      </c>
      <c r="E86" s="4" t="s">
        <v>2199</v>
      </c>
      <c r="F86" s="7">
        <v>33</v>
      </c>
      <c r="G86" s="7">
        <v>4</v>
      </c>
      <c r="H86" s="16" t="str">
        <f t="shared" si="1"/>
        <v>(84,'99','العامرية','El Amiria','El Amiria',33),</v>
      </c>
    </row>
    <row r="87" spans="1:8" ht="20.100000000000001" customHeight="1" x14ac:dyDescent="0.25">
      <c r="A87" s="3">
        <v>85</v>
      </c>
      <c r="B87" s="8">
        <v>114</v>
      </c>
      <c r="C87" s="4" t="s">
        <v>1186</v>
      </c>
      <c r="D87" s="4" t="s">
        <v>1185</v>
      </c>
      <c r="E87" s="4" t="s">
        <v>1185</v>
      </c>
      <c r="F87" s="7">
        <v>33</v>
      </c>
      <c r="G87" s="7">
        <v>4</v>
      </c>
      <c r="H87" s="16" t="str">
        <f t="shared" si="1"/>
        <v>(85,'114','سيقوس','Sigus','Sigus',33),</v>
      </c>
    </row>
    <row r="88" spans="1:8" ht="20.100000000000001" customHeight="1" x14ac:dyDescent="0.25">
      <c r="A88" s="3">
        <v>86</v>
      </c>
      <c r="B88" s="8">
        <v>88</v>
      </c>
      <c r="C88" s="4" t="s">
        <v>1170</v>
      </c>
      <c r="D88" s="4" t="s">
        <v>1169</v>
      </c>
      <c r="E88" s="4" t="s">
        <v>1169</v>
      </c>
      <c r="F88" s="7">
        <v>34</v>
      </c>
      <c r="G88" s="7">
        <v>4</v>
      </c>
      <c r="H88" s="16" t="str">
        <f t="shared" si="1"/>
        <v>(86,'88','عين ببوش','Ain Babouche','Ain Babouche',34),</v>
      </c>
    </row>
    <row r="89" spans="1:8" ht="20.100000000000001" customHeight="1" x14ac:dyDescent="0.25">
      <c r="A89" s="3">
        <v>87</v>
      </c>
      <c r="B89" s="8">
        <v>90</v>
      </c>
      <c r="C89" s="4" t="s">
        <v>2200</v>
      </c>
      <c r="D89" s="4" t="s">
        <v>2201</v>
      </c>
      <c r="E89" s="4" t="s">
        <v>2201</v>
      </c>
      <c r="F89" s="7">
        <v>34</v>
      </c>
      <c r="G89" s="7">
        <v>4</v>
      </c>
      <c r="H89" s="16" t="str">
        <f t="shared" si="1"/>
        <v>(87,'90','عين الديس','Ain Diss','Ain Diss',34),</v>
      </c>
    </row>
    <row r="90" spans="1:8" ht="20.100000000000001" customHeight="1" x14ac:dyDescent="0.25">
      <c r="A90" s="3">
        <v>88</v>
      </c>
      <c r="B90" s="8">
        <v>98</v>
      </c>
      <c r="C90" s="4" t="s">
        <v>1184</v>
      </c>
      <c r="D90" s="4" t="s">
        <v>1183</v>
      </c>
      <c r="E90" s="4" t="s">
        <v>1183</v>
      </c>
      <c r="F90" s="7">
        <v>35</v>
      </c>
      <c r="G90" s="7">
        <v>4</v>
      </c>
      <c r="H90" s="16" t="str">
        <f t="shared" si="1"/>
        <v>(88,'98','الضلعة','Dhalaa','Dhalaa',35),</v>
      </c>
    </row>
    <row r="91" spans="1:8" ht="20.100000000000001" customHeight="1" x14ac:dyDescent="0.25">
      <c r="A91" s="3">
        <v>89</v>
      </c>
      <c r="B91" s="8">
        <v>101</v>
      </c>
      <c r="C91" s="4" t="s">
        <v>2202</v>
      </c>
      <c r="D91" s="4" t="s">
        <v>2203</v>
      </c>
      <c r="E91" s="4" t="s">
        <v>2203</v>
      </c>
      <c r="F91" s="7">
        <v>35</v>
      </c>
      <c r="G91" s="7">
        <v>4</v>
      </c>
      <c r="H91" s="16" t="str">
        <f t="shared" si="1"/>
        <v>(89,'101','الجازية','El Djazia','El Djazia',35),</v>
      </c>
    </row>
    <row r="92" spans="1:8" ht="20.100000000000001" customHeight="1" x14ac:dyDescent="0.25">
      <c r="A92" s="3">
        <v>90</v>
      </c>
      <c r="B92" s="8">
        <v>92</v>
      </c>
      <c r="C92" s="4" t="s">
        <v>1176</v>
      </c>
      <c r="D92" s="4" t="s">
        <v>1175</v>
      </c>
      <c r="E92" s="4" t="s">
        <v>1175</v>
      </c>
      <c r="F92" s="7">
        <v>36</v>
      </c>
      <c r="G92" s="7">
        <v>4</v>
      </c>
      <c r="H92" s="16" t="str">
        <f t="shared" si="1"/>
        <v>(90,'92','عين كرشة','Ain Kercha','Ain Kercha',36),</v>
      </c>
    </row>
    <row r="93" spans="1:8" ht="20.100000000000001" customHeight="1" x14ac:dyDescent="0.25">
      <c r="A93" s="3">
        <v>91</v>
      </c>
      <c r="B93" s="8">
        <v>103</v>
      </c>
      <c r="C93" s="4" t="s">
        <v>2204</v>
      </c>
      <c r="D93" s="4" t="s">
        <v>2205</v>
      </c>
      <c r="E93" s="4" t="s">
        <v>2205</v>
      </c>
      <c r="F93" s="7">
        <v>36</v>
      </c>
      <c r="G93" s="7">
        <v>4</v>
      </c>
      <c r="H93" s="16" t="str">
        <f t="shared" si="1"/>
        <v>(91,'103','الحرملية','El Harmilia','El Harmilia',36),</v>
      </c>
    </row>
    <row r="94" spans="1:8" ht="20.100000000000001" customHeight="1" x14ac:dyDescent="0.25">
      <c r="A94" s="3">
        <v>92</v>
      </c>
      <c r="B94" s="8">
        <v>105</v>
      </c>
      <c r="C94" s="4" t="s">
        <v>2206</v>
      </c>
      <c r="D94" s="4" t="s">
        <v>2207</v>
      </c>
      <c r="E94" s="4" t="s">
        <v>2207</v>
      </c>
      <c r="F94" s="7">
        <v>36</v>
      </c>
      <c r="G94" s="7">
        <v>4</v>
      </c>
      <c r="H94" s="16" t="str">
        <f t="shared" si="1"/>
        <v>(92,'105','هنشير تومغني','Hanchir Toumghani','Hanchir Toumghani',36),</v>
      </c>
    </row>
    <row r="95" spans="1:8" ht="20.100000000000001" customHeight="1" x14ac:dyDescent="0.25">
      <c r="A95" s="3">
        <v>93</v>
      </c>
      <c r="B95" s="8">
        <v>104</v>
      </c>
      <c r="C95" s="4" t="s">
        <v>1188</v>
      </c>
      <c r="D95" s="4" t="s">
        <v>2208</v>
      </c>
      <c r="E95" s="4" t="s">
        <v>2208</v>
      </c>
      <c r="F95" s="7">
        <v>37</v>
      </c>
      <c r="G95" s="7">
        <v>4</v>
      </c>
      <c r="H95" s="16" t="str">
        <f t="shared" si="1"/>
        <v>(93,'104','فكيرينة','Fkirina','Fkirina',37),</v>
      </c>
    </row>
    <row r="96" spans="1:8" ht="20.100000000000001" customHeight="1" x14ac:dyDescent="0.25">
      <c r="A96" s="3">
        <v>94</v>
      </c>
      <c r="B96" s="8">
        <v>108</v>
      </c>
      <c r="C96" s="4" t="s">
        <v>2209</v>
      </c>
      <c r="D96" s="4" t="s">
        <v>2210</v>
      </c>
      <c r="E96" s="4" t="s">
        <v>2210</v>
      </c>
      <c r="F96" s="7">
        <v>37</v>
      </c>
      <c r="G96" s="7">
        <v>4</v>
      </c>
      <c r="H96" s="16" t="str">
        <f t="shared" si="1"/>
        <v>(94,'108','وادي نيني','Oued Nini','Oued Nini',37),</v>
      </c>
    </row>
    <row r="97" spans="1:8" ht="20.100000000000001" customHeight="1" x14ac:dyDescent="0.25">
      <c r="A97" s="3">
        <v>95</v>
      </c>
      <c r="B97" s="8">
        <v>97</v>
      </c>
      <c r="C97" s="4" t="s">
        <v>2211</v>
      </c>
      <c r="D97" s="4" t="s">
        <v>2212</v>
      </c>
      <c r="E97" s="4" t="s">
        <v>2212</v>
      </c>
      <c r="F97" s="7">
        <v>38</v>
      </c>
      <c r="G97" s="7">
        <v>4</v>
      </c>
      <c r="H97" s="16" t="str">
        <f t="shared" si="1"/>
        <v>(95,'97','بئر الشهداء','Bir Chouhada','Bir Chouhada',38),</v>
      </c>
    </row>
    <row r="98" spans="1:8" ht="20.100000000000001" customHeight="1" x14ac:dyDescent="0.25">
      <c r="A98" s="3">
        <v>96</v>
      </c>
      <c r="B98" s="8">
        <v>111</v>
      </c>
      <c r="C98" s="4" t="s">
        <v>2213</v>
      </c>
      <c r="D98" s="4" t="s">
        <v>2214</v>
      </c>
      <c r="E98" s="4" t="s">
        <v>2214</v>
      </c>
      <c r="F98" s="7">
        <v>38</v>
      </c>
      <c r="G98" s="7">
        <v>4</v>
      </c>
      <c r="H98" s="16" t="str">
        <f t="shared" si="1"/>
        <v>(96,'111','أولاد زواي','Ouled Zouai','Ouled Zouai',38),</v>
      </c>
    </row>
    <row r="99" spans="1:8" ht="20.100000000000001" customHeight="1" x14ac:dyDescent="0.25">
      <c r="A99" s="3">
        <v>97</v>
      </c>
      <c r="B99" s="8">
        <v>115</v>
      </c>
      <c r="C99" s="4" t="s">
        <v>1182</v>
      </c>
      <c r="D99" s="4" t="s">
        <v>1181</v>
      </c>
      <c r="E99" s="4" t="s">
        <v>1181</v>
      </c>
      <c r="F99" s="7">
        <v>38</v>
      </c>
      <c r="G99" s="7">
        <v>4</v>
      </c>
      <c r="H99" s="16" t="str">
        <f t="shared" si="1"/>
        <v>(97,'115','سوق نعمان','Souk Naamane','Souk Naamane',38),</v>
      </c>
    </row>
    <row r="100" spans="1:8" ht="20.100000000000001" customHeight="1" x14ac:dyDescent="0.25">
      <c r="A100" s="3">
        <v>98</v>
      </c>
      <c r="B100" s="8">
        <v>106</v>
      </c>
      <c r="C100" s="4" t="s">
        <v>1190</v>
      </c>
      <c r="D100" s="4" t="s">
        <v>1189</v>
      </c>
      <c r="E100" s="4" t="s">
        <v>1189</v>
      </c>
      <c r="F100" s="7">
        <v>39</v>
      </c>
      <c r="G100" s="7">
        <v>4</v>
      </c>
      <c r="H100" s="16" t="str">
        <f t="shared" si="1"/>
        <v>(98,'106','قصر الصباحي','Ksar Sbahi','Ksar Sbahi',39),</v>
      </c>
    </row>
    <row r="101" spans="1:8" ht="20.100000000000001" customHeight="1" x14ac:dyDescent="0.25">
      <c r="A101" s="3">
        <v>99</v>
      </c>
      <c r="B101" s="8">
        <v>95</v>
      </c>
      <c r="C101" s="4" t="s">
        <v>2215</v>
      </c>
      <c r="D101" s="4" t="s">
        <v>2216</v>
      </c>
      <c r="E101" s="4" t="s">
        <v>2216</v>
      </c>
      <c r="F101" s="7">
        <v>40</v>
      </c>
      <c r="G101" s="7">
        <v>4</v>
      </c>
      <c r="H101" s="16" t="str">
        <f t="shared" si="1"/>
        <v>(99,'95','بحير الشرقي','Behir Chergui','Behir Chergui',40),</v>
      </c>
    </row>
    <row r="102" spans="1:8" ht="20.100000000000001" customHeight="1" x14ac:dyDescent="0.25">
      <c r="A102" s="3">
        <v>100</v>
      </c>
      <c r="B102" s="8">
        <v>100</v>
      </c>
      <c r="C102" s="4" t="s">
        <v>2217</v>
      </c>
      <c r="D102" s="4" t="s">
        <v>2218</v>
      </c>
      <c r="E102" s="4" t="s">
        <v>2218</v>
      </c>
      <c r="F102" s="7">
        <v>40</v>
      </c>
      <c r="G102" s="7">
        <v>4</v>
      </c>
      <c r="H102" s="16" t="str">
        <f t="shared" si="1"/>
        <v>(100,'100','البلالة','El Belala','El Belala',40),</v>
      </c>
    </row>
    <row r="103" spans="1:8" ht="20.100000000000001" customHeight="1" x14ac:dyDescent="0.25">
      <c r="A103" s="3">
        <v>101</v>
      </c>
      <c r="B103" s="8">
        <v>107</v>
      </c>
      <c r="C103" s="4" t="s">
        <v>1180</v>
      </c>
      <c r="D103" s="4" t="s">
        <v>1179</v>
      </c>
      <c r="E103" s="4" t="s">
        <v>1179</v>
      </c>
      <c r="F103" s="7">
        <v>40</v>
      </c>
      <c r="G103" s="7">
        <v>4</v>
      </c>
      <c r="H103" s="16" t="str">
        <f t="shared" si="1"/>
        <v>(101,'107','مسكيانة','Meskiana','Meskiana',40),</v>
      </c>
    </row>
    <row r="104" spans="1:8" ht="20.100000000000001" customHeight="1" x14ac:dyDescent="0.25">
      <c r="A104" s="3">
        <v>102</v>
      </c>
      <c r="B104" s="8">
        <v>113</v>
      </c>
      <c r="C104" s="4" t="s">
        <v>2219</v>
      </c>
      <c r="D104" s="4" t="s">
        <v>2220</v>
      </c>
      <c r="E104" s="4" t="s">
        <v>2220</v>
      </c>
      <c r="F104" s="7">
        <v>40</v>
      </c>
      <c r="G104" s="7">
        <v>4</v>
      </c>
      <c r="H104" s="16" t="str">
        <f t="shared" si="1"/>
        <v>(102,'113','الرحية','Rahia','Rahia',40),</v>
      </c>
    </row>
    <row r="105" spans="1:8" ht="20.100000000000001" customHeight="1" x14ac:dyDescent="0.25">
      <c r="A105" s="3">
        <v>103</v>
      </c>
      <c r="B105" s="8">
        <v>91</v>
      </c>
      <c r="C105" s="4" t="s">
        <v>1174</v>
      </c>
      <c r="D105" s="4" t="s">
        <v>1173</v>
      </c>
      <c r="E105" s="4" t="s">
        <v>1173</v>
      </c>
      <c r="F105" s="7">
        <v>41</v>
      </c>
      <c r="G105" s="7">
        <v>4</v>
      </c>
      <c r="H105" s="16" t="str">
        <f t="shared" si="1"/>
        <v>(103,'91','عين فكرون','Ain Fekroun','Ain Fekroun',41),</v>
      </c>
    </row>
    <row r="106" spans="1:8" ht="20.100000000000001" customHeight="1" x14ac:dyDescent="0.25">
      <c r="A106" s="3">
        <v>104</v>
      </c>
      <c r="B106" s="8">
        <v>102</v>
      </c>
      <c r="C106" s="4" t="s">
        <v>2221</v>
      </c>
      <c r="D106" s="4" t="s">
        <v>2222</v>
      </c>
      <c r="E106" s="4" t="s">
        <v>2222</v>
      </c>
      <c r="F106" s="7">
        <v>41</v>
      </c>
      <c r="G106" s="7">
        <v>4</v>
      </c>
      <c r="H106" s="16" t="str">
        <f t="shared" si="1"/>
        <v>(104,'102','الفجوج بوغرارة سعودي','El Fedjoudj Boughrara Sa','El Fedjoudj Boughrara Sa',41),</v>
      </c>
    </row>
    <row r="107" spans="1:8" ht="20.100000000000001" customHeight="1" x14ac:dyDescent="0.25">
      <c r="A107" s="3">
        <v>105</v>
      </c>
      <c r="B107" s="8">
        <v>123</v>
      </c>
      <c r="C107" s="4" t="s">
        <v>980</v>
      </c>
      <c r="D107" s="4" t="s">
        <v>981</v>
      </c>
      <c r="E107" s="4" t="s">
        <v>981</v>
      </c>
      <c r="F107" s="7">
        <v>42</v>
      </c>
      <c r="G107" s="7">
        <v>5</v>
      </c>
      <c r="H107" s="16" t="str">
        <f t="shared" si="1"/>
        <v>(105,'123','باتنة','Batna','Batna',42),</v>
      </c>
    </row>
    <row r="108" spans="1:8" ht="20.100000000000001" customHeight="1" x14ac:dyDescent="0.25">
      <c r="A108" s="3">
        <v>106</v>
      </c>
      <c r="B108" s="8">
        <v>136</v>
      </c>
      <c r="C108" s="4" t="s">
        <v>2223</v>
      </c>
      <c r="D108" s="4" t="s">
        <v>2224</v>
      </c>
      <c r="E108" s="4" t="s">
        <v>2224</v>
      </c>
      <c r="F108" s="7">
        <v>42</v>
      </c>
      <c r="G108" s="7">
        <v>5</v>
      </c>
      <c r="H108" s="16" t="str">
        <f t="shared" si="1"/>
        <v>(106,'136','فسديس','Fesdis','Fesdis',42),</v>
      </c>
    </row>
    <row r="109" spans="1:8" ht="20.100000000000001" customHeight="1" x14ac:dyDescent="0.25">
      <c r="A109" s="3">
        <v>107</v>
      </c>
      <c r="B109" s="8">
        <v>154</v>
      </c>
      <c r="C109" s="4" t="s">
        <v>2225</v>
      </c>
      <c r="D109" s="4" t="s">
        <v>2226</v>
      </c>
      <c r="E109" s="4" t="s">
        <v>2226</v>
      </c>
      <c r="F109" s="7">
        <v>42</v>
      </c>
      <c r="G109" s="7">
        <v>5</v>
      </c>
      <c r="H109" s="16" t="str">
        <f t="shared" si="1"/>
        <v>(107,'154','وادي الشعبة','Oued Chaaba','Oued Chaaba',42),</v>
      </c>
    </row>
    <row r="110" spans="1:8" ht="20.100000000000001" customHeight="1" x14ac:dyDescent="0.25">
      <c r="A110" s="3">
        <v>108</v>
      </c>
      <c r="B110" s="8">
        <v>141</v>
      </c>
      <c r="C110" s="4" t="s">
        <v>2227</v>
      </c>
      <c r="D110" s="4" t="s">
        <v>2228</v>
      </c>
      <c r="E110" s="4" t="s">
        <v>2228</v>
      </c>
      <c r="F110" s="7">
        <v>43</v>
      </c>
      <c r="G110" s="7">
        <v>5</v>
      </c>
      <c r="H110" s="16" t="str">
        <f t="shared" si="1"/>
        <v>(108,'141','حيدوسة','Hidoussa','Hidoussa',43),</v>
      </c>
    </row>
    <row r="111" spans="1:8" ht="20.100000000000001" customHeight="1" x14ac:dyDescent="0.25">
      <c r="A111" s="3">
        <v>109</v>
      </c>
      <c r="B111" s="8">
        <v>145</v>
      </c>
      <c r="C111" s="4" t="s">
        <v>2229</v>
      </c>
      <c r="D111" s="4" t="s">
        <v>2230</v>
      </c>
      <c r="E111" s="4" t="s">
        <v>2230</v>
      </c>
      <c r="F111" s="7">
        <v>43</v>
      </c>
      <c r="G111" s="7">
        <v>5</v>
      </c>
      <c r="H111" s="16" t="str">
        <f t="shared" si="1"/>
        <v>(109,'145','قصر بلزمة','Ksar Bellezma','Ksar Bellezma',43),</v>
      </c>
    </row>
    <row r="112" spans="1:8" ht="20.100000000000001" customHeight="1" x14ac:dyDescent="0.25">
      <c r="A112" s="3">
        <v>110</v>
      </c>
      <c r="B112" s="8">
        <v>152</v>
      </c>
      <c r="C112" s="4" t="s">
        <v>1218</v>
      </c>
      <c r="D112" s="4" t="s">
        <v>1217</v>
      </c>
      <c r="E112" s="4" t="s">
        <v>1217</v>
      </c>
      <c r="F112" s="7">
        <v>43</v>
      </c>
      <c r="G112" s="7">
        <v>5</v>
      </c>
      <c r="H112" s="16" t="str">
        <f t="shared" si="1"/>
        <v>(110,'152','مروانة','Merouana','Merouana',43),</v>
      </c>
    </row>
    <row r="113" spans="1:8" ht="20.100000000000001" customHeight="1" x14ac:dyDescent="0.25">
      <c r="A113" s="3">
        <v>111</v>
      </c>
      <c r="B113" s="8">
        <v>155</v>
      </c>
      <c r="C113" s="4" t="s">
        <v>2231</v>
      </c>
      <c r="D113" s="4" t="s">
        <v>2232</v>
      </c>
      <c r="E113" s="4" t="s">
        <v>2232</v>
      </c>
      <c r="F113" s="7">
        <v>43</v>
      </c>
      <c r="G113" s="7">
        <v>5</v>
      </c>
      <c r="H113" s="16" t="str">
        <f t="shared" si="1"/>
        <v>(111,'155','وادي الماء','Oued El Ma','Oued El Ma',43),</v>
      </c>
    </row>
    <row r="114" spans="1:8" ht="20.100000000000001" customHeight="1" x14ac:dyDescent="0.25">
      <c r="A114" s="3">
        <v>112</v>
      </c>
      <c r="B114" s="8">
        <v>147</v>
      </c>
      <c r="C114" s="4" t="s">
        <v>2233</v>
      </c>
      <c r="D114" s="4" t="s">
        <v>2234</v>
      </c>
      <c r="E114" s="4" t="s">
        <v>2234</v>
      </c>
      <c r="F114" s="7">
        <v>44</v>
      </c>
      <c r="G114" s="7">
        <v>5</v>
      </c>
      <c r="H114" s="16" t="str">
        <f t="shared" si="1"/>
        <v>(112,'147','لازرو','Lazrou','Lazrou',44),</v>
      </c>
    </row>
    <row r="115" spans="1:8" ht="20.100000000000001" customHeight="1" x14ac:dyDescent="0.25">
      <c r="A115" s="3">
        <v>113</v>
      </c>
      <c r="B115" s="8">
        <v>167</v>
      </c>
      <c r="C115" s="4" t="s">
        <v>1220</v>
      </c>
      <c r="D115" s="4" t="s">
        <v>1219</v>
      </c>
      <c r="E115" s="4" t="s">
        <v>1219</v>
      </c>
      <c r="F115" s="7">
        <v>44</v>
      </c>
      <c r="G115" s="7">
        <v>5</v>
      </c>
      <c r="H115" s="16" t="str">
        <f t="shared" si="1"/>
        <v>(113,'167','سريانة','Seriana','Seriana',44),</v>
      </c>
    </row>
    <row r="116" spans="1:8" ht="20.100000000000001" customHeight="1" x14ac:dyDescent="0.25">
      <c r="A116" s="3">
        <v>114</v>
      </c>
      <c r="B116" s="8">
        <v>177</v>
      </c>
      <c r="C116" s="4" t="s">
        <v>2235</v>
      </c>
      <c r="D116" s="4" t="s">
        <v>2236</v>
      </c>
      <c r="E116" s="4" t="s">
        <v>2236</v>
      </c>
      <c r="F116" s="7">
        <v>44</v>
      </c>
      <c r="G116" s="7">
        <v>5</v>
      </c>
      <c r="H116" s="16" t="str">
        <f t="shared" si="1"/>
        <v>(114,'177','زانة البيضاء','Zanet El Beida','Zanet El Beida',44),</v>
      </c>
    </row>
    <row r="117" spans="1:8" ht="20.100000000000001" customHeight="1" x14ac:dyDescent="0.25">
      <c r="A117" s="3">
        <v>115</v>
      </c>
      <c r="B117" s="8">
        <v>151</v>
      </c>
      <c r="C117" s="4" t="s">
        <v>1224</v>
      </c>
      <c r="D117" s="4" t="s">
        <v>1223</v>
      </c>
      <c r="E117" s="4" t="s">
        <v>1223</v>
      </c>
      <c r="F117" s="7">
        <v>45</v>
      </c>
      <c r="G117" s="7">
        <v>5</v>
      </c>
      <c r="H117" s="16" t="str">
        <f t="shared" si="1"/>
        <v>(115,'151','منعة','Menaa','Menaa',45),</v>
      </c>
    </row>
    <row r="118" spans="1:8" ht="20.100000000000001" customHeight="1" x14ac:dyDescent="0.25">
      <c r="A118" s="3">
        <v>116</v>
      </c>
      <c r="B118" s="8">
        <v>174</v>
      </c>
      <c r="C118" s="4" t="s">
        <v>2237</v>
      </c>
      <c r="D118" s="4" t="s">
        <v>2238</v>
      </c>
      <c r="E118" s="4" t="s">
        <v>2238</v>
      </c>
      <c r="F118" s="7">
        <v>45</v>
      </c>
      <c r="G118" s="7">
        <v>5</v>
      </c>
      <c r="H118" s="16" t="str">
        <f t="shared" si="1"/>
        <v>(116,'174','تغرغار','Tigharghar','Tigharghar',45),</v>
      </c>
    </row>
    <row r="119" spans="1:8" ht="20.100000000000001" customHeight="1" x14ac:dyDescent="0.25">
      <c r="A119" s="3">
        <v>117</v>
      </c>
      <c r="B119" s="8">
        <v>119</v>
      </c>
      <c r="C119" s="4" t="s">
        <v>2239</v>
      </c>
      <c r="D119" s="4" t="s">
        <v>2240</v>
      </c>
      <c r="E119" s="4" t="s">
        <v>2240</v>
      </c>
      <c r="F119" s="7">
        <v>46</v>
      </c>
      <c r="G119" s="7">
        <v>5</v>
      </c>
      <c r="H119" s="16" t="str">
        <f t="shared" si="1"/>
        <v>(117,'119','عين ياقوت','Ain Yagout','Ain Yagout',46),</v>
      </c>
    </row>
    <row r="120" spans="1:8" ht="20.100000000000001" customHeight="1" x14ac:dyDescent="0.25">
      <c r="A120" s="3">
        <v>118</v>
      </c>
      <c r="B120" s="8">
        <v>128</v>
      </c>
      <c r="C120" s="4" t="s">
        <v>2241</v>
      </c>
      <c r="D120" s="4" t="s">
        <v>2242</v>
      </c>
      <c r="E120" s="4" t="s">
        <v>2242</v>
      </c>
      <c r="F120" s="7">
        <v>46</v>
      </c>
      <c r="G120" s="7">
        <v>5</v>
      </c>
      <c r="H120" s="16" t="str">
        <f t="shared" si="1"/>
        <v>(118,'128','بومية','Boumia','Boumia',46),</v>
      </c>
    </row>
    <row r="121" spans="1:8" ht="20.100000000000001" customHeight="1" x14ac:dyDescent="0.25">
      <c r="A121" s="3">
        <v>119</v>
      </c>
      <c r="B121" s="8">
        <v>132</v>
      </c>
      <c r="C121" s="4" t="s">
        <v>2243</v>
      </c>
      <c r="D121" s="4" t="s">
        <v>2244</v>
      </c>
      <c r="E121" s="4" t="s">
        <v>2244</v>
      </c>
      <c r="F121" s="7">
        <v>46</v>
      </c>
      <c r="G121" s="7">
        <v>5</v>
      </c>
      <c r="H121" s="16" t="str">
        <f t="shared" si="1"/>
        <v>(119,'132','جرمة','Djerma','Djerma',46),</v>
      </c>
    </row>
    <row r="122" spans="1:8" ht="20.100000000000001" customHeight="1" x14ac:dyDescent="0.25">
      <c r="A122" s="3">
        <v>120</v>
      </c>
      <c r="B122" s="8">
        <v>135</v>
      </c>
      <c r="C122" s="4" t="s">
        <v>1196</v>
      </c>
      <c r="D122" s="4" t="s">
        <v>1195</v>
      </c>
      <c r="E122" s="4" t="s">
        <v>1195</v>
      </c>
      <c r="F122" s="7">
        <v>46</v>
      </c>
      <c r="G122" s="7">
        <v>5</v>
      </c>
      <c r="H122" s="16" t="str">
        <f t="shared" si="1"/>
        <v>(120,'135','المعذر','El Madher','El Madher',46),</v>
      </c>
    </row>
    <row r="123" spans="1:8" ht="20.100000000000001" customHeight="1" x14ac:dyDescent="0.25">
      <c r="A123" s="3">
        <v>121</v>
      </c>
      <c r="B123" s="8">
        <v>162</v>
      </c>
      <c r="C123" s="4" t="s">
        <v>2245</v>
      </c>
      <c r="D123" s="4" t="s">
        <v>2246</v>
      </c>
      <c r="E123" s="4" t="s">
        <v>2246</v>
      </c>
      <c r="F123" s="7">
        <v>47</v>
      </c>
      <c r="G123" s="7">
        <v>5</v>
      </c>
      <c r="H123" s="16" t="str">
        <f t="shared" si="1"/>
        <v>(121,'162','عيون العصافير','Ouyoun El Assafir','Ouyoun El Assafir',47),</v>
      </c>
    </row>
    <row r="124" spans="1:8" ht="20.100000000000001" customHeight="1" x14ac:dyDescent="0.25">
      <c r="A124" s="3">
        <v>122</v>
      </c>
      <c r="B124" s="8">
        <v>171</v>
      </c>
      <c r="C124" s="4" t="s">
        <v>1228</v>
      </c>
      <c r="D124" s="4" t="s">
        <v>1227</v>
      </c>
      <c r="E124" s="4" t="s">
        <v>1227</v>
      </c>
      <c r="F124" s="7">
        <v>47</v>
      </c>
      <c r="G124" s="7">
        <v>5</v>
      </c>
      <c r="H124" s="16" t="str">
        <f t="shared" si="1"/>
        <v>(122,'171','تازولت','Tazoult','Tazoult',47),</v>
      </c>
    </row>
    <row r="125" spans="1:8" ht="20.100000000000001" customHeight="1" x14ac:dyDescent="0.25">
      <c r="A125" s="3">
        <v>123</v>
      </c>
      <c r="B125" s="8">
        <v>127</v>
      </c>
      <c r="C125" s="4" t="s">
        <v>2247</v>
      </c>
      <c r="D125" s="4" t="s">
        <v>2248</v>
      </c>
      <c r="E125" s="4" t="s">
        <v>2248</v>
      </c>
      <c r="F125" s="7">
        <v>48</v>
      </c>
      <c r="G125" s="7">
        <v>5</v>
      </c>
      <c r="H125" s="16" t="str">
        <f t="shared" si="1"/>
        <v>(123,'127','بومقر','Boumagueur','Boumagueur',48),</v>
      </c>
    </row>
    <row r="126" spans="1:8" ht="20.100000000000001" customHeight="1" x14ac:dyDescent="0.25">
      <c r="A126" s="3">
        <v>124</v>
      </c>
      <c r="B126" s="8">
        <v>153</v>
      </c>
      <c r="C126" s="4" t="s">
        <v>1206</v>
      </c>
      <c r="D126" s="4" t="s">
        <v>2249</v>
      </c>
      <c r="E126" s="4" t="s">
        <v>2249</v>
      </c>
      <c r="F126" s="7">
        <v>48</v>
      </c>
      <c r="G126" s="7">
        <v>5</v>
      </c>
      <c r="H126" s="16" t="str">
        <f t="shared" si="1"/>
        <v>(124,'153','نقاوس','N Gaous','N Gaous',48),</v>
      </c>
    </row>
    <row r="127" spans="1:8" ht="20.100000000000001" customHeight="1" x14ac:dyDescent="0.25">
      <c r="A127" s="3">
        <v>125</v>
      </c>
      <c r="B127" s="8">
        <v>165</v>
      </c>
      <c r="C127" s="4" t="s">
        <v>2250</v>
      </c>
      <c r="D127" s="4" t="s">
        <v>2251</v>
      </c>
      <c r="E127" s="4" t="s">
        <v>2251</v>
      </c>
      <c r="F127" s="7">
        <v>48</v>
      </c>
      <c r="G127" s="7">
        <v>5</v>
      </c>
      <c r="H127" s="16" t="str">
        <f t="shared" si="1"/>
        <v>(125,'165','سفيان','Sefiane','Sefiane',48),</v>
      </c>
    </row>
    <row r="128" spans="1:8" ht="20.100000000000001" customHeight="1" x14ac:dyDescent="0.25">
      <c r="A128" s="3">
        <v>126</v>
      </c>
      <c r="B128" s="8">
        <v>120</v>
      </c>
      <c r="C128" s="4" t="s">
        <v>1198</v>
      </c>
      <c r="D128" s="4" t="s">
        <v>1197</v>
      </c>
      <c r="E128" s="4" t="s">
        <v>1197</v>
      </c>
      <c r="F128" s="7">
        <v>49</v>
      </c>
      <c r="G128" s="7">
        <v>5</v>
      </c>
      <c r="H128" s="16" t="str">
        <f t="shared" si="1"/>
        <v>(126,'120','أريس','Arris','Arris',49),</v>
      </c>
    </row>
    <row r="129" spans="1:8" ht="20.100000000000001" customHeight="1" x14ac:dyDescent="0.25">
      <c r="A129" s="3">
        <v>127</v>
      </c>
      <c r="B129" s="8">
        <v>173</v>
      </c>
      <c r="C129" s="4" t="s">
        <v>2252</v>
      </c>
      <c r="D129" s="4" t="s">
        <v>2253</v>
      </c>
      <c r="E129" s="4" t="s">
        <v>2253</v>
      </c>
      <c r="F129" s="7">
        <v>49</v>
      </c>
      <c r="G129" s="7">
        <v>5</v>
      </c>
      <c r="H129" s="16" t="str">
        <f t="shared" si="1"/>
        <v>(127,'173','تيغانمين','Tighanimine','Tighanimine',49),</v>
      </c>
    </row>
    <row r="130" spans="1:8" ht="20.100000000000001" customHeight="1" x14ac:dyDescent="0.25">
      <c r="A130" s="3">
        <v>128</v>
      </c>
      <c r="B130" s="8">
        <v>117</v>
      </c>
      <c r="C130" s="4" t="s">
        <v>1192</v>
      </c>
      <c r="D130" s="4" t="s">
        <v>1191</v>
      </c>
      <c r="E130" s="4" t="s">
        <v>1191</v>
      </c>
      <c r="F130" s="7">
        <v>50</v>
      </c>
      <c r="G130" s="7">
        <v>5</v>
      </c>
      <c r="H130" s="16" t="str">
        <f t="shared" si="1"/>
        <v>(128,'117','عين جاسر','Ain Djasser','Ain Djasser',50),</v>
      </c>
    </row>
    <row r="131" spans="1:8" ht="20.100000000000001" customHeight="1" x14ac:dyDescent="0.25">
      <c r="A131" s="3">
        <v>129</v>
      </c>
      <c r="B131" s="8">
        <v>134</v>
      </c>
      <c r="C131" s="4" t="s">
        <v>2254</v>
      </c>
      <c r="D131" s="4" t="s">
        <v>2255</v>
      </c>
      <c r="E131" s="4" t="s">
        <v>2255</v>
      </c>
      <c r="F131" s="7">
        <v>50</v>
      </c>
      <c r="G131" s="7">
        <v>5</v>
      </c>
      <c r="H131" s="16" t="str">
        <f t="shared" si="1"/>
        <v>(129,'134','الحاسي','El Hassi','El Hassi',50),</v>
      </c>
    </row>
    <row r="132" spans="1:8" ht="20.100000000000001" customHeight="1" x14ac:dyDescent="0.25">
      <c r="A132" s="3">
        <v>130</v>
      </c>
      <c r="B132" s="8">
        <v>166</v>
      </c>
      <c r="C132" s="4" t="s">
        <v>1230</v>
      </c>
      <c r="D132" s="4" t="s">
        <v>1229</v>
      </c>
      <c r="E132" s="4" t="s">
        <v>1229</v>
      </c>
      <c r="F132" s="7">
        <v>51</v>
      </c>
      <c r="G132" s="7">
        <v>5</v>
      </c>
      <c r="H132" s="16" t="str">
        <f t="shared" ref="H132:H195" si="2">CONCATENATE("(",A132,",'",B132,"','",C132,"','",D132,"','",E132,"',",F132,"),")</f>
        <v>(130,'166','سقانة','Seggana','Seggana',51),</v>
      </c>
    </row>
    <row r="133" spans="1:8" ht="20.100000000000001" customHeight="1" x14ac:dyDescent="0.25">
      <c r="A133" s="3">
        <v>131</v>
      </c>
      <c r="B133" s="8">
        <v>175</v>
      </c>
      <c r="C133" s="4" t="s">
        <v>2256</v>
      </c>
      <c r="D133" s="4" t="s">
        <v>2257</v>
      </c>
      <c r="E133" s="4" t="s">
        <v>2257</v>
      </c>
      <c r="F133" s="7">
        <v>51</v>
      </c>
      <c r="G133" s="7">
        <v>5</v>
      </c>
      <c r="H133" s="16" t="str">
        <f t="shared" si="2"/>
        <v>(131,'175','تيلاطو','Tilatou','Tilatou',51),</v>
      </c>
    </row>
    <row r="134" spans="1:8" ht="20.100000000000001" customHeight="1" x14ac:dyDescent="0.25">
      <c r="A134" s="3">
        <v>132</v>
      </c>
      <c r="B134" s="8">
        <v>137</v>
      </c>
      <c r="C134" s="4" t="s">
        <v>2258</v>
      </c>
      <c r="D134" s="4" t="s">
        <v>2259</v>
      </c>
      <c r="E134" s="4" t="s">
        <v>2259</v>
      </c>
      <c r="F134" s="7">
        <v>52</v>
      </c>
      <c r="G134" s="7">
        <v>5</v>
      </c>
      <c r="H134" s="16" t="str">
        <f t="shared" si="2"/>
        <v>(132,'137','فم الطوب','Foum Toub','Foum Toub',52),</v>
      </c>
    </row>
    <row r="135" spans="1:8" ht="20.100000000000001" customHeight="1" x14ac:dyDescent="0.25">
      <c r="A135" s="3">
        <v>133</v>
      </c>
      <c r="B135" s="8">
        <v>142</v>
      </c>
      <c r="C135" s="4" t="s">
        <v>1212</v>
      </c>
      <c r="D135" s="4" t="s">
        <v>1211</v>
      </c>
      <c r="E135" s="4" t="s">
        <v>1211</v>
      </c>
      <c r="F135" s="7">
        <v>52</v>
      </c>
      <c r="G135" s="7">
        <v>5</v>
      </c>
      <c r="H135" s="16" t="str">
        <f t="shared" si="2"/>
        <v>(133,'142','إشمول','Ichemoul','Ichemoul',52),</v>
      </c>
    </row>
    <row r="136" spans="1:8" ht="20.100000000000001" customHeight="1" x14ac:dyDescent="0.25">
      <c r="A136" s="3">
        <v>134</v>
      </c>
      <c r="B136" s="8">
        <v>143</v>
      </c>
      <c r="C136" s="4" t="s">
        <v>2260</v>
      </c>
      <c r="D136" s="4" t="s">
        <v>2261</v>
      </c>
      <c r="E136" s="4" t="s">
        <v>2261</v>
      </c>
      <c r="F136" s="7">
        <v>52</v>
      </c>
      <c r="G136" s="7">
        <v>5</v>
      </c>
      <c r="H136" s="16" t="str">
        <f t="shared" si="2"/>
        <v>(134,'143','إينوغيسن','Inoughissen','Inoughissen',52),</v>
      </c>
    </row>
    <row r="137" spans="1:8" ht="20.100000000000001" customHeight="1" x14ac:dyDescent="0.25">
      <c r="A137" s="3">
        <v>135</v>
      </c>
      <c r="B137" s="8">
        <v>129</v>
      </c>
      <c r="C137" s="4" t="s">
        <v>1208</v>
      </c>
      <c r="D137" s="4" t="s">
        <v>1207</v>
      </c>
      <c r="E137" s="4" t="s">
        <v>1207</v>
      </c>
      <c r="F137" s="7">
        <v>53</v>
      </c>
      <c r="G137" s="7">
        <v>5</v>
      </c>
      <c r="H137" s="16" t="str">
        <f t="shared" si="2"/>
        <v>(135,'129','بوزينة','Bouzina','Bouzina',53),</v>
      </c>
    </row>
    <row r="138" spans="1:8" ht="20.100000000000001" customHeight="1" x14ac:dyDescent="0.25">
      <c r="A138" s="3">
        <v>136</v>
      </c>
      <c r="B138" s="8">
        <v>146</v>
      </c>
      <c r="C138" s="4" t="s">
        <v>2262</v>
      </c>
      <c r="D138" s="4" t="s">
        <v>1323</v>
      </c>
      <c r="E138" s="4" t="s">
        <v>1323</v>
      </c>
      <c r="F138" s="7">
        <v>53</v>
      </c>
      <c r="G138" s="7">
        <v>5</v>
      </c>
      <c r="H138" s="16" t="str">
        <f t="shared" si="2"/>
        <v>(136,'146','لارباع','Larbaa','Larbaa',53),</v>
      </c>
    </row>
    <row r="139" spans="1:8" ht="20.100000000000001" customHeight="1" x14ac:dyDescent="0.25">
      <c r="A139" s="3">
        <v>137</v>
      </c>
      <c r="B139" s="8">
        <v>126</v>
      </c>
      <c r="C139" s="4" t="s">
        <v>2263</v>
      </c>
      <c r="D139" s="4" t="s">
        <v>2264</v>
      </c>
      <c r="E139" s="4" t="s">
        <v>2264</v>
      </c>
      <c r="F139" s="7">
        <v>54</v>
      </c>
      <c r="G139" s="7">
        <v>5</v>
      </c>
      <c r="H139" s="16" t="str">
        <f t="shared" si="2"/>
        <v>(137,'126','بولهيلات','Boulhilat','Boulhilat',54),</v>
      </c>
    </row>
    <row r="140" spans="1:8" ht="20.100000000000001" customHeight="1" x14ac:dyDescent="0.25">
      <c r="A140" s="3">
        <v>138</v>
      </c>
      <c r="B140" s="8">
        <v>130</v>
      </c>
      <c r="C140" s="4" t="s">
        <v>1204</v>
      </c>
      <c r="D140" s="4" t="s">
        <v>1203</v>
      </c>
      <c r="E140" s="4" t="s">
        <v>1203</v>
      </c>
      <c r="F140" s="7">
        <v>54</v>
      </c>
      <c r="G140" s="7">
        <v>5</v>
      </c>
      <c r="H140" s="16" t="str">
        <f t="shared" si="2"/>
        <v>(138,'130','الشمرة','Chemora','Chemora',54),</v>
      </c>
    </row>
    <row r="141" spans="1:8" ht="20.100000000000001" customHeight="1" x14ac:dyDescent="0.25">
      <c r="A141" s="3">
        <v>139</v>
      </c>
      <c r="B141" s="8">
        <v>122</v>
      </c>
      <c r="C141" s="4" t="s">
        <v>1202</v>
      </c>
      <c r="D141" s="4" t="s">
        <v>1201</v>
      </c>
      <c r="E141" s="4" t="s">
        <v>1201</v>
      </c>
      <c r="F141" s="7">
        <v>55</v>
      </c>
      <c r="G141" s="7">
        <v>5</v>
      </c>
      <c r="H141" s="16" t="str">
        <f t="shared" si="2"/>
        <v>(139,'122','بريكة','Barika','Barika',55),</v>
      </c>
    </row>
    <row r="142" spans="1:8" ht="20.100000000000001" customHeight="1" x14ac:dyDescent="0.25">
      <c r="A142" s="3">
        <v>140</v>
      </c>
      <c r="B142" s="8">
        <v>125</v>
      </c>
      <c r="C142" s="4" t="s">
        <v>2265</v>
      </c>
      <c r="D142" s="4" t="s">
        <v>2266</v>
      </c>
      <c r="E142" s="4" t="s">
        <v>2266</v>
      </c>
      <c r="F142" s="7">
        <v>55</v>
      </c>
      <c r="G142" s="7">
        <v>5</v>
      </c>
      <c r="H142" s="16" t="str">
        <f t="shared" si="2"/>
        <v>(140,'125','بيطام','Bitam','Bitam',55),</v>
      </c>
    </row>
    <row r="143" spans="1:8" ht="20.100000000000001" customHeight="1" x14ac:dyDescent="0.25">
      <c r="A143" s="3">
        <v>141</v>
      </c>
      <c r="B143" s="8">
        <v>149</v>
      </c>
      <c r="C143" s="4" t="s">
        <v>2267</v>
      </c>
      <c r="D143" s="4" t="s">
        <v>2268</v>
      </c>
      <c r="E143" s="4" t="s">
        <v>2268</v>
      </c>
      <c r="F143" s="7">
        <v>55</v>
      </c>
      <c r="G143" s="7">
        <v>5</v>
      </c>
      <c r="H143" s="16" t="str">
        <f t="shared" si="2"/>
        <v>(141,'149','إمدوكل','M Doukal','M Doukal',55),</v>
      </c>
    </row>
    <row r="144" spans="1:8" ht="20.100000000000001" customHeight="1" x14ac:dyDescent="0.25">
      <c r="A144" s="3">
        <v>142</v>
      </c>
      <c r="B144" s="8">
        <v>121</v>
      </c>
      <c r="C144" s="4" t="s">
        <v>2269</v>
      </c>
      <c r="D144" s="4" t="s">
        <v>2270</v>
      </c>
      <c r="E144" s="4" t="s">
        <v>2270</v>
      </c>
      <c r="F144" s="7">
        <v>56</v>
      </c>
      <c r="G144" s="7">
        <v>5</v>
      </c>
      <c r="H144" s="16" t="str">
        <f t="shared" si="2"/>
        <v>(142,'121','عزيل عبد القادر','Azil Abedelkader','Azil Abedelkader',56),</v>
      </c>
    </row>
    <row r="145" spans="1:8" ht="20.100000000000001" customHeight="1" x14ac:dyDescent="0.25">
      <c r="A145" s="3">
        <v>143</v>
      </c>
      <c r="B145" s="8">
        <v>133</v>
      </c>
      <c r="C145" s="4" t="s">
        <v>1200</v>
      </c>
      <c r="D145" s="4" t="s">
        <v>1199</v>
      </c>
      <c r="E145" s="4" t="s">
        <v>1199</v>
      </c>
      <c r="F145" s="7">
        <v>56</v>
      </c>
      <c r="G145" s="7">
        <v>5</v>
      </c>
      <c r="H145" s="16" t="str">
        <f t="shared" si="2"/>
        <v>(143,'133','الجزار','Djezzar','Djezzar',56),</v>
      </c>
    </row>
    <row r="146" spans="1:8" ht="20.100000000000001" customHeight="1" x14ac:dyDescent="0.25">
      <c r="A146" s="3">
        <v>144</v>
      </c>
      <c r="B146" s="8">
        <v>157</v>
      </c>
      <c r="C146" s="4" t="s">
        <v>2271</v>
      </c>
      <c r="D146" s="4" t="s">
        <v>2272</v>
      </c>
      <c r="E146" s="4" t="s">
        <v>2272</v>
      </c>
      <c r="F146" s="7">
        <v>56</v>
      </c>
      <c r="G146" s="7">
        <v>5</v>
      </c>
      <c r="H146" s="16" t="str">
        <f t="shared" si="2"/>
        <v>(144,'157','أولاد عمار','Ouled Ammar','Ouled Ammar',56),</v>
      </c>
    </row>
    <row r="147" spans="1:8" ht="20.100000000000001" customHeight="1" x14ac:dyDescent="0.25">
      <c r="A147" s="3">
        <v>145</v>
      </c>
      <c r="B147" s="8">
        <v>138</v>
      </c>
      <c r="C147" s="4" t="s">
        <v>2273</v>
      </c>
      <c r="D147" s="4" t="s">
        <v>2274</v>
      </c>
      <c r="E147" s="4" t="s">
        <v>2274</v>
      </c>
      <c r="F147" s="7">
        <v>57</v>
      </c>
      <c r="G147" s="7">
        <v>5</v>
      </c>
      <c r="H147" s="16" t="str">
        <f t="shared" si="2"/>
        <v>(145,'138','غسيرة','Ghassira','Ghassira',57),</v>
      </c>
    </row>
    <row r="148" spans="1:8" ht="20.100000000000001" customHeight="1" x14ac:dyDescent="0.25">
      <c r="A148" s="3">
        <v>146</v>
      </c>
      <c r="B148" s="8">
        <v>144</v>
      </c>
      <c r="C148" s="4" t="s">
        <v>2275</v>
      </c>
      <c r="D148" s="4" t="s">
        <v>2276</v>
      </c>
      <c r="E148" s="4" t="s">
        <v>2276</v>
      </c>
      <c r="F148" s="7">
        <v>57</v>
      </c>
      <c r="G148" s="7">
        <v>5</v>
      </c>
      <c r="H148" s="16" t="str">
        <f t="shared" si="2"/>
        <v>(146,'144','كيمل','Kimmel','Kimmel',57),</v>
      </c>
    </row>
    <row r="149" spans="1:8" ht="20.100000000000001" customHeight="1" x14ac:dyDescent="0.25">
      <c r="A149" s="3">
        <v>147</v>
      </c>
      <c r="B149" s="8">
        <v>168</v>
      </c>
      <c r="C149" s="4" t="s">
        <v>1214</v>
      </c>
      <c r="D149" s="4" t="s">
        <v>2277</v>
      </c>
      <c r="E149" s="4" t="s">
        <v>2277</v>
      </c>
      <c r="F149" s="7">
        <v>57</v>
      </c>
      <c r="G149" s="7">
        <v>5</v>
      </c>
      <c r="H149" s="16" t="str">
        <f t="shared" si="2"/>
        <v>(147,'168','تكوت','T Kout','T Kout',57),</v>
      </c>
    </row>
    <row r="150" spans="1:8" ht="20.100000000000001" customHeight="1" x14ac:dyDescent="0.25">
      <c r="A150" s="3">
        <v>148</v>
      </c>
      <c r="B150" s="8">
        <v>118</v>
      </c>
      <c r="C150" s="4" t="s">
        <v>1194</v>
      </c>
      <c r="D150" s="4" t="s">
        <v>1193</v>
      </c>
      <c r="E150" s="4" t="s">
        <v>1193</v>
      </c>
      <c r="F150" s="7">
        <v>58</v>
      </c>
      <c r="G150" s="7">
        <v>5</v>
      </c>
      <c r="H150" s="16" t="str">
        <f t="shared" si="2"/>
        <v>(148,'118','عين التوتة','Ain Touta','Ain Touta',58),</v>
      </c>
    </row>
    <row r="151" spans="1:8" ht="20.100000000000001" customHeight="1" x14ac:dyDescent="0.25">
      <c r="A151" s="3">
        <v>149</v>
      </c>
      <c r="B151" s="8">
        <v>124</v>
      </c>
      <c r="C151" s="4" t="s">
        <v>2278</v>
      </c>
      <c r="D151" s="4" t="s">
        <v>2279</v>
      </c>
      <c r="E151" s="4" t="s">
        <v>2279</v>
      </c>
      <c r="F151" s="7">
        <v>58</v>
      </c>
      <c r="G151" s="7">
        <v>5</v>
      </c>
      <c r="H151" s="16" t="str">
        <f t="shared" si="2"/>
        <v>(149,'124','بني فضالة الحقانية','Beni Foudhala El Hakania','Beni Foudhala El Hakania',58),</v>
      </c>
    </row>
    <row r="152" spans="1:8" ht="20.100000000000001" customHeight="1" x14ac:dyDescent="0.25">
      <c r="A152" s="3">
        <v>150</v>
      </c>
      <c r="B152" s="8">
        <v>150</v>
      </c>
      <c r="C152" s="4" t="s">
        <v>2280</v>
      </c>
      <c r="D152" s="4" t="s">
        <v>2281</v>
      </c>
      <c r="E152" s="4" t="s">
        <v>2281</v>
      </c>
      <c r="F152" s="7">
        <v>58</v>
      </c>
      <c r="G152" s="7">
        <v>5</v>
      </c>
      <c r="H152" s="16" t="str">
        <f t="shared" si="2"/>
        <v>(150,'150','معافة','Maafa','Maafa',58),</v>
      </c>
    </row>
    <row r="153" spans="1:8" ht="20.100000000000001" customHeight="1" x14ac:dyDescent="0.25">
      <c r="A153" s="3">
        <v>151</v>
      </c>
      <c r="B153" s="8">
        <v>158</v>
      </c>
      <c r="C153" s="4" t="s">
        <v>2282</v>
      </c>
      <c r="D153" s="4" t="s">
        <v>2283</v>
      </c>
      <c r="E153" s="4" t="s">
        <v>2283</v>
      </c>
      <c r="F153" s="7">
        <v>58</v>
      </c>
      <c r="G153" s="7">
        <v>5</v>
      </c>
      <c r="H153" s="16" t="str">
        <f t="shared" si="2"/>
        <v>(151,'158','أولاد عوف','Ouled Aouf','Ouled Aouf',58),</v>
      </c>
    </row>
    <row r="154" spans="1:8" ht="20.100000000000001" customHeight="1" x14ac:dyDescent="0.25">
      <c r="A154" s="3">
        <v>152</v>
      </c>
      <c r="B154" s="8">
        <v>131</v>
      </c>
      <c r="C154" s="4" t="s">
        <v>2284</v>
      </c>
      <c r="D154" s="4" t="s">
        <v>2285</v>
      </c>
      <c r="E154" s="4" t="s">
        <v>2285</v>
      </c>
      <c r="F154" s="7">
        <v>59</v>
      </c>
      <c r="G154" s="7">
        <v>5</v>
      </c>
      <c r="H154" s="16" t="str">
        <f t="shared" si="2"/>
        <v>(152,'131','شير','Chir','Chir',59),</v>
      </c>
    </row>
    <row r="155" spans="1:8" ht="20.100000000000001" customHeight="1" x14ac:dyDescent="0.25">
      <c r="A155" s="3">
        <v>153</v>
      </c>
      <c r="B155" s="8">
        <v>156</v>
      </c>
      <c r="C155" s="4" t="s">
        <v>2286</v>
      </c>
      <c r="D155" s="4" t="s">
        <v>2287</v>
      </c>
      <c r="E155" s="4" t="s">
        <v>2287</v>
      </c>
      <c r="F155" s="7">
        <v>59</v>
      </c>
      <c r="G155" s="7">
        <v>5</v>
      </c>
      <c r="H155" s="16" t="str">
        <f t="shared" si="2"/>
        <v>(153,'156','وادي الطاقة','Oued Taga','Oued Taga',59),</v>
      </c>
    </row>
    <row r="156" spans="1:8" ht="20.100000000000001" customHeight="1" x14ac:dyDescent="0.25">
      <c r="A156" s="3">
        <v>154</v>
      </c>
      <c r="B156" s="8">
        <v>172</v>
      </c>
      <c r="C156" s="4" t="s">
        <v>1210</v>
      </c>
      <c r="D156" s="4" t="s">
        <v>2288</v>
      </c>
      <c r="E156" s="4" t="s">
        <v>2288</v>
      </c>
      <c r="F156" s="7">
        <v>59</v>
      </c>
      <c r="G156" s="7">
        <v>5</v>
      </c>
      <c r="H156" s="16" t="str">
        <f t="shared" si="2"/>
        <v>(154,'172','ثنية العابد','Teniet El Abed','Teniet El Abed',59),</v>
      </c>
    </row>
    <row r="157" spans="1:8" ht="20.100000000000001" customHeight="1" x14ac:dyDescent="0.25">
      <c r="A157" s="3">
        <v>155</v>
      </c>
      <c r="B157" s="8">
        <v>159</v>
      </c>
      <c r="C157" s="4" t="s">
        <v>2289</v>
      </c>
      <c r="D157" s="4" t="s">
        <v>2290</v>
      </c>
      <c r="E157" s="4" t="s">
        <v>2290</v>
      </c>
      <c r="F157" s="7">
        <v>60</v>
      </c>
      <c r="G157" s="7">
        <v>5</v>
      </c>
      <c r="H157" s="16" t="str">
        <f t="shared" si="2"/>
        <v>(155,'159','أولاد فاضل','Ouled Fadel','Ouled Fadel',60),</v>
      </c>
    </row>
    <row r="158" spans="1:8" ht="20.100000000000001" customHeight="1" x14ac:dyDescent="0.25">
      <c r="A158" s="3">
        <v>156</v>
      </c>
      <c r="B158" s="8">
        <v>176</v>
      </c>
      <c r="C158" s="4" t="s">
        <v>1226</v>
      </c>
      <c r="D158" s="4" t="s">
        <v>1225</v>
      </c>
      <c r="E158" s="4" t="s">
        <v>1225</v>
      </c>
      <c r="F158" s="7">
        <v>60</v>
      </c>
      <c r="G158" s="7">
        <v>5</v>
      </c>
      <c r="H158" s="16" t="str">
        <f t="shared" si="2"/>
        <v>(156,'176','تيمقاد','Timgad','Timgad',60),</v>
      </c>
    </row>
    <row r="159" spans="1:8" ht="20.100000000000001" customHeight="1" x14ac:dyDescent="0.25">
      <c r="A159" s="3">
        <v>157</v>
      </c>
      <c r="B159" s="8">
        <v>139</v>
      </c>
      <c r="C159" s="4" t="s">
        <v>2291</v>
      </c>
      <c r="D159" s="4" t="s">
        <v>2292</v>
      </c>
      <c r="E159" s="4" t="s">
        <v>2292</v>
      </c>
      <c r="F159" s="7">
        <v>61</v>
      </c>
      <c r="G159" s="7">
        <v>5</v>
      </c>
      <c r="H159" s="16" t="str">
        <f t="shared" si="2"/>
        <v>(157,'139','القصبات','Gosbat','Gosbat',61),</v>
      </c>
    </row>
    <row r="160" spans="1:8" ht="20.100000000000001" customHeight="1" x14ac:dyDescent="0.25">
      <c r="A160" s="3">
        <v>158</v>
      </c>
      <c r="B160" s="8">
        <v>140</v>
      </c>
      <c r="C160" s="4" t="s">
        <v>2293</v>
      </c>
      <c r="D160" s="4" t="s">
        <v>2294</v>
      </c>
      <c r="E160" s="4" t="s">
        <v>2294</v>
      </c>
      <c r="F160" s="7">
        <v>61</v>
      </c>
      <c r="G160" s="7">
        <v>5</v>
      </c>
      <c r="H160" s="16" t="str">
        <f t="shared" si="2"/>
        <v>(158,'140','القيقبة','Guigba','Guigba',61),</v>
      </c>
    </row>
    <row r="161" spans="1:8" ht="20.100000000000001" customHeight="1" x14ac:dyDescent="0.25">
      <c r="A161" s="3">
        <v>159</v>
      </c>
      <c r="B161" s="8">
        <v>160</v>
      </c>
      <c r="C161" s="4" t="s">
        <v>2295</v>
      </c>
      <c r="D161" s="4" t="s">
        <v>2296</v>
      </c>
      <c r="E161" s="4" t="s">
        <v>2296</v>
      </c>
      <c r="F161" s="7">
        <v>61</v>
      </c>
      <c r="G161" s="7">
        <v>5</v>
      </c>
      <c r="H161" s="16" t="str">
        <f t="shared" si="2"/>
        <v>(159,'160','أولاد سلام','Ouled Sellem','Ouled Sellem',61),</v>
      </c>
    </row>
    <row r="162" spans="1:8" ht="20.100000000000001" customHeight="1" x14ac:dyDescent="0.25">
      <c r="A162" s="3">
        <v>160</v>
      </c>
      <c r="B162" s="8">
        <v>163</v>
      </c>
      <c r="C162" s="4" t="s">
        <v>2297</v>
      </c>
      <c r="D162" s="4" t="s">
        <v>2298</v>
      </c>
      <c r="E162" s="4" t="s">
        <v>2298</v>
      </c>
      <c r="F162" s="7">
        <v>61</v>
      </c>
      <c r="G162" s="7">
        <v>5</v>
      </c>
      <c r="H162" s="16" t="str">
        <f t="shared" si="2"/>
        <v>(160,'163','الرحبات','Rahbat','Rahbat',61),</v>
      </c>
    </row>
    <row r="163" spans="1:8" ht="20.100000000000001" customHeight="1" x14ac:dyDescent="0.25">
      <c r="A163" s="3">
        <v>161</v>
      </c>
      <c r="B163" s="8">
        <v>164</v>
      </c>
      <c r="C163" s="4" t="s">
        <v>1216</v>
      </c>
      <c r="D163" s="4" t="s">
        <v>1215</v>
      </c>
      <c r="E163" s="4" t="s">
        <v>1215</v>
      </c>
      <c r="F163" s="7">
        <v>61</v>
      </c>
      <c r="G163" s="7">
        <v>5</v>
      </c>
      <c r="H163" s="16" t="str">
        <f t="shared" si="2"/>
        <v>(161,'164','رأس العيون','Ras El Aioun','Ras El Aioun',61),</v>
      </c>
    </row>
    <row r="164" spans="1:8" ht="20.100000000000001" customHeight="1" x14ac:dyDescent="0.25">
      <c r="A164" s="3">
        <v>162</v>
      </c>
      <c r="B164" s="8">
        <v>169</v>
      </c>
      <c r="C164" s="4" t="s">
        <v>2299</v>
      </c>
      <c r="D164" s="4" t="s">
        <v>2300</v>
      </c>
      <c r="E164" s="4" t="s">
        <v>2300</v>
      </c>
      <c r="F164" s="7">
        <v>61</v>
      </c>
      <c r="G164" s="7">
        <v>5</v>
      </c>
      <c r="H164" s="16" t="str">
        <f t="shared" si="2"/>
        <v>(162,'169','تالخمت','Talkhamt','Talkhamt',61),</v>
      </c>
    </row>
    <row r="165" spans="1:8" ht="20.100000000000001" customHeight="1" x14ac:dyDescent="0.25">
      <c r="A165" s="3">
        <v>163</v>
      </c>
      <c r="B165" s="8">
        <v>148</v>
      </c>
      <c r="C165" s="4" t="s">
        <v>2301</v>
      </c>
      <c r="D165" s="4" t="s">
        <v>2302</v>
      </c>
      <c r="E165" s="4" t="s">
        <v>2302</v>
      </c>
      <c r="F165" s="7">
        <v>62</v>
      </c>
      <c r="G165" s="7">
        <v>5</v>
      </c>
      <c r="H165" s="16" t="str">
        <f t="shared" si="2"/>
        <v>(163,'148','لمسان','Lemcene','Lemcene',62),</v>
      </c>
    </row>
    <row r="166" spans="1:8" ht="20.100000000000001" customHeight="1" x14ac:dyDescent="0.25">
      <c r="A166" s="3">
        <v>164</v>
      </c>
      <c r="B166" s="8">
        <v>161</v>
      </c>
      <c r="C166" s="4" t="s">
        <v>1222</v>
      </c>
      <c r="D166" s="4" t="s">
        <v>1221</v>
      </c>
      <c r="E166" s="4" t="s">
        <v>1221</v>
      </c>
      <c r="F166" s="7">
        <v>62</v>
      </c>
      <c r="G166" s="7">
        <v>5</v>
      </c>
      <c r="H166" s="16" t="str">
        <f t="shared" si="2"/>
        <v>(164,'161','أولاد سي سليمان','Ouled Si Slimane','Ouled Si Slimane',62),</v>
      </c>
    </row>
    <row r="167" spans="1:8" ht="20.100000000000001" customHeight="1" x14ac:dyDescent="0.25">
      <c r="A167" s="3">
        <v>165</v>
      </c>
      <c r="B167" s="8">
        <v>170</v>
      </c>
      <c r="C167" s="4" t="s">
        <v>2303</v>
      </c>
      <c r="D167" s="4" t="s">
        <v>2304</v>
      </c>
      <c r="E167" s="4" t="s">
        <v>2304</v>
      </c>
      <c r="F167" s="7">
        <v>62</v>
      </c>
      <c r="G167" s="7">
        <v>5</v>
      </c>
      <c r="H167" s="16" t="str">
        <f t="shared" si="2"/>
        <v>(165,'170','تاكسلانت','Taxlent','Taxlent',62),</v>
      </c>
    </row>
    <row r="168" spans="1:8" ht="20.100000000000001" customHeight="1" x14ac:dyDescent="0.25">
      <c r="A168" s="3">
        <v>166</v>
      </c>
      <c r="B168" s="8">
        <v>187</v>
      </c>
      <c r="C168" s="4" t="s">
        <v>982</v>
      </c>
      <c r="D168" s="4" t="s">
        <v>1091</v>
      </c>
      <c r="E168" s="4" t="s">
        <v>1091</v>
      </c>
      <c r="F168" s="7">
        <v>63</v>
      </c>
      <c r="G168" s="7">
        <v>6</v>
      </c>
      <c r="H168" s="16" t="str">
        <f t="shared" si="2"/>
        <v>(166,'187','بجاية','Bejaia','Bejaia',63),</v>
      </c>
    </row>
    <row r="169" spans="1:8" ht="20.100000000000001" customHeight="1" x14ac:dyDescent="0.25">
      <c r="A169" s="3">
        <v>167</v>
      </c>
      <c r="B169" s="8">
        <v>210</v>
      </c>
      <c r="C169" s="4" t="s">
        <v>2305</v>
      </c>
      <c r="D169" s="4" t="s">
        <v>2306</v>
      </c>
      <c r="E169" s="4" t="s">
        <v>2306</v>
      </c>
      <c r="F169" s="7">
        <v>63</v>
      </c>
      <c r="G169" s="7">
        <v>6</v>
      </c>
      <c r="H169" s="16" t="str">
        <f t="shared" si="2"/>
        <v>(167,'210','وادي غير','Oued Ghir','Oued Ghir',63),</v>
      </c>
    </row>
    <row r="170" spans="1:8" ht="20.100000000000001" customHeight="1" x14ac:dyDescent="0.25">
      <c r="A170" s="3">
        <v>168</v>
      </c>
      <c r="B170" s="8">
        <v>184</v>
      </c>
      <c r="C170" s="4" t="s">
        <v>1244</v>
      </c>
      <c r="D170" s="4" t="s">
        <v>1243</v>
      </c>
      <c r="E170" s="4" t="s">
        <v>1243</v>
      </c>
      <c r="F170" s="7">
        <v>64</v>
      </c>
      <c r="G170" s="7">
        <v>6</v>
      </c>
      <c r="H170" s="16" t="str">
        <f t="shared" si="2"/>
        <v>(168,'184','أميزور','Amizour','Amizour',64),</v>
      </c>
    </row>
    <row r="171" spans="1:8" ht="20.100000000000001" customHeight="1" x14ac:dyDescent="0.25">
      <c r="A171" s="3">
        <v>169</v>
      </c>
      <c r="B171" s="8">
        <v>188</v>
      </c>
      <c r="C171" s="4" t="s">
        <v>2307</v>
      </c>
      <c r="D171" s="4" t="s">
        <v>2308</v>
      </c>
      <c r="E171" s="4" t="s">
        <v>2308</v>
      </c>
      <c r="F171" s="7">
        <v>64</v>
      </c>
      <c r="G171" s="7">
        <v>6</v>
      </c>
      <c r="H171" s="16" t="str">
        <f t="shared" si="2"/>
        <v>(169,'188','بني جليل','Beni Djellil','Beni Djellil',64),</v>
      </c>
    </row>
    <row r="172" spans="1:8" ht="20.100000000000001" customHeight="1" x14ac:dyDescent="0.25">
      <c r="A172" s="3">
        <v>170</v>
      </c>
      <c r="B172" s="8">
        <v>202</v>
      </c>
      <c r="C172" s="4" t="s">
        <v>2309</v>
      </c>
      <c r="D172" s="4" t="s">
        <v>2310</v>
      </c>
      <c r="E172" s="4" t="s">
        <v>2310</v>
      </c>
      <c r="F172" s="7">
        <v>64</v>
      </c>
      <c r="G172" s="7">
        <v>6</v>
      </c>
      <c r="H172" s="16" t="str">
        <f t="shared" si="2"/>
        <v>(170,'202','فرعون','Feraoun','Feraoun',64),</v>
      </c>
    </row>
    <row r="173" spans="1:8" ht="20.100000000000001" customHeight="1" x14ac:dyDescent="0.25">
      <c r="A173" s="3">
        <v>171</v>
      </c>
      <c r="B173" s="8">
        <v>214</v>
      </c>
      <c r="C173" s="4" t="s">
        <v>2311</v>
      </c>
      <c r="D173" s="4" t="s">
        <v>2312</v>
      </c>
      <c r="E173" s="4" t="s">
        <v>2312</v>
      </c>
      <c r="F173" s="7">
        <v>64</v>
      </c>
      <c r="G173" s="7">
        <v>6</v>
      </c>
      <c r="H173" s="16" t="str">
        <f t="shared" si="2"/>
        <v>(171,'214','سمعون','Smaoun','Smaoun',64),</v>
      </c>
    </row>
    <row r="174" spans="1:8" ht="20.100000000000001" customHeight="1" x14ac:dyDescent="0.25">
      <c r="A174" s="3">
        <v>172</v>
      </c>
      <c r="B174" s="8">
        <v>226</v>
      </c>
      <c r="C174" s="4" t="s">
        <v>1266</v>
      </c>
      <c r="D174" s="4" t="s">
        <v>1265</v>
      </c>
      <c r="E174" s="4" t="s">
        <v>1265</v>
      </c>
      <c r="F174" s="7">
        <v>65</v>
      </c>
      <c r="G174" s="7">
        <v>6</v>
      </c>
      <c r="H174" s="16" t="str">
        <f t="shared" si="2"/>
        <v>(172,'226','تيمزريت','Timezrit','Timezrit',65),</v>
      </c>
    </row>
    <row r="175" spans="1:8" ht="20.100000000000001" customHeight="1" x14ac:dyDescent="0.25">
      <c r="A175" s="3">
        <v>173</v>
      </c>
      <c r="B175" s="8">
        <v>209</v>
      </c>
      <c r="C175" s="4" t="s">
        <v>2313</v>
      </c>
      <c r="D175" s="4" t="s">
        <v>2314</v>
      </c>
      <c r="E175" s="4" t="s">
        <v>2314</v>
      </c>
      <c r="F175" s="7">
        <v>66</v>
      </c>
      <c r="G175" s="7">
        <v>6</v>
      </c>
      <c r="H175" s="16" t="str">
        <f t="shared" si="2"/>
        <v>(173,'209','مالبو','Melbou','Melbou',66),</v>
      </c>
    </row>
    <row r="176" spans="1:8" ht="20.100000000000001" customHeight="1" x14ac:dyDescent="0.25">
      <c r="A176" s="3">
        <v>174</v>
      </c>
      <c r="B176" s="8">
        <v>215</v>
      </c>
      <c r="C176" s="4" t="s">
        <v>2315</v>
      </c>
      <c r="D176" s="4" t="s">
        <v>1263</v>
      </c>
      <c r="E176" s="4" t="s">
        <v>1263</v>
      </c>
      <c r="F176" s="7">
        <v>66</v>
      </c>
      <c r="G176" s="7">
        <v>6</v>
      </c>
      <c r="H176" s="16" t="str">
        <f t="shared" si="2"/>
        <v>(174,'215','سوق لإثنين','Souk El Tenine','Souk El Tenine',66),</v>
      </c>
    </row>
    <row r="177" spans="1:8" ht="20.100000000000001" customHeight="1" x14ac:dyDescent="0.25">
      <c r="A177" s="3">
        <v>175</v>
      </c>
      <c r="B177" s="8">
        <v>219</v>
      </c>
      <c r="C177" s="4" t="s">
        <v>2316</v>
      </c>
      <c r="D177" s="4" t="s">
        <v>2317</v>
      </c>
      <c r="E177" s="4" t="s">
        <v>2317</v>
      </c>
      <c r="F177" s="7">
        <v>66</v>
      </c>
      <c r="G177" s="7">
        <v>6</v>
      </c>
      <c r="H177" s="16" t="str">
        <f t="shared" si="2"/>
        <v>(175,'219','تامريجت','Tamridjet','Tamridjet',66),</v>
      </c>
    </row>
    <row r="178" spans="1:8" ht="20.100000000000001" customHeight="1" x14ac:dyDescent="0.25">
      <c r="A178" s="3">
        <v>176</v>
      </c>
      <c r="B178" s="8">
        <v>194</v>
      </c>
      <c r="C178" s="4" t="s">
        <v>2318</v>
      </c>
      <c r="D178" s="4" t="s">
        <v>2319</v>
      </c>
      <c r="E178" s="4" t="s">
        <v>2319</v>
      </c>
      <c r="F178" s="7">
        <v>67</v>
      </c>
      <c r="G178" s="7">
        <v>6</v>
      </c>
      <c r="H178" s="16" t="str">
        <f t="shared" si="2"/>
        <v>(176,'194','بوخليفة','Boukhelifa','Boukhelifa',67),</v>
      </c>
    </row>
    <row r="179" spans="1:8" ht="20.100000000000001" customHeight="1" x14ac:dyDescent="0.25">
      <c r="A179" s="3">
        <v>177</v>
      </c>
      <c r="B179" s="8">
        <v>217</v>
      </c>
      <c r="C179" s="4" t="s">
        <v>2320</v>
      </c>
      <c r="D179" s="4" t="s">
        <v>2321</v>
      </c>
      <c r="E179" s="4" t="s">
        <v>2321</v>
      </c>
      <c r="F179" s="7">
        <v>67</v>
      </c>
      <c r="G179" s="7">
        <v>6</v>
      </c>
      <c r="H179" s="16" t="str">
        <f t="shared" si="2"/>
        <v>(177,'217','تالة حمزة','Tala Hamza','Tala Hamza',67),</v>
      </c>
    </row>
    <row r="180" spans="1:8" ht="20.100000000000001" customHeight="1" x14ac:dyDescent="0.25">
      <c r="A180" s="3">
        <v>178</v>
      </c>
      <c r="B180" s="8">
        <v>224</v>
      </c>
      <c r="C180" s="4" t="s">
        <v>1254</v>
      </c>
      <c r="D180" s="4" t="s">
        <v>1253</v>
      </c>
      <c r="E180" s="4" t="s">
        <v>1253</v>
      </c>
      <c r="F180" s="7">
        <v>67</v>
      </c>
      <c r="G180" s="7">
        <v>6</v>
      </c>
      <c r="H180" s="16" t="str">
        <f t="shared" si="2"/>
        <v>(178,'224','تيشي','Tichy','Tichy',67),</v>
      </c>
    </row>
    <row r="181" spans="1:8" ht="20.100000000000001" customHeight="1" x14ac:dyDescent="0.25">
      <c r="A181" s="3">
        <v>179</v>
      </c>
      <c r="B181" s="8">
        <v>179</v>
      </c>
      <c r="C181" s="4" t="s">
        <v>2322</v>
      </c>
      <c r="D181" s="4" t="s">
        <v>5849</v>
      </c>
      <c r="E181" s="4" t="s">
        <v>5849</v>
      </c>
      <c r="F181" s="7">
        <v>68</v>
      </c>
      <c r="G181" s="7">
        <v>6</v>
      </c>
      <c r="H181" s="16" t="str">
        <f t="shared" si="2"/>
        <v>(179,'179','أيت رزين','Ait R\'zine','Ait R\'zine',68),</v>
      </c>
    </row>
    <row r="182" spans="1:8" ht="20.100000000000001" customHeight="1" x14ac:dyDescent="0.25">
      <c r="A182" s="3">
        <v>180</v>
      </c>
      <c r="B182" s="8">
        <v>204</v>
      </c>
      <c r="C182" s="4" t="s">
        <v>1234</v>
      </c>
      <c r="D182" s="4" t="s">
        <v>2323</v>
      </c>
      <c r="E182" s="4" t="s">
        <v>2323</v>
      </c>
      <c r="F182" s="7">
        <v>68</v>
      </c>
      <c r="G182" s="7">
        <v>6</v>
      </c>
      <c r="H182" s="16" t="str">
        <f t="shared" si="2"/>
        <v>(180,'204','إغيل علي','Ighil-Ali','Ighil-Ali',68),</v>
      </c>
    </row>
    <row r="183" spans="1:8" ht="20.100000000000001" customHeight="1" x14ac:dyDescent="0.25">
      <c r="A183" s="3">
        <v>181</v>
      </c>
      <c r="B183" s="8">
        <v>180</v>
      </c>
      <c r="C183" s="4" t="s">
        <v>2324</v>
      </c>
      <c r="D183" s="4" t="s">
        <v>2325</v>
      </c>
      <c r="E183" s="4" t="s">
        <v>2325</v>
      </c>
      <c r="F183" s="7">
        <v>69</v>
      </c>
      <c r="G183" s="7">
        <v>6</v>
      </c>
      <c r="H183" s="16" t="str">
        <f t="shared" si="2"/>
        <v>(181,'180','أيت إسماعيل','Ait-Smail','Ait-Smail',69),</v>
      </c>
    </row>
    <row r="184" spans="1:8" ht="20.100000000000001" customHeight="1" x14ac:dyDescent="0.25">
      <c r="A184" s="3">
        <v>182</v>
      </c>
      <c r="B184" s="8">
        <v>197</v>
      </c>
      <c r="C184" s="4" t="s">
        <v>1236</v>
      </c>
      <c r="D184" s="4" t="s">
        <v>1235</v>
      </c>
      <c r="E184" s="4" t="s">
        <v>1235</v>
      </c>
      <c r="F184" s="7">
        <v>69</v>
      </c>
      <c r="G184" s="7">
        <v>6</v>
      </c>
      <c r="H184" s="16" t="str">
        <f t="shared" si="2"/>
        <v>(182,'197','درقينة','Darguina','Darguina',69),</v>
      </c>
    </row>
    <row r="185" spans="1:8" ht="20.100000000000001" customHeight="1" x14ac:dyDescent="0.25">
      <c r="A185" s="3">
        <v>183</v>
      </c>
      <c r="B185" s="8">
        <v>221</v>
      </c>
      <c r="C185" s="4" t="s">
        <v>2326</v>
      </c>
      <c r="D185" s="4" t="s">
        <v>2327</v>
      </c>
      <c r="E185" s="4" t="s">
        <v>2327</v>
      </c>
      <c r="F185" s="7">
        <v>69</v>
      </c>
      <c r="G185" s="7">
        <v>6</v>
      </c>
      <c r="H185" s="16" t="str">
        <f t="shared" si="2"/>
        <v>(183,'221','تاسكريوت','Taskriout','Taskriout',69),</v>
      </c>
    </row>
    <row r="186" spans="1:8" ht="20.100000000000001" customHeight="1" x14ac:dyDescent="0.25">
      <c r="A186" s="3">
        <v>184</v>
      </c>
      <c r="B186" s="8">
        <v>185</v>
      </c>
      <c r="C186" s="4" t="s">
        <v>1246</v>
      </c>
      <c r="D186" s="4" t="s">
        <v>1245</v>
      </c>
      <c r="E186" s="4" t="s">
        <v>1245</v>
      </c>
      <c r="F186" s="7">
        <v>70</v>
      </c>
      <c r="G186" s="7">
        <v>6</v>
      </c>
      <c r="H186" s="16" t="str">
        <f t="shared" si="2"/>
        <v>(184,'185','أوقاس','Aokas','Aokas',70),</v>
      </c>
    </row>
    <row r="187" spans="1:8" ht="20.100000000000001" customHeight="1" x14ac:dyDescent="0.25">
      <c r="A187" s="3">
        <v>185</v>
      </c>
      <c r="B187" s="8">
        <v>228</v>
      </c>
      <c r="C187" s="4" t="s">
        <v>2328</v>
      </c>
      <c r="D187" s="4" t="s">
        <v>5850</v>
      </c>
      <c r="E187" s="4" t="s">
        <v>5850</v>
      </c>
      <c r="F187" s="7">
        <v>70</v>
      </c>
      <c r="G187" s="7">
        <v>6</v>
      </c>
      <c r="H187" s="16" t="str">
        <f t="shared" si="2"/>
        <v>(185,'228','تيزي نبربر','Tizi-N\'berber','Tizi-N\'berber',70),</v>
      </c>
    </row>
    <row r="188" spans="1:8" ht="20.100000000000001" customHeight="1" x14ac:dyDescent="0.25">
      <c r="A188" s="3">
        <v>186</v>
      </c>
      <c r="B188" s="8">
        <v>178</v>
      </c>
      <c r="C188" s="4" t="s">
        <v>1232</v>
      </c>
      <c r="D188" s="4" t="s">
        <v>1231</v>
      </c>
      <c r="E188" s="4" t="s">
        <v>1231</v>
      </c>
      <c r="F188" s="7">
        <v>71</v>
      </c>
      <c r="G188" s="7">
        <v>6</v>
      </c>
      <c r="H188" s="16" t="str">
        <f t="shared" si="2"/>
        <v>(186,'178','أدكار','Adekar','Adekar',71),</v>
      </c>
    </row>
    <row r="189" spans="1:8" ht="20.100000000000001" customHeight="1" x14ac:dyDescent="0.25">
      <c r="A189" s="3">
        <v>187</v>
      </c>
      <c r="B189" s="8">
        <v>189</v>
      </c>
      <c r="C189" s="4" t="s">
        <v>2329</v>
      </c>
      <c r="D189" s="4" t="s">
        <v>5851</v>
      </c>
      <c r="E189" s="4" t="s">
        <v>5851</v>
      </c>
      <c r="F189" s="7">
        <v>71</v>
      </c>
      <c r="G189" s="7">
        <v>6</v>
      </c>
      <c r="H189" s="16" t="str">
        <f t="shared" si="2"/>
        <v>(187,'189','بني كسيلة','Beni K\'sila','Beni K\'sila',71),</v>
      </c>
    </row>
    <row r="190" spans="1:8" ht="20.100000000000001" customHeight="1" x14ac:dyDescent="0.25">
      <c r="A190" s="3">
        <v>188</v>
      </c>
      <c r="B190" s="8">
        <v>220</v>
      </c>
      <c r="C190" s="4" t="s">
        <v>2330</v>
      </c>
      <c r="D190" s="4" t="s">
        <v>2331</v>
      </c>
      <c r="E190" s="4" t="s">
        <v>2331</v>
      </c>
      <c r="F190" s="7">
        <v>71</v>
      </c>
      <c r="G190" s="7">
        <v>6</v>
      </c>
      <c r="H190" s="16" t="str">
        <f t="shared" si="2"/>
        <v>(188,'220','تاوريرت إغيل','Taourit Ighil','Taourit Ighil',71),</v>
      </c>
    </row>
    <row r="191" spans="1:8" ht="20.100000000000001" customHeight="1" x14ac:dyDescent="0.25">
      <c r="A191" s="3">
        <v>189</v>
      </c>
      <c r="B191" s="8">
        <v>181</v>
      </c>
      <c r="C191" s="4" t="s">
        <v>1238</v>
      </c>
      <c r="D191" s="4" t="s">
        <v>1237</v>
      </c>
      <c r="E191" s="4" t="s">
        <v>1237</v>
      </c>
      <c r="F191" s="7">
        <v>72</v>
      </c>
      <c r="G191" s="7">
        <v>6</v>
      </c>
      <c r="H191" s="16" t="str">
        <f t="shared" si="2"/>
        <v>(189,'181','أقبو','Akbou','Akbou',72),</v>
      </c>
    </row>
    <row r="192" spans="1:8" ht="20.100000000000001" customHeight="1" x14ac:dyDescent="0.25">
      <c r="A192" s="3">
        <v>190</v>
      </c>
      <c r="B192" s="8">
        <v>195</v>
      </c>
      <c r="C192" s="4" t="s">
        <v>2332</v>
      </c>
      <c r="D192" s="4" t="s">
        <v>2333</v>
      </c>
      <c r="E192" s="4" t="s">
        <v>2333</v>
      </c>
      <c r="F192" s="7">
        <v>72</v>
      </c>
      <c r="G192" s="7">
        <v>6</v>
      </c>
      <c r="H192" s="16" t="str">
        <f t="shared" si="2"/>
        <v>(190,'195','شلاطة','Chellata','Chellata',72),</v>
      </c>
    </row>
    <row r="193" spans="1:8" ht="20.100000000000001" customHeight="1" x14ac:dyDescent="0.25">
      <c r="A193" s="3">
        <v>191</v>
      </c>
      <c r="B193" s="8">
        <v>205</v>
      </c>
      <c r="C193" s="4" t="s">
        <v>2334</v>
      </c>
      <c r="D193" s="4" t="s">
        <v>2335</v>
      </c>
      <c r="E193" s="4" t="s">
        <v>2335</v>
      </c>
      <c r="F193" s="7">
        <v>72</v>
      </c>
      <c r="G193" s="7">
        <v>6</v>
      </c>
      <c r="H193" s="16" t="str">
        <f t="shared" si="2"/>
        <v>(191,'205','اغرم','Ighram','Ighram',72),</v>
      </c>
    </row>
    <row r="194" spans="1:8" ht="20.100000000000001" customHeight="1" x14ac:dyDescent="0.25">
      <c r="A194" s="3">
        <v>192</v>
      </c>
      <c r="B194" s="8">
        <v>218</v>
      </c>
      <c r="C194" s="4" t="s">
        <v>2336</v>
      </c>
      <c r="D194" s="4" t="s">
        <v>2337</v>
      </c>
      <c r="E194" s="4" t="s">
        <v>2337</v>
      </c>
      <c r="F194" s="7">
        <v>72</v>
      </c>
      <c r="G194" s="7">
        <v>6</v>
      </c>
      <c r="H194" s="16" t="str">
        <f t="shared" si="2"/>
        <v>(192,'218','تامقرة','Tamokra','Tamokra',72),</v>
      </c>
    </row>
    <row r="195" spans="1:8" ht="20.100000000000001" customHeight="1" x14ac:dyDescent="0.25">
      <c r="A195" s="3">
        <v>193</v>
      </c>
      <c r="B195" s="8">
        <v>183</v>
      </c>
      <c r="C195" s="4" t="s">
        <v>2338</v>
      </c>
      <c r="D195" s="4" t="s">
        <v>2339</v>
      </c>
      <c r="E195" s="4" t="s">
        <v>2339</v>
      </c>
      <c r="F195" s="7">
        <v>73</v>
      </c>
      <c r="G195" s="7">
        <v>6</v>
      </c>
      <c r="H195" s="16" t="str">
        <f t="shared" si="2"/>
        <v>(193,'183','أمالو','Amalou','Amalou',73),</v>
      </c>
    </row>
    <row r="196" spans="1:8" ht="20.100000000000001" customHeight="1" x14ac:dyDescent="0.25">
      <c r="A196" s="3">
        <v>194</v>
      </c>
      <c r="B196" s="8">
        <v>193</v>
      </c>
      <c r="C196" s="4" t="s">
        <v>2340</v>
      </c>
      <c r="D196" s="4" t="s">
        <v>2341</v>
      </c>
      <c r="E196" s="4" t="s">
        <v>2341</v>
      </c>
      <c r="F196" s="7">
        <v>73</v>
      </c>
      <c r="G196" s="7">
        <v>6</v>
      </c>
      <c r="H196" s="16" t="str">
        <f t="shared" ref="H196:H259" si="3">CONCATENATE("(",A196,",'",B196,"','",C196,"','",D196,"','",E196,"',",F196,"),")</f>
        <v>(194,'193','بوحمزة','Bouhamza','Bouhamza',73),</v>
      </c>
    </row>
    <row r="197" spans="1:8" ht="20.100000000000001" customHeight="1" x14ac:dyDescent="0.25">
      <c r="A197" s="3">
        <v>195</v>
      </c>
      <c r="B197" s="8">
        <v>208</v>
      </c>
      <c r="C197" s="4" t="s">
        <v>2342</v>
      </c>
      <c r="D197" s="4" t="s">
        <v>5852</v>
      </c>
      <c r="E197" s="4" t="s">
        <v>5852</v>
      </c>
      <c r="F197" s="7">
        <v>73</v>
      </c>
      <c r="G197" s="7">
        <v>6</v>
      </c>
      <c r="H197" s="16" t="str">
        <f t="shared" si="3"/>
        <v>(195,'208','مسيسنة','M\'cisna','M\'cisna',73),</v>
      </c>
    </row>
    <row r="198" spans="1:8" ht="20.100000000000001" customHeight="1" x14ac:dyDescent="0.25">
      <c r="A198" s="3">
        <v>196</v>
      </c>
      <c r="B198" s="8">
        <v>211</v>
      </c>
      <c r="C198" s="4" t="s">
        <v>1242</v>
      </c>
      <c r="D198" s="4" t="s">
        <v>1241</v>
      </c>
      <c r="E198" s="4" t="s">
        <v>1241</v>
      </c>
      <c r="F198" s="7">
        <v>73</v>
      </c>
      <c r="G198" s="7">
        <v>6</v>
      </c>
      <c r="H198" s="16" t="str">
        <f t="shared" si="3"/>
        <v>(196,'211','صدوق','Seddouk','Seddouk',73),</v>
      </c>
    </row>
    <row r="199" spans="1:8" ht="20.100000000000001" customHeight="1" x14ac:dyDescent="0.25">
      <c r="A199" s="3">
        <v>197</v>
      </c>
      <c r="B199" s="8">
        <v>190</v>
      </c>
      <c r="C199" s="4" t="s">
        <v>2343</v>
      </c>
      <c r="D199" s="4" t="s">
        <v>2344</v>
      </c>
      <c r="E199" s="4" t="s">
        <v>2344</v>
      </c>
      <c r="F199" s="7">
        <v>74</v>
      </c>
      <c r="G199" s="7">
        <v>6</v>
      </c>
      <c r="H199" s="16" t="str">
        <f t="shared" si="3"/>
        <v>(197,'190','بني مليكش','Beni-Mallikeche','Beni-Mallikeche',74),</v>
      </c>
    </row>
    <row r="200" spans="1:8" ht="20.100000000000001" customHeight="1" x14ac:dyDescent="0.25">
      <c r="A200" s="3">
        <v>198</v>
      </c>
      <c r="B200" s="8">
        <v>192</v>
      </c>
      <c r="C200" s="4" t="s">
        <v>2345</v>
      </c>
      <c r="D200" s="4" t="s">
        <v>2346</v>
      </c>
      <c r="E200" s="4" t="s">
        <v>2346</v>
      </c>
      <c r="F200" s="7">
        <v>74</v>
      </c>
      <c r="G200" s="7">
        <v>6</v>
      </c>
      <c r="H200" s="16" t="str">
        <f t="shared" si="3"/>
        <v>(198,'192','بو جليل','Boudjellil','Boudjellil',74),</v>
      </c>
    </row>
    <row r="201" spans="1:8" ht="20.100000000000001" customHeight="1" x14ac:dyDescent="0.25">
      <c r="A201" s="3">
        <v>199</v>
      </c>
      <c r="B201" s="8">
        <v>222</v>
      </c>
      <c r="C201" s="4" t="s">
        <v>2347</v>
      </c>
      <c r="D201" s="4" t="s">
        <v>1249</v>
      </c>
      <c r="E201" s="4" t="s">
        <v>1249</v>
      </c>
      <c r="F201" s="7">
        <v>74</v>
      </c>
      <c r="G201" s="7">
        <v>6</v>
      </c>
      <c r="H201" s="16" t="str">
        <f t="shared" si="3"/>
        <v>(199,'222','تازمالت','Tazmalt','Tazmalt',74),</v>
      </c>
    </row>
    <row r="202" spans="1:8" ht="20.100000000000001" customHeight="1" x14ac:dyDescent="0.25">
      <c r="A202" s="3">
        <v>200</v>
      </c>
      <c r="B202" s="8">
        <v>182</v>
      </c>
      <c r="C202" s="4" t="s">
        <v>2348</v>
      </c>
      <c r="D202" s="4" t="s">
        <v>2349</v>
      </c>
      <c r="E202" s="4" t="s">
        <v>2349</v>
      </c>
      <c r="F202" s="7">
        <v>75</v>
      </c>
      <c r="G202" s="7">
        <v>6</v>
      </c>
      <c r="H202" s="16" t="str">
        <f t="shared" si="3"/>
        <v>(200,'182','أكفادو','Akfadou','Akfadou',75),</v>
      </c>
    </row>
    <row r="203" spans="1:8" ht="20.100000000000001" customHeight="1" x14ac:dyDescent="0.25">
      <c r="A203" s="3">
        <v>201</v>
      </c>
      <c r="B203" s="8">
        <v>196</v>
      </c>
      <c r="C203" s="4" t="s">
        <v>1240</v>
      </c>
      <c r="D203" s="4" t="s">
        <v>1239</v>
      </c>
      <c r="E203" s="4" t="s">
        <v>1239</v>
      </c>
      <c r="F203" s="7">
        <v>75</v>
      </c>
      <c r="G203" s="7">
        <v>6</v>
      </c>
      <c r="H203" s="16" t="str">
        <f t="shared" si="3"/>
        <v>(201,'196','شميني','Chemini','Chemini',75),</v>
      </c>
    </row>
    <row r="204" spans="1:8" ht="20.100000000000001" customHeight="1" x14ac:dyDescent="0.25">
      <c r="A204" s="3">
        <v>202</v>
      </c>
      <c r="B204" s="8">
        <v>216</v>
      </c>
      <c r="C204" s="4" t="s">
        <v>2350</v>
      </c>
      <c r="D204" s="4" t="s">
        <v>2351</v>
      </c>
      <c r="E204" s="4" t="s">
        <v>2351</v>
      </c>
      <c r="F204" s="7">
        <v>75</v>
      </c>
      <c r="G204" s="7">
        <v>6</v>
      </c>
      <c r="H204" s="16" t="str">
        <f t="shared" si="3"/>
        <v>(202,'216','سوق اوفلا','Souk Oufella','Souk Oufella',75),</v>
      </c>
    </row>
    <row r="205" spans="1:8" ht="20.100000000000001" customHeight="1" x14ac:dyDescent="0.25">
      <c r="A205" s="3">
        <v>203</v>
      </c>
      <c r="B205" s="8">
        <v>223</v>
      </c>
      <c r="C205" s="4" t="s">
        <v>2352</v>
      </c>
      <c r="D205" s="4" t="s">
        <v>2353</v>
      </c>
      <c r="E205" s="4" t="s">
        <v>2353</v>
      </c>
      <c r="F205" s="7">
        <v>75</v>
      </c>
      <c r="G205" s="7">
        <v>6</v>
      </c>
      <c r="H205" s="16" t="str">
        <f t="shared" si="3"/>
        <v>(203,'223','طيبان','Tibane','Tibane',75),</v>
      </c>
    </row>
    <row r="206" spans="1:8" ht="20.100000000000001" customHeight="1" x14ac:dyDescent="0.25">
      <c r="A206" s="3">
        <v>204</v>
      </c>
      <c r="B206" s="8">
        <v>186</v>
      </c>
      <c r="C206" s="4" t="s">
        <v>1248</v>
      </c>
      <c r="D206" s="4" t="s">
        <v>1247</v>
      </c>
      <c r="E206" s="4" t="s">
        <v>1247</v>
      </c>
      <c r="F206" s="7">
        <v>76</v>
      </c>
      <c r="G206" s="7">
        <v>6</v>
      </c>
      <c r="H206" s="16" t="str">
        <f t="shared" si="3"/>
        <v>(204,'186','برباشة','Barbacha','Barbacha',76),</v>
      </c>
    </row>
    <row r="207" spans="1:8" ht="20.100000000000001" customHeight="1" x14ac:dyDescent="0.25">
      <c r="A207" s="3">
        <v>205</v>
      </c>
      <c r="B207" s="8">
        <v>206</v>
      </c>
      <c r="C207" s="4" t="s">
        <v>2354</v>
      </c>
      <c r="D207" s="4" t="s">
        <v>2355</v>
      </c>
      <c r="E207" s="4" t="s">
        <v>2355</v>
      </c>
      <c r="F207" s="7">
        <v>76</v>
      </c>
      <c r="G207" s="7">
        <v>6</v>
      </c>
      <c r="H207" s="16" t="str">
        <f t="shared" si="3"/>
        <v>(205,'206','كنديرة','Kendira','Kendira',76),</v>
      </c>
    </row>
    <row r="208" spans="1:8" ht="20.100000000000001" customHeight="1" x14ac:dyDescent="0.25">
      <c r="A208" s="3">
        <v>206</v>
      </c>
      <c r="B208" s="8">
        <v>203</v>
      </c>
      <c r="C208" s="4" t="s">
        <v>2356</v>
      </c>
      <c r="D208" s="4" t="s">
        <v>2357</v>
      </c>
      <c r="E208" s="4" t="s">
        <v>2357</v>
      </c>
      <c r="F208" s="7">
        <v>77</v>
      </c>
      <c r="G208" s="7">
        <v>6</v>
      </c>
      <c r="H208" s="16" t="str">
        <f t="shared" si="3"/>
        <v>(206,'203','أوزلاقن','Ouzellaguen','Ouzellaguen',77),</v>
      </c>
    </row>
    <row r="209" spans="1:8" ht="20.100000000000001" customHeight="1" x14ac:dyDescent="0.25">
      <c r="A209" s="3">
        <v>207</v>
      </c>
      <c r="B209" s="8">
        <v>199</v>
      </c>
      <c r="C209" s="4" t="s">
        <v>2358</v>
      </c>
      <c r="D209" s="4" t="s">
        <v>2359</v>
      </c>
      <c r="E209" s="4" t="s">
        <v>2359</v>
      </c>
      <c r="F209" s="7">
        <v>78</v>
      </c>
      <c r="G209" s="7">
        <v>6</v>
      </c>
      <c r="H209" s="16" t="str">
        <f t="shared" si="3"/>
        <v>(207,'199','الفلاي','Leflaye','Leflaye',78),</v>
      </c>
    </row>
    <row r="210" spans="1:8" ht="20.100000000000001" customHeight="1" x14ac:dyDescent="0.25">
      <c r="A210" s="3">
        <v>208</v>
      </c>
      <c r="B210" s="8">
        <v>212</v>
      </c>
      <c r="C210" s="4" t="s">
        <v>2360</v>
      </c>
      <c r="D210" s="4" t="s">
        <v>2361</v>
      </c>
      <c r="E210" s="4" t="s">
        <v>2361</v>
      </c>
      <c r="F210" s="7">
        <v>78</v>
      </c>
      <c r="G210" s="7">
        <v>6</v>
      </c>
      <c r="H210" s="16" t="str">
        <f t="shared" si="3"/>
        <v>(208,'212','سيدي عياد','Sidi Ayad','Sidi Ayad',78),</v>
      </c>
    </row>
    <row r="211" spans="1:8" ht="20.100000000000001" customHeight="1" x14ac:dyDescent="0.25">
      <c r="A211" s="3">
        <v>209</v>
      </c>
      <c r="B211" s="8">
        <v>213</v>
      </c>
      <c r="C211" s="4" t="s">
        <v>1258</v>
      </c>
      <c r="D211" s="4" t="s">
        <v>2362</v>
      </c>
      <c r="E211" s="4" t="s">
        <v>2362</v>
      </c>
      <c r="F211" s="7">
        <v>78</v>
      </c>
      <c r="G211" s="7">
        <v>6</v>
      </c>
      <c r="H211" s="16" t="str">
        <f t="shared" si="3"/>
        <v>(209,'213','سيدي عيش','Sidi-Aich','Sidi-Aich',78),</v>
      </c>
    </row>
    <row r="212" spans="1:8" ht="20.100000000000001" customHeight="1" x14ac:dyDescent="0.25">
      <c r="A212" s="3">
        <v>210</v>
      </c>
      <c r="B212" s="8">
        <v>225</v>
      </c>
      <c r="C212" s="4" t="s">
        <v>2363</v>
      </c>
      <c r="D212" s="4" t="s">
        <v>2364</v>
      </c>
      <c r="E212" s="4" t="s">
        <v>2364</v>
      </c>
      <c r="F212" s="7">
        <v>78</v>
      </c>
      <c r="G212" s="7">
        <v>6</v>
      </c>
      <c r="H212" s="16" t="str">
        <f t="shared" si="3"/>
        <v>(210,'225','تيفرة','Tifra','Tifra',78),</v>
      </c>
    </row>
    <row r="213" spans="1:8" ht="20.100000000000001" customHeight="1" x14ac:dyDescent="0.25">
      <c r="A213" s="3">
        <v>211</v>
      </c>
      <c r="B213" s="8">
        <v>227</v>
      </c>
      <c r="C213" s="4" t="s">
        <v>2365</v>
      </c>
      <c r="D213" s="4" t="s">
        <v>2366</v>
      </c>
      <c r="E213" s="4" t="s">
        <v>2366</v>
      </c>
      <c r="F213" s="7">
        <v>78</v>
      </c>
      <c r="G213" s="7">
        <v>6</v>
      </c>
      <c r="H213" s="16" t="str">
        <f t="shared" si="3"/>
        <v>(211,'227','تينبدار','Tinebdar','Tinebdar',78),</v>
      </c>
    </row>
    <row r="214" spans="1:8" ht="20.100000000000001" customHeight="1" x14ac:dyDescent="0.25">
      <c r="A214" s="3">
        <v>212</v>
      </c>
      <c r="B214" s="8">
        <v>200</v>
      </c>
      <c r="C214" s="4" t="s">
        <v>1260</v>
      </c>
      <c r="D214" s="4" t="s">
        <v>1259</v>
      </c>
      <c r="E214" s="4" t="s">
        <v>1259</v>
      </c>
      <c r="F214" s="7">
        <v>79</v>
      </c>
      <c r="G214" s="7">
        <v>6</v>
      </c>
      <c r="H214" s="16" t="str">
        <f t="shared" si="3"/>
        <v>(212,'200','القصر','El Kseur','El Kseur',79),</v>
      </c>
    </row>
    <row r="215" spans="1:8" ht="20.100000000000001" customHeight="1" x14ac:dyDescent="0.25">
      <c r="A215" s="3">
        <v>213</v>
      </c>
      <c r="B215" s="8">
        <v>201</v>
      </c>
      <c r="C215" s="4" t="s">
        <v>2367</v>
      </c>
      <c r="D215" s="4" t="s">
        <v>2368</v>
      </c>
      <c r="E215" s="4" t="s">
        <v>2368</v>
      </c>
      <c r="F215" s="7">
        <v>79</v>
      </c>
      <c r="G215" s="7">
        <v>6</v>
      </c>
      <c r="H215" s="16" t="str">
        <f t="shared" si="3"/>
        <v>(213,'201','فناية الماثن','Fenaia Il Maten','Fenaia Il Maten',79),</v>
      </c>
    </row>
    <row r="216" spans="1:8" ht="20.100000000000001" customHeight="1" x14ac:dyDescent="0.25">
      <c r="A216" s="3">
        <v>214</v>
      </c>
      <c r="B216" s="8">
        <v>229</v>
      </c>
      <c r="C216" s="4" t="s">
        <v>2369</v>
      </c>
      <c r="D216" s="4" t="s">
        <v>2370</v>
      </c>
      <c r="E216" s="4" t="s">
        <v>2370</v>
      </c>
      <c r="F216" s="7">
        <v>79</v>
      </c>
      <c r="G216" s="7">
        <v>6</v>
      </c>
      <c r="H216" s="16" t="str">
        <f t="shared" si="3"/>
        <v>(214,'229','توجة','Toudja','Toudja',79),</v>
      </c>
    </row>
    <row r="217" spans="1:8" ht="20.100000000000001" customHeight="1" x14ac:dyDescent="0.25">
      <c r="A217" s="3">
        <v>215</v>
      </c>
      <c r="B217" s="8">
        <v>198</v>
      </c>
      <c r="C217" s="4" t="s">
        <v>2371</v>
      </c>
      <c r="D217" s="4" t="s">
        <v>2372</v>
      </c>
      <c r="E217" s="4" t="s">
        <v>2372</v>
      </c>
      <c r="F217" s="7">
        <v>80</v>
      </c>
      <c r="G217" s="7">
        <v>6</v>
      </c>
      <c r="H217" s="16" t="str">
        <f t="shared" si="3"/>
        <v>(215,'198','ذراع القايد','Dra El Caid','Dra El Caid',80),</v>
      </c>
    </row>
    <row r="218" spans="1:8" ht="20.100000000000001" customHeight="1" x14ac:dyDescent="0.25">
      <c r="A218" s="3">
        <v>216</v>
      </c>
      <c r="B218" s="8">
        <v>207</v>
      </c>
      <c r="C218" s="4" t="s">
        <v>1256</v>
      </c>
      <c r="D218" s="4" t="s">
        <v>1255</v>
      </c>
      <c r="E218" s="4" t="s">
        <v>1255</v>
      </c>
      <c r="F218" s="7">
        <v>80</v>
      </c>
      <c r="G218" s="7">
        <v>6</v>
      </c>
      <c r="H218" s="16" t="str">
        <f t="shared" si="3"/>
        <v>(216,'207','خراطة','Kherrata','Kherrata',80),</v>
      </c>
    </row>
    <row r="219" spans="1:8" ht="20.100000000000001" customHeight="1" x14ac:dyDescent="0.25">
      <c r="A219" s="3">
        <v>217</v>
      </c>
      <c r="B219" s="8">
        <v>191</v>
      </c>
      <c r="C219" s="4" t="s">
        <v>1252</v>
      </c>
      <c r="D219" s="4" t="s">
        <v>2373</v>
      </c>
      <c r="E219" s="4" t="s">
        <v>2373</v>
      </c>
      <c r="F219" s="7">
        <v>81</v>
      </c>
      <c r="G219" s="7">
        <v>6</v>
      </c>
      <c r="H219" s="16" t="str">
        <f t="shared" si="3"/>
        <v>(217,'191','بني معوش','Benimaouche','Benimaouche',81),</v>
      </c>
    </row>
    <row r="220" spans="1:8" ht="20.100000000000001" customHeight="1" x14ac:dyDescent="0.25">
      <c r="A220" s="3">
        <v>218</v>
      </c>
      <c r="B220" s="8">
        <v>233</v>
      </c>
      <c r="C220" s="4" t="s">
        <v>984</v>
      </c>
      <c r="D220" s="4" t="s">
        <v>985</v>
      </c>
      <c r="E220" s="4" t="s">
        <v>985</v>
      </c>
      <c r="F220" s="7">
        <v>82</v>
      </c>
      <c r="G220" s="7">
        <v>7</v>
      </c>
      <c r="H220" s="16" t="str">
        <f t="shared" si="3"/>
        <v>(218,'233','بسكرة','Biskra','Biskra',82),</v>
      </c>
    </row>
    <row r="221" spans="1:8" ht="20.100000000000001" customHeight="1" x14ac:dyDescent="0.25">
      <c r="A221" s="3">
        <v>219</v>
      </c>
      <c r="B221" s="8">
        <v>243</v>
      </c>
      <c r="C221" s="4" t="s">
        <v>2374</v>
      </c>
      <c r="D221" s="4" t="s">
        <v>2375</v>
      </c>
      <c r="E221" s="4" t="s">
        <v>2375</v>
      </c>
      <c r="F221" s="7">
        <v>82</v>
      </c>
      <c r="G221" s="7">
        <v>7</v>
      </c>
      <c r="H221" s="16" t="str">
        <f t="shared" si="3"/>
        <v>(219,'243','الحاجب','El Hadjab','El Hadjab',82),</v>
      </c>
    </row>
    <row r="222" spans="1:8" ht="20.100000000000001" customHeight="1" x14ac:dyDescent="0.25">
      <c r="A222" s="3">
        <v>220</v>
      </c>
      <c r="B222" s="8">
        <v>230</v>
      </c>
      <c r="C222" s="4" t="s">
        <v>2376</v>
      </c>
      <c r="D222" s="4" t="s">
        <v>2377</v>
      </c>
      <c r="E222" s="4" t="s">
        <v>2377</v>
      </c>
      <c r="F222" s="7">
        <v>83</v>
      </c>
      <c r="G222" s="7">
        <v>7</v>
      </c>
      <c r="H222" s="16" t="str">
        <f t="shared" si="3"/>
        <v>(220,'230','عين الناقة','Ain Naga','Ain Naga',83),</v>
      </c>
    </row>
    <row r="223" spans="1:8" ht="20.100000000000001" customHeight="1" x14ac:dyDescent="0.25">
      <c r="A223" s="3">
        <v>221</v>
      </c>
      <c r="B223" s="8">
        <v>238</v>
      </c>
      <c r="C223" s="4" t="s">
        <v>2378</v>
      </c>
      <c r="D223" s="4" t="s">
        <v>2379</v>
      </c>
      <c r="E223" s="4" t="s">
        <v>2379</v>
      </c>
      <c r="F223" s="7">
        <v>83</v>
      </c>
      <c r="G223" s="7">
        <v>7</v>
      </c>
      <c r="H223" s="16" t="str">
        <f t="shared" si="3"/>
        <v>(221,'238','شتمة','Chetma','Chetma',83),</v>
      </c>
    </row>
    <row r="224" spans="1:8" ht="20.100000000000001" customHeight="1" x14ac:dyDescent="0.25">
      <c r="A224" s="3">
        <v>222</v>
      </c>
      <c r="B224" s="8">
        <v>244</v>
      </c>
      <c r="C224" s="4" t="s">
        <v>2380</v>
      </c>
      <c r="D224" s="4" t="s">
        <v>2381</v>
      </c>
      <c r="E224" s="4" t="s">
        <v>2381</v>
      </c>
      <c r="F224" s="7">
        <v>83</v>
      </c>
      <c r="G224" s="7">
        <v>7</v>
      </c>
      <c r="H224" s="16" t="str">
        <f t="shared" si="3"/>
        <v>(222,'244','الحوش','El Haouch','El Haouch',83),</v>
      </c>
    </row>
    <row r="225" spans="1:8" ht="20.100000000000001" customHeight="1" x14ac:dyDescent="0.25">
      <c r="A225" s="3">
        <v>223</v>
      </c>
      <c r="B225" s="8">
        <v>260</v>
      </c>
      <c r="C225" s="4" t="s">
        <v>1268</v>
      </c>
      <c r="D225" s="4" t="s">
        <v>1267</v>
      </c>
      <c r="E225" s="4" t="s">
        <v>1267</v>
      </c>
      <c r="F225" s="7">
        <v>83</v>
      </c>
      <c r="G225" s="7">
        <v>7</v>
      </c>
      <c r="H225" s="16" t="str">
        <f t="shared" si="3"/>
        <v>(223,'260','سيدي عقبة','Sidi Okba','Sidi Okba',83),</v>
      </c>
    </row>
    <row r="226" spans="1:8" ht="20.100000000000001" customHeight="1" x14ac:dyDescent="0.25">
      <c r="A226" s="3">
        <v>224</v>
      </c>
      <c r="B226" s="8">
        <v>251</v>
      </c>
      <c r="C226" s="4" t="s">
        <v>1286</v>
      </c>
      <c r="D226" s="4" t="s">
        <v>5853</v>
      </c>
      <c r="E226" s="4" t="s">
        <v>5853</v>
      </c>
      <c r="F226" s="7">
        <v>84</v>
      </c>
      <c r="G226" s="7">
        <v>7</v>
      </c>
      <c r="H226" s="16" t="str">
        <f t="shared" si="3"/>
        <v>(224,'251','مشونش','M\'chouneche','M\'chouneche',84),</v>
      </c>
    </row>
    <row r="227" spans="1:8" ht="20.100000000000001" customHeight="1" x14ac:dyDescent="0.25">
      <c r="A227" s="3">
        <v>225</v>
      </c>
      <c r="B227" s="8">
        <v>241</v>
      </c>
      <c r="C227" s="4" t="s">
        <v>2382</v>
      </c>
      <c r="D227" s="4" t="s">
        <v>2383</v>
      </c>
      <c r="E227" s="4" t="s">
        <v>2383</v>
      </c>
      <c r="F227" s="7">
        <v>85</v>
      </c>
      <c r="G227" s="7">
        <v>7</v>
      </c>
      <c r="H227" s="16" t="str">
        <f t="shared" si="3"/>
        <v>(225,'241','الفيض','El Feidh','El Feidh',85),</v>
      </c>
    </row>
    <row r="228" spans="1:8" ht="20.100000000000001" customHeight="1" x14ac:dyDescent="0.25">
      <c r="A228" s="3">
        <v>226</v>
      </c>
      <c r="B228" s="8">
        <v>248</v>
      </c>
      <c r="C228" s="4" t="s">
        <v>2384</v>
      </c>
      <c r="D228" s="4" t="s">
        <v>2385</v>
      </c>
      <c r="E228" s="4" t="s">
        <v>2385</v>
      </c>
      <c r="F228" s="7">
        <v>85</v>
      </c>
      <c r="G228" s="7">
        <v>7</v>
      </c>
      <c r="H228" s="16" t="str">
        <f t="shared" si="3"/>
        <v>(226,'248','خنقة سيدي ناجي','Khenguet Sidi Nadji','Khenguet Sidi Nadji',85),</v>
      </c>
    </row>
    <row r="229" spans="1:8" ht="20.100000000000001" customHeight="1" x14ac:dyDescent="0.25">
      <c r="A229" s="3">
        <v>227</v>
      </c>
      <c r="B229" s="8">
        <v>253</v>
      </c>
      <c r="C229" s="4" t="s">
        <v>2386</v>
      </c>
      <c r="D229" s="4" t="s">
        <v>2387</v>
      </c>
      <c r="E229" s="4" t="s">
        <v>2387</v>
      </c>
      <c r="F229" s="7">
        <v>85</v>
      </c>
      <c r="G229" s="7">
        <v>7</v>
      </c>
      <c r="H229" s="16" t="str">
        <f t="shared" si="3"/>
        <v>(227,'253','المزيرعة','Meziraa','Meziraa',85),</v>
      </c>
    </row>
    <row r="230" spans="1:8" ht="20.100000000000001" customHeight="1" x14ac:dyDescent="0.25">
      <c r="A230" s="3">
        <v>228</v>
      </c>
      <c r="B230" s="8">
        <v>262</v>
      </c>
      <c r="C230" s="4" t="s">
        <v>1278</v>
      </c>
      <c r="D230" s="4" t="s">
        <v>1277</v>
      </c>
      <c r="E230" s="4" t="s">
        <v>1277</v>
      </c>
      <c r="F230" s="7">
        <v>85</v>
      </c>
      <c r="G230" s="7">
        <v>7</v>
      </c>
      <c r="H230" s="16" t="str">
        <f t="shared" si="3"/>
        <v>(228,'262','زريبة الوادي','Zeribet El Oued','Zeribet El Oued',85),</v>
      </c>
    </row>
    <row r="231" spans="1:8" ht="20.100000000000001" customHeight="1" x14ac:dyDescent="0.25">
      <c r="A231" s="3">
        <v>229</v>
      </c>
      <c r="B231" s="8">
        <v>231</v>
      </c>
      <c r="C231" s="4" t="s">
        <v>2388</v>
      </c>
      <c r="D231" s="4" t="s">
        <v>2389</v>
      </c>
      <c r="E231" s="4" t="s">
        <v>2389</v>
      </c>
      <c r="F231" s="7">
        <v>86</v>
      </c>
      <c r="G231" s="7">
        <v>7</v>
      </c>
      <c r="H231" s="16" t="str">
        <f t="shared" si="3"/>
        <v>(229,'231','عين زعطوط','Ain Zaatout','Ain Zaatout',86),</v>
      </c>
    </row>
    <row r="232" spans="1:8" ht="20.100000000000001" customHeight="1" x14ac:dyDescent="0.25">
      <c r="A232" s="3">
        <v>230</v>
      </c>
      <c r="B232" s="8">
        <v>245</v>
      </c>
      <c r="C232" s="4" t="s">
        <v>1270</v>
      </c>
      <c r="D232" s="4" t="s">
        <v>1269</v>
      </c>
      <c r="E232" s="4" t="s">
        <v>1269</v>
      </c>
      <c r="F232" s="7">
        <v>86</v>
      </c>
      <c r="G232" s="7">
        <v>7</v>
      </c>
      <c r="H232" s="16" t="str">
        <f t="shared" si="3"/>
        <v>(230,'245','القنطرة','El Kantara','El Kantara',86),</v>
      </c>
    </row>
    <row r="233" spans="1:8" ht="20.100000000000001" customHeight="1" x14ac:dyDescent="0.25">
      <c r="A233" s="3">
        <v>231</v>
      </c>
      <c r="B233" s="8">
        <v>246</v>
      </c>
      <c r="C233" s="4" t="s">
        <v>1282</v>
      </c>
      <c r="D233" s="4" t="s">
        <v>1281</v>
      </c>
      <c r="E233" s="4" t="s">
        <v>1281</v>
      </c>
      <c r="F233" s="7">
        <v>87</v>
      </c>
      <c r="G233" s="7">
        <v>7</v>
      </c>
      <c r="H233" s="16" t="str">
        <f t="shared" si="3"/>
        <v>(231,'246','الوطاية','El Outaya','El Outaya',87),</v>
      </c>
    </row>
    <row r="234" spans="1:8" ht="20.100000000000001" customHeight="1" x14ac:dyDescent="0.25">
      <c r="A234" s="3">
        <v>232</v>
      </c>
      <c r="B234" s="8">
        <v>236</v>
      </c>
      <c r="C234" s="4" t="s">
        <v>2390</v>
      </c>
      <c r="D234" s="4" t="s">
        <v>2391</v>
      </c>
      <c r="E234" s="4" t="s">
        <v>2391</v>
      </c>
      <c r="F234" s="7">
        <v>88</v>
      </c>
      <c r="G234" s="7">
        <v>7</v>
      </c>
      <c r="H234" s="16" t="str">
        <f t="shared" si="3"/>
        <v>(232,'236','برانيس','Branis','Branis',88),</v>
      </c>
    </row>
    <row r="235" spans="1:8" ht="20.100000000000001" customHeight="1" x14ac:dyDescent="0.25">
      <c r="A235" s="3">
        <v>233</v>
      </c>
      <c r="B235" s="8">
        <v>239</v>
      </c>
      <c r="C235" s="4" t="s">
        <v>1276</v>
      </c>
      <c r="D235" s="4" t="s">
        <v>1275</v>
      </c>
      <c r="E235" s="4" t="s">
        <v>1275</v>
      </c>
      <c r="F235" s="7">
        <v>88</v>
      </c>
      <c r="G235" s="7">
        <v>7</v>
      </c>
      <c r="H235" s="16" t="str">
        <f t="shared" si="3"/>
        <v>(233,'239','جمورة','Djemorah','Djemorah',88),</v>
      </c>
    </row>
    <row r="236" spans="1:8" ht="20.100000000000001" customHeight="1" x14ac:dyDescent="0.25">
      <c r="A236" s="3">
        <v>234</v>
      </c>
      <c r="B236" s="8">
        <v>234</v>
      </c>
      <c r="C236" s="4" t="s">
        <v>2392</v>
      </c>
      <c r="D236" s="4" t="s">
        <v>2393</v>
      </c>
      <c r="E236" s="4" t="s">
        <v>2393</v>
      </c>
      <c r="F236" s="7">
        <v>89</v>
      </c>
      <c r="G236" s="7">
        <v>7</v>
      </c>
      <c r="H236" s="16" t="str">
        <f t="shared" si="3"/>
        <v>(234,'234','برج بن عزوز','Bordj Ben Azzouz','Bordj Ben Azzouz',89),</v>
      </c>
    </row>
    <row r="237" spans="1:8" ht="20.100000000000001" customHeight="1" x14ac:dyDescent="0.25">
      <c r="A237" s="3">
        <v>235</v>
      </c>
      <c r="B237" s="8">
        <v>235</v>
      </c>
      <c r="C237" s="4" t="s">
        <v>2394</v>
      </c>
      <c r="D237" s="4" t="s">
        <v>2395</v>
      </c>
      <c r="E237" s="4" t="s">
        <v>2395</v>
      </c>
      <c r="F237" s="7">
        <v>89</v>
      </c>
      <c r="G237" s="7">
        <v>7</v>
      </c>
      <c r="H237" s="16" t="str">
        <f t="shared" si="3"/>
        <v>(235,'235','بوشقرون','Bouchakroun','Bouchakroun',89),</v>
      </c>
    </row>
    <row r="238" spans="1:8" ht="20.100000000000001" customHeight="1" x14ac:dyDescent="0.25">
      <c r="A238" s="3">
        <v>236</v>
      </c>
      <c r="B238" s="8">
        <v>249</v>
      </c>
      <c r="C238" s="4" t="s">
        <v>2396</v>
      </c>
      <c r="D238" s="4" t="s">
        <v>2397</v>
      </c>
      <c r="E238" s="4" t="s">
        <v>2397</v>
      </c>
      <c r="F238" s="7">
        <v>89</v>
      </c>
      <c r="G238" s="7">
        <v>7</v>
      </c>
      <c r="H238" s="16" t="str">
        <f t="shared" si="3"/>
        <v>(236,'249','ليشانة','Lichana','Lichana',89),</v>
      </c>
    </row>
    <row r="239" spans="1:8" ht="20.100000000000001" customHeight="1" x14ac:dyDescent="0.25">
      <c r="A239" s="3">
        <v>237</v>
      </c>
      <c r="B239" s="8">
        <v>261</v>
      </c>
      <c r="C239" s="4" t="s">
        <v>1274</v>
      </c>
      <c r="D239" s="4" t="s">
        <v>1273</v>
      </c>
      <c r="E239" s="4" t="s">
        <v>1273</v>
      </c>
      <c r="F239" s="7">
        <v>89</v>
      </c>
      <c r="G239" s="7">
        <v>7</v>
      </c>
      <c r="H239" s="16" t="str">
        <f t="shared" si="3"/>
        <v>(237,'261','طولقة','Tolga','Tolga',89),</v>
      </c>
    </row>
    <row r="240" spans="1:8" ht="20.100000000000001" customHeight="1" x14ac:dyDescent="0.25">
      <c r="A240" s="3">
        <v>238</v>
      </c>
      <c r="B240" s="8">
        <v>250</v>
      </c>
      <c r="C240" s="4" t="s">
        <v>2398</v>
      </c>
      <c r="D240" s="4" t="s">
        <v>2399</v>
      </c>
      <c r="E240" s="4" t="s">
        <v>2399</v>
      </c>
      <c r="F240" s="7">
        <v>90</v>
      </c>
      <c r="G240" s="7">
        <v>7</v>
      </c>
      <c r="H240" s="16" t="str">
        <f t="shared" si="3"/>
        <v>(238,'250','ليوة','Lioua','Lioua',90),</v>
      </c>
    </row>
    <row r="241" spans="1:8" ht="20.100000000000001" customHeight="1" x14ac:dyDescent="0.25">
      <c r="A241" s="3">
        <v>239</v>
      </c>
      <c r="B241" s="8">
        <v>252</v>
      </c>
      <c r="C241" s="4" t="s">
        <v>2400</v>
      </c>
      <c r="D241" s="4" t="s">
        <v>2401</v>
      </c>
      <c r="E241" s="4" t="s">
        <v>2401</v>
      </c>
      <c r="F241" s="7">
        <v>90</v>
      </c>
      <c r="G241" s="7">
        <v>7</v>
      </c>
      <c r="H241" s="16" t="str">
        <f t="shared" si="3"/>
        <v>(239,'252','مخادمة','Mekhadma','Mekhadma',90),</v>
      </c>
    </row>
    <row r="242" spans="1:8" ht="20.100000000000001" customHeight="1" x14ac:dyDescent="0.25">
      <c r="A242" s="3">
        <v>240</v>
      </c>
      <c r="B242" s="8">
        <v>254</v>
      </c>
      <c r="C242" s="4" t="s">
        <v>2402</v>
      </c>
      <c r="D242" s="4" t="s">
        <v>5854</v>
      </c>
      <c r="E242" s="4" t="s">
        <v>5854</v>
      </c>
      <c r="F242" s="7">
        <v>90</v>
      </c>
      <c r="G242" s="7">
        <v>7</v>
      </c>
      <c r="H242" s="16" t="str">
        <f t="shared" si="3"/>
        <v>(240,'254','مليلي','M\'lili','M\'lili',90),</v>
      </c>
    </row>
    <row r="243" spans="1:8" ht="20.100000000000001" customHeight="1" x14ac:dyDescent="0.25">
      <c r="A243" s="3">
        <v>241</v>
      </c>
      <c r="B243" s="8">
        <v>256</v>
      </c>
      <c r="C243" s="4" t="s">
        <v>2403</v>
      </c>
      <c r="D243" s="4" t="s">
        <v>2404</v>
      </c>
      <c r="E243" s="4" t="s">
        <v>2404</v>
      </c>
      <c r="F243" s="7">
        <v>90</v>
      </c>
      <c r="G243" s="7">
        <v>7</v>
      </c>
      <c r="H243" s="16" t="str">
        <f t="shared" si="3"/>
        <v>(241,'256','أوماش','Oumache','Oumache',90),</v>
      </c>
    </row>
    <row r="244" spans="1:8" ht="20.100000000000001" customHeight="1" x14ac:dyDescent="0.25">
      <c r="A244" s="3">
        <v>242</v>
      </c>
      <c r="B244" s="8">
        <v>257</v>
      </c>
      <c r="C244" s="4" t="s">
        <v>1284</v>
      </c>
      <c r="D244" s="4" t="s">
        <v>1283</v>
      </c>
      <c r="E244" s="4" t="s">
        <v>1283</v>
      </c>
      <c r="F244" s="7">
        <v>90</v>
      </c>
      <c r="G244" s="7">
        <v>7</v>
      </c>
      <c r="H244" s="16" t="str">
        <f t="shared" si="3"/>
        <v>(242,'257','أورلال','Ourlal','Ourlal',90),</v>
      </c>
    </row>
    <row r="245" spans="1:8" ht="20.100000000000001" customHeight="1" x14ac:dyDescent="0.25">
      <c r="A245" s="3">
        <v>243</v>
      </c>
      <c r="B245" s="8">
        <v>242</v>
      </c>
      <c r="C245" s="4" t="s">
        <v>2405</v>
      </c>
      <c r="D245" s="4" t="s">
        <v>2406</v>
      </c>
      <c r="E245" s="4" t="s">
        <v>2406</v>
      </c>
      <c r="F245" s="7">
        <v>91</v>
      </c>
      <c r="G245" s="7">
        <v>7</v>
      </c>
      <c r="H245" s="16" t="str">
        <f t="shared" si="3"/>
        <v>(243,'242','الغروس','El Ghrous','El Ghrous',91),</v>
      </c>
    </row>
    <row r="246" spans="1:8" ht="20.100000000000001" customHeight="1" x14ac:dyDescent="0.25">
      <c r="A246" s="3">
        <v>244</v>
      </c>
      <c r="B246" s="8">
        <v>247</v>
      </c>
      <c r="C246" s="4" t="s">
        <v>1280</v>
      </c>
      <c r="D246" s="4" t="s">
        <v>1279</v>
      </c>
      <c r="E246" s="4" t="s">
        <v>1279</v>
      </c>
      <c r="F246" s="7">
        <v>91</v>
      </c>
      <c r="G246" s="7">
        <v>7</v>
      </c>
      <c r="H246" s="16" t="str">
        <f t="shared" si="3"/>
        <v>(244,'247','فوغالة','Foughala','Foughala',91),</v>
      </c>
    </row>
    <row r="247" spans="1:8" ht="20.100000000000001" customHeight="1" x14ac:dyDescent="0.25">
      <c r="A247" s="3">
        <v>245</v>
      </c>
      <c r="B247" s="8">
        <v>264</v>
      </c>
      <c r="C247" s="4" t="s">
        <v>986</v>
      </c>
      <c r="D247" s="4" t="s">
        <v>1092</v>
      </c>
      <c r="E247" s="4" t="s">
        <v>1092</v>
      </c>
      <c r="F247" s="7">
        <v>92</v>
      </c>
      <c r="G247" s="7">
        <v>8</v>
      </c>
      <c r="H247" s="16" t="str">
        <f t="shared" si="3"/>
        <v>(245,'264','بشار','Bechar','Bechar',92),</v>
      </c>
    </row>
    <row r="248" spans="1:8" ht="20.100000000000001" customHeight="1" x14ac:dyDescent="0.25">
      <c r="A248" s="3">
        <v>246</v>
      </c>
      <c r="B248" s="8">
        <v>268</v>
      </c>
      <c r="C248" s="4" t="s">
        <v>2407</v>
      </c>
      <c r="D248" s="4" t="s">
        <v>2408</v>
      </c>
      <c r="E248" s="4" t="s">
        <v>2408</v>
      </c>
      <c r="F248" s="7">
        <v>93</v>
      </c>
      <c r="G248" s="7">
        <v>8</v>
      </c>
      <c r="H248" s="16" t="str">
        <f t="shared" si="3"/>
        <v>(246,'268','بوكايس','Boukais','Boukais',93),</v>
      </c>
    </row>
    <row r="249" spans="1:8" ht="20.100000000000001" customHeight="1" x14ac:dyDescent="0.25">
      <c r="A249" s="3">
        <v>247</v>
      </c>
      <c r="B249" s="8">
        <v>275</v>
      </c>
      <c r="C249" s="4" t="s">
        <v>1294</v>
      </c>
      <c r="D249" s="4" t="s">
        <v>1293</v>
      </c>
      <c r="E249" s="4" t="s">
        <v>1293</v>
      </c>
      <c r="F249" s="7">
        <v>93</v>
      </c>
      <c r="G249" s="7">
        <v>8</v>
      </c>
      <c r="H249" s="16" t="str">
        <f t="shared" si="3"/>
        <v>(247,'275','لحمر','Lahmar','Lahmar',93),</v>
      </c>
    </row>
    <row r="250" spans="1:8" ht="20.100000000000001" customHeight="1" x14ac:dyDescent="0.25">
      <c r="A250" s="3">
        <v>248</v>
      </c>
      <c r="B250" s="8">
        <v>278</v>
      </c>
      <c r="C250" s="4" t="s">
        <v>2409</v>
      </c>
      <c r="D250" s="4" t="s">
        <v>2410</v>
      </c>
      <c r="E250" s="4" t="s">
        <v>2410</v>
      </c>
      <c r="F250" s="7">
        <v>93</v>
      </c>
      <c r="G250" s="7">
        <v>8</v>
      </c>
      <c r="H250" s="16" t="str">
        <f t="shared" si="3"/>
        <v>(248,'278','موغل','Mogheul','Mogheul',93),</v>
      </c>
    </row>
    <row r="251" spans="1:8" ht="20.100000000000001" customHeight="1" x14ac:dyDescent="0.25">
      <c r="A251" s="3">
        <v>249</v>
      </c>
      <c r="B251" s="8">
        <v>272</v>
      </c>
      <c r="C251" s="4" t="s">
        <v>1300</v>
      </c>
      <c r="D251" s="4" t="s">
        <v>1299</v>
      </c>
      <c r="E251" s="4" t="s">
        <v>1299</v>
      </c>
      <c r="F251" s="7">
        <v>94</v>
      </c>
      <c r="G251" s="7">
        <v>8</v>
      </c>
      <c r="H251" s="16" t="str">
        <f t="shared" si="3"/>
        <v>(249,'272','القنادسة','Kenadsa','Kenadsa',94),</v>
      </c>
    </row>
    <row r="252" spans="1:8" ht="20.100000000000001" customHeight="1" x14ac:dyDescent="0.25">
      <c r="A252" s="3">
        <v>250</v>
      </c>
      <c r="B252" s="8">
        <v>277</v>
      </c>
      <c r="C252" s="4" t="s">
        <v>2411</v>
      </c>
      <c r="D252" s="4" t="s">
        <v>2412</v>
      </c>
      <c r="E252" s="4" t="s">
        <v>2412</v>
      </c>
      <c r="F252" s="7">
        <v>94</v>
      </c>
      <c r="G252" s="7">
        <v>8</v>
      </c>
      <c r="H252" s="16" t="str">
        <f t="shared" si="3"/>
        <v>(250,'277','المريجة','Meridja','Meridja',94),</v>
      </c>
    </row>
    <row r="253" spans="1:8" ht="20.100000000000001" customHeight="1" x14ac:dyDescent="0.25">
      <c r="A253" s="3">
        <v>251</v>
      </c>
      <c r="B253" s="8">
        <v>280</v>
      </c>
      <c r="C253" s="4" t="s">
        <v>1304</v>
      </c>
      <c r="D253" s="4" t="s">
        <v>1303</v>
      </c>
      <c r="E253" s="4" t="s">
        <v>1303</v>
      </c>
      <c r="F253" s="7">
        <v>95</v>
      </c>
      <c r="G253" s="7">
        <v>8</v>
      </c>
      <c r="H253" s="16" t="str">
        <f t="shared" si="3"/>
        <v>(251,'280','تبلبالة','Tabelbala','Tabelbala',95),</v>
      </c>
    </row>
    <row r="254" spans="1:8" ht="20.100000000000001" customHeight="1" x14ac:dyDescent="0.25">
      <c r="A254" s="3">
        <v>252</v>
      </c>
      <c r="B254" s="8">
        <v>281</v>
      </c>
      <c r="C254" s="4" t="s">
        <v>1306</v>
      </c>
      <c r="D254" s="4" t="s">
        <v>1305</v>
      </c>
      <c r="E254" s="4" t="s">
        <v>1305</v>
      </c>
      <c r="F254" s="7">
        <v>96</v>
      </c>
      <c r="G254" s="7">
        <v>8</v>
      </c>
      <c r="H254" s="16" t="str">
        <f t="shared" si="3"/>
        <v>(252,'281','تاغيت','Taghit','Taghit',96),</v>
      </c>
    </row>
    <row r="255" spans="1:8" ht="20.100000000000001" customHeight="1" x14ac:dyDescent="0.25">
      <c r="A255" s="3">
        <v>253</v>
      </c>
      <c r="B255" s="8">
        <v>263</v>
      </c>
      <c r="C255" s="4" t="s">
        <v>1288</v>
      </c>
      <c r="D255" s="4" t="s">
        <v>1287</v>
      </c>
      <c r="E255" s="4" t="s">
        <v>1287</v>
      </c>
      <c r="F255" s="7">
        <v>97</v>
      </c>
      <c r="G255" s="7">
        <v>8</v>
      </c>
      <c r="H255" s="16" t="str">
        <f t="shared" si="3"/>
        <v>(253,'263','العبادلة','Abadla','Abadla',97),</v>
      </c>
    </row>
    <row r="256" spans="1:8" ht="20.100000000000001" customHeight="1" x14ac:dyDescent="0.25">
      <c r="A256" s="3">
        <v>254</v>
      </c>
      <c r="B256" s="8">
        <v>270</v>
      </c>
      <c r="C256" s="4" t="s">
        <v>2413</v>
      </c>
      <c r="D256" s="4" t="s">
        <v>2414</v>
      </c>
      <c r="E256" s="4" t="s">
        <v>2414</v>
      </c>
      <c r="F256" s="7">
        <v>97</v>
      </c>
      <c r="G256" s="7">
        <v>8</v>
      </c>
      <c r="H256" s="16" t="str">
        <f t="shared" si="3"/>
        <v>(254,'270','عرق فراج','Erg-Ferradj','Erg-Ferradj',97),</v>
      </c>
    </row>
    <row r="257" spans="1:8" ht="20.100000000000001" customHeight="1" x14ac:dyDescent="0.25">
      <c r="A257" s="3">
        <v>255</v>
      </c>
      <c r="B257" s="8">
        <v>276</v>
      </c>
      <c r="C257" s="4" t="s">
        <v>2415</v>
      </c>
      <c r="D257" s="4" t="s">
        <v>2416</v>
      </c>
      <c r="E257" s="4" t="s">
        <v>2416</v>
      </c>
      <c r="F257" s="7">
        <v>97</v>
      </c>
      <c r="G257" s="7">
        <v>8</v>
      </c>
      <c r="H257" s="16" t="str">
        <f t="shared" si="3"/>
        <v>(255,'276','مشرع هواري بومدين','Machraa-Houari-Boumediene','Machraa-Houari-Boumediene',97),</v>
      </c>
    </row>
    <row r="258" spans="1:8" ht="20.100000000000001" customHeight="1" x14ac:dyDescent="0.25">
      <c r="A258" s="3">
        <v>256</v>
      </c>
      <c r="B258" s="8">
        <v>267</v>
      </c>
      <c r="C258" s="4" t="s">
        <v>1292</v>
      </c>
      <c r="D258" s="4" t="s">
        <v>2417</v>
      </c>
      <c r="E258" s="4" t="s">
        <v>2417</v>
      </c>
      <c r="F258" s="7">
        <v>98</v>
      </c>
      <c r="G258" s="7">
        <v>8</v>
      </c>
      <c r="H258" s="16" t="str">
        <f t="shared" si="3"/>
        <v>(256,'267','بني ونيف','Beni-Ounif','Beni-Ounif',98),</v>
      </c>
    </row>
    <row r="259" spans="1:8" ht="20.100000000000001" customHeight="1" x14ac:dyDescent="0.25">
      <c r="A259" s="3">
        <v>257</v>
      </c>
      <c r="B259" s="8">
        <v>288</v>
      </c>
      <c r="C259" s="4" t="s">
        <v>988</v>
      </c>
      <c r="D259" s="4" t="s">
        <v>989</v>
      </c>
      <c r="E259" s="4" t="s">
        <v>989</v>
      </c>
      <c r="F259" s="7">
        <v>99</v>
      </c>
      <c r="G259" s="7">
        <v>9</v>
      </c>
      <c r="H259" s="16" t="str">
        <f t="shared" si="3"/>
        <v>(257,'288','البليدة','Blida','Blida',99),</v>
      </c>
    </row>
    <row r="260" spans="1:8" ht="20.100000000000001" customHeight="1" x14ac:dyDescent="0.25">
      <c r="A260" s="3">
        <v>258</v>
      </c>
      <c r="B260" s="8">
        <v>289</v>
      </c>
      <c r="C260" s="4" t="s">
        <v>2418</v>
      </c>
      <c r="D260" s="4" t="s">
        <v>2419</v>
      </c>
      <c r="E260" s="4" t="s">
        <v>2419</v>
      </c>
      <c r="F260" s="7">
        <v>99</v>
      </c>
      <c r="G260" s="7">
        <v>9</v>
      </c>
      <c r="H260" s="16" t="str">
        <f t="shared" ref="H260:H323" si="4">CONCATENATE("(",A260,",'",B260,"','",C260,"','",D260,"','",E260,"',",F260,"),")</f>
        <v>(258,'289','بوعرفة','Bouarfa','Bouarfa',99),</v>
      </c>
    </row>
    <row r="261" spans="1:8" ht="20.100000000000001" customHeight="1" x14ac:dyDescent="0.25">
      <c r="A261" s="3">
        <v>259</v>
      </c>
      <c r="B261" s="8">
        <v>292</v>
      </c>
      <c r="C261" s="4" t="s">
        <v>1318</v>
      </c>
      <c r="D261" s="4" t="s">
        <v>1317</v>
      </c>
      <c r="E261" s="4" t="s">
        <v>1317</v>
      </c>
      <c r="F261" s="7">
        <v>100</v>
      </c>
      <c r="G261" s="7">
        <v>9</v>
      </c>
      <c r="H261" s="16" t="str">
        <f t="shared" si="4"/>
        <v>(259,'292','بوعينان','Bouinan','Bouinan',100),</v>
      </c>
    </row>
    <row r="262" spans="1:8" ht="20.100000000000001" customHeight="1" x14ac:dyDescent="0.25">
      <c r="A262" s="3">
        <v>260</v>
      </c>
      <c r="B262" s="8">
        <v>293</v>
      </c>
      <c r="C262" s="4" t="s">
        <v>2420</v>
      </c>
      <c r="D262" s="4" t="s">
        <v>2421</v>
      </c>
      <c r="E262" s="4" t="s">
        <v>2421</v>
      </c>
      <c r="F262" s="7">
        <v>100</v>
      </c>
      <c r="G262" s="7">
        <v>9</v>
      </c>
      <c r="H262" s="16" t="str">
        <f t="shared" si="4"/>
        <v>(260,'293','الشبلي','Chebli','Chebli',100),</v>
      </c>
    </row>
    <row r="263" spans="1:8" ht="20.100000000000001" customHeight="1" x14ac:dyDescent="0.25">
      <c r="A263" s="3">
        <v>261</v>
      </c>
      <c r="B263" s="8">
        <v>286</v>
      </c>
      <c r="C263" s="4" t="s">
        <v>2422</v>
      </c>
      <c r="D263" s="4" t="s">
        <v>2423</v>
      </c>
      <c r="E263" s="4" t="s">
        <v>2423</v>
      </c>
      <c r="F263" s="7">
        <v>101</v>
      </c>
      <c r="G263" s="7">
        <v>9</v>
      </c>
      <c r="H263" s="16" t="str">
        <f t="shared" si="4"/>
        <v>(261,'286','بني تامو','Beni-Tamou','Beni-Tamou',101),</v>
      </c>
    </row>
    <row r="264" spans="1:8" ht="20.100000000000001" customHeight="1" x14ac:dyDescent="0.25">
      <c r="A264" s="3">
        <v>262</v>
      </c>
      <c r="B264" s="8">
        <v>287</v>
      </c>
      <c r="C264" s="4" t="s">
        <v>2424</v>
      </c>
      <c r="D264" s="4" t="s">
        <v>2425</v>
      </c>
      <c r="E264" s="4" t="s">
        <v>2425</v>
      </c>
      <c r="F264" s="7">
        <v>101</v>
      </c>
      <c r="G264" s="7">
        <v>9</v>
      </c>
      <c r="H264" s="16" t="str">
        <f t="shared" si="4"/>
        <v>(262,'287','بن خليل','Benkhelil','Benkhelil',101),</v>
      </c>
    </row>
    <row r="265" spans="1:8" ht="20.100000000000001" customHeight="1" x14ac:dyDescent="0.25">
      <c r="A265" s="3">
        <v>263</v>
      </c>
      <c r="B265" s="8">
        <v>304</v>
      </c>
      <c r="C265" s="4" t="s">
        <v>1312</v>
      </c>
      <c r="D265" s="4" t="s">
        <v>1311</v>
      </c>
      <c r="E265" s="4" t="s">
        <v>1311</v>
      </c>
      <c r="F265" s="7">
        <v>101</v>
      </c>
      <c r="G265" s="7">
        <v>9</v>
      </c>
      <c r="H265" s="16" t="str">
        <f t="shared" si="4"/>
        <v>(263,'304','وادي العلايق','Oued El Alleug','Oued El Alleug',101),</v>
      </c>
    </row>
    <row r="266" spans="1:8" ht="20.100000000000001" customHeight="1" x14ac:dyDescent="0.25">
      <c r="A266" s="3">
        <v>264</v>
      </c>
      <c r="B266" s="8">
        <v>285</v>
      </c>
      <c r="C266" s="4" t="s">
        <v>2426</v>
      </c>
      <c r="D266" s="4" t="s">
        <v>2427</v>
      </c>
      <c r="E266" s="4" t="s">
        <v>2427</v>
      </c>
      <c r="F266" s="7">
        <v>102</v>
      </c>
      <c r="G266" s="7">
        <v>9</v>
      </c>
      <c r="H266" s="16" t="str">
        <f t="shared" si="4"/>
        <v>(264,'285','بني مراد','Beni Mered','Beni Mered',102),</v>
      </c>
    </row>
    <row r="267" spans="1:8" ht="20.100000000000001" customHeight="1" x14ac:dyDescent="0.25">
      <c r="A267" s="3">
        <v>265</v>
      </c>
      <c r="B267" s="8">
        <v>295</v>
      </c>
      <c r="C267" s="4" t="s">
        <v>1372</v>
      </c>
      <c r="D267" s="4" t="s">
        <v>2428</v>
      </c>
      <c r="E267" s="4" t="s">
        <v>2428</v>
      </c>
      <c r="F267" s="7">
        <v>102</v>
      </c>
      <c r="G267" s="7">
        <v>9</v>
      </c>
      <c r="H267" s="16" t="str">
        <f t="shared" si="4"/>
        <v>(265,'295','الشريعة','Chrea','Chrea',102),</v>
      </c>
    </row>
    <row r="268" spans="1:8" ht="20.100000000000001" customHeight="1" x14ac:dyDescent="0.25">
      <c r="A268" s="3">
        <v>266</v>
      </c>
      <c r="B268" s="8">
        <v>306</v>
      </c>
      <c r="C268" s="4" t="s">
        <v>1310</v>
      </c>
      <c r="D268" s="4" t="s">
        <v>1309</v>
      </c>
      <c r="E268" s="4" t="s">
        <v>1309</v>
      </c>
      <c r="F268" s="7">
        <v>102</v>
      </c>
      <c r="G268" s="7">
        <v>9</v>
      </c>
      <c r="H268" s="16" t="str">
        <f t="shared" si="4"/>
        <v>(266,'306','أولاد يعيش','Ouled Yaich','Ouled Yaich',102),</v>
      </c>
    </row>
    <row r="269" spans="1:8" ht="20.100000000000001" customHeight="1" x14ac:dyDescent="0.25">
      <c r="A269" s="3">
        <v>267</v>
      </c>
      <c r="B269" s="8">
        <v>297</v>
      </c>
      <c r="C269" s="4" t="s">
        <v>1322</v>
      </c>
      <c r="D269" s="4" t="s">
        <v>2429</v>
      </c>
      <c r="E269" s="4" t="s">
        <v>2429</v>
      </c>
      <c r="F269" s="7">
        <v>103</v>
      </c>
      <c r="G269" s="7">
        <v>9</v>
      </c>
      <c r="H269" s="16" t="str">
        <f t="shared" si="4"/>
        <v>(267,'297','العفرون','El-Affroun','El-Affroun',103),</v>
      </c>
    </row>
    <row r="270" spans="1:8" ht="20.100000000000001" customHeight="1" x14ac:dyDescent="0.25">
      <c r="A270" s="3">
        <v>268</v>
      </c>
      <c r="B270" s="8">
        <v>303</v>
      </c>
      <c r="C270" s="4" t="s">
        <v>2430</v>
      </c>
      <c r="D270" s="4" t="s">
        <v>2431</v>
      </c>
      <c r="E270" s="4" t="s">
        <v>2431</v>
      </c>
      <c r="F270" s="7">
        <v>103</v>
      </c>
      <c r="G270" s="7">
        <v>9</v>
      </c>
      <c r="H270" s="16" t="str">
        <f t="shared" si="4"/>
        <v>(268,'303','وادي جر','Oued  Djer','Oued  Djer',103),</v>
      </c>
    </row>
    <row r="271" spans="1:8" ht="20.100000000000001" customHeight="1" x14ac:dyDescent="0.25">
      <c r="A271" s="3">
        <v>269</v>
      </c>
      <c r="B271" s="8">
        <v>284</v>
      </c>
      <c r="C271" s="4" t="s">
        <v>2432</v>
      </c>
      <c r="D271" s="4" t="s">
        <v>2433</v>
      </c>
      <c r="E271" s="4" t="s">
        <v>2433</v>
      </c>
      <c r="F271" s="7">
        <v>104</v>
      </c>
      <c r="G271" s="7">
        <v>9</v>
      </c>
      <c r="H271" s="16" t="str">
        <f t="shared" si="4"/>
        <v>(269,'284','عين الرمانة','Ain Romana','Ain Romana',104),</v>
      </c>
    </row>
    <row r="272" spans="1:8" ht="20.100000000000001" customHeight="1" x14ac:dyDescent="0.25">
      <c r="A272" s="3">
        <v>270</v>
      </c>
      <c r="B272" s="8">
        <v>294</v>
      </c>
      <c r="C272" s="4" t="s">
        <v>2434</v>
      </c>
      <c r="D272" s="4" t="s">
        <v>2435</v>
      </c>
      <c r="E272" s="4" t="s">
        <v>2435</v>
      </c>
      <c r="F272" s="7">
        <v>104</v>
      </c>
      <c r="G272" s="7">
        <v>9</v>
      </c>
      <c r="H272" s="16" t="str">
        <f t="shared" si="4"/>
        <v>(270,'294','الشفة','Chiffa','Chiffa',104),</v>
      </c>
    </row>
    <row r="273" spans="1:8" ht="20.100000000000001" customHeight="1" x14ac:dyDescent="0.25">
      <c r="A273" s="3">
        <v>271</v>
      </c>
      <c r="B273" s="8">
        <v>302</v>
      </c>
      <c r="C273" s="4" t="s">
        <v>1308</v>
      </c>
      <c r="D273" s="4" t="s">
        <v>1307</v>
      </c>
      <c r="E273" s="4" t="s">
        <v>1307</v>
      </c>
      <c r="F273" s="7">
        <v>104</v>
      </c>
      <c r="G273" s="7">
        <v>9</v>
      </c>
      <c r="H273" s="16" t="str">
        <f t="shared" si="4"/>
        <v>(271,'302','موزاية','Mouzaia','Mouzaia',104),</v>
      </c>
    </row>
    <row r="274" spans="1:8" ht="20.100000000000001" customHeight="1" x14ac:dyDescent="0.25">
      <c r="A274" s="3">
        <v>272</v>
      </c>
      <c r="B274" s="8">
        <v>296</v>
      </c>
      <c r="C274" s="4" t="s">
        <v>2436</v>
      </c>
      <c r="D274" s="4" t="s">
        <v>2437</v>
      </c>
      <c r="E274" s="4" t="s">
        <v>2437</v>
      </c>
      <c r="F274" s="7">
        <v>105</v>
      </c>
      <c r="G274" s="7">
        <v>9</v>
      </c>
      <c r="H274" s="16" t="str">
        <f t="shared" si="4"/>
        <v>(272,'296','جبابرة','Djebabra','Djebabra',105),</v>
      </c>
    </row>
    <row r="275" spans="1:8" ht="20.100000000000001" customHeight="1" x14ac:dyDescent="0.25">
      <c r="A275" s="3">
        <v>273</v>
      </c>
      <c r="B275" s="8">
        <v>301</v>
      </c>
      <c r="C275" s="4" t="s">
        <v>1320</v>
      </c>
      <c r="D275" s="4" t="s">
        <v>1319</v>
      </c>
      <c r="E275" s="4" t="s">
        <v>1319</v>
      </c>
      <c r="F275" s="7">
        <v>105</v>
      </c>
      <c r="G275" s="7">
        <v>9</v>
      </c>
      <c r="H275" s="16" t="str">
        <f t="shared" si="4"/>
        <v>(273,'301','مفتاح','Meftah','Meftah',105),</v>
      </c>
    </row>
    <row r="276" spans="1:8" ht="20.100000000000001" customHeight="1" x14ac:dyDescent="0.25">
      <c r="A276" s="3">
        <v>274</v>
      </c>
      <c r="B276" s="8">
        <v>290</v>
      </c>
      <c r="C276" s="4" t="s">
        <v>1314</v>
      </c>
      <c r="D276" s="4" t="s">
        <v>1313</v>
      </c>
      <c r="E276" s="4" t="s">
        <v>1313</v>
      </c>
      <c r="F276" s="7">
        <v>106</v>
      </c>
      <c r="G276" s="7">
        <v>9</v>
      </c>
      <c r="H276" s="16" t="str">
        <f t="shared" si="4"/>
        <v>(274,'290','بوفاريك','Boufarik','Boufarik',106),</v>
      </c>
    </row>
    <row r="277" spans="1:8" ht="20.100000000000001" customHeight="1" x14ac:dyDescent="0.25">
      <c r="A277" s="3">
        <v>275</v>
      </c>
      <c r="B277" s="8">
        <v>298</v>
      </c>
      <c r="C277" s="4" t="s">
        <v>2438</v>
      </c>
      <c r="D277" s="4" t="s">
        <v>2439</v>
      </c>
      <c r="E277" s="4" t="s">
        <v>2439</v>
      </c>
      <c r="F277" s="7">
        <v>106</v>
      </c>
      <c r="G277" s="7">
        <v>9</v>
      </c>
      <c r="H277" s="16" t="str">
        <f t="shared" si="4"/>
        <v>(275,'298','قرواو','Guerrouaou','Guerrouaou',106),</v>
      </c>
    </row>
    <row r="278" spans="1:8" ht="20.100000000000001" customHeight="1" x14ac:dyDescent="0.25">
      <c r="A278" s="3">
        <v>276</v>
      </c>
      <c r="B278" s="8">
        <v>308</v>
      </c>
      <c r="C278" s="4" t="s">
        <v>2440</v>
      </c>
      <c r="D278" s="4" t="s">
        <v>2441</v>
      </c>
      <c r="E278" s="4" t="s">
        <v>2441</v>
      </c>
      <c r="F278" s="7">
        <v>106</v>
      </c>
      <c r="G278" s="7">
        <v>9</v>
      </c>
      <c r="H278" s="16" t="str">
        <f t="shared" si="4"/>
        <v>(276,'308','الصومعة','Soumaa','Soumaa',106),</v>
      </c>
    </row>
    <row r="279" spans="1:8" ht="20.100000000000001" customHeight="1" x14ac:dyDescent="0.25">
      <c r="A279" s="3">
        <v>277</v>
      </c>
      <c r="B279" s="8">
        <v>300</v>
      </c>
      <c r="C279" s="4" t="s">
        <v>1324</v>
      </c>
      <c r="D279" s="4" t="s">
        <v>1323</v>
      </c>
      <c r="E279" s="4" t="s">
        <v>1323</v>
      </c>
      <c r="F279" s="7">
        <v>107</v>
      </c>
      <c r="G279" s="7">
        <v>9</v>
      </c>
      <c r="H279" s="16" t="str">
        <f t="shared" si="4"/>
        <v>(277,'300','الأربعاء','Larbaa','Larbaa',107),</v>
      </c>
    </row>
    <row r="280" spans="1:8" ht="20.100000000000001" customHeight="1" x14ac:dyDescent="0.25">
      <c r="A280" s="3">
        <v>278</v>
      </c>
      <c r="B280" s="8">
        <v>307</v>
      </c>
      <c r="C280" s="4" t="s">
        <v>2442</v>
      </c>
      <c r="D280" s="4" t="s">
        <v>2443</v>
      </c>
      <c r="E280" s="4" t="s">
        <v>2443</v>
      </c>
      <c r="F280" s="7">
        <v>107</v>
      </c>
      <c r="G280" s="7">
        <v>9</v>
      </c>
      <c r="H280" s="16" t="str">
        <f t="shared" si="4"/>
        <v>(278,'307','صوحان','Souhane','Souhane',107),</v>
      </c>
    </row>
    <row r="281" spans="1:8" ht="20.100000000000001" customHeight="1" x14ac:dyDescent="0.25">
      <c r="A281" s="3">
        <v>279</v>
      </c>
      <c r="B281" s="8">
        <v>291</v>
      </c>
      <c r="C281" s="4" t="s">
        <v>1316</v>
      </c>
      <c r="D281" s="4" t="s">
        <v>1315</v>
      </c>
      <c r="E281" s="4" t="s">
        <v>1315</v>
      </c>
      <c r="F281" s="7">
        <v>108</v>
      </c>
      <c r="G281" s="7">
        <v>9</v>
      </c>
      <c r="H281" s="16" t="str">
        <f t="shared" si="4"/>
        <v>(279,'291','بوقرة','Bougara','Bougara',108),</v>
      </c>
    </row>
    <row r="282" spans="1:8" ht="20.100000000000001" customHeight="1" x14ac:dyDescent="0.25">
      <c r="A282" s="3">
        <v>280</v>
      </c>
      <c r="B282" s="8">
        <v>299</v>
      </c>
      <c r="C282" s="4" t="s">
        <v>2444</v>
      </c>
      <c r="D282" s="4" t="s">
        <v>2445</v>
      </c>
      <c r="E282" s="4" t="s">
        <v>2445</v>
      </c>
      <c r="F282" s="7">
        <v>108</v>
      </c>
      <c r="G282" s="7">
        <v>9</v>
      </c>
      <c r="H282" s="16" t="str">
        <f t="shared" si="4"/>
        <v>(280,'299','حمام ملوان','Hammam Elouane','Hammam Elouane',108),</v>
      </c>
    </row>
    <row r="283" spans="1:8" ht="20.100000000000001" customHeight="1" x14ac:dyDescent="0.25">
      <c r="A283" s="3">
        <v>281</v>
      </c>
      <c r="B283" s="8">
        <v>305</v>
      </c>
      <c r="C283" s="4" t="s">
        <v>2446</v>
      </c>
      <c r="D283" s="4" t="s">
        <v>2447</v>
      </c>
      <c r="E283" s="4" t="s">
        <v>2447</v>
      </c>
      <c r="F283" s="7">
        <v>108</v>
      </c>
      <c r="G283" s="7">
        <v>9</v>
      </c>
      <c r="H283" s="16" t="str">
        <f t="shared" si="4"/>
        <v>(281,'305','اولاد سلامة','Ouled Slama','Ouled Slama',108),</v>
      </c>
    </row>
    <row r="284" spans="1:8" ht="20.100000000000001" customHeight="1" x14ac:dyDescent="0.25">
      <c r="A284" s="3">
        <v>282</v>
      </c>
      <c r="B284" s="8">
        <v>313</v>
      </c>
      <c r="C284" s="4" t="s">
        <v>1823</v>
      </c>
      <c r="D284" s="4" t="s">
        <v>1822</v>
      </c>
      <c r="E284" s="4" t="s">
        <v>1822</v>
      </c>
      <c r="F284" s="7">
        <v>109</v>
      </c>
      <c r="G284" s="7">
        <v>10</v>
      </c>
      <c r="H284" s="16" t="str">
        <f t="shared" si="4"/>
        <v>(282,'313','عين الترك','Ain Turk','Ain Turk',109),</v>
      </c>
    </row>
    <row r="285" spans="1:8" ht="20.100000000000001" customHeight="1" x14ac:dyDescent="0.25">
      <c r="A285" s="3">
        <v>283</v>
      </c>
      <c r="B285" s="8">
        <v>315</v>
      </c>
      <c r="C285" s="4" t="s">
        <v>2448</v>
      </c>
      <c r="D285" s="4" t="s">
        <v>2449</v>
      </c>
      <c r="E285" s="4" t="s">
        <v>2449</v>
      </c>
      <c r="F285" s="7">
        <v>109</v>
      </c>
      <c r="G285" s="7">
        <v>10</v>
      </c>
      <c r="H285" s="16" t="str">
        <f t="shared" si="4"/>
        <v>(283,'315','أيت لعزيز','Ait Laaziz','Ait Laaziz',109),</v>
      </c>
    </row>
    <row r="286" spans="1:8" ht="20.100000000000001" customHeight="1" x14ac:dyDescent="0.25">
      <c r="A286" s="3">
        <v>284</v>
      </c>
      <c r="B286" s="8">
        <v>321</v>
      </c>
      <c r="C286" s="4" t="s">
        <v>990</v>
      </c>
      <c r="D286" s="4" t="s">
        <v>1088</v>
      </c>
      <c r="E286" s="4" t="s">
        <v>1088</v>
      </c>
      <c r="F286" s="7">
        <v>109</v>
      </c>
      <c r="G286" s="7">
        <v>10</v>
      </c>
      <c r="H286" s="16" t="str">
        <f t="shared" si="4"/>
        <v>(284,'321','البويرة','Bouira','Bouira',109),</v>
      </c>
    </row>
    <row r="287" spans="1:8" ht="20.100000000000001" customHeight="1" x14ac:dyDescent="0.25">
      <c r="A287" s="3">
        <v>285</v>
      </c>
      <c r="B287" s="8">
        <v>332</v>
      </c>
      <c r="C287" s="4" t="s">
        <v>2450</v>
      </c>
      <c r="D287" s="4" t="s">
        <v>2451</v>
      </c>
      <c r="E287" s="4" t="s">
        <v>2451</v>
      </c>
      <c r="F287" s="7">
        <v>110</v>
      </c>
      <c r="G287" s="7">
        <v>10</v>
      </c>
      <c r="H287" s="16" t="str">
        <f t="shared" si="4"/>
        <v>(285,'332','المقراني','El-Mokrani','El-Mokrani',110),</v>
      </c>
    </row>
    <row r="288" spans="1:8" ht="20.100000000000001" customHeight="1" x14ac:dyDescent="0.25">
      <c r="A288" s="3">
        <v>286</v>
      </c>
      <c r="B288" s="8">
        <v>348</v>
      </c>
      <c r="C288" s="4" t="s">
        <v>1344</v>
      </c>
      <c r="D288" s="4" t="s">
        <v>1343</v>
      </c>
      <c r="E288" s="4" t="s">
        <v>1343</v>
      </c>
      <c r="F288" s="7">
        <v>110</v>
      </c>
      <c r="G288" s="7">
        <v>10</v>
      </c>
      <c r="H288" s="16" t="str">
        <f t="shared" si="4"/>
        <v>(286,'348','سوق الخميس','Souk El Khemis','Souk El Khemis',110),</v>
      </c>
    </row>
    <row r="289" spans="1:8" ht="20.100000000000001" customHeight="1" x14ac:dyDescent="0.25">
      <c r="A289" s="3">
        <v>287</v>
      </c>
      <c r="B289" s="8">
        <v>316</v>
      </c>
      <c r="C289" s="4" t="s">
        <v>2452</v>
      </c>
      <c r="D289" s="4" t="s">
        <v>2453</v>
      </c>
      <c r="E289" s="4" t="s">
        <v>2453</v>
      </c>
      <c r="F289" s="7">
        <v>111</v>
      </c>
      <c r="G289" s="7">
        <v>10</v>
      </c>
      <c r="H289" s="16" t="str">
        <f t="shared" si="4"/>
        <v>(287,'316','أعمر','Aomar','Aomar',111),</v>
      </c>
    </row>
    <row r="290" spans="1:8" ht="20.100000000000001" customHeight="1" x14ac:dyDescent="0.25">
      <c r="A290" s="3">
        <v>288</v>
      </c>
      <c r="B290" s="8">
        <v>326</v>
      </c>
      <c r="C290" s="4" t="s">
        <v>2454</v>
      </c>
      <c r="D290" s="4" t="s">
        <v>2455</v>
      </c>
      <c r="E290" s="4" t="s">
        <v>2455</v>
      </c>
      <c r="F290" s="7">
        <v>111</v>
      </c>
      <c r="G290" s="7">
        <v>10</v>
      </c>
      <c r="H290" s="16" t="str">
        <f t="shared" si="4"/>
        <v>(288,'326','جباحية','Djebahia','Djebahia',111),</v>
      </c>
    </row>
    <row r="291" spans="1:8" ht="20.100000000000001" customHeight="1" x14ac:dyDescent="0.25">
      <c r="A291" s="3">
        <v>289</v>
      </c>
      <c r="B291" s="8">
        <v>337</v>
      </c>
      <c r="C291" s="4" t="s">
        <v>2456</v>
      </c>
      <c r="D291" s="4" t="s">
        <v>1331</v>
      </c>
      <c r="E291" s="4" t="s">
        <v>1331</v>
      </c>
      <c r="F291" s="7">
        <v>111</v>
      </c>
      <c r="G291" s="7">
        <v>10</v>
      </c>
      <c r="H291" s="16" t="str">
        <f t="shared" si="4"/>
        <v>(289,'337','قادرية','Kadiria','Kadiria',111),</v>
      </c>
    </row>
    <row r="292" spans="1:8" ht="20.100000000000001" customHeight="1" x14ac:dyDescent="0.25">
      <c r="A292" s="3">
        <v>290</v>
      </c>
      <c r="B292" s="8">
        <v>335</v>
      </c>
      <c r="C292" s="4" t="s">
        <v>2457</v>
      </c>
      <c r="D292" s="4" t="s">
        <v>1345</v>
      </c>
      <c r="E292" s="4" t="s">
        <v>1345</v>
      </c>
      <c r="F292" s="7">
        <v>112</v>
      </c>
      <c r="G292" s="7">
        <v>10</v>
      </c>
      <c r="H292" s="16" t="str">
        <f t="shared" si="4"/>
        <v>(290,'335','حيزر','Haizer','Haizer',112),</v>
      </c>
    </row>
    <row r="293" spans="1:8" ht="20.100000000000001" customHeight="1" x14ac:dyDescent="0.25">
      <c r="A293" s="3">
        <v>291</v>
      </c>
      <c r="B293" s="8">
        <v>350</v>
      </c>
      <c r="C293" s="4" t="s">
        <v>2458</v>
      </c>
      <c r="D293" s="4" t="s">
        <v>2459</v>
      </c>
      <c r="E293" s="4" t="s">
        <v>2459</v>
      </c>
      <c r="F293" s="7">
        <v>112</v>
      </c>
      <c r="G293" s="7">
        <v>10</v>
      </c>
      <c r="H293" s="16" t="str">
        <f t="shared" si="4"/>
        <v>(291,'350','تاغزوت','Taghzout','Taghzout',112),</v>
      </c>
    </row>
    <row r="294" spans="1:8" ht="20.100000000000001" customHeight="1" x14ac:dyDescent="0.25">
      <c r="A294" s="3">
        <v>292</v>
      </c>
      <c r="B294" s="8">
        <v>320</v>
      </c>
      <c r="C294" s="4" t="s">
        <v>2460</v>
      </c>
      <c r="D294" s="4" t="s">
        <v>2461</v>
      </c>
      <c r="E294" s="4" t="s">
        <v>2461</v>
      </c>
      <c r="F294" s="7">
        <v>113</v>
      </c>
      <c r="G294" s="7">
        <v>10</v>
      </c>
      <c r="H294" s="16" t="str">
        <f t="shared" si="4"/>
        <v>(292,'320','بودربالة','Bouderbala','Bouderbala',113),</v>
      </c>
    </row>
    <row r="295" spans="1:8" ht="20.100000000000001" customHeight="1" x14ac:dyDescent="0.25">
      <c r="A295" s="3">
        <v>293</v>
      </c>
      <c r="B295" s="8">
        <v>322</v>
      </c>
      <c r="C295" s="4" t="s">
        <v>2462</v>
      </c>
      <c r="D295" s="4" t="s">
        <v>2463</v>
      </c>
      <c r="E295" s="4" t="s">
        <v>2463</v>
      </c>
      <c r="F295" s="7">
        <v>113</v>
      </c>
      <c r="G295" s="7">
        <v>10</v>
      </c>
      <c r="H295" s="16" t="str">
        <f t="shared" si="4"/>
        <v>(293,'322','بوكرم','Boukram','Boukram',113),</v>
      </c>
    </row>
    <row r="296" spans="1:8" ht="20.100000000000001" customHeight="1" x14ac:dyDescent="0.25">
      <c r="A296" s="3">
        <v>294</v>
      </c>
      <c r="B296" s="8">
        <v>333</v>
      </c>
      <c r="C296" s="4" t="s">
        <v>2464</v>
      </c>
      <c r="D296" s="4" t="s">
        <v>2465</v>
      </c>
      <c r="E296" s="4" t="s">
        <v>2465</v>
      </c>
      <c r="F296" s="7">
        <v>113</v>
      </c>
      <c r="G296" s="7">
        <v>10</v>
      </c>
      <c r="H296" s="16" t="str">
        <f t="shared" si="4"/>
        <v>(294,'333','قرومة','Guerrouma','Guerrouma',113),</v>
      </c>
    </row>
    <row r="297" spans="1:8" ht="20.100000000000001" customHeight="1" x14ac:dyDescent="0.25">
      <c r="A297" s="3">
        <v>295</v>
      </c>
      <c r="B297" s="8">
        <v>338</v>
      </c>
      <c r="C297" s="4" t="s">
        <v>1338</v>
      </c>
      <c r="D297" s="4" t="s">
        <v>1337</v>
      </c>
      <c r="E297" s="4" t="s">
        <v>1337</v>
      </c>
      <c r="F297" s="7">
        <v>113</v>
      </c>
      <c r="G297" s="7">
        <v>10</v>
      </c>
      <c r="H297" s="16" t="str">
        <f t="shared" si="4"/>
        <v>(295,'338','الأخضرية','Lakhdaria','Lakhdaria',113),</v>
      </c>
    </row>
    <row r="298" spans="1:8" ht="20.100000000000001" customHeight="1" x14ac:dyDescent="0.25">
      <c r="A298" s="3">
        <v>296</v>
      </c>
      <c r="B298" s="8">
        <v>340</v>
      </c>
      <c r="C298" s="4" t="s">
        <v>2466</v>
      </c>
      <c r="D298" s="4" t="s">
        <v>2467</v>
      </c>
      <c r="E298" s="4" t="s">
        <v>2467</v>
      </c>
      <c r="F298" s="7">
        <v>113</v>
      </c>
      <c r="G298" s="7">
        <v>10</v>
      </c>
      <c r="H298" s="16" t="str">
        <f t="shared" si="4"/>
        <v>(296,'340','معلة','Maala','Maala',113),</v>
      </c>
    </row>
    <row r="299" spans="1:8" ht="20.100000000000001" customHeight="1" x14ac:dyDescent="0.25">
      <c r="A299" s="3">
        <v>297</v>
      </c>
      <c r="B299" s="8">
        <v>353</v>
      </c>
      <c r="C299" s="4" t="s">
        <v>2468</v>
      </c>
      <c r="D299" s="4" t="s">
        <v>5855</v>
      </c>
      <c r="E299" s="4" t="s">
        <v>5855</v>
      </c>
      <c r="F299" s="7">
        <v>113</v>
      </c>
      <c r="G299" s="7">
        <v>10</v>
      </c>
      <c r="H299" s="16" t="str">
        <f t="shared" si="4"/>
        <v>(297,'353','زبربر','Z\'barbar (El Isseri )','Z\'barbar (El Isseri )',113),</v>
      </c>
    </row>
    <row r="300" spans="1:8" ht="20.100000000000001" customHeight="1" x14ac:dyDescent="0.25">
      <c r="A300" s="3">
        <v>298</v>
      </c>
      <c r="B300" s="8">
        <v>329</v>
      </c>
      <c r="C300" s="4" t="s">
        <v>1342</v>
      </c>
      <c r="D300" s="4" t="s">
        <v>1341</v>
      </c>
      <c r="E300" s="4" t="s">
        <v>1341</v>
      </c>
      <c r="F300" s="7">
        <v>114</v>
      </c>
      <c r="G300" s="7">
        <v>10</v>
      </c>
      <c r="H300" s="16" t="str">
        <f t="shared" si="4"/>
        <v>(298,'329','الهاشمية','El Hachimia','El Hachimia',114),</v>
      </c>
    </row>
    <row r="301" spans="1:8" ht="20.100000000000001" customHeight="1" x14ac:dyDescent="0.25">
      <c r="A301" s="3">
        <v>299</v>
      </c>
      <c r="B301" s="8">
        <v>343</v>
      </c>
      <c r="C301" s="4" t="s">
        <v>2469</v>
      </c>
      <c r="D301" s="4" t="s">
        <v>2470</v>
      </c>
      <c r="E301" s="4" t="s">
        <v>2470</v>
      </c>
      <c r="F301" s="7">
        <v>114</v>
      </c>
      <c r="G301" s="7">
        <v>10</v>
      </c>
      <c r="H301" s="16" t="str">
        <f t="shared" si="4"/>
        <v>(299,'343','وادي البردي','Oued El Berdi','Oued El Berdi',114),</v>
      </c>
    </row>
    <row r="302" spans="1:8" ht="20.100000000000001" customHeight="1" x14ac:dyDescent="0.25">
      <c r="A302" s="3">
        <v>300</v>
      </c>
      <c r="B302" s="8">
        <v>319</v>
      </c>
      <c r="C302" s="4" t="s">
        <v>1336</v>
      </c>
      <c r="D302" s="4" t="s">
        <v>1335</v>
      </c>
      <c r="E302" s="4" t="s">
        <v>1335</v>
      </c>
      <c r="F302" s="7">
        <v>115</v>
      </c>
      <c r="G302" s="7">
        <v>10</v>
      </c>
      <c r="H302" s="16" t="str">
        <f t="shared" si="4"/>
        <v>(300,'319','برج أوخريص','Bordj Okhriss','Bordj Okhriss',115),</v>
      </c>
    </row>
    <row r="303" spans="1:8" ht="20.100000000000001" customHeight="1" x14ac:dyDescent="0.25">
      <c r="A303" s="3">
        <v>301</v>
      </c>
      <c r="B303" s="8">
        <v>334</v>
      </c>
      <c r="C303" s="4" t="s">
        <v>2471</v>
      </c>
      <c r="D303" s="4" t="s">
        <v>2472</v>
      </c>
      <c r="E303" s="4" t="s">
        <v>2472</v>
      </c>
      <c r="F303" s="7">
        <v>115</v>
      </c>
      <c r="G303" s="7">
        <v>10</v>
      </c>
      <c r="H303" s="16" t="str">
        <f t="shared" si="4"/>
        <v>(301,'334','الحجرة الزرقاء','Hadjera Zerga','Hadjera Zerga',115),</v>
      </c>
    </row>
    <row r="304" spans="1:8" ht="20.100000000000001" customHeight="1" x14ac:dyDescent="0.25">
      <c r="A304" s="3">
        <v>302</v>
      </c>
      <c r="B304" s="8">
        <v>342</v>
      </c>
      <c r="C304" s="4" t="s">
        <v>2473</v>
      </c>
      <c r="D304" s="4" t="s">
        <v>2474</v>
      </c>
      <c r="E304" s="4" t="s">
        <v>2474</v>
      </c>
      <c r="F304" s="7">
        <v>115</v>
      </c>
      <c r="G304" s="7">
        <v>10</v>
      </c>
      <c r="H304" s="16" t="str">
        <f t="shared" si="4"/>
        <v>(302,'342','مزدور','Mezdour','Mezdour',115),</v>
      </c>
    </row>
    <row r="305" spans="1:8" ht="20.100000000000001" customHeight="1" x14ac:dyDescent="0.25">
      <c r="A305" s="3">
        <v>303</v>
      </c>
      <c r="B305" s="8">
        <v>351</v>
      </c>
      <c r="C305" s="4" t="s">
        <v>2475</v>
      </c>
      <c r="D305" s="4" t="s">
        <v>2476</v>
      </c>
      <c r="E305" s="4" t="s">
        <v>2476</v>
      </c>
      <c r="F305" s="7">
        <v>115</v>
      </c>
      <c r="G305" s="7">
        <v>10</v>
      </c>
      <c r="H305" s="16" t="str">
        <f t="shared" si="4"/>
        <v>(303,'351','تاقديت','Taguedite','Taguedite',115),</v>
      </c>
    </row>
    <row r="306" spans="1:8" ht="20.100000000000001" customHeight="1" x14ac:dyDescent="0.25">
      <c r="A306" s="3">
        <v>304</v>
      </c>
      <c r="B306" s="8">
        <v>310</v>
      </c>
      <c r="C306" s="4" t="s">
        <v>2477</v>
      </c>
      <c r="D306" s="4" t="s">
        <v>2478</v>
      </c>
      <c r="E306" s="4" t="s">
        <v>2478</v>
      </c>
      <c r="F306" s="7">
        <v>116</v>
      </c>
      <c r="G306" s="7">
        <v>10</v>
      </c>
      <c r="H306" s="16" t="str">
        <f t="shared" si="4"/>
        <v>(304,'310','أهل القصر','Ahl El Ksar','Ahl El Ksar',116),</v>
      </c>
    </row>
    <row r="307" spans="1:8" ht="20.100000000000001" customHeight="1" x14ac:dyDescent="0.25">
      <c r="A307" s="3">
        <v>305</v>
      </c>
      <c r="B307" s="8">
        <v>317</v>
      </c>
      <c r="C307" s="4" t="s">
        <v>1328</v>
      </c>
      <c r="D307" s="4" t="s">
        <v>1327</v>
      </c>
      <c r="E307" s="4" t="s">
        <v>1327</v>
      </c>
      <c r="F307" s="7">
        <v>116</v>
      </c>
      <c r="G307" s="7">
        <v>10</v>
      </c>
      <c r="H307" s="16" t="str">
        <f t="shared" si="4"/>
        <v>(305,'317','بشلول','Bechloul','Bechloul',116),</v>
      </c>
    </row>
    <row r="308" spans="1:8" ht="20.100000000000001" customHeight="1" x14ac:dyDescent="0.25">
      <c r="A308" s="3">
        <v>306</v>
      </c>
      <c r="B308" s="8">
        <v>327</v>
      </c>
      <c r="C308" s="4" t="s">
        <v>2479</v>
      </c>
      <c r="D308" s="4" t="s">
        <v>2480</v>
      </c>
      <c r="E308" s="4" t="s">
        <v>2480</v>
      </c>
      <c r="F308" s="7">
        <v>116</v>
      </c>
      <c r="G308" s="7">
        <v>10</v>
      </c>
      <c r="H308" s="16" t="str">
        <f t="shared" si="4"/>
        <v>(306,'327','العجيبة','El Adjiba','El Adjiba',116),</v>
      </c>
    </row>
    <row r="309" spans="1:8" ht="20.100000000000001" customHeight="1" x14ac:dyDescent="0.25">
      <c r="A309" s="3">
        <v>307</v>
      </c>
      <c r="B309" s="8">
        <v>328</v>
      </c>
      <c r="C309" s="4" t="s">
        <v>2481</v>
      </c>
      <c r="D309" s="4" t="s">
        <v>2482</v>
      </c>
      <c r="E309" s="4" t="s">
        <v>2482</v>
      </c>
      <c r="F309" s="7">
        <v>116</v>
      </c>
      <c r="G309" s="7">
        <v>10</v>
      </c>
      <c r="H309" s="16" t="str">
        <f t="shared" si="4"/>
        <v>(307,'328','الأسنام','El Asnam','El Asnam',116),</v>
      </c>
    </row>
    <row r="310" spans="1:8" ht="20.100000000000001" customHeight="1" x14ac:dyDescent="0.25">
      <c r="A310" s="3">
        <v>308</v>
      </c>
      <c r="B310" s="8">
        <v>344</v>
      </c>
      <c r="C310" s="4" t="s">
        <v>2483</v>
      </c>
      <c r="D310" s="4" t="s">
        <v>2484</v>
      </c>
      <c r="E310" s="4" t="s">
        <v>2484</v>
      </c>
      <c r="F310" s="7">
        <v>116</v>
      </c>
      <c r="G310" s="7">
        <v>10</v>
      </c>
      <c r="H310" s="16" t="str">
        <f t="shared" si="4"/>
        <v>(308,'344','أولاد راشد','Ouled Rached','Ouled Rached',116),</v>
      </c>
    </row>
    <row r="311" spans="1:8" ht="20.100000000000001" customHeight="1" x14ac:dyDescent="0.25">
      <c r="A311" s="3">
        <v>309</v>
      </c>
      <c r="B311" s="8">
        <v>311</v>
      </c>
      <c r="C311" s="4" t="s">
        <v>1590</v>
      </c>
      <c r="D311" s="4" t="s">
        <v>1589</v>
      </c>
      <c r="E311" s="4" t="s">
        <v>1589</v>
      </c>
      <c r="F311" s="7">
        <v>117</v>
      </c>
      <c r="G311" s="7">
        <v>10</v>
      </c>
      <c r="H311" s="16" t="str">
        <f t="shared" si="4"/>
        <v>(309,'311','عين الحجر','Ain El Hadjar','Ain El Hadjar',117),</v>
      </c>
    </row>
    <row r="312" spans="1:8" ht="20.100000000000001" customHeight="1" x14ac:dyDescent="0.25">
      <c r="A312" s="3">
        <v>310</v>
      </c>
      <c r="B312" s="8">
        <v>312</v>
      </c>
      <c r="C312" s="4" t="s">
        <v>2485</v>
      </c>
      <c r="D312" s="4" t="s">
        <v>2486</v>
      </c>
      <c r="E312" s="4" t="s">
        <v>2486</v>
      </c>
      <c r="F312" s="7">
        <v>117</v>
      </c>
      <c r="G312" s="7">
        <v>10</v>
      </c>
      <c r="H312" s="16" t="str">
        <f t="shared" si="4"/>
        <v>(310,'312','عين العلوي','Ain Laloui','Ain Laloui',117),</v>
      </c>
    </row>
    <row r="313" spans="1:8" ht="20.100000000000001" customHeight="1" x14ac:dyDescent="0.25">
      <c r="A313" s="3">
        <v>311</v>
      </c>
      <c r="B313" s="8">
        <v>314</v>
      </c>
      <c r="C313" s="4" t="s">
        <v>1330</v>
      </c>
      <c r="D313" s="4" t="s">
        <v>2487</v>
      </c>
      <c r="E313" s="4" t="s">
        <v>2487</v>
      </c>
      <c r="F313" s="7">
        <v>117</v>
      </c>
      <c r="G313" s="7">
        <v>10</v>
      </c>
      <c r="H313" s="16" t="str">
        <f t="shared" si="4"/>
        <v>(311,'314','عين بسام','Ain-Bessem','Ain-Bessem',117),</v>
      </c>
    </row>
    <row r="314" spans="1:8" ht="20.100000000000001" customHeight="1" x14ac:dyDescent="0.25">
      <c r="A314" s="3">
        <v>312</v>
      </c>
      <c r="B314" s="8">
        <v>318</v>
      </c>
      <c r="C314" s="4" t="s">
        <v>1334</v>
      </c>
      <c r="D314" s="4" t="s">
        <v>1333</v>
      </c>
      <c r="E314" s="4" t="s">
        <v>1333</v>
      </c>
      <c r="F314" s="7">
        <v>118</v>
      </c>
      <c r="G314" s="7">
        <v>10</v>
      </c>
      <c r="H314" s="16" t="str">
        <f t="shared" si="4"/>
        <v>(312,'318','بئر غبالو','Bir Ghbalou','Bir Ghbalou',118),</v>
      </c>
    </row>
    <row r="315" spans="1:8" ht="20.100000000000001" customHeight="1" x14ac:dyDescent="0.25">
      <c r="A315" s="3">
        <v>313</v>
      </c>
      <c r="B315" s="8">
        <v>330</v>
      </c>
      <c r="C315" s="4" t="s">
        <v>2488</v>
      </c>
      <c r="D315" s="4" t="s">
        <v>2489</v>
      </c>
      <c r="E315" s="4" t="s">
        <v>2489</v>
      </c>
      <c r="F315" s="7">
        <v>118</v>
      </c>
      <c r="G315" s="7">
        <v>10</v>
      </c>
      <c r="H315" s="16" t="str">
        <f t="shared" si="4"/>
        <v>(313,'330','الخبوزية','El Khabouzia','El Khabouzia',118),</v>
      </c>
    </row>
    <row r="316" spans="1:8" ht="20.100000000000001" customHeight="1" x14ac:dyDescent="0.25">
      <c r="A316" s="3">
        <v>314</v>
      </c>
      <c r="B316" s="8">
        <v>345</v>
      </c>
      <c r="C316" s="4" t="s">
        <v>2490</v>
      </c>
      <c r="D316" s="4" t="s">
        <v>2491</v>
      </c>
      <c r="E316" s="4" t="s">
        <v>2491</v>
      </c>
      <c r="F316" s="7">
        <v>118</v>
      </c>
      <c r="G316" s="7">
        <v>10</v>
      </c>
      <c r="H316" s="16" t="str">
        <f t="shared" si="4"/>
        <v>(314,'345','روراوة','Raouraoua','Raouraoua',118),</v>
      </c>
    </row>
    <row r="317" spans="1:8" ht="20.100000000000001" customHeight="1" x14ac:dyDescent="0.25">
      <c r="A317" s="3">
        <v>315</v>
      </c>
      <c r="B317" s="8">
        <v>309</v>
      </c>
      <c r="C317" s="4" t="s">
        <v>2492</v>
      </c>
      <c r="D317" s="4" t="s">
        <v>2493</v>
      </c>
      <c r="E317" s="4" t="s">
        <v>2493</v>
      </c>
      <c r="F317" s="7">
        <v>119</v>
      </c>
      <c r="G317" s="7">
        <v>10</v>
      </c>
      <c r="H317" s="16" t="str">
        <f t="shared" si="4"/>
        <v>(315,'309','أغبالو','Aghbalou','Aghbalou',119),</v>
      </c>
    </row>
    <row r="318" spans="1:8" ht="20.100000000000001" customHeight="1" x14ac:dyDescent="0.25">
      <c r="A318" s="3">
        <v>316</v>
      </c>
      <c r="B318" s="8">
        <v>323</v>
      </c>
      <c r="C318" s="4" t="s">
        <v>2494</v>
      </c>
      <c r="D318" s="4" t="s">
        <v>2495</v>
      </c>
      <c r="E318" s="4" t="s">
        <v>2495</v>
      </c>
      <c r="F318" s="7">
        <v>119</v>
      </c>
      <c r="G318" s="7">
        <v>10</v>
      </c>
      <c r="H318" s="16" t="str">
        <f t="shared" si="4"/>
        <v>(316,'323','شرفة','Chorfa','Chorfa',119),</v>
      </c>
    </row>
    <row r="319" spans="1:8" ht="20.100000000000001" customHeight="1" x14ac:dyDescent="0.25">
      <c r="A319" s="3">
        <v>317</v>
      </c>
      <c r="B319" s="8">
        <v>336</v>
      </c>
      <c r="C319" s="4" t="s">
        <v>2496</v>
      </c>
      <c r="D319" s="4" t="s">
        <v>2497</v>
      </c>
      <c r="E319" s="4" t="s">
        <v>2497</v>
      </c>
      <c r="F319" s="7">
        <v>119</v>
      </c>
      <c r="G319" s="7">
        <v>10</v>
      </c>
      <c r="H319" s="16" t="str">
        <f t="shared" si="4"/>
        <v>(317,'336','حنيف','Hanif','Hanif',119),</v>
      </c>
    </row>
    <row r="320" spans="1:8" ht="20.100000000000001" customHeight="1" x14ac:dyDescent="0.25">
      <c r="A320" s="3">
        <v>318</v>
      </c>
      <c r="B320" s="8">
        <v>339</v>
      </c>
      <c r="C320" s="4" t="s">
        <v>2498</v>
      </c>
      <c r="D320" s="4" t="s">
        <v>2499</v>
      </c>
      <c r="E320" s="4" t="s">
        <v>2499</v>
      </c>
      <c r="F320" s="7">
        <v>119</v>
      </c>
      <c r="G320" s="7">
        <v>10</v>
      </c>
      <c r="H320" s="16" t="str">
        <f t="shared" si="4"/>
        <v>(318,'339','أمشدالة','M Chedallah','M Chedallah',119),</v>
      </c>
    </row>
    <row r="321" spans="1:8" ht="20.100000000000001" customHeight="1" x14ac:dyDescent="0.25">
      <c r="A321" s="3">
        <v>319</v>
      </c>
      <c r="B321" s="8">
        <v>347</v>
      </c>
      <c r="C321" s="4" t="s">
        <v>2500</v>
      </c>
      <c r="D321" s="4" t="s">
        <v>2501</v>
      </c>
      <c r="E321" s="4" t="s">
        <v>2501</v>
      </c>
      <c r="F321" s="7">
        <v>119</v>
      </c>
      <c r="G321" s="7">
        <v>10</v>
      </c>
      <c r="H321" s="16" t="str">
        <f t="shared" si="4"/>
        <v>(319,'347','سحاريج','Saharidj','Saharidj',119),</v>
      </c>
    </row>
    <row r="322" spans="1:8" ht="20.100000000000001" customHeight="1" x14ac:dyDescent="0.25">
      <c r="A322" s="3">
        <v>320</v>
      </c>
      <c r="B322" s="8">
        <v>352</v>
      </c>
      <c r="C322" s="4" t="s">
        <v>2502</v>
      </c>
      <c r="D322" s="4" t="s">
        <v>2503</v>
      </c>
      <c r="E322" s="4" t="s">
        <v>2503</v>
      </c>
      <c r="F322" s="7">
        <v>119</v>
      </c>
      <c r="G322" s="7">
        <v>10</v>
      </c>
      <c r="H322" s="16" t="str">
        <f t="shared" si="4"/>
        <v>(320,'352','آث  منصور','Ath Mansour','Ath Mansour',119),</v>
      </c>
    </row>
    <row r="323" spans="1:8" ht="20.100000000000001" customHeight="1" x14ac:dyDescent="0.25">
      <c r="A323" s="3">
        <v>321</v>
      </c>
      <c r="B323" s="8">
        <v>324</v>
      </c>
      <c r="C323" s="4" t="s">
        <v>2504</v>
      </c>
      <c r="D323" s="4" t="s">
        <v>2505</v>
      </c>
      <c r="E323" s="4" t="s">
        <v>2505</v>
      </c>
      <c r="F323" s="7">
        <v>120</v>
      </c>
      <c r="G323" s="7">
        <v>10</v>
      </c>
      <c r="H323" s="16" t="str">
        <f t="shared" si="4"/>
        <v>(321,'324','الدشمية','Dechmia','Dechmia',120),</v>
      </c>
    </row>
    <row r="324" spans="1:8" ht="20.100000000000001" customHeight="1" x14ac:dyDescent="0.25">
      <c r="A324" s="3">
        <v>322</v>
      </c>
      <c r="B324" s="8">
        <v>325</v>
      </c>
      <c r="C324" s="4" t="s">
        <v>2506</v>
      </c>
      <c r="D324" s="4" t="s">
        <v>2507</v>
      </c>
      <c r="E324" s="4" t="s">
        <v>2507</v>
      </c>
      <c r="F324" s="7">
        <v>120</v>
      </c>
      <c r="G324" s="7">
        <v>10</v>
      </c>
      <c r="H324" s="16" t="str">
        <f t="shared" ref="H324:H387" si="5">CONCATENATE("(",A324,",'",B324,"','",C324,"','",D324,"','",E324,"',",F324,"),")</f>
        <v>(322,'325','ديرة','Dirah','Dirah',120),</v>
      </c>
    </row>
    <row r="325" spans="1:8" ht="20.100000000000001" customHeight="1" x14ac:dyDescent="0.25">
      <c r="A325" s="3">
        <v>323</v>
      </c>
      <c r="B325" s="8">
        <v>331</v>
      </c>
      <c r="C325" s="4" t="s">
        <v>2508</v>
      </c>
      <c r="D325" s="4" t="s">
        <v>2509</v>
      </c>
      <c r="E325" s="4" t="s">
        <v>2509</v>
      </c>
      <c r="F325" s="7">
        <v>120</v>
      </c>
      <c r="G325" s="7">
        <v>10</v>
      </c>
      <c r="H325" s="16" t="str">
        <f t="shared" si="5"/>
        <v>(323,'331','الحاكمية','El-Hakimia','El-Hakimia',120),</v>
      </c>
    </row>
    <row r="326" spans="1:8" ht="20.100000000000001" customHeight="1" x14ac:dyDescent="0.25">
      <c r="A326" s="3">
        <v>324</v>
      </c>
      <c r="B326" s="8">
        <v>341</v>
      </c>
      <c r="C326" s="4" t="s">
        <v>2510</v>
      </c>
      <c r="D326" s="4" t="s">
        <v>2511</v>
      </c>
      <c r="E326" s="4" t="s">
        <v>2511</v>
      </c>
      <c r="F326" s="7">
        <v>120</v>
      </c>
      <c r="G326" s="7">
        <v>10</v>
      </c>
      <c r="H326" s="16" t="str">
        <f t="shared" si="5"/>
        <v>(324,'341','المعمورة','Maamora','Maamora',120),</v>
      </c>
    </row>
    <row r="327" spans="1:8" ht="20.100000000000001" customHeight="1" x14ac:dyDescent="0.25">
      <c r="A327" s="3">
        <v>325</v>
      </c>
      <c r="B327" s="8">
        <v>346</v>
      </c>
      <c r="C327" s="4" t="s">
        <v>2512</v>
      </c>
      <c r="D327" s="4" t="s">
        <v>2513</v>
      </c>
      <c r="E327" s="4" t="s">
        <v>2513</v>
      </c>
      <c r="F327" s="7">
        <v>120</v>
      </c>
      <c r="G327" s="7">
        <v>10</v>
      </c>
      <c r="H327" s="16" t="str">
        <f t="shared" si="5"/>
        <v>(325,'346','ريدان','Ridane','Ridane',120),</v>
      </c>
    </row>
    <row r="328" spans="1:8" ht="20.100000000000001" customHeight="1" x14ac:dyDescent="0.25">
      <c r="A328" s="3">
        <v>326</v>
      </c>
      <c r="B328" s="8">
        <v>349</v>
      </c>
      <c r="C328" s="4" t="s">
        <v>1340</v>
      </c>
      <c r="D328" s="4" t="s">
        <v>1339</v>
      </c>
      <c r="E328" s="4" t="s">
        <v>1339</v>
      </c>
      <c r="F328" s="7">
        <v>120</v>
      </c>
      <c r="G328" s="7">
        <v>10</v>
      </c>
      <c r="H328" s="16" t="str">
        <f t="shared" si="5"/>
        <v>(326,'349','سور الغزلان','Sour El Ghozlane','Sour El Ghozlane',120),</v>
      </c>
    </row>
    <row r="329" spans="1:8" ht="20.100000000000001" customHeight="1" x14ac:dyDescent="0.25">
      <c r="A329" s="3">
        <v>327</v>
      </c>
      <c r="B329" s="8">
        <v>355</v>
      </c>
      <c r="C329" s="4" t="s">
        <v>2514</v>
      </c>
      <c r="D329" s="4" t="s">
        <v>2515</v>
      </c>
      <c r="E329" s="4" t="s">
        <v>2515</v>
      </c>
      <c r="F329" s="7">
        <v>121</v>
      </c>
      <c r="G329" s="7">
        <v>11</v>
      </c>
      <c r="H329" s="16" t="str">
        <f t="shared" si="5"/>
        <v>(327,'355','عين امقل','Ain Amguel','Ain Amguel',121),</v>
      </c>
    </row>
    <row r="330" spans="1:8" ht="20.100000000000001" customHeight="1" x14ac:dyDescent="0.25">
      <c r="A330" s="3">
        <v>328</v>
      </c>
      <c r="B330" s="8">
        <v>361</v>
      </c>
      <c r="C330" s="4" t="s">
        <v>992</v>
      </c>
      <c r="D330" s="4" t="s">
        <v>993</v>
      </c>
      <c r="E330" s="4" t="s">
        <v>993</v>
      </c>
      <c r="F330" s="7">
        <v>121</v>
      </c>
      <c r="G330" s="7">
        <v>11</v>
      </c>
      <c r="H330" s="16" t="str">
        <f t="shared" si="5"/>
        <v>(328,'361','تمنراست','Tamanrasset','Tamanrasset',121),</v>
      </c>
    </row>
    <row r="331" spans="1:8" ht="20.100000000000001" customHeight="1" x14ac:dyDescent="0.25">
      <c r="A331" s="3">
        <v>329</v>
      </c>
      <c r="B331" s="8">
        <v>354</v>
      </c>
      <c r="C331" s="4" t="s">
        <v>2516</v>
      </c>
      <c r="D331" s="4" t="s">
        <v>2517</v>
      </c>
      <c r="E331" s="4" t="s">
        <v>2517</v>
      </c>
      <c r="F331" s="7">
        <v>122</v>
      </c>
      <c r="G331" s="7">
        <v>11</v>
      </c>
      <c r="H331" s="16" t="str">
        <f t="shared" si="5"/>
        <v>(329,'354','ابلسة','Abelsa','Abelsa',122),</v>
      </c>
    </row>
    <row r="332" spans="1:8" ht="20.100000000000001" customHeight="1" x14ac:dyDescent="0.25">
      <c r="A332" s="3">
        <v>330</v>
      </c>
      <c r="B332" s="8">
        <v>359</v>
      </c>
      <c r="C332" s="4" t="s">
        <v>2518</v>
      </c>
      <c r="D332" s="4" t="s">
        <v>2519</v>
      </c>
      <c r="E332" s="4" t="s">
        <v>2519</v>
      </c>
      <c r="F332" s="7">
        <v>123</v>
      </c>
      <c r="G332" s="7">
        <v>11</v>
      </c>
      <c r="H332" s="16" t="str">
        <f t="shared" si="5"/>
        <v>(330,'359','أدلس','Idles','Idles',123),</v>
      </c>
    </row>
    <row r="333" spans="1:8" ht="20.100000000000001" customHeight="1" x14ac:dyDescent="0.25">
      <c r="A333" s="3">
        <v>331</v>
      </c>
      <c r="B333" s="8">
        <v>362</v>
      </c>
      <c r="C333" s="4" t="s">
        <v>1352</v>
      </c>
      <c r="D333" s="4" t="s">
        <v>1351</v>
      </c>
      <c r="E333" s="4" t="s">
        <v>1351</v>
      </c>
      <c r="F333" s="7">
        <v>123</v>
      </c>
      <c r="G333" s="7">
        <v>11</v>
      </c>
      <c r="H333" s="16" t="str">
        <f t="shared" si="5"/>
        <v>(331,'362','تاظروك','Tazrouk','Tazrouk',123),</v>
      </c>
    </row>
    <row r="334" spans="1:8" ht="20.100000000000001" customHeight="1" x14ac:dyDescent="0.25">
      <c r="A334" s="3">
        <v>332</v>
      </c>
      <c r="B334" s="8">
        <v>390</v>
      </c>
      <c r="C334" s="4" t="s">
        <v>994</v>
      </c>
      <c r="D334" s="4" t="s">
        <v>1093</v>
      </c>
      <c r="E334" s="4" t="s">
        <v>1093</v>
      </c>
      <c r="F334" s="7">
        <v>124</v>
      </c>
      <c r="G334" s="7">
        <v>12</v>
      </c>
      <c r="H334" s="16" t="str">
        <f t="shared" si="5"/>
        <v>(332,'390','تبسة','Tebessa','Tebessa',124),</v>
      </c>
    </row>
    <row r="335" spans="1:8" ht="20.100000000000001" customHeight="1" x14ac:dyDescent="0.25">
      <c r="A335" s="3">
        <v>333</v>
      </c>
      <c r="B335" s="8">
        <v>369</v>
      </c>
      <c r="C335" s="4" t="s">
        <v>1368</v>
      </c>
      <c r="D335" s="4" t="s">
        <v>2520</v>
      </c>
      <c r="E335" s="4" t="s">
        <v>2520</v>
      </c>
      <c r="F335" s="7">
        <v>125</v>
      </c>
      <c r="G335" s="7">
        <v>12</v>
      </c>
      <c r="H335" s="16" t="str">
        <f t="shared" si="5"/>
        <v>(333,'369','بئر العاتر','Bir-El-Ater','Bir-El-Ater',125),</v>
      </c>
    </row>
    <row r="336" spans="1:8" ht="20.100000000000001" customHeight="1" x14ac:dyDescent="0.25">
      <c r="A336" s="3">
        <v>334</v>
      </c>
      <c r="B336" s="8">
        <v>378</v>
      </c>
      <c r="C336" s="4" t="s">
        <v>2521</v>
      </c>
      <c r="D336" s="4" t="s">
        <v>2522</v>
      </c>
      <c r="E336" s="4" t="s">
        <v>2522</v>
      </c>
      <c r="F336" s="7">
        <v>125</v>
      </c>
      <c r="G336" s="7">
        <v>12</v>
      </c>
      <c r="H336" s="16" t="str">
        <f t="shared" si="5"/>
        <v>(334,'378','العقلة المالحة','El Ogla El Malha','El Ogla El Malha',125),</v>
      </c>
    </row>
    <row r="337" spans="1:8" ht="20.100000000000001" customHeight="1" x14ac:dyDescent="0.25">
      <c r="A337" s="3">
        <v>335</v>
      </c>
      <c r="B337" s="8">
        <v>372</v>
      </c>
      <c r="C337" s="4" t="s">
        <v>1372</v>
      </c>
      <c r="D337" s="4" t="s">
        <v>1371</v>
      </c>
      <c r="E337" s="4" t="s">
        <v>1371</v>
      </c>
      <c r="F337" s="7">
        <v>126</v>
      </c>
      <c r="G337" s="7">
        <v>12</v>
      </c>
      <c r="H337" s="16" t="str">
        <f t="shared" si="5"/>
        <v>(335,'372','الشريعة','Cheria','Cheria',126),</v>
      </c>
    </row>
    <row r="338" spans="1:8" ht="20.100000000000001" customHeight="1" x14ac:dyDescent="0.25">
      <c r="A338" s="3">
        <v>336</v>
      </c>
      <c r="B338" s="8">
        <v>391</v>
      </c>
      <c r="C338" s="4" t="s">
        <v>2523</v>
      </c>
      <c r="D338" s="4" t="s">
        <v>2524</v>
      </c>
      <c r="E338" s="4" t="s">
        <v>2524</v>
      </c>
      <c r="F338" s="7">
        <v>126</v>
      </c>
      <c r="G338" s="7">
        <v>12</v>
      </c>
      <c r="H338" s="16" t="str">
        <f t="shared" si="5"/>
        <v>(336,'391','ثليجان','Telidjen','Telidjen',126),</v>
      </c>
    </row>
    <row r="339" spans="1:8" ht="20.100000000000001" customHeight="1" x14ac:dyDescent="0.25">
      <c r="A339" s="3">
        <v>337</v>
      </c>
      <c r="B339" s="8">
        <v>370</v>
      </c>
      <c r="C339" s="4" t="s">
        <v>2525</v>
      </c>
      <c r="D339" s="4" t="s">
        <v>2526</v>
      </c>
      <c r="E339" s="4" t="s">
        <v>2526</v>
      </c>
      <c r="F339" s="7">
        <v>127</v>
      </c>
      <c r="G339" s="7">
        <v>12</v>
      </c>
      <c r="H339" s="16" t="str">
        <f t="shared" si="5"/>
        <v>(337,'370','بوخضرة','Boukhadra','Boukhadra',127),</v>
      </c>
    </row>
    <row r="340" spans="1:8" ht="20.100000000000001" customHeight="1" x14ac:dyDescent="0.25">
      <c r="A340" s="3">
        <v>338</v>
      </c>
      <c r="B340" s="8">
        <v>379</v>
      </c>
      <c r="C340" s="4" t="s">
        <v>1370</v>
      </c>
      <c r="D340" s="4" t="s">
        <v>2527</v>
      </c>
      <c r="E340" s="4" t="s">
        <v>2527</v>
      </c>
      <c r="F340" s="7">
        <v>127</v>
      </c>
      <c r="G340" s="7">
        <v>12</v>
      </c>
      <c r="H340" s="16" t="str">
        <f t="shared" si="5"/>
        <v>(338,'379','العوينات','El-Aouinet','El-Aouinet',127),</v>
      </c>
    </row>
    <row r="341" spans="1:8" ht="20.100000000000001" customHeight="1" x14ac:dyDescent="0.25">
      <c r="A341" s="3">
        <v>339</v>
      </c>
      <c r="B341" s="8">
        <v>381</v>
      </c>
      <c r="C341" s="4" t="s">
        <v>2528</v>
      </c>
      <c r="D341" s="4" t="s">
        <v>2529</v>
      </c>
      <c r="E341" s="4" t="s">
        <v>2529</v>
      </c>
      <c r="F341" s="7">
        <v>128</v>
      </c>
      <c r="G341" s="7">
        <v>12</v>
      </c>
      <c r="H341" s="16" t="str">
        <f t="shared" si="5"/>
        <v>(339,'381','فركان','Ferkane','Ferkane',128),</v>
      </c>
    </row>
    <row r="342" spans="1:8" ht="20.100000000000001" customHeight="1" x14ac:dyDescent="0.25">
      <c r="A342" s="3">
        <v>340</v>
      </c>
      <c r="B342" s="8">
        <v>385</v>
      </c>
      <c r="C342" s="4" t="s">
        <v>1376</v>
      </c>
      <c r="D342" s="4" t="s">
        <v>1375</v>
      </c>
      <c r="E342" s="4" t="s">
        <v>1375</v>
      </c>
      <c r="F342" s="7">
        <v>128</v>
      </c>
      <c r="G342" s="7">
        <v>12</v>
      </c>
      <c r="H342" s="16" t="str">
        <f t="shared" si="5"/>
        <v>(340,'385','نقرين','Negrine','Negrine',128),</v>
      </c>
    </row>
    <row r="343" spans="1:8" ht="20.100000000000001" customHeight="1" x14ac:dyDescent="0.25">
      <c r="A343" s="3">
        <v>341</v>
      </c>
      <c r="B343" s="8">
        <v>368</v>
      </c>
      <c r="C343" s="4" t="s">
        <v>1366</v>
      </c>
      <c r="D343" s="4" t="s">
        <v>2530</v>
      </c>
      <c r="E343" s="4" t="s">
        <v>2530</v>
      </c>
      <c r="F343" s="7">
        <v>129</v>
      </c>
      <c r="G343" s="7">
        <v>12</v>
      </c>
      <c r="H343" s="16" t="str">
        <f t="shared" si="5"/>
        <v>(341,'368','بئر مقدم','Bir Mokkadem','Bir Mokkadem',129),</v>
      </c>
    </row>
    <row r="344" spans="1:8" ht="20.100000000000001" customHeight="1" x14ac:dyDescent="0.25">
      <c r="A344" s="3">
        <v>342</v>
      </c>
      <c r="B344" s="8">
        <v>382</v>
      </c>
      <c r="C344" s="4" t="s">
        <v>2531</v>
      </c>
      <c r="D344" s="4" t="s">
        <v>2532</v>
      </c>
      <c r="E344" s="4" t="s">
        <v>2532</v>
      </c>
      <c r="F344" s="7">
        <v>129</v>
      </c>
      <c r="G344" s="7">
        <v>12</v>
      </c>
      <c r="H344" s="16" t="str">
        <f t="shared" si="5"/>
        <v>(342,'382','قريقر','Guorriguer','Guorriguer',129),</v>
      </c>
    </row>
    <row r="345" spans="1:8" ht="20.100000000000001" customHeight="1" x14ac:dyDescent="0.25">
      <c r="A345" s="3">
        <v>343</v>
      </c>
      <c r="B345" s="8">
        <v>383</v>
      </c>
      <c r="C345" s="4" t="s">
        <v>2533</v>
      </c>
      <c r="D345" s="4" t="s">
        <v>2534</v>
      </c>
      <c r="E345" s="4" t="s">
        <v>2534</v>
      </c>
      <c r="F345" s="7">
        <v>129</v>
      </c>
      <c r="G345" s="7">
        <v>12</v>
      </c>
      <c r="H345" s="16" t="str">
        <f t="shared" si="5"/>
        <v>(343,'383','الحمامات','Hammamet','Hammamet',129),</v>
      </c>
    </row>
    <row r="346" spans="1:8" ht="20.100000000000001" customHeight="1" x14ac:dyDescent="0.25">
      <c r="A346" s="3">
        <v>344</v>
      </c>
      <c r="B346" s="8">
        <v>366</v>
      </c>
      <c r="C346" s="4" t="s">
        <v>2535</v>
      </c>
      <c r="D346" s="4" t="s">
        <v>2536</v>
      </c>
      <c r="E346" s="4" t="s">
        <v>2536</v>
      </c>
      <c r="F346" s="7">
        <v>130</v>
      </c>
      <c r="G346" s="7">
        <v>12</v>
      </c>
      <c r="H346" s="16" t="str">
        <f t="shared" si="5"/>
        <v>(344,'366','بكارية','Bekkaria','Bekkaria',130),</v>
      </c>
    </row>
    <row r="347" spans="1:8" ht="20.100000000000001" customHeight="1" x14ac:dyDescent="0.25">
      <c r="A347" s="3">
        <v>345</v>
      </c>
      <c r="B347" s="8">
        <v>371</v>
      </c>
      <c r="C347" s="4" t="s">
        <v>2537</v>
      </c>
      <c r="D347" s="4" t="s">
        <v>2538</v>
      </c>
      <c r="E347" s="4" t="s">
        <v>2538</v>
      </c>
      <c r="F347" s="7">
        <v>130</v>
      </c>
      <c r="G347" s="7">
        <v>12</v>
      </c>
      <c r="H347" s="16" t="str">
        <f t="shared" si="5"/>
        <v>(345,'371','بولحاف الدير','Boulhaf Dyr','Boulhaf Dyr',130),</v>
      </c>
    </row>
    <row r="348" spans="1:8" ht="20.100000000000001" customHeight="1" x14ac:dyDescent="0.25">
      <c r="A348" s="3">
        <v>346</v>
      </c>
      <c r="B348" s="8">
        <v>373</v>
      </c>
      <c r="C348" s="4" t="s">
        <v>1362</v>
      </c>
      <c r="D348" s="4" t="s">
        <v>1361</v>
      </c>
      <c r="E348" s="4" t="s">
        <v>1361</v>
      </c>
      <c r="F348" s="7">
        <v>130</v>
      </c>
      <c r="G348" s="7">
        <v>12</v>
      </c>
      <c r="H348" s="16" t="str">
        <f t="shared" si="5"/>
        <v>(346,'373','الكويف','El Kouif','El Kouif',130),</v>
      </c>
    </row>
    <row r="349" spans="1:8" ht="20.100000000000001" customHeight="1" x14ac:dyDescent="0.25">
      <c r="A349" s="3">
        <v>347</v>
      </c>
      <c r="B349" s="8">
        <v>367</v>
      </c>
      <c r="C349" s="4" t="s">
        <v>2539</v>
      </c>
      <c r="D349" s="4" t="s">
        <v>2540</v>
      </c>
      <c r="E349" s="4" t="s">
        <v>2540</v>
      </c>
      <c r="F349" s="7">
        <v>131</v>
      </c>
      <c r="G349" s="7">
        <v>12</v>
      </c>
      <c r="H349" s="16" t="str">
        <f t="shared" si="5"/>
        <v>(347,'367','بئر الذهب','Bir Dheheb','Bir Dheheb',131),</v>
      </c>
    </row>
    <row r="350" spans="1:8" ht="20.100000000000001" customHeight="1" x14ac:dyDescent="0.25">
      <c r="A350" s="3">
        <v>348</v>
      </c>
      <c r="B350" s="8">
        <v>384</v>
      </c>
      <c r="C350" s="4" t="s">
        <v>1364</v>
      </c>
      <c r="D350" s="4" t="s">
        <v>1363</v>
      </c>
      <c r="E350" s="4" t="s">
        <v>1363</v>
      </c>
      <c r="F350" s="7">
        <v>131</v>
      </c>
      <c r="G350" s="7">
        <v>12</v>
      </c>
      <c r="H350" s="16" t="str">
        <f t="shared" si="5"/>
        <v>(348,'384','مرسط','Morsott','Morsott',131),</v>
      </c>
    </row>
    <row r="351" spans="1:8" ht="20.100000000000001" customHeight="1" x14ac:dyDescent="0.25">
      <c r="A351" s="3">
        <v>349</v>
      </c>
      <c r="B351" s="8">
        <v>365</v>
      </c>
      <c r="C351" s="4" t="s">
        <v>2541</v>
      </c>
      <c r="D351" s="4" t="s">
        <v>2542</v>
      </c>
      <c r="E351" s="4" t="s">
        <v>2542</v>
      </c>
      <c r="F351" s="7">
        <v>132</v>
      </c>
      <c r="G351" s="7">
        <v>12</v>
      </c>
      <c r="H351" s="16" t="str">
        <f t="shared" si="5"/>
        <v>(349,'365','بجن','Bedjene','Bedjene',132),</v>
      </c>
    </row>
    <row r="352" spans="1:8" ht="20.100000000000001" customHeight="1" x14ac:dyDescent="0.25">
      <c r="A352" s="3">
        <v>350</v>
      </c>
      <c r="B352" s="8">
        <v>376</v>
      </c>
      <c r="C352" s="4" t="s">
        <v>2543</v>
      </c>
      <c r="D352" s="4" t="s">
        <v>2544</v>
      </c>
      <c r="E352" s="4" t="s">
        <v>2544</v>
      </c>
      <c r="F352" s="7">
        <v>132</v>
      </c>
      <c r="G352" s="7">
        <v>12</v>
      </c>
      <c r="H352" s="16" t="str">
        <f t="shared" si="5"/>
        <v>(350,'376','المزرعة','El Mezeraa','El Mezeraa',132),</v>
      </c>
    </row>
    <row r="353" spans="1:8" ht="20.100000000000001" customHeight="1" x14ac:dyDescent="0.25">
      <c r="A353" s="3">
        <v>351</v>
      </c>
      <c r="B353" s="8">
        <v>377</v>
      </c>
      <c r="C353" s="4" t="s">
        <v>1360</v>
      </c>
      <c r="D353" s="4" t="s">
        <v>1359</v>
      </c>
      <c r="E353" s="4" t="s">
        <v>1359</v>
      </c>
      <c r="F353" s="7">
        <v>132</v>
      </c>
      <c r="G353" s="7">
        <v>12</v>
      </c>
      <c r="H353" s="16" t="str">
        <f t="shared" si="5"/>
        <v>(351,'377','العقلة','El Ogla','El Ogla',132),</v>
      </c>
    </row>
    <row r="354" spans="1:8" ht="20.100000000000001" customHeight="1" x14ac:dyDescent="0.25">
      <c r="A354" s="3">
        <v>352</v>
      </c>
      <c r="B354" s="8">
        <v>389</v>
      </c>
      <c r="C354" s="4" t="s">
        <v>2545</v>
      </c>
      <c r="D354" s="4" t="s">
        <v>2546</v>
      </c>
      <c r="E354" s="4" t="s">
        <v>2546</v>
      </c>
      <c r="F354" s="7">
        <v>132</v>
      </c>
      <c r="G354" s="7">
        <v>12</v>
      </c>
      <c r="H354" s="16" t="str">
        <f t="shared" si="5"/>
        <v>(352,'389','سطح قنطيس','Stah Guentis','Stah Guentis',132),</v>
      </c>
    </row>
    <row r="355" spans="1:8" ht="20.100000000000001" customHeight="1" x14ac:dyDescent="0.25">
      <c r="A355" s="3">
        <v>353</v>
      </c>
      <c r="B355" s="8">
        <v>364</v>
      </c>
      <c r="C355" s="4" t="s">
        <v>2547</v>
      </c>
      <c r="D355" s="4" t="s">
        <v>2548</v>
      </c>
      <c r="E355" s="4" t="s">
        <v>2548</v>
      </c>
      <c r="F355" s="7">
        <v>133</v>
      </c>
      <c r="G355" s="7">
        <v>12</v>
      </c>
      <c r="H355" s="16" t="str">
        <f t="shared" si="5"/>
        <v>(353,'364','عين الزرقاء','Ain Zerga','Ain Zerga',133),</v>
      </c>
    </row>
    <row r="356" spans="1:8" ht="20.100000000000001" customHeight="1" x14ac:dyDescent="0.25">
      <c r="A356" s="3">
        <v>354</v>
      </c>
      <c r="B356" s="8">
        <v>375</v>
      </c>
      <c r="C356" s="4" t="s">
        <v>2549</v>
      </c>
      <c r="D356" s="4" t="s">
        <v>2550</v>
      </c>
      <c r="E356" s="4" t="s">
        <v>2550</v>
      </c>
      <c r="F356" s="7">
        <v>133</v>
      </c>
      <c r="G356" s="7">
        <v>12</v>
      </c>
      <c r="H356" s="16" t="str">
        <f t="shared" si="5"/>
        <v>(354,'375','المريج','El Meridj','El Meridj',133),</v>
      </c>
    </row>
    <row r="357" spans="1:8" ht="20.100000000000001" customHeight="1" x14ac:dyDescent="0.25">
      <c r="A357" s="3">
        <v>355</v>
      </c>
      <c r="B357" s="8">
        <v>386</v>
      </c>
      <c r="C357" s="4" t="s">
        <v>1358</v>
      </c>
      <c r="D357" s="4" t="s">
        <v>1357</v>
      </c>
      <c r="E357" s="4" t="s">
        <v>1357</v>
      </c>
      <c r="F357" s="7">
        <v>133</v>
      </c>
      <c r="G357" s="7">
        <v>12</v>
      </c>
      <c r="H357" s="16" t="str">
        <f t="shared" si="5"/>
        <v>(355,'386','الونزة','Ouenza','Ouenza',133),</v>
      </c>
    </row>
    <row r="358" spans="1:8" ht="20.100000000000001" customHeight="1" x14ac:dyDescent="0.25">
      <c r="A358" s="3">
        <v>356</v>
      </c>
      <c r="B358" s="8">
        <v>374</v>
      </c>
      <c r="C358" s="4" t="s">
        <v>1374</v>
      </c>
      <c r="D358" s="4" t="s">
        <v>1373</v>
      </c>
      <c r="E358" s="4" t="s">
        <v>1373</v>
      </c>
      <c r="F358" s="7">
        <v>134</v>
      </c>
      <c r="G358" s="7">
        <v>12</v>
      </c>
      <c r="H358" s="16" t="str">
        <f t="shared" si="5"/>
        <v>(356,'374','الماء الابيض','El Malabiod','El Malabiod',134),</v>
      </c>
    </row>
    <row r="359" spans="1:8" ht="20.100000000000001" customHeight="1" x14ac:dyDescent="0.25">
      <c r="A359" s="3">
        <v>357</v>
      </c>
      <c r="B359" s="8">
        <v>380</v>
      </c>
      <c r="C359" s="4" t="s">
        <v>2551</v>
      </c>
      <c r="D359" s="4" t="s">
        <v>2552</v>
      </c>
      <c r="E359" s="4" t="s">
        <v>2552</v>
      </c>
      <c r="F359" s="7">
        <v>134</v>
      </c>
      <c r="G359" s="7">
        <v>12</v>
      </c>
      <c r="H359" s="16" t="str">
        <f t="shared" si="5"/>
        <v>(357,'380','الحويجبات','El-Houidjbet','El-Houidjbet',134),</v>
      </c>
    </row>
    <row r="360" spans="1:8" ht="20.100000000000001" customHeight="1" x14ac:dyDescent="0.25">
      <c r="A360" s="3">
        <v>358</v>
      </c>
      <c r="B360" s="8">
        <v>387</v>
      </c>
      <c r="C360" s="4" t="s">
        <v>1378</v>
      </c>
      <c r="D360" s="4" t="s">
        <v>1377</v>
      </c>
      <c r="E360" s="4" t="s">
        <v>1377</v>
      </c>
      <c r="F360" s="7">
        <v>135</v>
      </c>
      <c r="G360" s="7">
        <v>12</v>
      </c>
      <c r="H360" s="16" t="str">
        <f t="shared" si="5"/>
        <v>(358,'387','أم علي','Oum Ali','Oum Ali',135),</v>
      </c>
    </row>
    <row r="361" spans="1:8" ht="20.100000000000001" customHeight="1" x14ac:dyDescent="0.25">
      <c r="A361" s="3">
        <v>359</v>
      </c>
      <c r="B361" s="8">
        <v>388</v>
      </c>
      <c r="C361" s="4" t="s">
        <v>2553</v>
      </c>
      <c r="D361" s="4" t="s">
        <v>2554</v>
      </c>
      <c r="E361" s="4" t="s">
        <v>2554</v>
      </c>
      <c r="F361" s="7">
        <v>135</v>
      </c>
      <c r="G361" s="7">
        <v>12</v>
      </c>
      <c r="H361" s="16" t="str">
        <f t="shared" si="5"/>
        <v>(359,'388','صفصاف الوسرى','Saf Saf El Ouesra','Saf Saf El Ouesra',135),</v>
      </c>
    </row>
    <row r="362" spans="1:8" ht="20.100000000000001" customHeight="1" x14ac:dyDescent="0.25">
      <c r="A362" s="3">
        <v>360</v>
      </c>
      <c r="B362" s="8">
        <v>443</v>
      </c>
      <c r="C362" s="4" t="s">
        <v>996</v>
      </c>
      <c r="D362" s="4" t="s">
        <v>997</v>
      </c>
      <c r="E362" s="4" t="s">
        <v>997</v>
      </c>
      <c r="F362" s="7">
        <v>136</v>
      </c>
      <c r="G362" s="7">
        <v>13</v>
      </c>
      <c r="H362" s="16" t="str">
        <f t="shared" si="5"/>
        <v>(360,'443','تلمسان','Tlemcen','Tlemcen',136),</v>
      </c>
    </row>
    <row r="363" spans="1:8" ht="20.100000000000001" customHeight="1" x14ac:dyDescent="0.25">
      <c r="A363" s="3">
        <v>361</v>
      </c>
      <c r="B363" s="8">
        <v>396</v>
      </c>
      <c r="C363" s="4" t="s">
        <v>2555</v>
      </c>
      <c r="D363" s="4" t="s">
        <v>2556</v>
      </c>
      <c r="E363" s="4" t="s">
        <v>2556</v>
      </c>
      <c r="F363" s="7">
        <v>137</v>
      </c>
      <c r="G363" s="7">
        <v>13</v>
      </c>
      <c r="H363" s="16" t="str">
        <f t="shared" si="5"/>
        <v>(361,'396','عين النحالة','Ain Nehala','Ain Nehala',137),</v>
      </c>
    </row>
    <row r="364" spans="1:8" ht="20.100000000000001" customHeight="1" x14ac:dyDescent="0.25">
      <c r="A364" s="3">
        <v>362</v>
      </c>
      <c r="B364" s="8">
        <v>397</v>
      </c>
      <c r="C364" s="4" t="s">
        <v>1386</v>
      </c>
      <c r="D364" s="4" t="s">
        <v>1385</v>
      </c>
      <c r="E364" s="4" t="s">
        <v>1385</v>
      </c>
      <c r="F364" s="7">
        <v>137</v>
      </c>
      <c r="G364" s="7">
        <v>13</v>
      </c>
      <c r="H364" s="16" t="str">
        <f t="shared" si="5"/>
        <v>(362,'397','عين تالوت','Ain Tellout','Ain Tellout',137),</v>
      </c>
    </row>
    <row r="365" spans="1:8" ht="20.100000000000001" customHeight="1" x14ac:dyDescent="0.25">
      <c r="A365" s="3">
        <v>363</v>
      </c>
      <c r="B365" s="8">
        <v>398</v>
      </c>
      <c r="C365" s="4" t="s">
        <v>2557</v>
      </c>
      <c r="D365" s="4" t="s">
        <v>2558</v>
      </c>
      <c r="E365" s="4" t="s">
        <v>2558</v>
      </c>
      <c r="F365" s="7">
        <v>138</v>
      </c>
      <c r="G365" s="7">
        <v>13</v>
      </c>
      <c r="H365" s="16" t="str">
        <f t="shared" si="5"/>
        <v>(363,'398','عين يوسف','Ain Youcef','Ain Youcef',138),</v>
      </c>
    </row>
    <row r="366" spans="1:8" ht="20.100000000000001" customHeight="1" x14ac:dyDescent="0.25">
      <c r="A366" s="3">
        <v>364</v>
      </c>
      <c r="B366" s="8">
        <v>405</v>
      </c>
      <c r="C366" s="4" t="s">
        <v>2559</v>
      </c>
      <c r="D366" s="4" t="s">
        <v>2560</v>
      </c>
      <c r="E366" s="4" t="s">
        <v>2560</v>
      </c>
      <c r="F366" s="7">
        <v>138</v>
      </c>
      <c r="G366" s="7">
        <v>13</v>
      </c>
      <c r="H366" s="16" t="str">
        <f t="shared" si="5"/>
        <v>(364,'405','بني وارسوس','Beni Ouarsous','Beni Ouarsous',138),</v>
      </c>
    </row>
    <row r="367" spans="1:8" ht="20.100000000000001" customHeight="1" x14ac:dyDescent="0.25">
      <c r="A367" s="3">
        <v>365</v>
      </c>
      <c r="B367" s="8">
        <v>416</v>
      </c>
      <c r="C367" s="4" t="s">
        <v>2561</v>
      </c>
      <c r="D367" s="4" t="s">
        <v>2562</v>
      </c>
      <c r="E367" s="4" t="s">
        <v>2562</v>
      </c>
      <c r="F367" s="7">
        <v>138</v>
      </c>
      <c r="G367" s="7">
        <v>13</v>
      </c>
      <c r="H367" s="16" t="str">
        <f t="shared" si="5"/>
        <v>(365,'416','الفحول','El Fehoul','El Fehoul',138),</v>
      </c>
    </row>
    <row r="368" spans="1:8" ht="20.100000000000001" customHeight="1" x14ac:dyDescent="0.25">
      <c r="A368" s="3">
        <v>366</v>
      </c>
      <c r="B368" s="8">
        <v>431</v>
      </c>
      <c r="C368" s="4" t="s">
        <v>1388</v>
      </c>
      <c r="D368" s="4" t="s">
        <v>1387</v>
      </c>
      <c r="E368" s="4" t="s">
        <v>1387</v>
      </c>
      <c r="F368" s="7">
        <v>138</v>
      </c>
      <c r="G368" s="7">
        <v>13</v>
      </c>
      <c r="H368" s="16" t="str">
        <f t="shared" si="5"/>
        <v>(366,'431','الرمشي','Remchi','Remchi',138),</v>
      </c>
    </row>
    <row r="369" spans="1:8" ht="20.100000000000001" customHeight="1" x14ac:dyDescent="0.25">
      <c r="A369" s="3">
        <v>367</v>
      </c>
      <c r="B369" s="8">
        <v>433</v>
      </c>
      <c r="C369" s="4" t="s">
        <v>2563</v>
      </c>
      <c r="D369" s="4" t="s">
        <v>2564</v>
      </c>
      <c r="E369" s="4" t="s">
        <v>2564</v>
      </c>
      <c r="F369" s="7">
        <v>138</v>
      </c>
      <c r="G369" s="7">
        <v>13</v>
      </c>
      <c r="H369" s="16" t="str">
        <f t="shared" si="5"/>
        <v>(367,'433','سبعة شيوخ','Sebbaa Chioukh','Sebbaa Chioukh',138),</v>
      </c>
    </row>
    <row r="370" spans="1:8" ht="20.100000000000001" customHeight="1" x14ac:dyDescent="0.25">
      <c r="A370" s="3">
        <v>368</v>
      </c>
      <c r="B370" s="8">
        <v>409</v>
      </c>
      <c r="C370" s="4" t="s">
        <v>2565</v>
      </c>
      <c r="D370" s="4" t="s">
        <v>2566</v>
      </c>
      <c r="E370" s="4" t="s">
        <v>2566</v>
      </c>
      <c r="F370" s="7">
        <v>139</v>
      </c>
      <c r="G370" s="7">
        <v>13</v>
      </c>
      <c r="H370" s="16" t="str">
        <f t="shared" si="5"/>
        <v>(368,'409','بوحلو','Bouhlou','Bouhlou',139),</v>
      </c>
    </row>
    <row r="371" spans="1:8" ht="20.100000000000001" customHeight="1" x14ac:dyDescent="0.25">
      <c r="A371" s="3">
        <v>369</v>
      </c>
      <c r="B371" s="8">
        <v>432</v>
      </c>
      <c r="C371" s="4" t="s">
        <v>1402</v>
      </c>
      <c r="D371" s="4" t="s">
        <v>1401</v>
      </c>
      <c r="E371" s="4" t="s">
        <v>1401</v>
      </c>
      <c r="F371" s="7">
        <v>139</v>
      </c>
      <c r="G371" s="7">
        <v>13</v>
      </c>
      <c r="H371" s="16" t="str">
        <f t="shared" si="5"/>
        <v>(369,'432','صبرة','Sabra','Sabra',139),</v>
      </c>
    </row>
    <row r="372" spans="1:8" ht="20.100000000000001" customHeight="1" x14ac:dyDescent="0.25">
      <c r="A372" s="3">
        <v>370</v>
      </c>
      <c r="B372" s="8">
        <v>412</v>
      </c>
      <c r="C372" s="4" t="s">
        <v>2567</v>
      </c>
      <c r="D372" s="4" t="s">
        <v>2568</v>
      </c>
      <c r="E372" s="4" t="s">
        <v>2568</v>
      </c>
      <c r="F372" s="7">
        <v>140</v>
      </c>
      <c r="G372" s="7">
        <v>13</v>
      </c>
      <c r="H372" s="16" t="str">
        <f t="shared" si="5"/>
        <v>(370,'412','دار يغمراسن','Dar Yaghmoracen','Dar Yaghmoracen',140),</v>
      </c>
    </row>
    <row r="373" spans="1:8" ht="20.100000000000001" customHeight="1" x14ac:dyDescent="0.25">
      <c r="A373" s="3">
        <v>371</v>
      </c>
      <c r="B373" s="8">
        <v>419</v>
      </c>
      <c r="C373" s="4" t="s">
        <v>1406</v>
      </c>
      <c r="D373" s="4" t="s">
        <v>1405</v>
      </c>
      <c r="E373" s="4" t="s">
        <v>1405</v>
      </c>
      <c r="F373" s="7">
        <v>140</v>
      </c>
      <c r="G373" s="7">
        <v>13</v>
      </c>
      <c r="H373" s="16" t="str">
        <f t="shared" si="5"/>
        <v>(371,'419','الغزوات','Ghazaouet','Ghazaouet',140),</v>
      </c>
    </row>
    <row r="374" spans="1:8" ht="20.100000000000001" customHeight="1" x14ac:dyDescent="0.25">
      <c r="A374" s="3">
        <v>372</v>
      </c>
      <c r="B374" s="8">
        <v>438</v>
      </c>
      <c r="C374" s="4" t="s">
        <v>2569</v>
      </c>
      <c r="D374" s="4" t="s">
        <v>2570</v>
      </c>
      <c r="E374" s="4" t="s">
        <v>2570</v>
      </c>
      <c r="F374" s="7">
        <v>140</v>
      </c>
      <c r="G374" s="7">
        <v>13</v>
      </c>
      <c r="H374" s="16" t="str">
        <f t="shared" si="5"/>
        <v>(372,'438','السواحلية','Souahlia','Souahlia',140),</v>
      </c>
    </row>
    <row r="375" spans="1:8" ht="20.100000000000001" customHeight="1" x14ac:dyDescent="0.25">
      <c r="A375" s="3">
        <v>373</v>
      </c>
      <c r="B375" s="8">
        <v>442</v>
      </c>
      <c r="C375" s="4" t="s">
        <v>2571</v>
      </c>
      <c r="D375" s="4" t="s">
        <v>2572</v>
      </c>
      <c r="E375" s="4" t="s">
        <v>2572</v>
      </c>
      <c r="F375" s="7">
        <v>140</v>
      </c>
      <c r="G375" s="7">
        <v>13</v>
      </c>
      <c r="H375" s="16" t="str">
        <f t="shared" si="5"/>
        <v>(373,'442','تيانت','Tianet','Tianet',140),</v>
      </c>
    </row>
    <row r="376" spans="1:8" ht="20.100000000000001" customHeight="1" x14ac:dyDescent="0.25">
      <c r="A376" s="3">
        <v>374</v>
      </c>
      <c r="B376" s="8">
        <v>406</v>
      </c>
      <c r="C376" s="4" t="s">
        <v>2573</v>
      </c>
      <c r="D376" s="4" t="s">
        <v>2574</v>
      </c>
      <c r="E376" s="4" t="s">
        <v>2574</v>
      </c>
      <c r="F376" s="7">
        <v>141</v>
      </c>
      <c r="G376" s="7">
        <v>13</v>
      </c>
      <c r="H376" s="16" t="str">
        <f t="shared" si="5"/>
        <v>(374,'406','بني صميل','Beni Smiel','Beni Smiel',141),</v>
      </c>
    </row>
    <row r="377" spans="1:8" ht="20.100000000000001" customHeight="1" x14ac:dyDescent="0.25">
      <c r="A377" s="3">
        <v>375</v>
      </c>
      <c r="B377" s="8">
        <v>428</v>
      </c>
      <c r="C377" s="4" t="s">
        <v>2575</v>
      </c>
      <c r="D377" s="4" t="s">
        <v>2576</v>
      </c>
      <c r="E377" s="4" t="s">
        <v>2576</v>
      </c>
      <c r="F377" s="7">
        <v>141</v>
      </c>
      <c r="G377" s="7">
        <v>13</v>
      </c>
      <c r="H377" s="16" t="str">
        <f t="shared" si="5"/>
        <v>(375,'428','وادي الخضر','Oued Lakhdar','Oued Lakhdar',141),</v>
      </c>
    </row>
    <row r="378" spans="1:8" ht="20.100000000000001" customHeight="1" x14ac:dyDescent="0.25">
      <c r="A378" s="3">
        <v>376</v>
      </c>
      <c r="B378" s="8">
        <v>429</v>
      </c>
      <c r="C378" s="4" t="s">
        <v>1398</v>
      </c>
      <c r="D378" s="4" t="s">
        <v>1397</v>
      </c>
      <c r="E378" s="4" t="s">
        <v>1397</v>
      </c>
      <c r="F378" s="7">
        <v>141</v>
      </c>
      <c r="G378" s="7">
        <v>13</v>
      </c>
      <c r="H378" s="16" t="str">
        <f t="shared" si="5"/>
        <v>(376,'429','أولاد ميمون','Ouled Mimoun','Ouled Mimoun',141),</v>
      </c>
    </row>
    <row r="379" spans="1:8" ht="20.100000000000001" customHeight="1" x14ac:dyDescent="0.25">
      <c r="A379" s="3">
        <v>377</v>
      </c>
      <c r="B379" s="8">
        <v>401</v>
      </c>
      <c r="C379" s="4" t="s">
        <v>2577</v>
      </c>
      <c r="D379" s="4" t="s">
        <v>2578</v>
      </c>
      <c r="E379" s="4" t="s">
        <v>2578</v>
      </c>
      <c r="F379" s="7">
        <v>142</v>
      </c>
      <c r="G379" s="7">
        <v>13</v>
      </c>
      <c r="H379" s="16" t="str">
        <f t="shared" si="5"/>
        <v>(377,'401','بني بهدل','Beni Bahdel','Beni Bahdel',142),</v>
      </c>
    </row>
    <row r="380" spans="1:8" ht="20.100000000000001" customHeight="1" x14ac:dyDescent="0.25">
      <c r="A380" s="3">
        <v>378</v>
      </c>
      <c r="B380" s="8">
        <v>407</v>
      </c>
      <c r="C380" s="4" t="s">
        <v>1392</v>
      </c>
      <c r="D380" s="4" t="s">
        <v>1391</v>
      </c>
      <c r="E380" s="4" t="s">
        <v>1391</v>
      </c>
      <c r="F380" s="7">
        <v>142</v>
      </c>
      <c r="G380" s="7">
        <v>13</v>
      </c>
      <c r="H380" s="16" t="str">
        <f t="shared" si="5"/>
        <v>(378,'407','بني سنوس','Beni Snous','Beni Snous',142),</v>
      </c>
    </row>
    <row r="381" spans="1:8" ht="20.100000000000001" customHeight="1" x14ac:dyDescent="0.25">
      <c r="A381" s="3">
        <v>379</v>
      </c>
      <c r="B381" s="8">
        <v>415</v>
      </c>
      <c r="C381" s="4" t="s">
        <v>2579</v>
      </c>
      <c r="D381" s="4" t="s">
        <v>2580</v>
      </c>
      <c r="E381" s="4" t="s">
        <v>2580</v>
      </c>
      <c r="F381" s="7">
        <v>142</v>
      </c>
      <c r="G381" s="7">
        <v>13</v>
      </c>
      <c r="H381" s="16" t="str">
        <f t="shared" si="5"/>
        <v>(379,'415','العزايل','Azail','Azail',142),</v>
      </c>
    </row>
    <row r="382" spans="1:8" ht="20.100000000000001" customHeight="1" x14ac:dyDescent="0.25">
      <c r="A382" s="3">
        <v>380</v>
      </c>
      <c r="B382" s="8">
        <v>400</v>
      </c>
      <c r="C382" s="4" t="s">
        <v>1390</v>
      </c>
      <c r="D382" s="4" t="s">
        <v>1389</v>
      </c>
      <c r="E382" s="4" t="s">
        <v>1389</v>
      </c>
      <c r="F382" s="7">
        <v>143</v>
      </c>
      <c r="G382" s="7">
        <v>13</v>
      </c>
      <c r="H382" s="16" t="str">
        <f t="shared" si="5"/>
        <v>(380,'400','باب العسة','Bab El Assa','Bab El Assa',143),</v>
      </c>
    </row>
    <row r="383" spans="1:8" ht="20.100000000000001" customHeight="1" x14ac:dyDescent="0.25">
      <c r="A383" s="3">
        <v>381</v>
      </c>
      <c r="B383" s="8">
        <v>439</v>
      </c>
      <c r="C383" s="4" t="s">
        <v>2581</v>
      </c>
      <c r="D383" s="4" t="s">
        <v>2582</v>
      </c>
      <c r="E383" s="4" t="s">
        <v>2582</v>
      </c>
      <c r="F383" s="7">
        <v>143</v>
      </c>
      <c r="G383" s="7">
        <v>13</v>
      </c>
      <c r="H383" s="16" t="str">
        <f t="shared" si="5"/>
        <v>(381,'439','السواني','Souani','Souani',143),</v>
      </c>
    </row>
    <row r="384" spans="1:8" ht="20.100000000000001" customHeight="1" x14ac:dyDescent="0.25">
      <c r="A384" s="3">
        <v>382</v>
      </c>
      <c r="B384" s="8">
        <v>440</v>
      </c>
      <c r="C384" s="4" t="s">
        <v>2583</v>
      </c>
      <c r="D384" s="4" t="s">
        <v>2584</v>
      </c>
      <c r="E384" s="4" t="s">
        <v>2584</v>
      </c>
      <c r="F384" s="7">
        <v>143</v>
      </c>
      <c r="G384" s="7">
        <v>13</v>
      </c>
      <c r="H384" s="16" t="str">
        <f t="shared" si="5"/>
        <v>(382,'440','سوق الثلاثاء','Souk Tleta','Souk Tleta',143),</v>
      </c>
    </row>
    <row r="385" spans="1:8" ht="20.100000000000001" customHeight="1" x14ac:dyDescent="0.25">
      <c r="A385" s="3">
        <v>383</v>
      </c>
      <c r="B385" s="8">
        <v>392</v>
      </c>
      <c r="C385" s="4" t="s">
        <v>2585</v>
      </c>
      <c r="D385" s="4" t="s">
        <v>2586</v>
      </c>
      <c r="E385" s="4" t="s">
        <v>2586</v>
      </c>
      <c r="F385" s="7">
        <v>144</v>
      </c>
      <c r="G385" s="7">
        <v>13</v>
      </c>
      <c r="H385" s="16" t="str">
        <f t="shared" si="5"/>
        <v>(383,'392','عين فتاح','Ain Fetah','Ain Fetah',144),</v>
      </c>
    </row>
    <row r="386" spans="1:8" ht="20.100000000000001" customHeight="1" x14ac:dyDescent="0.25">
      <c r="A386" s="3">
        <v>384</v>
      </c>
      <c r="B386" s="8">
        <v>395</v>
      </c>
      <c r="C386" s="4" t="s">
        <v>1556</v>
      </c>
      <c r="D386" s="4" t="s">
        <v>2587</v>
      </c>
      <c r="E386" s="4" t="s">
        <v>2587</v>
      </c>
      <c r="F386" s="7">
        <v>144</v>
      </c>
      <c r="G386" s="7">
        <v>13</v>
      </c>
      <c r="H386" s="16" t="str">
        <f t="shared" si="5"/>
        <v>(384,'395','عين الكبيرة','Ain Kebira','Ain Kebira',144),</v>
      </c>
    </row>
    <row r="387" spans="1:8" ht="20.100000000000001" customHeight="1" x14ac:dyDescent="0.25">
      <c r="A387" s="3">
        <v>385</v>
      </c>
      <c r="B387" s="8">
        <v>418</v>
      </c>
      <c r="C387" s="4" t="s">
        <v>1380</v>
      </c>
      <c r="D387" s="4" t="s">
        <v>1379</v>
      </c>
      <c r="E387" s="4" t="s">
        <v>1379</v>
      </c>
      <c r="F387" s="7">
        <v>144</v>
      </c>
      <c r="G387" s="7">
        <v>13</v>
      </c>
      <c r="H387" s="16" t="str">
        <f t="shared" si="5"/>
        <v>(385,'418','فلاوسن','Fellaoucene','Fellaoucene',144),</v>
      </c>
    </row>
    <row r="388" spans="1:8" ht="20.100000000000001" customHeight="1" x14ac:dyDescent="0.25">
      <c r="A388" s="3">
        <v>386</v>
      </c>
      <c r="B388" s="8">
        <v>408</v>
      </c>
      <c r="C388" s="4" t="s">
        <v>1400</v>
      </c>
      <c r="D388" s="4" t="s">
        <v>1399</v>
      </c>
      <c r="E388" s="4" t="s">
        <v>1399</v>
      </c>
      <c r="F388" s="7">
        <v>145</v>
      </c>
      <c r="G388" s="7">
        <v>13</v>
      </c>
      <c r="H388" s="16" t="str">
        <f t="shared" ref="H388:H451" si="6">CONCATENATE("(",A388,",'",B388,"','",C388,"','",D388,"','",E388,"',",F388,"),")</f>
        <v>(386,'408','بن سكران','Bensekrane','Bensekrane',145),</v>
      </c>
    </row>
    <row r="389" spans="1:8" ht="20.100000000000001" customHeight="1" x14ac:dyDescent="0.25">
      <c r="A389" s="3">
        <v>387</v>
      </c>
      <c r="B389" s="8">
        <v>435</v>
      </c>
      <c r="C389" s="4" t="s">
        <v>2588</v>
      </c>
      <c r="D389" s="4" t="s">
        <v>2589</v>
      </c>
      <c r="E389" s="4" t="s">
        <v>2589</v>
      </c>
      <c r="F389" s="7">
        <v>145</v>
      </c>
      <c r="G389" s="7">
        <v>13</v>
      </c>
      <c r="H389" s="16" t="str">
        <f t="shared" si="6"/>
        <v>(387,'435','سيدي العبدلي','Sidi Abdelli','Sidi Abdelli',145),</v>
      </c>
    </row>
    <row r="390" spans="1:8" ht="20.100000000000001" customHeight="1" x14ac:dyDescent="0.25">
      <c r="A390" s="3">
        <v>388</v>
      </c>
      <c r="B390" s="8">
        <v>421</v>
      </c>
      <c r="C390" s="4" t="s">
        <v>1414</v>
      </c>
      <c r="D390" s="4" t="s">
        <v>1413</v>
      </c>
      <c r="E390" s="4" t="s">
        <v>1413</v>
      </c>
      <c r="F390" s="7">
        <v>146</v>
      </c>
      <c r="G390" s="7">
        <v>13</v>
      </c>
      <c r="H390" s="16" t="str">
        <f t="shared" si="6"/>
        <v>(388,'421','الحناية','Hennaya','Hennaya',146),</v>
      </c>
    </row>
    <row r="391" spans="1:8" ht="20.100000000000001" customHeight="1" x14ac:dyDescent="0.25">
      <c r="A391" s="3">
        <v>389</v>
      </c>
      <c r="B391" s="8">
        <v>430</v>
      </c>
      <c r="C391" s="4" t="s">
        <v>2590</v>
      </c>
      <c r="D391" s="4" t="s">
        <v>2591</v>
      </c>
      <c r="E391" s="4" t="s">
        <v>2591</v>
      </c>
      <c r="F391" s="7">
        <v>146</v>
      </c>
      <c r="G391" s="7">
        <v>13</v>
      </c>
      <c r="H391" s="16" t="str">
        <f t="shared" si="6"/>
        <v>(389,'430','أولاد رياح','Ouled Riyah','Ouled Riyah',146),</v>
      </c>
    </row>
    <row r="392" spans="1:8" ht="20.100000000000001" customHeight="1" x14ac:dyDescent="0.25">
      <c r="A392" s="3">
        <v>390</v>
      </c>
      <c r="B392" s="8">
        <v>444</v>
      </c>
      <c r="C392" s="4" t="s">
        <v>2592</v>
      </c>
      <c r="D392" s="4" t="s">
        <v>2593</v>
      </c>
      <c r="E392" s="4" t="s">
        <v>2593</v>
      </c>
      <c r="F392" s="7">
        <v>146</v>
      </c>
      <c r="G392" s="7">
        <v>13</v>
      </c>
      <c r="H392" s="16" t="str">
        <f t="shared" si="6"/>
        <v>(390,'444','زناتة','Zenata','Zenata',146),</v>
      </c>
    </row>
    <row r="393" spans="1:8" ht="20.100000000000001" customHeight="1" x14ac:dyDescent="0.25">
      <c r="A393" s="3">
        <v>391</v>
      </c>
      <c r="B393" s="8">
        <v>420</v>
      </c>
      <c r="C393" s="4" t="s">
        <v>2594</v>
      </c>
      <c r="D393" s="4" t="s">
        <v>2595</v>
      </c>
      <c r="E393" s="4" t="s">
        <v>2595</v>
      </c>
      <c r="F393" s="7">
        <v>147</v>
      </c>
      <c r="G393" s="7">
        <v>13</v>
      </c>
      <c r="H393" s="16" t="str">
        <f t="shared" si="6"/>
        <v>(391,'420','حمام بوغرارة','Hammam Boughrara','Hammam Boughrara',147),</v>
      </c>
    </row>
    <row r="394" spans="1:8" ht="20.100000000000001" customHeight="1" x14ac:dyDescent="0.25">
      <c r="A394" s="3">
        <v>392</v>
      </c>
      <c r="B394" s="8">
        <v>423</v>
      </c>
      <c r="C394" s="4" t="s">
        <v>1412</v>
      </c>
      <c r="D394" s="4" t="s">
        <v>1411</v>
      </c>
      <c r="E394" s="4" t="s">
        <v>1411</v>
      </c>
      <c r="F394" s="7">
        <v>147</v>
      </c>
      <c r="G394" s="7">
        <v>13</v>
      </c>
      <c r="H394" s="16" t="str">
        <f t="shared" si="6"/>
        <v>(392,'423','مغنية','Maghnia','Maghnia',147),</v>
      </c>
    </row>
    <row r="395" spans="1:8" ht="20.100000000000001" customHeight="1" x14ac:dyDescent="0.25">
      <c r="A395" s="3">
        <v>393</v>
      </c>
      <c r="B395" s="8">
        <v>414</v>
      </c>
      <c r="C395" s="4" t="s">
        <v>2596</v>
      </c>
      <c r="D395" s="4" t="s">
        <v>2597</v>
      </c>
      <c r="E395" s="4" t="s">
        <v>2597</v>
      </c>
      <c r="F395" s="7">
        <v>148</v>
      </c>
      <c r="G395" s="7">
        <v>13</v>
      </c>
      <c r="H395" s="16" t="str">
        <f t="shared" si="6"/>
        <v>(393,'414','العريشة','El Aricha','El Aricha',148),</v>
      </c>
    </row>
    <row r="396" spans="1:8" ht="20.100000000000001" customHeight="1" x14ac:dyDescent="0.25">
      <c r="A396" s="3">
        <v>394</v>
      </c>
      <c r="B396" s="8">
        <v>417</v>
      </c>
      <c r="C396" s="4" t="s">
        <v>2598</v>
      </c>
      <c r="D396" s="4" t="s">
        <v>2599</v>
      </c>
      <c r="E396" s="4" t="s">
        <v>2599</v>
      </c>
      <c r="F396" s="7">
        <v>148</v>
      </c>
      <c r="G396" s="7">
        <v>13</v>
      </c>
      <c r="H396" s="16" t="str">
        <f t="shared" si="6"/>
        <v>(394,'417','القور','El Gor','El Gor',148),</v>
      </c>
    </row>
    <row r="397" spans="1:8" ht="20.100000000000001" customHeight="1" x14ac:dyDescent="0.25">
      <c r="A397" s="3">
        <v>395</v>
      </c>
      <c r="B397" s="8">
        <v>434</v>
      </c>
      <c r="C397" s="4" t="s">
        <v>1410</v>
      </c>
      <c r="D397" s="4" t="s">
        <v>1409</v>
      </c>
      <c r="E397" s="4" t="s">
        <v>1409</v>
      </c>
      <c r="F397" s="7">
        <v>148</v>
      </c>
      <c r="G397" s="7">
        <v>13</v>
      </c>
      <c r="H397" s="16" t="str">
        <f t="shared" si="6"/>
        <v>(395,'434','سبدو','Sebdou','Sebdou',148),</v>
      </c>
    </row>
    <row r="398" spans="1:8" ht="20.100000000000001" customHeight="1" x14ac:dyDescent="0.25">
      <c r="A398" s="3">
        <v>396</v>
      </c>
      <c r="B398" s="8">
        <v>402</v>
      </c>
      <c r="C398" s="4" t="s">
        <v>1394</v>
      </c>
      <c r="D398" s="4" t="s">
        <v>1393</v>
      </c>
      <c r="E398" s="4" t="s">
        <v>1393</v>
      </c>
      <c r="F398" s="7">
        <v>149</v>
      </c>
      <c r="G398" s="7">
        <v>13</v>
      </c>
      <c r="H398" s="16" t="str">
        <f t="shared" si="6"/>
        <v>(396,'402','بني بوسعيد','Beni Boussaid','Beni Boussaid',149),</v>
      </c>
    </row>
    <row r="399" spans="1:8" ht="20.100000000000001" customHeight="1" x14ac:dyDescent="0.25">
      <c r="A399" s="3">
        <v>397</v>
      </c>
      <c r="B399" s="8">
        <v>437</v>
      </c>
      <c r="C399" s="4" t="s">
        <v>2600</v>
      </c>
      <c r="D399" s="4" t="s">
        <v>2601</v>
      </c>
      <c r="E399" s="4" t="s">
        <v>2601</v>
      </c>
      <c r="F399" s="7">
        <v>149</v>
      </c>
      <c r="G399" s="7">
        <v>13</v>
      </c>
      <c r="H399" s="16" t="str">
        <f t="shared" si="6"/>
        <v>(397,'437','سيدي مجاهد','Sidi Medjahed','Sidi Medjahed',149),</v>
      </c>
    </row>
    <row r="400" spans="1:8" ht="20.100000000000001" customHeight="1" x14ac:dyDescent="0.25">
      <c r="A400" s="3">
        <v>398</v>
      </c>
      <c r="B400" s="8">
        <v>425</v>
      </c>
      <c r="C400" s="4" t="s">
        <v>1416</v>
      </c>
      <c r="D400" s="4" t="s">
        <v>5856</v>
      </c>
      <c r="E400" s="4" t="s">
        <v>5856</v>
      </c>
      <c r="F400" s="7">
        <v>150</v>
      </c>
      <c r="G400" s="7">
        <v>13</v>
      </c>
      <c r="H400" s="16" t="str">
        <f t="shared" si="6"/>
        <v>(398,'425','مرسى بن مهيدي','Marsa Ben M\'hidi','Marsa Ben M\'hidi',150),</v>
      </c>
    </row>
    <row r="401" spans="1:8" ht="20.100000000000001" customHeight="1" x14ac:dyDescent="0.25">
      <c r="A401" s="3">
        <v>399</v>
      </c>
      <c r="B401" s="8">
        <v>426</v>
      </c>
      <c r="C401" s="4" t="s">
        <v>2602</v>
      </c>
      <c r="D401" s="4" t="s">
        <v>5857</v>
      </c>
      <c r="E401" s="4" t="s">
        <v>5857</v>
      </c>
      <c r="F401" s="7">
        <v>150</v>
      </c>
      <c r="G401" s="7">
        <v>13</v>
      </c>
      <c r="H401" s="16" t="str">
        <f t="shared" si="6"/>
        <v>(399,'426','مسيردة الفواقة','M\'sirda Fouaga','M\'sirda Fouaga',150),</v>
      </c>
    </row>
    <row r="402" spans="1:8" ht="20.100000000000001" customHeight="1" x14ac:dyDescent="0.25">
      <c r="A402" s="3">
        <v>400</v>
      </c>
      <c r="B402" s="8">
        <v>413</v>
      </c>
      <c r="C402" s="4" t="s">
        <v>2603</v>
      </c>
      <c r="D402" s="4" t="s">
        <v>2604</v>
      </c>
      <c r="E402" s="4" t="s">
        <v>2604</v>
      </c>
      <c r="F402" s="7">
        <v>151</v>
      </c>
      <c r="G402" s="7">
        <v>13</v>
      </c>
      <c r="H402" s="16" t="str">
        <f t="shared" si="6"/>
        <v>(400,'413','جبالة','Djebala','Djebala',151),</v>
      </c>
    </row>
    <row r="403" spans="1:8" ht="20.100000000000001" customHeight="1" x14ac:dyDescent="0.25">
      <c r="A403" s="3">
        <v>401</v>
      </c>
      <c r="B403" s="8">
        <v>427</v>
      </c>
      <c r="C403" s="4" t="s">
        <v>1408</v>
      </c>
      <c r="D403" s="4" t="s">
        <v>1407</v>
      </c>
      <c r="E403" s="4" t="s">
        <v>1407</v>
      </c>
      <c r="F403" s="7">
        <v>151</v>
      </c>
      <c r="G403" s="7">
        <v>13</v>
      </c>
      <c r="H403" s="16" t="str">
        <f t="shared" si="6"/>
        <v>(401,'427','ندرومة','Nedroma','Nedroma',151),</v>
      </c>
    </row>
    <row r="404" spans="1:8" ht="20.100000000000001" customHeight="1" x14ac:dyDescent="0.25">
      <c r="A404" s="3">
        <v>402</v>
      </c>
      <c r="B404" s="8">
        <v>410</v>
      </c>
      <c r="C404" s="4" t="s">
        <v>2605</v>
      </c>
      <c r="D404" s="4" t="s">
        <v>2606</v>
      </c>
      <c r="E404" s="4" t="s">
        <v>2606</v>
      </c>
      <c r="F404" s="7">
        <v>152</v>
      </c>
      <c r="G404" s="7">
        <v>13</v>
      </c>
      <c r="H404" s="16" t="str">
        <f t="shared" si="6"/>
        <v>(402,'410','البويهي','Bouihi','Bouihi',152),</v>
      </c>
    </row>
    <row r="405" spans="1:8" ht="20.100000000000001" customHeight="1" x14ac:dyDescent="0.25">
      <c r="A405" s="3">
        <v>403</v>
      </c>
      <c r="B405" s="8">
        <v>436</v>
      </c>
      <c r="C405" s="4" t="s">
        <v>1404</v>
      </c>
      <c r="D405" s="4" t="s">
        <v>1403</v>
      </c>
      <c r="E405" s="4" t="s">
        <v>1403</v>
      </c>
      <c r="F405" s="7">
        <v>152</v>
      </c>
      <c r="G405" s="7">
        <v>13</v>
      </c>
      <c r="H405" s="16" t="str">
        <f t="shared" si="6"/>
        <v>(403,'436','سيدي الجيلالي','Sidi Djillali','Sidi Djillali',152),</v>
      </c>
    </row>
    <row r="406" spans="1:8" ht="20.100000000000001" customHeight="1" x14ac:dyDescent="0.25">
      <c r="A406" s="3">
        <v>404</v>
      </c>
      <c r="B406" s="8">
        <v>403</v>
      </c>
      <c r="C406" s="4" t="s">
        <v>2607</v>
      </c>
      <c r="D406" s="4" t="s">
        <v>2608</v>
      </c>
      <c r="E406" s="4" t="s">
        <v>2608</v>
      </c>
      <c r="F406" s="7">
        <v>153</v>
      </c>
      <c r="G406" s="7">
        <v>13</v>
      </c>
      <c r="H406" s="16" t="str">
        <f t="shared" si="6"/>
        <v>(404,'403','بني خلاد','Beni Khellad','Beni Khellad',153),</v>
      </c>
    </row>
    <row r="407" spans="1:8" ht="20.100000000000001" customHeight="1" x14ac:dyDescent="0.25">
      <c r="A407" s="3">
        <v>405</v>
      </c>
      <c r="B407" s="8">
        <v>422</v>
      </c>
      <c r="C407" s="4" t="s">
        <v>1396</v>
      </c>
      <c r="D407" s="4" t="s">
        <v>1395</v>
      </c>
      <c r="E407" s="4" t="s">
        <v>1395</v>
      </c>
      <c r="F407" s="7">
        <v>153</v>
      </c>
      <c r="G407" s="7">
        <v>13</v>
      </c>
      <c r="H407" s="16" t="str">
        <f t="shared" si="6"/>
        <v>(405,'422','هنين','Honnaine','Honnaine',153),</v>
      </c>
    </row>
    <row r="408" spans="1:8" ht="20.100000000000001" customHeight="1" x14ac:dyDescent="0.25">
      <c r="A408" s="3">
        <v>406</v>
      </c>
      <c r="B408" s="8">
        <v>393</v>
      </c>
      <c r="C408" s="4" t="s">
        <v>2609</v>
      </c>
      <c r="D408" s="4" t="s">
        <v>2610</v>
      </c>
      <c r="E408" s="4" t="s">
        <v>2610</v>
      </c>
      <c r="F408" s="7">
        <v>154</v>
      </c>
      <c r="G408" s="7">
        <v>13</v>
      </c>
      <c r="H408" s="16" t="str">
        <f t="shared" si="6"/>
        <v>(406,'393','عين فزة','Ain Fezza','Ain Fezza',154),</v>
      </c>
    </row>
    <row r="409" spans="1:8" ht="20.100000000000001" customHeight="1" x14ac:dyDescent="0.25">
      <c r="A409" s="3">
        <v>407</v>
      </c>
      <c r="B409" s="8">
        <v>399</v>
      </c>
      <c r="C409" s="4" t="s">
        <v>2611</v>
      </c>
      <c r="D409" s="4" t="s">
        <v>2612</v>
      </c>
      <c r="E409" s="4" t="s">
        <v>2612</v>
      </c>
      <c r="F409" s="7">
        <v>154</v>
      </c>
      <c r="G409" s="7">
        <v>13</v>
      </c>
      <c r="H409" s="16" t="str">
        <f t="shared" si="6"/>
        <v>(407,'399','عمير','Amieur','Amieur',154),</v>
      </c>
    </row>
    <row r="410" spans="1:8" ht="20.100000000000001" customHeight="1" x14ac:dyDescent="0.25">
      <c r="A410" s="3">
        <v>408</v>
      </c>
      <c r="B410" s="8">
        <v>411</v>
      </c>
      <c r="C410" s="4" t="s">
        <v>1382</v>
      </c>
      <c r="D410" s="4" t="s">
        <v>1381</v>
      </c>
      <c r="E410" s="4" t="s">
        <v>1381</v>
      </c>
      <c r="F410" s="7">
        <v>154</v>
      </c>
      <c r="G410" s="7">
        <v>13</v>
      </c>
      <c r="H410" s="16" t="str">
        <f t="shared" si="6"/>
        <v>(408,'411','شتوان','Chetouane','Chetouane',154),</v>
      </c>
    </row>
    <row r="411" spans="1:8" ht="20.100000000000001" customHeight="1" x14ac:dyDescent="0.25">
      <c r="A411" s="3">
        <v>409</v>
      </c>
      <c r="B411" s="8">
        <v>394</v>
      </c>
      <c r="C411" s="4" t="s">
        <v>2613</v>
      </c>
      <c r="D411" s="4" t="s">
        <v>2614</v>
      </c>
      <c r="E411" s="4" t="s">
        <v>2614</v>
      </c>
      <c r="F411" s="7">
        <v>155</v>
      </c>
      <c r="G411" s="7">
        <v>13</v>
      </c>
      <c r="H411" s="16" t="str">
        <f t="shared" si="6"/>
        <v>(409,'394','عين غرابة','Ain Ghoraba','Ain Ghoraba',155),</v>
      </c>
    </row>
    <row r="412" spans="1:8" ht="20.100000000000001" customHeight="1" x14ac:dyDescent="0.25">
      <c r="A412" s="3">
        <v>410</v>
      </c>
      <c r="B412" s="8">
        <v>404</v>
      </c>
      <c r="C412" s="4" t="s">
        <v>2615</v>
      </c>
      <c r="D412" s="4" t="s">
        <v>2616</v>
      </c>
      <c r="E412" s="4" t="s">
        <v>2616</v>
      </c>
      <c r="F412" s="7">
        <v>155</v>
      </c>
      <c r="G412" s="7">
        <v>13</v>
      </c>
      <c r="H412" s="16" t="str">
        <f t="shared" si="6"/>
        <v>(410,'404','بني مستر','Beni Mester','Beni Mester',155),</v>
      </c>
    </row>
    <row r="413" spans="1:8" ht="20.100000000000001" customHeight="1" x14ac:dyDescent="0.25">
      <c r="A413" s="3">
        <v>411</v>
      </c>
      <c r="B413" s="8">
        <v>424</v>
      </c>
      <c r="C413" s="4" t="s">
        <v>1384</v>
      </c>
      <c r="D413" s="4" t="s">
        <v>1383</v>
      </c>
      <c r="E413" s="4" t="s">
        <v>1383</v>
      </c>
      <c r="F413" s="7">
        <v>155</v>
      </c>
      <c r="G413" s="7">
        <v>13</v>
      </c>
      <c r="H413" s="16" t="str">
        <f t="shared" si="6"/>
        <v>(411,'424','منصورة','Mansourah','Mansourah',155),</v>
      </c>
    </row>
    <row r="414" spans="1:8" ht="20.100000000000001" customHeight="1" x14ac:dyDescent="0.25">
      <c r="A414" s="3">
        <v>412</v>
      </c>
      <c r="B414" s="8">
        <v>441</v>
      </c>
      <c r="C414" s="4" t="s">
        <v>2617</v>
      </c>
      <c r="D414" s="4" t="s">
        <v>2618</v>
      </c>
      <c r="E414" s="4" t="s">
        <v>2618</v>
      </c>
      <c r="F414" s="7">
        <v>155</v>
      </c>
      <c r="G414" s="7">
        <v>13</v>
      </c>
      <c r="H414" s="16" t="str">
        <f t="shared" si="6"/>
        <v>(412,'441','تيرني بني هديل','Terny Beni Hediel','Terny Beni Hediel',155),</v>
      </c>
    </row>
    <row r="415" spans="1:8" ht="20.100000000000001" customHeight="1" x14ac:dyDescent="0.25">
      <c r="A415" s="3">
        <v>413</v>
      </c>
      <c r="B415" s="8">
        <v>483</v>
      </c>
      <c r="C415" s="4" t="s">
        <v>998</v>
      </c>
      <c r="D415" s="4" t="s">
        <v>999</v>
      </c>
      <c r="E415" s="4" t="s">
        <v>999</v>
      </c>
      <c r="F415" s="7">
        <v>156</v>
      </c>
      <c r="G415" s="7">
        <v>14</v>
      </c>
      <c r="H415" s="16" t="str">
        <f t="shared" si="6"/>
        <v>(413,'483','تيارت','Tiaret','Tiaret',156),</v>
      </c>
    </row>
    <row r="416" spans="1:8" ht="20.100000000000001" customHeight="1" x14ac:dyDescent="0.25">
      <c r="A416" s="3">
        <v>414</v>
      </c>
      <c r="B416" s="8">
        <v>464</v>
      </c>
      <c r="C416" s="4" t="s">
        <v>1438</v>
      </c>
      <c r="D416" s="4" t="s">
        <v>1437</v>
      </c>
      <c r="E416" s="4" t="s">
        <v>1437</v>
      </c>
      <c r="F416" s="7">
        <v>157</v>
      </c>
      <c r="G416" s="7">
        <v>14</v>
      </c>
      <c r="H416" s="16" t="str">
        <f t="shared" si="6"/>
        <v>(414,'464','مدروسة','Medroussa','Medroussa',157),</v>
      </c>
    </row>
    <row r="417" spans="1:8" ht="20.100000000000001" customHeight="1" x14ac:dyDescent="0.25">
      <c r="A417" s="3">
        <v>415</v>
      </c>
      <c r="B417" s="8">
        <v>466</v>
      </c>
      <c r="C417" s="4" t="s">
        <v>2619</v>
      </c>
      <c r="D417" s="4" t="s">
        <v>2620</v>
      </c>
      <c r="E417" s="4" t="s">
        <v>2620</v>
      </c>
      <c r="F417" s="7">
        <v>157</v>
      </c>
      <c r="G417" s="7">
        <v>14</v>
      </c>
      <c r="H417" s="16" t="str">
        <f t="shared" si="6"/>
        <v>(415,'466','ملاكو','Mellakou','Mellakou',157),</v>
      </c>
    </row>
    <row r="418" spans="1:8" ht="20.100000000000001" customHeight="1" x14ac:dyDescent="0.25">
      <c r="A418" s="3">
        <v>416</v>
      </c>
      <c r="B418" s="8">
        <v>478</v>
      </c>
      <c r="C418" s="4" t="s">
        <v>2621</v>
      </c>
      <c r="D418" s="4" t="s">
        <v>2622</v>
      </c>
      <c r="E418" s="4" t="s">
        <v>2622</v>
      </c>
      <c r="F418" s="7">
        <v>157</v>
      </c>
      <c r="G418" s="7">
        <v>14</v>
      </c>
      <c r="H418" s="16" t="str">
        <f t="shared" si="6"/>
        <v>(416,'478','سيدي بختي','Sidi Bakhti','Sidi Bakhti',157),</v>
      </c>
    </row>
    <row r="419" spans="1:8" ht="20.100000000000001" customHeight="1" x14ac:dyDescent="0.25">
      <c r="A419" s="3">
        <v>417</v>
      </c>
      <c r="B419" s="8">
        <v>446</v>
      </c>
      <c r="C419" s="4" t="s">
        <v>1420</v>
      </c>
      <c r="D419" s="4" t="s">
        <v>1419</v>
      </c>
      <c r="E419" s="4" t="s">
        <v>1419</v>
      </c>
      <c r="F419" s="7">
        <v>158</v>
      </c>
      <c r="G419" s="7">
        <v>14</v>
      </c>
      <c r="H419" s="16" t="str">
        <f t="shared" si="6"/>
        <v>(417,'446','عين الذهب','Ain Deheb','Ain Deheb',158),</v>
      </c>
    </row>
    <row r="420" spans="1:8" ht="20.100000000000001" customHeight="1" x14ac:dyDescent="0.25">
      <c r="A420" s="3">
        <v>418</v>
      </c>
      <c r="B420" s="8">
        <v>451</v>
      </c>
      <c r="C420" s="4" t="s">
        <v>2623</v>
      </c>
      <c r="D420" s="4" t="s">
        <v>2624</v>
      </c>
      <c r="E420" s="4" t="s">
        <v>2624</v>
      </c>
      <c r="F420" s="7">
        <v>158</v>
      </c>
      <c r="G420" s="7">
        <v>14</v>
      </c>
      <c r="H420" s="16" t="str">
        <f t="shared" si="6"/>
        <v>(418,'451','شحيمة','Chehaima','Chehaima',158),</v>
      </c>
    </row>
    <row r="421" spans="1:8" ht="20.100000000000001" customHeight="1" x14ac:dyDescent="0.25">
      <c r="A421" s="3">
        <v>419</v>
      </c>
      <c r="B421" s="8">
        <v>468</v>
      </c>
      <c r="C421" s="4" t="s">
        <v>2625</v>
      </c>
      <c r="D421" s="4" t="s">
        <v>2626</v>
      </c>
      <c r="E421" s="4" t="s">
        <v>2626</v>
      </c>
      <c r="F421" s="7">
        <v>158</v>
      </c>
      <c r="G421" s="7">
        <v>14</v>
      </c>
      <c r="H421" s="16" t="str">
        <f t="shared" si="6"/>
        <v>(419,'468','النعيمة','Naima','Naima',158),</v>
      </c>
    </row>
    <row r="422" spans="1:8" ht="20.100000000000001" customHeight="1" x14ac:dyDescent="0.25">
      <c r="A422" s="3">
        <v>420</v>
      </c>
      <c r="B422" s="8">
        <v>445</v>
      </c>
      <c r="C422" s="4" t="s">
        <v>2627</v>
      </c>
      <c r="D422" s="4" t="s">
        <v>2628</v>
      </c>
      <c r="E422" s="4" t="s">
        <v>2628</v>
      </c>
      <c r="F422" s="7">
        <v>159</v>
      </c>
      <c r="G422" s="7">
        <v>14</v>
      </c>
      <c r="H422" s="16" t="str">
        <f t="shared" si="6"/>
        <v>(420,'445','عين بوشقيف','Ain Bouchekif','Ain Bouchekif',159),</v>
      </c>
    </row>
    <row r="423" spans="1:8" ht="20.100000000000001" customHeight="1" x14ac:dyDescent="0.25">
      <c r="A423" s="3">
        <v>421</v>
      </c>
      <c r="B423" s="8">
        <v>452</v>
      </c>
      <c r="C423" s="4" t="s">
        <v>1418</v>
      </c>
      <c r="D423" s="4" t="s">
        <v>1417</v>
      </c>
      <c r="E423" s="4" t="s">
        <v>1417</v>
      </c>
      <c r="F423" s="7">
        <v>159</v>
      </c>
      <c r="G423" s="7">
        <v>14</v>
      </c>
      <c r="H423" s="16" t="str">
        <f t="shared" si="6"/>
        <v>(421,'452','دحموني','Dahmouni','Dahmouni',159),</v>
      </c>
    </row>
    <row r="424" spans="1:8" ht="20.100000000000001" customHeight="1" x14ac:dyDescent="0.25">
      <c r="A424" s="3">
        <v>422</v>
      </c>
      <c r="B424" s="8">
        <v>457</v>
      </c>
      <c r="C424" s="4" t="s">
        <v>2629</v>
      </c>
      <c r="D424" s="4" t="s">
        <v>2630</v>
      </c>
      <c r="E424" s="4" t="s">
        <v>2630</v>
      </c>
      <c r="F424" s="7">
        <v>160</v>
      </c>
      <c r="G424" s="7">
        <v>14</v>
      </c>
      <c r="H424" s="16" t="str">
        <f t="shared" si="6"/>
        <v>(422,'457','قرطوفة','Guertoufa','Guertoufa',160),</v>
      </c>
    </row>
    <row r="425" spans="1:8" ht="20.100000000000001" customHeight="1" x14ac:dyDescent="0.25">
      <c r="A425" s="3">
        <v>423</v>
      </c>
      <c r="B425" s="8">
        <v>470</v>
      </c>
      <c r="C425" s="4" t="s">
        <v>2631</v>
      </c>
      <c r="D425" s="4" t="s">
        <v>1433</v>
      </c>
      <c r="E425" s="4" t="s">
        <v>1433</v>
      </c>
      <c r="F425" s="7">
        <v>160</v>
      </c>
      <c r="G425" s="7">
        <v>14</v>
      </c>
      <c r="H425" s="16" t="str">
        <f t="shared" si="6"/>
        <v>(423,'470','الرحوية','Rahouia','Rahouia',160),</v>
      </c>
    </row>
    <row r="426" spans="1:8" ht="20.100000000000001" customHeight="1" x14ac:dyDescent="0.25">
      <c r="A426" s="3">
        <v>424</v>
      </c>
      <c r="B426" s="8">
        <v>447</v>
      </c>
      <c r="C426" s="4" t="s">
        <v>2632</v>
      </c>
      <c r="D426" s="4" t="s">
        <v>2633</v>
      </c>
      <c r="E426" s="4" t="s">
        <v>2633</v>
      </c>
      <c r="F426" s="7">
        <v>161</v>
      </c>
      <c r="G426" s="7">
        <v>14</v>
      </c>
      <c r="H426" s="16" t="str">
        <f t="shared" si="6"/>
        <v>(424,'447','عين دزاريت','Ain Dzarit','Ain Dzarit',161),</v>
      </c>
    </row>
    <row r="427" spans="1:8" ht="20.100000000000001" customHeight="1" x14ac:dyDescent="0.25">
      <c r="A427" s="3">
        <v>425</v>
      </c>
      <c r="B427" s="8">
        <v>461</v>
      </c>
      <c r="C427" s="4" t="s">
        <v>1422</v>
      </c>
      <c r="D427" s="4" t="s">
        <v>1421</v>
      </c>
      <c r="E427" s="4" t="s">
        <v>1421</v>
      </c>
      <c r="F427" s="7">
        <v>161</v>
      </c>
      <c r="G427" s="7">
        <v>14</v>
      </c>
      <c r="H427" s="16" t="str">
        <f t="shared" si="6"/>
        <v>(425,'461','مهدية','Mahdia','Mahdia',161),</v>
      </c>
    </row>
    <row r="428" spans="1:8" ht="20.100000000000001" customHeight="1" x14ac:dyDescent="0.25">
      <c r="A428" s="3">
        <v>426</v>
      </c>
      <c r="B428" s="8">
        <v>467</v>
      </c>
      <c r="C428" s="4" t="s">
        <v>2634</v>
      </c>
      <c r="D428" s="4" t="s">
        <v>2635</v>
      </c>
      <c r="E428" s="4" t="s">
        <v>2635</v>
      </c>
      <c r="F428" s="7">
        <v>161</v>
      </c>
      <c r="G428" s="7">
        <v>14</v>
      </c>
      <c r="H428" s="16" t="str">
        <f t="shared" si="6"/>
        <v>(426,'467','الناظورة','Nadorah','Nadorah',161),</v>
      </c>
    </row>
    <row r="429" spans="1:8" ht="20.100000000000001" customHeight="1" x14ac:dyDescent="0.25">
      <c r="A429" s="3">
        <v>427</v>
      </c>
      <c r="B429" s="8">
        <v>472</v>
      </c>
      <c r="C429" s="4" t="s">
        <v>2636</v>
      </c>
      <c r="D429" s="4" t="s">
        <v>2637</v>
      </c>
      <c r="E429" s="4" t="s">
        <v>2637</v>
      </c>
      <c r="F429" s="7">
        <v>161</v>
      </c>
      <c r="G429" s="7">
        <v>14</v>
      </c>
      <c r="H429" s="16" t="str">
        <f t="shared" si="6"/>
        <v>(427,'472','السبعين','Sebaine','Sebaine',161),</v>
      </c>
    </row>
    <row r="430" spans="1:8" ht="20.100000000000001" customHeight="1" x14ac:dyDescent="0.25">
      <c r="A430" s="3">
        <v>428</v>
      </c>
      <c r="B430" s="8">
        <v>455</v>
      </c>
      <c r="C430" s="4" t="s">
        <v>2638</v>
      </c>
      <c r="D430" s="4" t="s">
        <v>2639</v>
      </c>
      <c r="E430" s="4" t="s">
        <v>2639</v>
      </c>
      <c r="F430" s="7">
        <v>162</v>
      </c>
      <c r="G430" s="7">
        <v>14</v>
      </c>
      <c r="H430" s="16" t="str">
        <f t="shared" si="6"/>
        <v>(428,'455','الفايجة','Faidja','Faidja',162),</v>
      </c>
    </row>
    <row r="431" spans="1:8" ht="20.100000000000001" customHeight="1" x14ac:dyDescent="0.25">
      <c r="A431" s="3">
        <v>429</v>
      </c>
      <c r="B431" s="8">
        <v>475</v>
      </c>
      <c r="C431" s="4" t="s">
        <v>2640</v>
      </c>
      <c r="D431" s="4" t="s">
        <v>2641</v>
      </c>
      <c r="E431" s="4" t="s">
        <v>2641</v>
      </c>
      <c r="F431" s="7">
        <v>162</v>
      </c>
      <c r="G431" s="7">
        <v>14</v>
      </c>
      <c r="H431" s="16" t="str">
        <f t="shared" si="6"/>
        <v>(429,'475','سي عبد الغني','Si Abdelghani','Si Abdelghani',162),</v>
      </c>
    </row>
    <row r="432" spans="1:8" ht="20.100000000000001" customHeight="1" x14ac:dyDescent="0.25">
      <c r="A432" s="3">
        <v>430</v>
      </c>
      <c r="B432" s="8">
        <v>480</v>
      </c>
      <c r="C432" s="4" t="s">
        <v>1432</v>
      </c>
      <c r="D432" s="4" t="s">
        <v>1431</v>
      </c>
      <c r="E432" s="4" t="s">
        <v>1431</v>
      </c>
      <c r="F432" s="7">
        <v>162</v>
      </c>
      <c r="G432" s="7">
        <v>14</v>
      </c>
      <c r="H432" s="16" t="str">
        <f t="shared" si="6"/>
        <v>(430,'480','السوقر','Sougueur','Sougueur',162),</v>
      </c>
    </row>
    <row r="433" spans="1:8" ht="20.100000000000001" customHeight="1" x14ac:dyDescent="0.25">
      <c r="A433" s="3">
        <v>431</v>
      </c>
      <c r="B433" s="8">
        <v>485</v>
      </c>
      <c r="C433" s="4" t="s">
        <v>2642</v>
      </c>
      <c r="D433" s="4" t="s">
        <v>2643</v>
      </c>
      <c r="E433" s="4" t="s">
        <v>2643</v>
      </c>
      <c r="F433" s="7">
        <v>162</v>
      </c>
      <c r="G433" s="7">
        <v>14</v>
      </c>
      <c r="H433" s="16" t="str">
        <f t="shared" si="6"/>
        <v>(431,'485','توسنينة','Tousnina','Tousnina',162),</v>
      </c>
    </row>
    <row r="434" spans="1:8" ht="20.100000000000001" customHeight="1" x14ac:dyDescent="0.25">
      <c r="A434" s="3">
        <v>432</v>
      </c>
      <c r="B434" s="8">
        <v>465</v>
      </c>
      <c r="C434" s="4" t="s">
        <v>1440</v>
      </c>
      <c r="D434" s="4" t="s">
        <v>1439</v>
      </c>
      <c r="E434" s="4" t="s">
        <v>1439</v>
      </c>
      <c r="F434" s="7">
        <v>163</v>
      </c>
      <c r="G434" s="7">
        <v>14</v>
      </c>
      <c r="H434" s="16" t="str">
        <f t="shared" si="6"/>
        <v>(432,'465','مغيلة','Meghila','Meghila',163),</v>
      </c>
    </row>
    <row r="435" spans="1:8" ht="20.100000000000001" customHeight="1" x14ac:dyDescent="0.25">
      <c r="A435" s="3">
        <v>433</v>
      </c>
      <c r="B435" s="8">
        <v>473</v>
      </c>
      <c r="C435" s="4" t="s">
        <v>2644</v>
      </c>
      <c r="D435" s="4" t="s">
        <v>2645</v>
      </c>
      <c r="E435" s="4" t="s">
        <v>2645</v>
      </c>
      <c r="F435" s="7">
        <v>163</v>
      </c>
      <c r="G435" s="7">
        <v>14</v>
      </c>
      <c r="H435" s="16" t="str">
        <f t="shared" si="6"/>
        <v>(433,'473','السبت','Sebt','Sebt',163),</v>
      </c>
    </row>
    <row r="436" spans="1:8" ht="20.100000000000001" customHeight="1" x14ac:dyDescent="0.25">
      <c r="A436" s="3">
        <v>434</v>
      </c>
      <c r="B436" s="8">
        <v>479</v>
      </c>
      <c r="C436" s="4" t="s">
        <v>2646</v>
      </c>
      <c r="D436" s="4" t="s">
        <v>2647</v>
      </c>
      <c r="E436" s="4" t="s">
        <v>2647</v>
      </c>
      <c r="F436" s="7">
        <v>163</v>
      </c>
      <c r="G436" s="7">
        <v>14</v>
      </c>
      <c r="H436" s="16" t="str">
        <f t="shared" si="6"/>
        <v>(434,'479','سيدي حسني','Sidi Hosni','Sidi Hosni',163),</v>
      </c>
    </row>
    <row r="437" spans="1:8" ht="20.100000000000001" customHeight="1" x14ac:dyDescent="0.25">
      <c r="A437" s="3">
        <v>435</v>
      </c>
      <c r="B437" s="8">
        <v>448</v>
      </c>
      <c r="C437" s="4" t="s">
        <v>2648</v>
      </c>
      <c r="D437" s="4" t="s">
        <v>2649</v>
      </c>
      <c r="E437" s="4" t="s">
        <v>2649</v>
      </c>
      <c r="F437" s="7">
        <v>164</v>
      </c>
      <c r="G437" s="7">
        <v>14</v>
      </c>
      <c r="H437" s="16" t="str">
        <f t="shared" si="6"/>
        <v>(435,'448','عين الحديد','Ain El Hadid','Ain El Hadid',164),</v>
      </c>
    </row>
    <row r="438" spans="1:8" ht="20.100000000000001" customHeight="1" x14ac:dyDescent="0.25">
      <c r="A438" s="3">
        <v>436</v>
      </c>
      <c r="B438" s="8">
        <v>456</v>
      </c>
      <c r="C438" s="4" t="s">
        <v>1424</v>
      </c>
      <c r="D438" s="4" t="s">
        <v>1423</v>
      </c>
      <c r="E438" s="4" t="s">
        <v>1423</v>
      </c>
      <c r="F438" s="7">
        <v>164</v>
      </c>
      <c r="G438" s="7">
        <v>14</v>
      </c>
      <c r="H438" s="16" t="str">
        <f t="shared" si="6"/>
        <v>(436,'456','فرندة','Frenda','Frenda',164),</v>
      </c>
    </row>
    <row r="439" spans="1:8" ht="20.100000000000001" customHeight="1" x14ac:dyDescent="0.25">
      <c r="A439" s="3">
        <v>437</v>
      </c>
      <c r="B439" s="8">
        <v>482</v>
      </c>
      <c r="C439" s="4" t="s">
        <v>2650</v>
      </c>
      <c r="D439" s="4" t="s">
        <v>2651</v>
      </c>
      <c r="E439" s="4" t="s">
        <v>2651</v>
      </c>
      <c r="F439" s="7">
        <v>164</v>
      </c>
      <c r="G439" s="7">
        <v>14</v>
      </c>
      <c r="H439" s="16" t="str">
        <f t="shared" si="6"/>
        <v>(437,'482','تخمرت','Takhemaret','Takhemaret',164),</v>
      </c>
    </row>
    <row r="440" spans="1:8" ht="20.100000000000001" customHeight="1" x14ac:dyDescent="0.25">
      <c r="A440" s="3">
        <v>438</v>
      </c>
      <c r="B440" s="8">
        <v>449</v>
      </c>
      <c r="C440" s="4" t="s">
        <v>1426</v>
      </c>
      <c r="D440" s="4" t="s">
        <v>1425</v>
      </c>
      <c r="E440" s="4" t="s">
        <v>1425</v>
      </c>
      <c r="F440" s="7">
        <v>165</v>
      </c>
      <c r="G440" s="7">
        <v>14</v>
      </c>
      <c r="H440" s="16" t="str">
        <f t="shared" si="6"/>
        <v>(438,'449','عين كرمس','Ain Kermes','Ain Kermes',165),</v>
      </c>
    </row>
    <row r="441" spans="1:8" ht="20.100000000000001" customHeight="1" x14ac:dyDescent="0.25">
      <c r="A441" s="3">
        <v>439</v>
      </c>
      <c r="B441" s="8">
        <v>453</v>
      </c>
      <c r="C441" s="4" t="s">
        <v>2652</v>
      </c>
      <c r="D441" s="4" t="s">
        <v>2653</v>
      </c>
      <c r="E441" s="4" t="s">
        <v>2653</v>
      </c>
      <c r="F441" s="7">
        <v>165</v>
      </c>
      <c r="G441" s="7">
        <v>14</v>
      </c>
      <c r="H441" s="16" t="str">
        <f t="shared" si="6"/>
        <v>(439,'453','جبيلات الرصفاء','Djebilet Rosfa','Djebilet Rosfa',165),</v>
      </c>
    </row>
    <row r="442" spans="1:8" ht="20.100000000000001" customHeight="1" x14ac:dyDescent="0.25">
      <c r="A442" s="3">
        <v>440</v>
      </c>
      <c r="B442" s="8">
        <v>460</v>
      </c>
      <c r="C442" s="4" t="s">
        <v>2654</v>
      </c>
      <c r="D442" s="4" t="s">
        <v>2655</v>
      </c>
      <c r="E442" s="4" t="s">
        <v>2655</v>
      </c>
      <c r="F442" s="7">
        <v>165</v>
      </c>
      <c r="G442" s="7">
        <v>14</v>
      </c>
      <c r="H442" s="16" t="str">
        <f t="shared" si="6"/>
        <v>(440,'460','مادنة','Madna','Madna',165),</v>
      </c>
    </row>
    <row r="443" spans="1:8" ht="20.100000000000001" customHeight="1" x14ac:dyDescent="0.25">
      <c r="A443" s="3">
        <v>441</v>
      </c>
      <c r="B443" s="8">
        <v>463</v>
      </c>
      <c r="C443" s="4" t="s">
        <v>2656</v>
      </c>
      <c r="D443" s="4" t="s">
        <v>2657</v>
      </c>
      <c r="E443" s="4" t="s">
        <v>2657</v>
      </c>
      <c r="F443" s="7">
        <v>165</v>
      </c>
      <c r="G443" s="7">
        <v>14</v>
      </c>
      <c r="H443" s="16" t="str">
        <f t="shared" si="6"/>
        <v>(441,'463','مدريسة','Medrissa','Medrissa',165),</v>
      </c>
    </row>
    <row r="444" spans="1:8" ht="20.100000000000001" customHeight="1" x14ac:dyDescent="0.25">
      <c r="A444" s="3">
        <v>442</v>
      </c>
      <c r="B444" s="8">
        <v>476</v>
      </c>
      <c r="C444" s="4" t="s">
        <v>2121</v>
      </c>
      <c r="D444" s="4" t="s">
        <v>2122</v>
      </c>
      <c r="E444" s="4" t="s">
        <v>2122</v>
      </c>
      <c r="F444" s="7">
        <v>165</v>
      </c>
      <c r="G444" s="7">
        <v>14</v>
      </c>
      <c r="H444" s="16" t="str">
        <f t="shared" si="6"/>
        <v>(442,'476','سيدي عبد الرحمن','Sidi Abderrahmane','Sidi Abderrahmane',165),</v>
      </c>
    </row>
    <row r="445" spans="1:8" ht="20.100000000000001" customHeight="1" x14ac:dyDescent="0.25">
      <c r="A445" s="3">
        <v>443</v>
      </c>
      <c r="B445" s="8">
        <v>459</v>
      </c>
      <c r="C445" s="4" t="s">
        <v>1436</v>
      </c>
      <c r="D445" s="4" t="s">
        <v>1435</v>
      </c>
      <c r="E445" s="4" t="s">
        <v>1435</v>
      </c>
      <c r="F445" s="7">
        <v>166</v>
      </c>
      <c r="G445" s="7">
        <v>14</v>
      </c>
      <c r="H445" s="16" t="str">
        <f t="shared" si="6"/>
        <v>(443,'459','قصر الشلالة','Ksar Chellala','Ksar Chellala',166),</v>
      </c>
    </row>
    <row r="446" spans="1:8" ht="20.100000000000001" customHeight="1" x14ac:dyDescent="0.25">
      <c r="A446" s="3">
        <v>444</v>
      </c>
      <c r="B446" s="8">
        <v>474</v>
      </c>
      <c r="C446" s="4" t="s">
        <v>2658</v>
      </c>
      <c r="D446" s="4" t="s">
        <v>2659</v>
      </c>
      <c r="E446" s="4" t="s">
        <v>2659</v>
      </c>
      <c r="F446" s="7">
        <v>166</v>
      </c>
      <c r="G446" s="7">
        <v>14</v>
      </c>
      <c r="H446" s="16" t="str">
        <f t="shared" si="6"/>
        <v>(444,'474','سرغين','Serghine','Serghine',166),</v>
      </c>
    </row>
    <row r="447" spans="1:8" ht="20.100000000000001" customHeight="1" x14ac:dyDescent="0.25">
      <c r="A447" s="3">
        <v>445</v>
      </c>
      <c r="B447" s="8">
        <v>486</v>
      </c>
      <c r="C447" s="4" t="s">
        <v>2660</v>
      </c>
      <c r="D447" s="4" t="s">
        <v>2661</v>
      </c>
      <c r="E447" s="4" t="s">
        <v>2661</v>
      </c>
      <c r="F447" s="7">
        <v>166</v>
      </c>
      <c r="G447" s="7">
        <v>14</v>
      </c>
      <c r="H447" s="16" t="str">
        <f t="shared" si="6"/>
        <v>(445,'486','زمالة  الأمير عبد القادر','Zmalet El Emir Abdelkade','Zmalet El Emir Abdelkade',166),</v>
      </c>
    </row>
    <row r="448" spans="1:8" ht="20.100000000000001" customHeight="1" x14ac:dyDescent="0.25">
      <c r="A448" s="3">
        <v>446</v>
      </c>
      <c r="B448" s="8">
        <v>469</v>
      </c>
      <c r="C448" s="4" t="s">
        <v>1442</v>
      </c>
      <c r="D448" s="4" t="s">
        <v>2662</v>
      </c>
      <c r="E448" s="4" t="s">
        <v>2662</v>
      </c>
      <c r="F448" s="7">
        <v>167</v>
      </c>
      <c r="G448" s="7">
        <v>14</v>
      </c>
      <c r="H448" s="16" t="str">
        <f t="shared" si="6"/>
        <v>(446,'469','وادي ليلي','Oued Lilli','Oued Lilli',167),</v>
      </c>
    </row>
    <row r="449" spans="1:8" ht="20.100000000000001" customHeight="1" x14ac:dyDescent="0.25">
      <c r="A449" s="3">
        <v>447</v>
      </c>
      <c r="B449" s="8">
        <v>477</v>
      </c>
      <c r="C449" s="4" t="s">
        <v>2663</v>
      </c>
      <c r="D449" s="4" t="s">
        <v>2664</v>
      </c>
      <c r="E449" s="4" t="s">
        <v>2664</v>
      </c>
      <c r="F449" s="7">
        <v>167</v>
      </c>
      <c r="G449" s="7">
        <v>14</v>
      </c>
      <c r="H449" s="16" t="str">
        <f t="shared" si="6"/>
        <v>(447,'477','سيدي علي ملال','Sidi Ali Mellal','Sidi Ali Mellal',167),</v>
      </c>
    </row>
    <row r="450" spans="1:8" ht="20.100000000000001" customHeight="1" x14ac:dyDescent="0.25">
      <c r="A450" s="3">
        <v>448</v>
      </c>
      <c r="B450" s="8">
        <v>484</v>
      </c>
      <c r="C450" s="4" t="s">
        <v>2665</v>
      </c>
      <c r="D450" s="4" t="s">
        <v>2666</v>
      </c>
      <c r="E450" s="4" t="s">
        <v>2666</v>
      </c>
      <c r="F450" s="7">
        <v>167</v>
      </c>
      <c r="G450" s="7">
        <v>14</v>
      </c>
      <c r="H450" s="16" t="str">
        <f t="shared" si="6"/>
        <v>(448,'484','تيدة','Tidda','Tidda',167),</v>
      </c>
    </row>
    <row r="451" spans="1:8" ht="20.100000000000001" customHeight="1" x14ac:dyDescent="0.25">
      <c r="A451" s="3">
        <v>449</v>
      </c>
      <c r="B451" s="8">
        <v>454</v>
      </c>
      <c r="C451" s="4" t="s">
        <v>2667</v>
      </c>
      <c r="D451" s="4" t="s">
        <v>2668</v>
      </c>
      <c r="E451" s="4" t="s">
        <v>2668</v>
      </c>
      <c r="F451" s="7">
        <v>168</v>
      </c>
      <c r="G451" s="7">
        <v>14</v>
      </c>
      <c r="H451" s="16" t="str">
        <f t="shared" si="6"/>
        <v>(449,'454','جيلالي بن عمار','Djillali Ben Amar','Djillali Ben Amar',168),</v>
      </c>
    </row>
    <row r="452" spans="1:8" ht="20.100000000000001" customHeight="1" x14ac:dyDescent="0.25">
      <c r="A452" s="3">
        <v>450</v>
      </c>
      <c r="B452" s="8">
        <v>462</v>
      </c>
      <c r="C452" s="4" t="s">
        <v>1430</v>
      </c>
      <c r="D452" s="4" t="s">
        <v>2669</v>
      </c>
      <c r="E452" s="4" t="s">
        <v>2669</v>
      </c>
      <c r="F452" s="7">
        <v>168</v>
      </c>
      <c r="G452" s="7">
        <v>14</v>
      </c>
      <c r="H452" s="16" t="str">
        <f t="shared" ref="H452:H515" si="7">CONCATENATE("(",A452,",'",B452,"','",C452,"','",D452,"','",E452,"',",F452,"),")</f>
        <v>(450,'462','مشرع الصفا','Mechraa Safa','Mechraa Safa',168),</v>
      </c>
    </row>
    <row r="453" spans="1:8" ht="20.100000000000001" customHeight="1" x14ac:dyDescent="0.25">
      <c r="A453" s="3">
        <v>451</v>
      </c>
      <c r="B453" s="8">
        <v>481</v>
      </c>
      <c r="C453" s="4" t="s">
        <v>2670</v>
      </c>
      <c r="D453" s="4" t="s">
        <v>2671</v>
      </c>
      <c r="E453" s="4" t="s">
        <v>2671</v>
      </c>
      <c r="F453" s="7">
        <v>168</v>
      </c>
      <c r="G453" s="7">
        <v>14</v>
      </c>
      <c r="H453" s="16" t="str">
        <f t="shared" si="7"/>
        <v>(451,'481','تاقدمت','Tagdempt','Tagdempt',168),</v>
      </c>
    </row>
    <row r="454" spans="1:8" ht="20.100000000000001" customHeight="1" x14ac:dyDescent="0.25">
      <c r="A454" s="3">
        <v>452</v>
      </c>
      <c r="B454" s="8">
        <v>450</v>
      </c>
      <c r="C454" s="4" t="s">
        <v>1316</v>
      </c>
      <c r="D454" s="4" t="s">
        <v>1315</v>
      </c>
      <c r="E454" s="4" t="s">
        <v>1315</v>
      </c>
      <c r="F454" s="7">
        <v>169</v>
      </c>
      <c r="G454" s="7">
        <v>14</v>
      </c>
      <c r="H454" s="16" t="str">
        <f t="shared" si="7"/>
        <v>(452,'450','بوقرة','Bougara','Bougara',169),</v>
      </c>
    </row>
    <row r="455" spans="1:8" ht="20.100000000000001" customHeight="1" x14ac:dyDescent="0.25">
      <c r="A455" s="3">
        <v>453</v>
      </c>
      <c r="B455" s="8">
        <v>458</v>
      </c>
      <c r="C455" s="4" t="s">
        <v>1428</v>
      </c>
      <c r="D455" s="4" t="s">
        <v>1427</v>
      </c>
      <c r="E455" s="4" t="s">
        <v>1427</v>
      </c>
      <c r="F455" s="7">
        <v>169</v>
      </c>
      <c r="G455" s="7">
        <v>14</v>
      </c>
      <c r="H455" s="16" t="str">
        <f t="shared" si="7"/>
        <v>(453,'458','حمادية','Hamadia','Hamadia',169),</v>
      </c>
    </row>
    <row r="456" spans="1:8" ht="20.100000000000001" customHeight="1" x14ac:dyDescent="0.25">
      <c r="A456" s="3">
        <v>454</v>
      </c>
      <c r="B456" s="8">
        <v>471</v>
      </c>
      <c r="C456" s="4" t="s">
        <v>2672</v>
      </c>
      <c r="D456" s="4" t="s">
        <v>2673</v>
      </c>
      <c r="E456" s="4" t="s">
        <v>2673</v>
      </c>
      <c r="F456" s="7">
        <v>169</v>
      </c>
      <c r="G456" s="7">
        <v>14</v>
      </c>
      <c r="H456" s="16" t="str">
        <f t="shared" si="7"/>
        <v>(454,'471','الرشايقة','Rechaiga','Rechaiga',169),</v>
      </c>
    </row>
    <row r="457" spans="1:8" ht="20.100000000000001" customHeight="1" x14ac:dyDescent="0.25">
      <c r="A457" s="3">
        <v>455</v>
      </c>
      <c r="B457" s="8">
        <v>549</v>
      </c>
      <c r="C457" s="4" t="s">
        <v>1000</v>
      </c>
      <c r="D457" s="4" t="s">
        <v>2674</v>
      </c>
      <c r="E457" s="4" t="s">
        <v>2674</v>
      </c>
      <c r="F457" s="7">
        <v>170</v>
      </c>
      <c r="G457" s="7">
        <v>15</v>
      </c>
      <c r="H457" s="16" t="str">
        <f t="shared" si="7"/>
        <v>(455,'549','تيزي وزو','Tizi-Ouzou','Tizi-Ouzou',170),</v>
      </c>
    </row>
    <row r="458" spans="1:8" ht="20.100000000000001" customHeight="1" x14ac:dyDescent="0.25">
      <c r="A458" s="3">
        <v>456</v>
      </c>
      <c r="B458" s="8">
        <v>487</v>
      </c>
      <c r="C458" s="4" t="s">
        <v>2675</v>
      </c>
      <c r="D458" s="4" t="s">
        <v>2676</v>
      </c>
      <c r="E458" s="4" t="s">
        <v>2676</v>
      </c>
      <c r="F458" s="7">
        <v>171</v>
      </c>
      <c r="G458" s="7">
        <v>15</v>
      </c>
      <c r="H458" s="16" t="str">
        <f t="shared" si="7"/>
        <v>(456,'487','أبي يوسف','Abi-Youcef','Abi-Youcef',171),</v>
      </c>
    </row>
    <row r="459" spans="1:8" ht="20.100000000000001" customHeight="1" x14ac:dyDescent="0.25">
      <c r="A459" s="3">
        <v>457</v>
      </c>
      <c r="B459" s="8">
        <v>490</v>
      </c>
      <c r="C459" s="4" t="s">
        <v>1444</v>
      </c>
      <c r="D459" s="4" t="s">
        <v>2677</v>
      </c>
      <c r="E459" s="4" t="s">
        <v>2677</v>
      </c>
      <c r="F459" s="7">
        <v>171</v>
      </c>
      <c r="G459" s="7">
        <v>15</v>
      </c>
      <c r="H459" s="16" t="str">
        <f t="shared" si="7"/>
        <v>(457,'490','عين الحمام','Ain-El-Hammam','Ain-El-Hammam',171),</v>
      </c>
    </row>
    <row r="460" spans="1:8" ht="20.100000000000001" customHeight="1" x14ac:dyDescent="0.25">
      <c r="A460" s="3">
        <v>458</v>
      </c>
      <c r="B460" s="8">
        <v>502</v>
      </c>
      <c r="C460" s="4" t="s">
        <v>2678</v>
      </c>
      <c r="D460" s="4" t="s">
        <v>2679</v>
      </c>
      <c r="E460" s="4" t="s">
        <v>2679</v>
      </c>
      <c r="F460" s="7">
        <v>171</v>
      </c>
      <c r="G460" s="7">
        <v>15</v>
      </c>
      <c r="H460" s="16" t="str">
        <f t="shared" si="7"/>
        <v>(458,'502','أيت يحيى','Ait-Yahia','Ait-Yahia',171),</v>
      </c>
    </row>
    <row r="461" spans="1:8" ht="20.100000000000001" customHeight="1" x14ac:dyDescent="0.25">
      <c r="A461" s="3">
        <v>459</v>
      </c>
      <c r="B461" s="8">
        <v>503</v>
      </c>
      <c r="C461" s="4" t="s">
        <v>2680</v>
      </c>
      <c r="D461" s="4" t="s">
        <v>2681</v>
      </c>
      <c r="E461" s="4" t="s">
        <v>2681</v>
      </c>
      <c r="F461" s="7">
        <v>171</v>
      </c>
      <c r="G461" s="7">
        <v>15</v>
      </c>
      <c r="H461" s="16" t="str">
        <f t="shared" si="7"/>
        <v>(459,'503','اقبيل','Akbil','Akbil',171),</v>
      </c>
    </row>
    <row r="462" spans="1:8" ht="20.100000000000001" customHeight="1" x14ac:dyDescent="0.25">
      <c r="A462" s="3">
        <v>460</v>
      </c>
      <c r="B462" s="8">
        <v>514</v>
      </c>
      <c r="C462" s="4" t="s">
        <v>2682</v>
      </c>
      <c r="D462" s="4" t="s">
        <v>2683</v>
      </c>
      <c r="E462" s="4" t="s">
        <v>2683</v>
      </c>
      <c r="F462" s="7">
        <v>172</v>
      </c>
      <c r="G462" s="7">
        <v>15</v>
      </c>
      <c r="H462" s="16" t="str">
        <f t="shared" si="7"/>
        <v>(460,'514','بوجيمة','Boudjima','Boudjima',172),</v>
      </c>
    </row>
    <row r="463" spans="1:8" ht="20.100000000000001" customHeight="1" x14ac:dyDescent="0.25">
      <c r="A463" s="3">
        <v>461</v>
      </c>
      <c r="B463" s="8">
        <v>532</v>
      </c>
      <c r="C463" s="4" t="s">
        <v>1472</v>
      </c>
      <c r="D463" s="4" t="s">
        <v>1471</v>
      </c>
      <c r="E463" s="4" t="s">
        <v>1471</v>
      </c>
      <c r="F463" s="7">
        <v>172</v>
      </c>
      <c r="G463" s="7">
        <v>15</v>
      </c>
      <c r="H463" s="16" t="str">
        <f t="shared" si="7"/>
        <v>(461,'532','ماكودة','Makouda','Makouda',172),</v>
      </c>
    </row>
    <row r="464" spans="1:8" ht="20.100000000000001" customHeight="1" x14ac:dyDescent="0.25">
      <c r="A464" s="3">
        <v>462</v>
      </c>
      <c r="B464" s="8">
        <v>491</v>
      </c>
      <c r="C464" s="4" t="s">
        <v>2684</v>
      </c>
      <c r="D464" s="4" t="s">
        <v>2685</v>
      </c>
      <c r="E464" s="4" t="s">
        <v>2685</v>
      </c>
      <c r="F464" s="7">
        <v>173</v>
      </c>
      <c r="G464" s="7">
        <v>15</v>
      </c>
      <c r="H464" s="16" t="str">
        <f t="shared" si="7"/>
        <v>(462,'491','عين الزاوية','Ain-Zaouia','Ain-Zaouia',173),</v>
      </c>
    </row>
    <row r="465" spans="1:8" ht="20.100000000000001" customHeight="1" x14ac:dyDescent="0.25">
      <c r="A465" s="3">
        <v>463</v>
      </c>
      <c r="B465" s="8">
        <v>496</v>
      </c>
      <c r="C465" s="4" t="s">
        <v>2686</v>
      </c>
      <c r="D465" s="4" t="s">
        <v>2687</v>
      </c>
      <c r="E465" s="4" t="s">
        <v>2687</v>
      </c>
      <c r="F465" s="7">
        <v>173</v>
      </c>
      <c r="G465" s="7">
        <v>15</v>
      </c>
      <c r="H465" s="16" t="str">
        <f t="shared" si="7"/>
        <v>(463,'496','أيت يحي موسى','Ait Yahia Moussa','Ait Yahia Moussa',173),</v>
      </c>
    </row>
    <row r="466" spans="1:8" ht="20.100000000000001" customHeight="1" x14ac:dyDescent="0.25">
      <c r="A466" s="3">
        <v>464</v>
      </c>
      <c r="B466" s="8">
        <v>518</v>
      </c>
      <c r="C466" s="4" t="s">
        <v>1450</v>
      </c>
      <c r="D466" s="4" t="s">
        <v>2688</v>
      </c>
      <c r="E466" s="4" t="s">
        <v>2688</v>
      </c>
      <c r="F466" s="7">
        <v>173</v>
      </c>
      <c r="G466" s="7">
        <v>15</v>
      </c>
      <c r="H466" s="16" t="str">
        <f t="shared" si="7"/>
        <v>(464,'518','ذراع الميزان','Draa-El-Mizan','Draa-El-Mizan',173),</v>
      </c>
    </row>
    <row r="467" spans="1:8" ht="20.100000000000001" customHeight="1" x14ac:dyDescent="0.25">
      <c r="A467" s="3">
        <v>465</v>
      </c>
      <c r="B467" s="8">
        <v>520</v>
      </c>
      <c r="C467" s="4" t="s">
        <v>2689</v>
      </c>
      <c r="D467" s="4" t="s">
        <v>2690</v>
      </c>
      <c r="E467" s="4" t="s">
        <v>2690</v>
      </c>
      <c r="F467" s="7">
        <v>173</v>
      </c>
      <c r="G467" s="7">
        <v>15</v>
      </c>
      <c r="H467" s="16" t="str">
        <f t="shared" si="7"/>
        <v>(465,'520','فريقات','Frikat','Frikat',173),</v>
      </c>
    </row>
    <row r="468" spans="1:8" ht="20.100000000000001" customHeight="1" x14ac:dyDescent="0.25">
      <c r="A468" s="3">
        <v>466</v>
      </c>
      <c r="B468" s="8">
        <v>536</v>
      </c>
      <c r="C468" s="4" t="s">
        <v>2691</v>
      </c>
      <c r="D468" s="4" t="s">
        <v>5858</v>
      </c>
      <c r="E468" s="4" t="s">
        <v>5858</v>
      </c>
      <c r="F468" s="7">
        <v>174</v>
      </c>
      <c r="G468" s="7">
        <v>15</v>
      </c>
      <c r="H468" s="16" t="str">
        <f t="shared" si="7"/>
        <v>(466,'536','مكيرة','M\'kira','M\'kira',174),</v>
      </c>
    </row>
    <row r="469" spans="1:8" ht="20.100000000000001" customHeight="1" x14ac:dyDescent="0.25">
      <c r="A469" s="3">
        <v>467</v>
      </c>
      <c r="B469" s="8">
        <v>548</v>
      </c>
      <c r="C469" s="4" t="s">
        <v>1482</v>
      </c>
      <c r="D469" s="4" t="s">
        <v>2692</v>
      </c>
      <c r="E469" s="4" t="s">
        <v>2692</v>
      </c>
      <c r="F469" s="7">
        <v>174</v>
      </c>
      <c r="G469" s="7">
        <v>15</v>
      </c>
      <c r="H469" s="16" t="str">
        <f t="shared" si="7"/>
        <v>(467,'548','تيزي غنيف','Tizi-Gheniff','Tizi-Gheniff',174),</v>
      </c>
    </row>
    <row r="470" spans="1:8" ht="20.100000000000001" customHeight="1" x14ac:dyDescent="0.25">
      <c r="A470" s="3">
        <v>468</v>
      </c>
      <c r="B470" s="8">
        <v>523</v>
      </c>
      <c r="C470" s="4" t="s">
        <v>2693</v>
      </c>
      <c r="D470" s="4" t="s">
        <v>1475</v>
      </c>
      <c r="E470" s="4" t="s">
        <v>1475</v>
      </c>
      <c r="F470" s="7">
        <v>175</v>
      </c>
      <c r="G470" s="7">
        <v>15</v>
      </c>
      <c r="H470" s="16" t="str">
        <f t="shared" si="7"/>
        <v>(468,'523','إفــرحــونان','Iferhounene','Iferhounene',175),</v>
      </c>
    </row>
    <row r="471" spans="1:8" ht="20.100000000000001" customHeight="1" x14ac:dyDescent="0.25">
      <c r="A471" s="3">
        <v>469</v>
      </c>
      <c r="B471" s="8">
        <v>526</v>
      </c>
      <c r="C471" s="4" t="s">
        <v>2694</v>
      </c>
      <c r="D471" s="4" t="s">
        <v>2695</v>
      </c>
      <c r="E471" s="4" t="s">
        <v>2695</v>
      </c>
      <c r="F471" s="7">
        <v>175</v>
      </c>
      <c r="G471" s="7">
        <v>15</v>
      </c>
      <c r="H471" s="16" t="str">
        <f t="shared" si="7"/>
        <v>(469,'526','إيلـيــلتـن','Illilten','Illilten',175),</v>
      </c>
    </row>
    <row r="472" spans="1:8" ht="20.100000000000001" customHeight="1" x14ac:dyDescent="0.25">
      <c r="A472" s="3">
        <v>470</v>
      </c>
      <c r="B472" s="8">
        <v>528</v>
      </c>
      <c r="C472" s="4" t="s">
        <v>2696</v>
      </c>
      <c r="D472" s="4" t="s">
        <v>2697</v>
      </c>
      <c r="E472" s="4" t="s">
        <v>2697</v>
      </c>
      <c r="F472" s="7">
        <v>175</v>
      </c>
      <c r="G472" s="7">
        <v>15</v>
      </c>
      <c r="H472" s="16" t="str">
        <f t="shared" si="7"/>
        <v>(470,'528','إمســوحال','Imsouhal','Imsouhal',175),</v>
      </c>
    </row>
    <row r="473" spans="1:8" ht="20.100000000000001" customHeight="1" x14ac:dyDescent="0.25">
      <c r="A473" s="3">
        <v>471</v>
      </c>
      <c r="B473" s="8">
        <v>506</v>
      </c>
      <c r="C473" s="4" t="s">
        <v>1466</v>
      </c>
      <c r="D473" s="4" t="s">
        <v>1465</v>
      </c>
      <c r="E473" s="4" t="s">
        <v>1465</v>
      </c>
      <c r="F473" s="7">
        <v>176</v>
      </c>
      <c r="G473" s="7">
        <v>15</v>
      </c>
      <c r="H473" s="16" t="str">
        <f t="shared" si="7"/>
        <v>(471,'506','عزازقة','Azazga','Azazga',176),</v>
      </c>
    </row>
    <row r="474" spans="1:8" ht="20.100000000000001" customHeight="1" x14ac:dyDescent="0.25">
      <c r="A474" s="3">
        <v>472</v>
      </c>
      <c r="B474" s="8">
        <v>519</v>
      </c>
      <c r="C474" s="4" t="s">
        <v>2698</v>
      </c>
      <c r="D474" s="4" t="s">
        <v>2699</v>
      </c>
      <c r="E474" s="4" t="s">
        <v>2699</v>
      </c>
      <c r="F474" s="7">
        <v>176</v>
      </c>
      <c r="G474" s="7">
        <v>15</v>
      </c>
      <c r="H474" s="16" t="str">
        <f t="shared" si="7"/>
        <v>(472,'519','فريحة','Freha','Freha',176),</v>
      </c>
    </row>
    <row r="475" spans="1:8" ht="20.100000000000001" customHeight="1" x14ac:dyDescent="0.25">
      <c r="A475" s="3">
        <v>473</v>
      </c>
      <c r="B475" s="8">
        <v>524</v>
      </c>
      <c r="C475" s="4" t="s">
        <v>2700</v>
      </c>
      <c r="D475" s="4" t="s">
        <v>2701</v>
      </c>
      <c r="E475" s="4" t="s">
        <v>2701</v>
      </c>
      <c r="F475" s="7">
        <v>176</v>
      </c>
      <c r="G475" s="7">
        <v>15</v>
      </c>
      <c r="H475" s="16" t="str">
        <f t="shared" si="7"/>
        <v>(473,'524','إيفيغاء','Ifigha','Ifigha',176),</v>
      </c>
    </row>
    <row r="476" spans="1:8" ht="20.100000000000001" customHeight="1" x14ac:dyDescent="0.25">
      <c r="A476" s="3">
        <v>474</v>
      </c>
      <c r="B476" s="8">
        <v>551</v>
      </c>
      <c r="C476" s="4" t="s">
        <v>2702</v>
      </c>
      <c r="D476" s="4" t="s">
        <v>2703</v>
      </c>
      <c r="E476" s="4" t="s">
        <v>2703</v>
      </c>
      <c r="F476" s="7">
        <v>176</v>
      </c>
      <c r="G476" s="7">
        <v>15</v>
      </c>
      <c r="H476" s="16" t="str">
        <f t="shared" si="7"/>
        <v>(474,'551','إعــكورن','Yakourene','Yakourene',176),</v>
      </c>
    </row>
    <row r="477" spans="1:8" ht="20.100000000000001" customHeight="1" x14ac:dyDescent="0.25">
      <c r="A477" s="3">
        <v>475</v>
      </c>
      <c r="B477" s="8">
        <v>553</v>
      </c>
      <c r="C477" s="4" t="s">
        <v>2704</v>
      </c>
      <c r="D477" s="4" t="s">
        <v>2705</v>
      </c>
      <c r="E477" s="4" t="s">
        <v>2705</v>
      </c>
      <c r="F477" s="7">
        <v>176</v>
      </c>
      <c r="G477" s="7">
        <v>15</v>
      </c>
      <c r="H477" s="16" t="str">
        <f t="shared" si="7"/>
        <v>(475,'553','زكري','Zekri','Zekri',176),</v>
      </c>
    </row>
    <row r="478" spans="1:8" ht="20.100000000000001" customHeight="1" x14ac:dyDescent="0.25">
      <c r="A478" s="3">
        <v>476</v>
      </c>
      <c r="B478" s="8">
        <v>492</v>
      </c>
      <c r="C478" s="4" t="s">
        <v>2706</v>
      </c>
      <c r="D478" s="4" t="s">
        <v>2707</v>
      </c>
      <c r="E478" s="4" t="s">
        <v>2707</v>
      </c>
      <c r="F478" s="7">
        <v>177</v>
      </c>
      <c r="G478" s="7">
        <v>15</v>
      </c>
      <c r="H478" s="16" t="str">
        <f t="shared" si="7"/>
        <v>(476,'492','أيت عقـواشة','Ait Aggouacha','Ait Aggouacha',177),</v>
      </c>
    </row>
    <row r="479" spans="1:8" ht="20.100000000000001" customHeight="1" x14ac:dyDescent="0.25">
      <c r="A479" s="3">
        <v>477</v>
      </c>
      <c r="B479" s="8">
        <v>529</v>
      </c>
      <c r="C479" s="4" t="s">
        <v>2708</v>
      </c>
      <c r="D479" s="4" t="s">
        <v>2709</v>
      </c>
      <c r="E479" s="4" t="s">
        <v>2709</v>
      </c>
      <c r="F479" s="7">
        <v>177</v>
      </c>
      <c r="G479" s="7">
        <v>15</v>
      </c>
      <c r="H479" s="16" t="str">
        <f t="shared" si="7"/>
        <v>(477,'529','إيرجـــن','Irdjen','Irdjen',177),</v>
      </c>
    </row>
    <row r="480" spans="1:8" ht="20.100000000000001" customHeight="1" x14ac:dyDescent="0.25">
      <c r="A480" s="3">
        <v>478</v>
      </c>
      <c r="B480" s="8">
        <v>530</v>
      </c>
      <c r="C480" s="4" t="s">
        <v>2710</v>
      </c>
      <c r="D480" s="4" t="s">
        <v>2711</v>
      </c>
      <c r="E480" s="4" t="s">
        <v>2711</v>
      </c>
      <c r="F480" s="7">
        <v>177</v>
      </c>
      <c r="G480" s="7">
        <v>15</v>
      </c>
      <c r="H480" s="16" t="str">
        <f t="shared" si="7"/>
        <v>(478,'530','الأربعــاء ناث إيراثن','Larbaa Nath Irathen','Larbaa Nath Irathen',177),</v>
      </c>
    </row>
    <row r="481" spans="1:8" ht="20.100000000000001" customHeight="1" x14ac:dyDescent="0.25">
      <c r="A481" s="3">
        <v>479</v>
      </c>
      <c r="B481" s="8">
        <v>500</v>
      </c>
      <c r="C481" s="4" t="s">
        <v>2712</v>
      </c>
      <c r="D481" s="4" t="s">
        <v>2713</v>
      </c>
      <c r="E481" s="4" t="s">
        <v>2713</v>
      </c>
      <c r="F481" s="7">
        <v>178</v>
      </c>
      <c r="G481" s="7">
        <v>15</v>
      </c>
      <c r="H481" s="16" t="str">
        <f t="shared" si="7"/>
        <v>(479,'500','أيت  أومالو','Ait-Oumalou','Ait-Oumalou',178),</v>
      </c>
    </row>
    <row r="482" spans="1:8" ht="20.100000000000001" customHeight="1" x14ac:dyDescent="0.25">
      <c r="A482" s="3">
        <v>480</v>
      </c>
      <c r="B482" s="8">
        <v>550</v>
      </c>
      <c r="C482" s="4" t="s">
        <v>1462</v>
      </c>
      <c r="D482" s="4" t="s">
        <v>2714</v>
      </c>
      <c r="E482" s="4" t="s">
        <v>2714</v>
      </c>
      <c r="F482" s="7">
        <v>178</v>
      </c>
      <c r="G482" s="7">
        <v>15</v>
      </c>
      <c r="H482" s="16" t="str">
        <f t="shared" si="7"/>
        <v>(480,'550','تيزي راشد','Tizi-Rached','Tizi-Rached',178),</v>
      </c>
    </row>
    <row r="483" spans="1:8" ht="20.100000000000001" customHeight="1" x14ac:dyDescent="0.25">
      <c r="A483" s="3">
        <v>481</v>
      </c>
      <c r="B483" s="8">
        <v>497</v>
      </c>
      <c r="C483" s="4" t="s">
        <v>2715</v>
      </c>
      <c r="D483" s="4" t="s">
        <v>2716</v>
      </c>
      <c r="E483" s="4" t="s">
        <v>2716</v>
      </c>
      <c r="F483" s="7">
        <v>179</v>
      </c>
      <c r="G483" s="7">
        <v>15</v>
      </c>
      <c r="H483" s="16" t="str">
        <f t="shared" si="7"/>
        <v>(481,'497','أيت عيسى ميمون','Ait-Aissa-Mimoun','Ait-Aissa-Mimoun',179),</v>
      </c>
    </row>
    <row r="484" spans="1:8" ht="20.100000000000001" customHeight="1" x14ac:dyDescent="0.25">
      <c r="A484" s="3">
        <v>482</v>
      </c>
      <c r="B484" s="8">
        <v>539</v>
      </c>
      <c r="C484" s="4" t="s">
        <v>1458</v>
      </c>
      <c r="D484" s="4" t="s">
        <v>1457</v>
      </c>
      <c r="E484" s="4" t="s">
        <v>1457</v>
      </c>
      <c r="F484" s="7">
        <v>179</v>
      </c>
      <c r="G484" s="7">
        <v>15</v>
      </c>
      <c r="H484" s="16" t="str">
        <f t="shared" si="7"/>
        <v>(482,'539','واقنون','Ouaguenoun','Ouaguenoun',179),</v>
      </c>
    </row>
    <row r="485" spans="1:8" ht="20.100000000000001" customHeight="1" x14ac:dyDescent="0.25">
      <c r="A485" s="3">
        <v>483</v>
      </c>
      <c r="B485" s="8">
        <v>545</v>
      </c>
      <c r="C485" s="4" t="s">
        <v>2717</v>
      </c>
      <c r="D485" s="4" t="s">
        <v>2718</v>
      </c>
      <c r="E485" s="4" t="s">
        <v>2718</v>
      </c>
      <c r="F485" s="7">
        <v>179</v>
      </c>
      <c r="G485" s="7">
        <v>15</v>
      </c>
      <c r="H485" s="16" t="str">
        <f t="shared" si="7"/>
        <v>(483,'545','تيمـيزار','Timizart','Timizart',179),</v>
      </c>
    </row>
    <row r="486" spans="1:8" ht="20.100000000000001" customHeight="1" x14ac:dyDescent="0.25">
      <c r="A486" s="3">
        <v>484</v>
      </c>
      <c r="B486" s="8">
        <v>531</v>
      </c>
      <c r="C486" s="4" t="s">
        <v>2719</v>
      </c>
      <c r="D486" s="4" t="s">
        <v>1479</v>
      </c>
      <c r="E486" s="4" t="s">
        <v>1479</v>
      </c>
      <c r="F486" s="7">
        <v>180</v>
      </c>
      <c r="G486" s="7">
        <v>15</v>
      </c>
      <c r="H486" s="16" t="str">
        <f t="shared" si="7"/>
        <v>(484,'531','معـــاتقة','Maatkas','Maatkas',180),</v>
      </c>
    </row>
    <row r="487" spans="1:8" ht="20.100000000000001" customHeight="1" x14ac:dyDescent="0.25">
      <c r="A487" s="3">
        <v>485</v>
      </c>
      <c r="B487" s="8">
        <v>542</v>
      </c>
      <c r="C487" s="4" t="s">
        <v>1264</v>
      </c>
      <c r="D487" s="4" t="s">
        <v>2720</v>
      </c>
      <c r="E487" s="4" t="s">
        <v>2720</v>
      </c>
      <c r="F487" s="7">
        <v>180</v>
      </c>
      <c r="G487" s="7">
        <v>15</v>
      </c>
      <c r="H487" s="16" t="str">
        <f t="shared" si="7"/>
        <v>(485,'542','سوق الإثنين','Souk-El-Tenine','Souk-El-Tenine',180),</v>
      </c>
    </row>
    <row r="488" spans="1:8" ht="20.100000000000001" customHeight="1" x14ac:dyDescent="0.25">
      <c r="A488" s="3">
        <v>486</v>
      </c>
      <c r="B488" s="8">
        <v>499</v>
      </c>
      <c r="C488" s="4" t="s">
        <v>2721</v>
      </c>
      <c r="D488" s="4" t="s">
        <v>2722</v>
      </c>
      <c r="E488" s="4" t="s">
        <v>2722</v>
      </c>
      <c r="F488" s="7">
        <v>181</v>
      </c>
      <c r="G488" s="7">
        <v>15</v>
      </c>
      <c r="H488" s="16" t="str">
        <f t="shared" si="7"/>
        <v>(486,'499','أيت محمود','Ait-Mahmoud','Ait-Mahmoud',181),</v>
      </c>
    </row>
    <row r="489" spans="1:8" ht="20.100000000000001" customHeight="1" x14ac:dyDescent="0.25">
      <c r="A489" s="3">
        <v>487</v>
      </c>
      <c r="B489" s="8">
        <v>508</v>
      </c>
      <c r="C489" s="4" t="s">
        <v>2723</v>
      </c>
      <c r="D489" s="4" t="s">
        <v>2724</v>
      </c>
      <c r="E489" s="4" t="s">
        <v>2724</v>
      </c>
      <c r="F489" s="7">
        <v>181</v>
      </c>
      <c r="G489" s="7">
        <v>15</v>
      </c>
      <c r="H489" s="16" t="str">
        <f t="shared" si="7"/>
        <v>(487,'508','بنــــي زمنزار','Beni Zmenzer','Beni Zmenzer',181),</v>
      </c>
    </row>
    <row r="490" spans="1:8" ht="20.100000000000001" customHeight="1" x14ac:dyDescent="0.25">
      <c r="A490" s="3">
        <v>488</v>
      </c>
      <c r="B490" s="8">
        <v>509</v>
      </c>
      <c r="C490" s="4" t="s">
        <v>2725</v>
      </c>
      <c r="D490" s="4" t="s">
        <v>2726</v>
      </c>
      <c r="E490" s="4" t="s">
        <v>2726</v>
      </c>
      <c r="F490" s="7">
        <v>181</v>
      </c>
      <c r="G490" s="7">
        <v>15</v>
      </c>
      <c r="H490" s="16" t="str">
        <f t="shared" si="7"/>
        <v>(488,'509','بني عيسي','Beni-Aissi','Beni-Aissi',181),</v>
      </c>
    </row>
    <row r="491" spans="1:8" ht="20.100000000000001" customHeight="1" x14ac:dyDescent="0.25">
      <c r="A491" s="3">
        <v>489</v>
      </c>
      <c r="B491" s="8">
        <v>510</v>
      </c>
      <c r="C491" s="4" t="s">
        <v>1460</v>
      </c>
      <c r="D491" s="4" t="s">
        <v>2727</v>
      </c>
      <c r="E491" s="4" t="s">
        <v>2727</v>
      </c>
      <c r="F491" s="7">
        <v>181</v>
      </c>
      <c r="G491" s="7">
        <v>15</v>
      </c>
      <c r="H491" s="16" t="str">
        <f t="shared" si="7"/>
        <v>(489,'510','بني دوالة','Beni-Douala','Beni-Douala',181),</v>
      </c>
    </row>
    <row r="492" spans="1:8" ht="20.100000000000001" customHeight="1" x14ac:dyDescent="0.25">
      <c r="A492" s="3">
        <v>490</v>
      </c>
      <c r="B492" s="8">
        <v>512</v>
      </c>
      <c r="C492" s="4" t="s">
        <v>2728</v>
      </c>
      <c r="D492" s="4" t="s">
        <v>2729</v>
      </c>
      <c r="E492" s="4" t="s">
        <v>2729</v>
      </c>
      <c r="F492" s="7">
        <v>182</v>
      </c>
      <c r="G492" s="7">
        <v>15</v>
      </c>
      <c r="H492" s="16" t="str">
        <f t="shared" si="7"/>
        <v>(490,'512','بني زيكــي','Beni-Zikki','Beni-Zikki',182),</v>
      </c>
    </row>
    <row r="493" spans="1:8" ht="20.100000000000001" customHeight="1" x14ac:dyDescent="0.25">
      <c r="A493" s="3">
        <v>491</v>
      </c>
      <c r="B493" s="8">
        <v>516</v>
      </c>
      <c r="C493" s="4" t="s">
        <v>2730</v>
      </c>
      <c r="D493" s="4" t="s">
        <v>1469</v>
      </c>
      <c r="E493" s="4" t="s">
        <v>1469</v>
      </c>
      <c r="F493" s="7">
        <v>182</v>
      </c>
      <c r="G493" s="7">
        <v>15</v>
      </c>
      <c r="H493" s="16" t="str">
        <f t="shared" si="7"/>
        <v>(491,'516','بوزقــن','Bouzeguene','Bouzeguene',182),</v>
      </c>
    </row>
    <row r="494" spans="1:8" ht="20.100000000000001" customHeight="1" x14ac:dyDescent="0.25">
      <c r="A494" s="3">
        <v>492</v>
      </c>
      <c r="B494" s="8">
        <v>522</v>
      </c>
      <c r="C494" s="4" t="s">
        <v>2731</v>
      </c>
      <c r="D494" s="4" t="s">
        <v>2732</v>
      </c>
      <c r="E494" s="4" t="s">
        <v>2732</v>
      </c>
      <c r="F494" s="7">
        <v>182</v>
      </c>
      <c r="G494" s="7">
        <v>15</v>
      </c>
      <c r="H494" s="16" t="str">
        <f t="shared" si="7"/>
        <v>(492,'522','إيجــار','Idjeur','Idjeur',182),</v>
      </c>
    </row>
    <row r="495" spans="1:8" ht="20.100000000000001" customHeight="1" x14ac:dyDescent="0.25">
      <c r="A495" s="3">
        <v>493</v>
      </c>
      <c r="B495" s="8">
        <v>527</v>
      </c>
      <c r="C495" s="4" t="s">
        <v>2733</v>
      </c>
      <c r="D495" s="4" t="s">
        <v>2734</v>
      </c>
      <c r="E495" s="4" t="s">
        <v>2734</v>
      </c>
      <c r="F495" s="7">
        <v>182</v>
      </c>
      <c r="G495" s="7">
        <v>15</v>
      </c>
      <c r="H495" s="16" t="str">
        <f t="shared" si="7"/>
        <v>(493,'527','إيلولة أومـــالو','Illoula Oumalou','Illoula Oumalou',182),</v>
      </c>
    </row>
    <row r="496" spans="1:8" ht="20.100000000000001" customHeight="1" x14ac:dyDescent="0.25">
      <c r="A496" s="3">
        <v>494</v>
      </c>
      <c r="B496" s="8">
        <v>489</v>
      </c>
      <c r="C496" s="4" t="s">
        <v>2735</v>
      </c>
      <c r="D496" s="4" t="s">
        <v>2736</v>
      </c>
      <c r="E496" s="4" t="s">
        <v>2736</v>
      </c>
      <c r="F496" s="7">
        <v>183</v>
      </c>
      <c r="G496" s="7">
        <v>15</v>
      </c>
      <c r="H496" s="16" t="str">
        <f t="shared" si="7"/>
        <v>(494,'489','أقني قغران','Agouni-Gueghrane','Agouni-Gueghrane',183),</v>
      </c>
    </row>
    <row r="497" spans="1:8" ht="20.100000000000001" customHeight="1" x14ac:dyDescent="0.25">
      <c r="A497" s="3">
        <v>495</v>
      </c>
      <c r="B497" s="8">
        <v>493</v>
      </c>
      <c r="C497" s="4" t="s">
        <v>2737</v>
      </c>
      <c r="D497" s="4" t="s">
        <v>2738</v>
      </c>
      <c r="E497" s="4" t="s">
        <v>2738</v>
      </c>
      <c r="F497" s="7">
        <v>183</v>
      </c>
      <c r="G497" s="7">
        <v>15</v>
      </c>
      <c r="H497" s="16" t="str">
        <f t="shared" si="7"/>
        <v>(495,'493','أيت بــوادو','Ait Bouaddou','Ait Bouaddou',183),</v>
      </c>
    </row>
    <row r="498" spans="1:8" ht="20.100000000000001" customHeight="1" x14ac:dyDescent="0.25">
      <c r="A498" s="3">
        <v>496</v>
      </c>
      <c r="B498" s="8">
        <v>538</v>
      </c>
      <c r="C498" s="4" t="s">
        <v>1448</v>
      </c>
      <c r="D498" s="4" t="s">
        <v>1447</v>
      </c>
      <c r="E498" s="4" t="s">
        <v>1447</v>
      </c>
      <c r="F498" s="7">
        <v>183</v>
      </c>
      <c r="G498" s="7">
        <v>15</v>
      </c>
      <c r="H498" s="16" t="str">
        <f t="shared" si="7"/>
        <v>(496,'538','واضية','Ouadhias','Ouadhias',183),</v>
      </c>
    </row>
    <row r="499" spans="1:8" ht="20.100000000000001" customHeight="1" x14ac:dyDescent="0.25">
      <c r="A499" s="3">
        <v>497</v>
      </c>
      <c r="B499" s="8">
        <v>547</v>
      </c>
      <c r="C499" s="4" t="s">
        <v>2739</v>
      </c>
      <c r="D499" s="4" t="s">
        <v>5859</v>
      </c>
      <c r="E499" s="4" t="s">
        <v>5859</v>
      </c>
      <c r="F499" s="7">
        <v>183</v>
      </c>
      <c r="G499" s="7">
        <v>15</v>
      </c>
      <c r="H499" s="16" t="str">
        <f t="shared" si="7"/>
        <v>(497,'547','تيزي نثلاثة','Tizi N\'tleta','Tizi N\'tleta',183),</v>
      </c>
    </row>
    <row r="500" spans="1:8" ht="20.100000000000001" customHeight="1" x14ac:dyDescent="0.25">
      <c r="A500" s="3">
        <v>498</v>
      </c>
      <c r="B500" s="8">
        <v>488</v>
      </c>
      <c r="C500" s="4" t="s">
        <v>2740</v>
      </c>
      <c r="D500" s="4" t="s">
        <v>2741</v>
      </c>
      <c r="E500" s="4" t="s">
        <v>2741</v>
      </c>
      <c r="F500" s="7">
        <v>184</v>
      </c>
      <c r="G500" s="7">
        <v>15</v>
      </c>
      <c r="H500" s="16" t="str">
        <f t="shared" si="7"/>
        <v>(498,'488','أغريب','Aghribs','Aghribs',184),</v>
      </c>
    </row>
    <row r="501" spans="1:8" ht="20.100000000000001" customHeight="1" x14ac:dyDescent="0.25">
      <c r="A501" s="3">
        <v>499</v>
      </c>
      <c r="B501" s="8">
        <v>498</v>
      </c>
      <c r="C501" s="4" t="s">
        <v>2742</v>
      </c>
      <c r="D501" s="4" t="s">
        <v>2743</v>
      </c>
      <c r="E501" s="4" t="s">
        <v>2743</v>
      </c>
      <c r="F501" s="7">
        <v>184</v>
      </c>
      <c r="G501" s="7">
        <v>15</v>
      </c>
      <c r="H501" s="16" t="str">
        <f t="shared" si="7"/>
        <v>(499,'498','أيت شافع','Ait-Chafaa','Ait-Chafaa',184),</v>
      </c>
    </row>
    <row r="502" spans="1:8" ht="20.100000000000001" customHeight="1" x14ac:dyDescent="0.25">
      <c r="A502" s="3">
        <v>500</v>
      </c>
      <c r="B502" s="8">
        <v>504</v>
      </c>
      <c r="C502" s="4" t="s">
        <v>2744</v>
      </c>
      <c r="D502" s="4" t="s">
        <v>2745</v>
      </c>
      <c r="E502" s="4" t="s">
        <v>2745</v>
      </c>
      <c r="F502" s="7">
        <v>184</v>
      </c>
      <c r="G502" s="7">
        <v>15</v>
      </c>
      <c r="H502" s="16" t="str">
        <f t="shared" si="7"/>
        <v>(500,'504','أقرو','Akerrou','Akerrou',184),</v>
      </c>
    </row>
    <row r="503" spans="1:8" ht="20.100000000000001" customHeight="1" x14ac:dyDescent="0.25">
      <c r="A503" s="3">
        <v>501</v>
      </c>
      <c r="B503" s="8">
        <v>507</v>
      </c>
      <c r="C503" s="4" t="s">
        <v>1446</v>
      </c>
      <c r="D503" s="4" t="s">
        <v>1445</v>
      </c>
      <c r="E503" s="4" t="s">
        <v>1445</v>
      </c>
      <c r="F503" s="7">
        <v>184</v>
      </c>
      <c r="G503" s="7">
        <v>15</v>
      </c>
      <c r="H503" s="16" t="str">
        <f t="shared" si="7"/>
        <v>(501,'507','أزفون','Azeffoun','Azeffoun',184),</v>
      </c>
    </row>
    <row r="504" spans="1:8" ht="20.100000000000001" customHeight="1" x14ac:dyDescent="0.25">
      <c r="A504" s="3">
        <v>502</v>
      </c>
      <c r="B504" s="8">
        <v>525</v>
      </c>
      <c r="C504" s="4" t="s">
        <v>2746</v>
      </c>
      <c r="D504" s="4" t="s">
        <v>2747</v>
      </c>
      <c r="E504" s="4" t="s">
        <v>2747</v>
      </c>
      <c r="F504" s="7">
        <v>185</v>
      </c>
      <c r="G504" s="7">
        <v>15</v>
      </c>
      <c r="H504" s="16" t="str">
        <f t="shared" si="7"/>
        <v>(502,'525','إفليـــسن','Iflissen','Iflissen',185),</v>
      </c>
    </row>
    <row r="505" spans="1:8" ht="20.100000000000001" customHeight="1" x14ac:dyDescent="0.25">
      <c r="A505" s="3">
        <v>503</v>
      </c>
      <c r="B505" s="8">
        <v>535</v>
      </c>
      <c r="C505" s="4" t="s">
        <v>2748</v>
      </c>
      <c r="D505" s="4" t="s">
        <v>2749</v>
      </c>
      <c r="E505" s="4" t="s">
        <v>2749</v>
      </c>
      <c r="F505" s="7">
        <v>185</v>
      </c>
      <c r="G505" s="7">
        <v>15</v>
      </c>
      <c r="H505" s="16" t="str">
        <f t="shared" si="7"/>
        <v>(503,'535','ميزرانـــة','Mizrana','Mizrana',185),</v>
      </c>
    </row>
    <row r="506" spans="1:8" ht="20.100000000000001" customHeight="1" x14ac:dyDescent="0.25">
      <c r="A506" s="3">
        <v>504</v>
      </c>
      <c r="B506" s="8">
        <v>544</v>
      </c>
      <c r="C506" s="4" t="s">
        <v>2750</v>
      </c>
      <c r="D506" s="4" t="s">
        <v>1477</v>
      </c>
      <c r="E506" s="4" t="s">
        <v>1477</v>
      </c>
      <c r="F506" s="7">
        <v>185</v>
      </c>
      <c r="G506" s="7">
        <v>15</v>
      </c>
      <c r="H506" s="16" t="str">
        <f t="shared" si="7"/>
        <v>(504,'544','تيقـزيرت','Tigzirt','Tigzirt',185),</v>
      </c>
    </row>
    <row r="507" spans="1:8" ht="20.100000000000001" customHeight="1" x14ac:dyDescent="0.25">
      <c r="A507" s="3">
        <v>505</v>
      </c>
      <c r="B507" s="8">
        <v>505</v>
      </c>
      <c r="C507" s="4" t="s">
        <v>2751</v>
      </c>
      <c r="D507" s="4" t="s">
        <v>2752</v>
      </c>
      <c r="E507" s="4" t="s">
        <v>2752</v>
      </c>
      <c r="F507" s="7">
        <v>186</v>
      </c>
      <c r="G507" s="7">
        <v>15</v>
      </c>
      <c r="H507" s="16" t="str">
        <f t="shared" si="7"/>
        <v>(505,'505','أسي يوسف','Assi-Youcef','Assi-Youcef',186),</v>
      </c>
    </row>
    <row r="508" spans="1:8" ht="20.100000000000001" customHeight="1" x14ac:dyDescent="0.25">
      <c r="A508" s="3">
        <v>506</v>
      </c>
      <c r="B508" s="8">
        <v>513</v>
      </c>
      <c r="C508" s="4" t="s">
        <v>1464</v>
      </c>
      <c r="D508" s="4" t="s">
        <v>1463</v>
      </c>
      <c r="E508" s="4" t="s">
        <v>1463</v>
      </c>
      <c r="F508" s="7">
        <v>186</v>
      </c>
      <c r="G508" s="7">
        <v>15</v>
      </c>
      <c r="H508" s="16" t="str">
        <f t="shared" si="7"/>
        <v>(506,'513','بوغني','Boghni','Boghni',186),</v>
      </c>
    </row>
    <row r="509" spans="1:8" ht="20.100000000000001" customHeight="1" x14ac:dyDescent="0.25">
      <c r="A509" s="3">
        <v>507</v>
      </c>
      <c r="B509" s="8">
        <v>515</v>
      </c>
      <c r="C509" s="4" t="s">
        <v>2753</v>
      </c>
      <c r="D509" s="4" t="s">
        <v>2754</v>
      </c>
      <c r="E509" s="4" t="s">
        <v>2754</v>
      </c>
      <c r="F509" s="7">
        <v>186</v>
      </c>
      <c r="G509" s="7">
        <v>15</v>
      </c>
      <c r="H509" s="16" t="str">
        <f t="shared" si="7"/>
        <v>(507,'515','بونوح','Bounouh','Bounouh',186),</v>
      </c>
    </row>
    <row r="510" spans="1:8" ht="20.100000000000001" customHeight="1" x14ac:dyDescent="0.25">
      <c r="A510" s="3">
        <v>508</v>
      </c>
      <c r="B510" s="8">
        <v>533</v>
      </c>
      <c r="C510" s="4" t="s">
        <v>2755</v>
      </c>
      <c r="D510" s="4" t="s">
        <v>2756</v>
      </c>
      <c r="E510" s="4" t="s">
        <v>2756</v>
      </c>
      <c r="F510" s="7">
        <v>186</v>
      </c>
      <c r="G510" s="7">
        <v>15</v>
      </c>
      <c r="H510" s="16" t="str">
        <f t="shared" si="7"/>
        <v>(508,'533','مشطراس','Mechtras','Mechtras',186),</v>
      </c>
    </row>
    <row r="511" spans="1:8" ht="20.100000000000001" customHeight="1" x14ac:dyDescent="0.25">
      <c r="A511" s="3">
        <v>509</v>
      </c>
      <c r="B511" s="8">
        <v>517</v>
      </c>
      <c r="C511" s="4" t="s">
        <v>1474</v>
      </c>
      <c r="D511" s="4" t="s">
        <v>2757</v>
      </c>
      <c r="E511" s="4" t="s">
        <v>2757</v>
      </c>
      <c r="F511" s="7">
        <v>187</v>
      </c>
      <c r="G511" s="7">
        <v>15</v>
      </c>
      <c r="H511" s="16" t="str">
        <f t="shared" si="7"/>
        <v>(509,'517','ذراع بن خدة','Draa-Ben-Khedda','Draa-Ben-Khedda',187),</v>
      </c>
    </row>
    <row r="512" spans="1:8" ht="20.100000000000001" customHeight="1" x14ac:dyDescent="0.25">
      <c r="A512" s="3">
        <v>510</v>
      </c>
      <c r="B512" s="8">
        <v>540</v>
      </c>
      <c r="C512" s="4" t="s">
        <v>1714</v>
      </c>
      <c r="D512" s="4" t="s">
        <v>2758</v>
      </c>
      <c r="E512" s="4" t="s">
        <v>2758</v>
      </c>
      <c r="F512" s="7">
        <v>187</v>
      </c>
      <c r="G512" s="7">
        <v>15</v>
      </c>
      <c r="H512" s="16" t="str">
        <f t="shared" si="7"/>
        <v>(510,'540','سيدي نعمان','Sidi Namane','Sidi Namane',187),</v>
      </c>
    </row>
    <row r="513" spans="1:8" ht="20.100000000000001" customHeight="1" x14ac:dyDescent="0.25">
      <c r="A513" s="3">
        <v>511</v>
      </c>
      <c r="B513" s="8">
        <v>543</v>
      </c>
      <c r="C513" s="4" t="s">
        <v>2759</v>
      </c>
      <c r="D513" s="4" t="s">
        <v>2760</v>
      </c>
      <c r="E513" s="4" t="s">
        <v>2760</v>
      </c>
      <c r="F513" s="7">
        <v>187</v>
      </c>
      <c r="G513" s="7">
        <v>15</v>
      </c>
      <c r="H513" s="16" t="str">
        <f t="shared" si="7"/>
        <v>(511,'543','تادمايت','Tadmait','Tadmait',187),</v>
      </c>
    </row>
    <row r="514" spans="1:8" ht="20.100000000000001" customHeight="1" x14ac:dyDescent="0.25">
      <c r="A514" s="3">
        <v>512</v>
      </c>
      <c r="B514" s="8">
        <v>546</v>
      </c>
      <c r="C514" s="4" t="s">
        <v>2761</v>
      </c>
      <c r="D514" s="4" t="s">
        <v>2762</v>
      </c>
      <c r="E514" s="4" t="s">
        <v>2762</v>
      </c>
      <c r="F514" s="7">
        <v>187</v>
      </c>
      <c r="G514" s="7">
        <v>15</v>
      </c>
      <c r="H514" s="16" t="str">
        <f t="shared" si="7"/>
        <v>(512,'546','تيرمتين','Tirmitine','Tirmitine',187),</v>
      </c>
    </row>
    <row r="515" spans="1:8" ht="20.100000000000001" customHeight="1" x14ac:dyDescent="0.25">
      <c r="A515" s="3">
        <v>513</v>
      </c>
      <c r="B515" s="8">
        <v>494</v>
      </c>
      <c r="C515" s="4" t="s">
        <v>2763</v>
      </c>
      <c r="D515" s="4" t="s">
        <v>2764</v>
      </c>
      <c r="E515" s="4" t="s">
        <v>2764</v>
      </c>
      <c r="F515" s="7">
        <v>188</v>
      </c>
      <c r="G515" s="7">
        <v>15</v>
      </c>
      <c r="H515" s="16" t="str">
        <f t="shared" si="7"/>
        <v>(513,'494','أيت بومهدي','Ait Boumahdi','Ait Boumahdi',188),</v>
      </c>
    </row>
    <row r="516" spans="1:8" ht="20.100000000000001" customHeight="1" x14ac:dyDescent="0.25">
      <c r="A516" s="3">
        <v>514</v>
      </c>
      <c r="B516" s="8">
        <v>501</v>
      </c>
      <c r="C516" s="4" t="s">
        <v>2765</v>
      </c>
      <c r="D516" s="4" t="s">
        <v>2766</v>
      </c>
      <c r="E516" s="4" t="s">
        <v>2766</v>
      </c>
      <c r="F516" s="7">
        <v>188</v>
      </c>
      <c r="G516" s="7">
        <v>15</v>
      </c>
      <c r="H516" s="16" t="str">
        <f t="shared" ref="H516:H579" si="8">CONCATENATE("(",A516,",'",B516,"','",C516,"','",D516,"','",E516,"',",F516,"),")</f>
        <v>(514,'501','أيت تودرت','Ait-Toudert','Ait-Toudert',188),</v>
      </c>
    </row>
    <row r="517" spans="1:8" ht="20.100000000000001" customHeight="1" x14ac:dyDescent="0.25">
      <c r="A517" s="3">
        <v>515</v>
      </c>
      <c r="B517" s="8">
        <v>537</v>
      </c>
      <c r="C517" s="4" t="s">
        <v>1454</v>
      </c>
      <c r="D517" s="4" t="s">
        <v>1453</v>
      </c>
      <c r="E517" s="4" t="s">
        <v>1453</v>
      </c>
      <c r="F517" s="7">
        <v>188</v>
      </c>
      <c r="G517" s="7">
        <v>15</v>
      </c>
      <c r="H517" s="16" t="str">
        <f t="shared" si="8"/>
        <v>(515,'537','واسيف','Ouacif','Ouacif',188),</v>
      </c>
    </row>
    <row r="518" spans="1:8" ht="20.100000000000001" customHeight="1" x14ac:dyDescent="0.25">
      <c r="A518" s="3">
        <v>516</v>
      </c>
      <c r="B518" s="8">
        <v>495</v>
      </c>
      <c r="C518" s="4" t="s">
        <v>2767</v>
      </c>
      <c r="D518" s="4" t="s">
        <v>2768</v>
      </c>
      <c r="E518" s="4" t="s">
        <v>2768</v>
      </c>
      <c r="F518" s="7">
        <v>189</v>
      </c>
      <c r="G518" s="7">
        <v>15</v>
      </c>
      <c r="H518" s="16" t="str">
        <f t="shared" si="8"/>
        <v>(516,'495','أيت خليلي','Ait Khellili','Ait Khellili',189),</v>
      </c>
    </row>
    <row r="519" spans="1:8" ht="20.100000000000001" customHeight="1" x14ac:dyDescent="0.25">
      <c r="A519" s="3">
        <v>517</v>
      </c>
      <c r="B519" s="8">
        <v>534</v>
      </c>
      <c r="C519" s="4" t="s">
        <v>2769</v>
      </c>
      <c r="D519" s="4" t="s">
        <v>1455</v>
      </c>
      <c r="E519" s="4" t="s">
        <v>1455</v>
      </c>
      <c r="F519" s="7">
        <v>189</v>
      </c>
      <c r="G519" s="7">
        <v>15</v>
      </c>
      <c r="H519" s="16" t="str">
        <f t="shared" si="8"/>
        <v>(517,'534','مقــلع','Mekla','Mekla',189),</v>
      </c>
    </row>
    <row r="520" spans="1:8" ht="20.100000000000001" customHeight="1" x14ac:dyDescent="0.25">
      <c r="A520" s="3">
        <v>518</v>
      </c>
      <c r="B520" s="8">
        <v>541</v>
      </c>
      <c r="C520" s="4" t="s">
        <v>2770</v>
      </c>
      <c r="D520" s="4" t="s">
        <v>2771</v>
      </c>
      <c r="E520" s="4" t="s">
        <v>2771</v>
      </c>
      <c r="F520" s="7">
        <v>189</v>
      </c>
      <c r="G520" s="7">
        <v>15</v>
      </c>
      <c r="H520" s="16" t="str">
        <f t="shared" si="8"/>
        <v>(518,'541','صوامـــع','Souama','Souama',189),</v>
      </c>
    </row>
    <row r="521" spans="1:8" ht="20.100000000000001" customHeight="1" x14ac:dyDescent="0.25">
      <c r="A521" s="3">
        <v>519</v>
      </c>
      <c r="B521" s="8">
        <v>511</v>
      </c>
      <c r="C521" s="4" t="s">
        <v>1468</v>
      </c>
      <c r="D521" s="4" t="s">
        <v>2772</v>
      </c>
      <c r="E521" s="4" t="s">
        <v>2772</v>
      </c>
      <c r="F521" s="7">
        <v>190</v>
      </c>
      <c r="G521" s="7">
        <v>15</v>
      </c>
      <c r="H521" s="16" t="str">
        <f t="shared" si="8"/>
        <v>(519,'511','بني يني','Beni-Yenni','Beni-Yenni',190),</v>
      </c>
    </row>
    <row r="522" spans="1:8" ht="20.100000000000001" customHeight="1" x14ac:dyDescent="0.25">
      <c r="A522" s="3">
        <v>520</v>
      </c>
      <c r="B522" s="8">
        <v>521</v>
      </c>
      <c r="C522" s="4" t="s">
        <v>2773</v>
      </c>
      <c r="D522" s="4" t="s">
        <v>2774</v>
      </c>
      <c r="E522" s="4" t="s">
        <v>2774</v>
      </c>
      <c r="F522" s="7">
        <v>190</v>
      </c>
      <c r="G522" s="7">
        <v>15</v>
      </c>
      <c r="H522" s="16" t="str">
        <f t="shared" si="8"/>
        <v>(520,'521','إبودرارن','Iboudrarene','Iboudrarene',190),</v>
      </c>
    </row>
    <row r="523" spans="1:8" ht="20.100000000000001" customHeight="1" x14ac:dyDescent="0.25">
      <c r="A523" s="3">
        <v>521</v>
      </c>
      <c r="B523" s="8">
        <v>552</v>
      </c>
      <c r="C523" s="4" t="s">
        <v>2775</v>
      </c>
      <c r="D523" s="4" t="s">
        <v>2776</v>
      </c>
      <c r="E523" s="4" t="s">
        <v>2776</v>
      </c>
      <c r="F523" s="7">
        <v>190</v>
      </c>
      <c r="G523" s="7">
        <v>15</v>
      </c>
      <c r="H523" s="16" t="str">
        <f t="shared" si="8"/>
        <v>(521,'552','يطــافن','Yatafene','Yatafene',190),</v>
      </c>
    </row>
    <row r="524" spans="1:8" ht="20.100000000000001" customHeight="1" x14ac:dyDescent="0.25">
      <c r="A524" s="3">
        <v>522</v>
      </c>
      <c r="B524" s="8">
        <v>556</v>
      </c>
      <c r="C524" s="4" t="s">
        <v>2777</v>
      </c>
      <c r="D524" s="4" t="s">
        <v>2778</v>
      </c>
      <c r="E524" s="4" t="s">
        <v>2778</v>
      </c>
      <c r="F524" s="7">
        <v>191</v>
      </c>
      <c r="G524" s="7">
        <v>16</v>
      </c>
      <c r="H524" s="16" t="str">
        <f t="shared" si="8"/>
        <v>(522,'556','الجزائر الوسطى','Alger Centre','Alger Centre',191),</v>
      </c>
    </row>
    <row r="525" spans="1:8" ht="20.100000000000001" customHeight="1" x14ac:dyDescent="0.25">
      <c r="A525" s="3">
        <v>523</v>
      </c>
      <c r="B525" s="8">
        <v>582</v>
      </c>
      <c r="C525" s="4" t="s">
        <v>2779</v>
      </c>
      <c r="D525" s="4" t="s">
        <v>2780</v>
      </c>
      <c r="E525" s="4" t="s">
        <v>2780</v>
      </c>
      <c r="F525" s="7">
        <v>191</v>
      </c>
      <c r="G525" s="7">
        <v>16</v>
      </c>
      <c r="H525" s="16" t="str">
        <f t="shared" si="8"/>
        <v>(523,'582','المدنية','El Madania','El Madania',191),</v>
      </c>
    </row>
    <row r="526" spans="1:8" ht="20.100000000000001" customHeight="1" x14ac:dyDescent="0.25">
      <c r="A526" s="3">
        <v>524</v>
      </c>
      <c r="B526" s="8">
        <v>585</v>
      </c>
      <c r="C526" s="4" t="s">
        <v>2781</v>
      </c>
      <c r="D526" s="4" t="s">
        <v>2782</v>
      </c>
      <c r="E526" s="4" t="s">
        <v>2782</v>
      </c>
      <c r="F526" s="7">
        <v>191</v>
      </c>
      <c r="G526" s="7">
        <v>16</v>
      </c>
      <c r="H526" s="16" t="str">
        <f t="shared" si="8"/>
        <v>(524,'585','المرادية','El Mouradia','El Mouradia',191),</v>
      </c>
    </row>
    <row r="527" spans="1:8" ht="20.100000000000001" customHeight="1" x14ac:dyDescent="0.25">
      <c r="A527" s="3">
        <v>525</v>
      </c>
      <c r="B527" s="8">
        <v>605</v>
      </c>
      <c r="C527" s="4" t="s">
        <v>1488</v>
      </c>
      <c r="D527" s="4" t="s">
        <v>5860</v>
      </c>
      <c r="E527" s="4" t="s">
        <v>5860</v>
      </c>
      <c r="F527" s="7">
        <v>191</v>
      </c>
      <c r="G527" s="7">
        <v>16</v>
      </c>
      <c r="H527" s="16" t="str">
        <f t="shared" si="8"/>
        <v>(525,'605','سيدي امحمد','Sidi M\'hamed','Sidi M\'hamed',191),</v>
      </c>
    </row>
    <row r="528" spans="1:8" ht="20.100000000000001" customHeight="1" x14ac:dyDescent="0.25">
      <c r="A528" s="3">
        <v>526</v>
      </c>
      <c r="B528" s="8">
        <v>557</v>
      </c>
      <c r="C528" s="4" t="s">
        <v>1490</v>
      </c>
      <c r="D528" s="4" t="s">
        <v>1489</v>
      </c>
      <c r="E528" s="4" t="s">
        <v>1489</v>
      </c>
      <c r="F528" s="7">
        <v>192</v>
      </c>
      <c r="G528" s="7">
        <v>16</v>
      </c>
      <c r="H528" s="16" t="str">
        <f t="shared" si="8"/>
        <v>(526,'557','باب الوادي','Bab El Oued','Bab El Oued',192),</v>
      </c>
    </row>
    <row r="529" spans="1:8" ht="20.100000000000001" customHeight="1" x14ac:dyDescent="0.25">
      <c r="A529" s="3">
        <v>527</v>
      </c>
      <c r="B529" s="8">
        <v>567</v>
      </c>
      <c r="C529" s="4" t="s">
        <v>2783</v>
      </c>
      <c r="D529" s="4" t="s">
        <v>2784</v>
      </c>
      <c r="E529" s="4" t="s">
        <v>2784</v>
      </c>
      <c r="F529" s="7">
        <v>192</v>
      </c>
      <c r="G529" s="7">
        <v>16</v>
      </c>
      <c r="H529" s="16" t="str">
        <f t="shared" si="8"/>
        <v>(527,'567','بولوغين بن زيري','Bologhine Ibnou Ziri','Bologhine Ibnou Ziri',192),</v>
      </c>
    </row>
    <row r="530" spans="1:8" ht="20.100000000000001" customHeight="1" x14ac:dyDescent="0.25">
      <c r="A530" s="3">
        <v>528</v>
      </c>
      <c r="B530" s="8">
        <v>572</v>
      </c>
      <c r="C530" s="4" t="s">
        <v>2785</v>
      </c>
      <c r="D530" s="4" t="s">
        <v>2786</v>
      </c>
      <c r="E530" s="4" t="s">
        <v>2786</v>
      </c>
      <c r="F530" s="7">
        <v>192</v>
      </c>
      <c r="G530" s="7">
        <v>16</v>
      </c>
      <c r="H530" s="16" t="str">
        <f t="shared" si="8"/>
        <v>(528,'572','القصبة','Casbah','Casbah',192),</v>
      </c>
    </row>
    <row r="531" spans="1:8" ht="20.100000000000001" customHeight="1" x14ac:dyDescent="0.25">
      <c r="A531" s="3">
        <v>529</v>
      </c>
      <c r="B531" s="8">
        <v>596</v>
      </c>
      <c r="C531" s="4" t="s">
        <v>2787</v>
      </c>
      <c r="D531" s="4" t="s">
        <v>2788</v>
      </c>
      <c r="E531" s="4" t="s">
        <v>2788</v>
      </c>
      <c r="F531" s="7">
        <v>192</v>
      </c>
      <c r="G531" s="7">
        <v>16</v>
      </c>
      <c r="H531" s="16" t="str">
        <f t="shared" si="8"/>
        <v>(529,'596','وادي قريش','Oued Koriche','Oued Koriche',192),</v>
      </c>
    </row>
    <row r="532" spans="1:8" ht="20.100000000000001" customHeight="1" x14ac:dyDescent="0.25">
      <c r="A532" s="3">
        <v>530</v>
      </c>
      <c r="B532" s="8">
        <v>601</v>
      </c>
      <c r="C532" s="4" t="s">
        <v>2789</v>
      </c>
      <c r="D532" s="4" t="s">
        <v>2790</v>
      </c>
      <c r="E532" s="4" t="s">
        <v>2790</v>
      </c>
      <c r="F532" s="7">
        <v>192</v>
      </c>
      <c r="G532" s="7">
        <v>16</v>
      </c>
      <c r="H532" s="16" t="str">
        <f t="shared" si="8"/>
        <v>(530,'601','الرايس حميدو','Rais Hamidou','Rais Hamidou',192),</v>
      </c>
    </row>
    <row r="533" spans="1:8" ht="20.100000000000001" customHeight="1" x14ac:dyDescent="0.25">
      <c r="A533" s="3">
        <v>531</v>
      </c>
      <c r="B533" s="8">
        <v>564</v>
      </c>
      <c r="C533" s="4" t="s">
        <v>1500</v>
      </c>
      <c r="D533" s="4" t="s">
        <v>1499</v>
      </c>
      <c r="E533" s="4" t="s">
        <v>1499</v>
      </c>
      <c r="F533" s="7">
        <v>193</v>
      </c>
      <c r="G533" s="7">
        <v>16</v>
      </c>
      <c r="H533" s="16" t="str">
        <f t="shared" si="8"/>
        <v>(531,'564','بئر مراد رايس','Bir Mourad Rais','Bir Mourad Rais',193),</v>
      </c>
    </row>
    <row r="534" spans="1:8" ht="20.100000000000001" customHeight="1" x14ac:dyDescent="0.25">
      <c r="A534" s="3">
        <v>532</v>
      </c>
      <c r="B534" s="8">
        <v>565</v>
      </c>
      <c r="C534" s="4" t="s">
        <v>2791</v>
      </c>
      <c r="D534" s="4" t="s">
        <v>2792</v>
      </c>
      <c r="E534" s="4" t="s">
        <v>2792</v>
      </c>
      <c r="F534" s="7">
        <v>193</v>
      </c>
      <c r="G534" s="7">
        <v>16</v>
      </c>
      <c r="H534" s="16" t="str">
        <f t="shared" si="8"/>
        <v>(532,'565','بئر خادم','Birkhadem','Birkhadem',193),</v>
      </c>
    </row>
    <row r="535" spans="1:8" ht="20.100000000000001" customHeight="1" x14ac:dyDescent="0.25">
      <c r="A535" s="3">
        <v>533</v>
      </c>
      <c r="B535" s="8">
        <v>576</v>
      </c>
      <c r="C535" s="4" t="s">
        <v>2793</v>
      </c>
      <c r="D535" s="4" t="s">
        <v>2794</v>
      </c>
      <c r="E535" s="4" t="s">
        <v>2794</v>
      </c>
      <c r="F535" s="7">
        <v>193</v>
      </c>
      <c r="G535" s="7">
        <v>16</v>
      </c>
      <c r="H535" s="16" t="str">
        <f t="shared" si="8"/>
        <v>(533,'576','جسر قسنطينة','Djasr Kasentina','Djasr Kasentina',193),</v>
      </c>
    </row>
    <row r="536" spans="1:8" ht="20.100000000000001" customHeight="1" x14ac:dyDescent="0.25">
      <c r="A536" s="3">
        <v>534</v>
      </c>
      <c r="B536" s="8">
        <v>589</v>
      </c>
      <c r="C536" s="4" t="s">
        <v>2795</v>
      </c>
      <c r="D536" s="4" t="s">
        <v>2796</v>
      </c>
      <c r="E536" s="4" t="s">
        <v>2796</v>
      </c>
      <c r="F536" s="7">
        <v>193</v>
      </c>
      <c r="G536" s="7">
        <v>16</v>
      </c>
      <c r="H536" s="16" t="str">
        <f t="shared" si="8"/>
        <v>(534,'589','حيدرة','Hydra','Hydra',193),</v>
      </c>
    </row>
    <row r="537" spans="1:8" ht="20.100000000000001" customHeight="1" x14ac:dyDescent="0.25">
      <c r="A537" s="3">
        <v>535</v>
      </c>
      <c r="B537" s="8">
        <v>604</v>
      </c>
      <c r="C537" s="4" t="s">
        <v>2797</v>
      </c>
      <c r="D537" s="4" t="s">
        <v>2798</v>
      </c>
      <c r="E537" s="4" t="s">
        <v>2798</v>
      </c>
      <c r="F537" s="7">
        <v>193</v>
      </c>
      <c r="G537" s="7">
        <v>16</v>
      </c>
      <c r="H537" s="16" t="str">
        <f t="shared" si="8"/>
        <v>(535,'604','السحاولة','Sehaoula','Sehaoula',193),</v>
      </c>
    </row>
    <row r="538" spans="1:8" ht="20.100000000000001" customHeight="1" x14ac:dyDescent="0.25">
      <c r="A538" s="3">
        <v>536</v>
      </c>
      <c r="B538" s="8">
        <v>562</v>
      </c>
      <c r="C538" s="4" t="s">
        <v>2799</v>
      </c>
      <c r="D538" s="4" t="s">
        <v>2800</v>
      </c>
      <c r="E538" s="4" t="s">
        <v>2800</v>
      </c>
      <c r="F538" s="7">
        <v>194</v>
      </c>
      <c r="G538" s="7">
        <v>16</v>
      </c>
      <c r="H538" s="16" t="str">
        <f t="shared" si="8"/>
        <v>(536,'562','ابن عكنون','Ben Aknoun','Ben Aknoun',194),</v>
      </c>
    </row>
    <row r="539" spans="1:8" ht="20.100000000000001" customHeight="1" x14ac:dyDescent="0.25">
      <c r="A539" s="3">
        <v>537</v>
      </c>
      <c r="B539" s="8">
        <v>563</v>
      </c>
      <c r="C539" s="4" t="s">
        <v>2801</v>
      </c>
      <c r="D539" s="4" t="s">
        <v>2802</v>
      </c>
      <c r="E539" s="4" t="s">
        <v>2802</v>
      </c>
      <c r="F539" s="7">
        <v>194</v>
      </c>
      <c r="G539" s="7">
        <v>16</v>
      </c>
      <c r="H539" s="16" t="str">
        <f t="shared" si="8"/>
        <v>(537,'563','بني مسوس','Beni Messous','Beni Messous',194),</v>
      </c>
    </row>
    <row r="540" spans="1:8" ht="20.100000000000001" customHeight="1" x14ac:dyDescent="0.25">
      <c r="A540" s="3">
        <v>538</v>
      </c>
      <c r="B540" s="8">
        <v>571</v>
      </c>
      <c r="C540" s="4" t="s">
        <v>1498</v>
      </c>
      <c r="D540" s="4" t="s">
        <v>1497</v>
      </c>
      <c r="E540" s="4" t="s">
        <v>1497</v>
      </c>
      <c r="F540" s="7">
        <v>194</v>
      </c>
      <c r="G540" s="7">
        <v>16</v>
      </c>
      <c r="H540" s="16" t="str">
        <f t="shared" si="8"/>
        <v>(538,'571','بوزريعة','Bouzareah','Bouzareah',194),</v>
      </c>
    </row>
    <row r="541" spans="1:8" ht="20.100000000000001" customHeight="1" x14ac:dyDescent="0.25">
      <c r="A541" s="3">
        <v>539</v>
      </c>
      <c r="B541" s="8">
        <v>580</v>
      </c>
      <c r="C541" s="4" t="s">
        <v>2803</v>
      </c>
      <c r="D541" s="4" t="s">
        <v>2804</v>
      </c>
      <c r="E541" s="4" t="s">
        <v>2804</v>
      </c>
      <c r="F541" s="7">
        <v>194</v>
      </c>
      <c r="G541" s="7">
        <v>16</v>
      </c>
      <c r="H541" s="16" t="str">
        <f t="shared" si="8"/>
        <v>(539,'580','الابيار','El Biar','El Biar',194),</v>
      </c>
    </row>
    <row r="542" spans="1:8" ht="20.100000000000001" customHeight="1" x14ac:dyDescent="0.25">
      <c r="A542" s="3">
        <v>540</v>
      </c>
      <c r="B542" s="8">
        <v>560</v>
      </c>
      <c r="C542" s="4" t="s">
        <v>2805</v>
      </c>
      <c r="D542" s="4" t="s">
        <v>2806</v>
      </c>
      <c r="E542" s="4" t="s">
        <v>2806</v>
      </c>
      <c r="F542" s="7">
        <v>195</v>
      </c>
      <c r="G542" s="7">
        <v>16</v>
      </c>
      <c r="H542" s="16" t="str">
        <f t="shared" si="8"/>
        <v>(540,'560','باش جراح','Bachedjerah','Bachedjerah',195),</v>
      </c>
    </row>
    <row r="543" spans="1:8" ht="20.100000000000001" customHeight="1" x14ac:dyDescent="0.25">
      <c r="A543" s="3">
        <v>541</v>
      </c>
      <c r="B543" s="8">
        <v>570</v>
      </c>
      <c r="C543" s="4" t="s">
        <v>2807</v>
      </c>
      <c r="D543" s="4" t="s">
        <v>2808</v>
      </c>
      <c r="E543" s="4" t="s">
        <v>2808</v>
      </c>
      <c r="F543" s="7">
        <v>195</v>
      </c>
      <c r="G543" s="7">
        <v>16</v>
      </c>
      <c r="H543" s="16" t="str">
        <f t="shared" si="8"/>
        <v>(541,'570','بوروبة','Bourouba','Bourouba',195),</v>
      </c>
    </row>
    <row r="544" spans="1:8" ht="20.100000000000001" customHeight="1" x14ac:dyDescent="0.25">
      <c r="A544" s="3">
        <v>542</v>
      </c>
      <c r="B544" s="8">
        <v>581</v>
      </c>
      <c r="C544" s="4" t="s">
        <v>1494</v>
      </c>
      <c r="D544" s="4" t="s">
        <v>1493</v>
      </c>
      <c r="E544" s="4" t="s">
        <v>1493</v>
      </c>
      <c r="F544" s="7">
        <v>195</v>
      </c>
      <c r="G544" s="7">
        <v>16</v>
      </c>
      <c r="H544" s="16" t="str">
        <f t="shared" si="8"/>
        <v>(542,'581','الحراش','El Harrach','El Harrach',195),</v>
      </c>
    </row>
    <row r="545" spans="1:8" ht="20.100000000000001" customHeight="1" x14ac:dyDescent="0.25">
      <c r="A545" s="3">
        <v>543</v>
      </c>
      <c r="B545" s="8">
        <v>597</v>
      </c>
      <c r="C545" s="4" t="s">
        <v>2809</v>
      </c>
      <c r="D545" s="4" t="s">
        <v>2810</v>
      </c>
      <c r="E545" s="4" t="s">
        <v>2810</v>
      </c>
      <c r="F545" s="7">
        <v>195</v>
      </c>
      <c r="G545" s="7">
        <v>16</v>
      </c>
      <c r="H545" s="16" t="str">
        <f t="shared" si="8"/>
        <v>(543,'597','وادي السمار','Oued Smar','Oued Smar',195),</v>
      </c>
    </row>
    <row r="546" spans="1:8" ht="20.100000000000001" customHeight="1" x14ac:dyDescent="0.25">
      <c r="A546" s="3">
        <v>544</v>
      </c>
      <c r="B546" s="8">
        <v>561</v>
      </c>
      <c r="C546" s="4" t="s">
        <v>1496</v>
      </c>
      <c r="D546" s="4" t="s">
        <v>1495</v>
      </c>
      <c r="E546" s="4" t="s">
        <v>1495</v>
      </c>
      <c r="F546" s="7">
        <v>196</v>
      </c>
      <c r="G546" s="7">
        <v>16</v>
      </c>
      <c r="H546" s="16" t="str">
        <f t="shared" si="8"/>
        <v>(544,'561','براقي','Baraki','Baraki',196),</v>
      </c>
    </row>
    <row r="547" spans="1:8" ht="20.100000000000001" customHeight="1" x14ac:dyDescent="0.25">
      <c r="A547" s="3">
        <v>545</v>
      </c>
      <c r="B547" s="8">
        <v>592</v>
      </c>
      <c r="C547" s="4" t="s">
        <v>2811</v>
      </c>
      <c r="D547" s="4" t="s">
        <v>2812</v>
      </c>
      <c r="E547" s="4" t="s">
        <v>2812</v>
      </c>
      <c r="F547" s="7">
        <v>196</v>
      </c>
      <c r="G547" s="7">
        <v>16</v>
      </c>
      <c r="H547" s="16" t="str">
        <f t="shared" si="8"/>
        <v>(545,'592','الكاليتوس','Les Eucalyptus','Les Eucalyptus',196),</v>
      </c>
    </row>
    <row r="548" spans="1:8" ht="20.100000000000001" customHeight="1" x14ac:dyDescent="0.25">
      <c r="A548" s="3">
        <v>546</v>
      </c>
      <c r="B548" s="8">
        <v>606</v>
      </c>
      <c r="C548" s="4" t="s">
        <v>2813</v>
      </c>
      <c r="D548" s="4" t="s">
        <v>2814</v>
      </c>
      <c r="E548" s="4" t="s">
        <v>2814</v>
      </c>
      <c r="F548" s="7">
        <v>196</v>
      </c>
      <c r="G548" s="7">
        <v>16</v>
      </c>
      <c r="H548" s="16" t="str">
        <f t="shared" si="8"/>
        <v>(546,'606','سيدي موسى','Sidi Moussa','Sidi Moussa',196),</v>
      </c>
    </row>
    <row r="549" spans="1:8" ht="20.100000000000001" customHeight="1" x14ac:dyDescent="0.25">
      <c r="A549" s="3">
        <v>547</v>
      </c>
      <c r="B549" s="8">
        <v>583</v>
      </c>
      <c r="C549" s="4" t="s">
        <v>2815</v>
      </c>
      <c r="D549" s="4" t="s">
        <v>2816</v>
      </c>
      <c r="E549" s="4" t="s">
        <v>2816</v>
      </c>
      <c r="F549" s="7">
        <v>197</v>
      </c>
      <c r="G549" s="7">
        <v>16</v>
      </c>
      <c r="H549" s="16" t="str">
        <f t="shared" si="8"/>
        <v>(547,'583','المغارية','El Magharia','El Magharia',197),</v>
      </c>
    </row>
    <row r="550" spans="1:8" ht="20.100000000000001" customHeight="1" x14ac:dyDescent="0.25">
      <c r="A550" s="3">
        <v>548</v>
      </c>
      <c r="B550" s="8">
        <v>588</v>
      </c>
      <c r="C550" s="4" t="s">
        <v>1504</v>
      </c>
      <c r="D550" s="4" t="s">
        <v>1503</v>
      </c>
      <c r="E550" s="4" t="s">
        <v>1503</v>
      </c>
      <c r="F550" s="7">
        <v>197</v>
      </c>
      <c r="G550" s="7">
        <v>16</v>
      </c>
      <c r="H550" s="16" t="str">
        <f t="shared" si="8"/>
        <v>(548,'588','حسين داي','Hussein Dey','Hussein Dey',197),</v>
      </c>
    </row>
    <row r="551" spans="1:8" ht="20.100000000000001" customHeight="1" x14ac:dyDescent="0.25">
      <c r="A551" s="3">
        <v>549</v>
      </c>
      <c r="B551" s="8">
        <v>591</v>
      </c>
      <c r="C551" s="4" t="s">
        <v>2817</v>
      </c>
      <c r="D551" s="4" t="s">
        <v>2818</v>
      </c>
      <c r="E551" s="4" t="s">
        <v>2818</v>
      </c>
      <c r="F551" s="7">
        <v>197</v>
      </c>
      <c r="G551" s="7">
        <v>16</v>
      </c>
      <c r="H551" s="16" t="str">
        <f t="shared" si="8"/>
        <v>(549,'591','القبة','Kouba','Kouba',197),</v>
      </c>
    </row>
    <row r="552" spans="1:8" ht="20.100000000000001" customHeight="1" x14ac:dyDescent="0.25">
      <c r="A552" s="3">
        <v>550</v>
      </c>
      <c r="B552" s="8">
        <v>594</v>
      </c>
      <c r="C552" s="4" t="s">
        <v>2819</v>
      </c>
      <c r="D552" s="4" t="s">
        <v>2820</v>
      </c>
      <c r="E552" s="4" t="s">
        <v>2820</v>
      </c>
      <c r="F552" s="7">
        <v>197</v>
      </c>
      <c r="G552" s="7">
        <v>16</v>
      </c>
      <c r="H552" s="16" t="str">
        <f t="shared" si="8"/>
        <v>(550,'594','محمد بلوزداد','Mohamed Belouzdad','Mohamed Belouzdad',197),</v>
      </c>
    </row>
    <row r="553" spans="1:8" ht="20.100000000000001" customHeight="1" x14ac:dyDescent="0.25">
      <c r="A553" s="3">
        <v>551</v>
      </c>
      <c r="B553" s="8">
        <v>555</v>
      </c>
      <c r="C553" s="4" t="s">
        <v>2821</v>
      </c>
      <c r="D553" s="4" t="s">
        <v>2822</v>
      </c>
      <c r="E553" s="4" t="s">
        <v>2822</v>
      </c>
      <c r="F553" s="7">
        <v>198</v>
      </c>
      <c r="G553" s="7">
        <v>16</v>
      </c>
      <c r="H553" s="16" t="str">
        <f t="shared" si="8"/>
        <v>(551,'555','عين طاية','Ain Taya','Ain Taya',198),</v>
      </c>
    </row>
    <row r="554" spans="1:8" ht="20.100000000000001" customHeight="1" x14ac:dyDescent="0.25">
      <c r="A554" s="3">
        <v>552</v>
      </c>
      <c r="B554" s="8">
        <v>558</v>
      </c>
      <c r="C554" s="4" t="s">
        <v>2823</v>
      </c>
      <c r="D554" s="4" t="s">
        <v>2824</v>
      </c>
      <c r="E554" s="4" t="s">
        <v>2824</v>
      </c>
      <c r="F554" s="7">
        <v>198</v>
      </c>
      <c r="G554" s="7">
        <v>16</v>
      </c>
      <c r="H554" s="16" t="str">
        <f t="shared" si="8"/>
        <v>(552,'558','باب الزوار','Bab Ezzouar','Bab Ezzouar',198),</v>
      </c>
    </row>
    <row r="555" spans="1:8" ht="20.100000000000001" customHeight="1" x14ac:dyDescent="0.25">
      <c r="A555" s="3">
        <v>553</v>
      </c>
      <c r="B555" s="8">
        <v>568</v>
      </c>
      <c r="C555" s="4" t="s">
        <v>2825</v>
      </c>
      <c r="D555" s="4" t="s">
        <v>2826</v>
      </c>
      <c r="E555" s="4" t="s">
        <v>2826</v>
      </c>
      <c r="F555" s="7">
        <v>198</v>
      </c>
      <c r="G555" s="7">
        <v>16</v>
      </c>
      <c r="H555" s="16" t="str">
        <f t="shared" si="8"/>
        <v>(553,'568','برج البحري','Bordj El Bahri','Bordj El Bahri',198),</v>
      </c>
    </row>
    <row r="556" spans="1:8" ht="20.100000000000001" customHeight="1" x14ac:dyDescent="0.25">
      <c r="A556" s="3">
        <v>554</v>
      </c>
      <c r="B556" s="8">
        <v>569</v>
      </c>
      <c r="C556" s="4" t="s">
        <v>2827</v>
      </c>
      <c r="D556" s="4" t="s">
        <v>2828</v>
      </c>
      <c r="E556" s="4" t="s">
        <v>2828</v>
      </c>
      <c r="F556" s="7">
        <v>198</v>
      </c>
      <c r="G556" s="7">
        <v>16</v>
      </c>
      <c r="H556" s="16" t="str">
        <f t="shared" si="8"/>
        <v>(554,'569','برج الكيفان','Bordj El Kiffan','Bordj El Kiffan',198),</v>
      </c>
    </row>
    <row r="557" spans="1:8" ht="20.100000000000001" customHeight="1" x14ac:dyDescent="0.25">
      <c r="A557" s="3">
        <v>555</v>
      </c>
      <c r="B557" s="8">
        <v>574</v>
      </c>
      <c r="C557" s="4" t="s">
        <v>1486</v>
      </c>
      <c r="D557" s="4" t="s">
        <v>1485</v>
      </c>
      <c r="E557" s="4" t="s">
        <v>1485</v>
      </c>
      <c r="F557" s="7">
        <v>198</v>
      </c>
      <c r="G557" s="7">
        <v>16</v>
      </c>
      <c r="H557" s="16" t="str">
        <f t="shared" si="8"/>
        <v>(555,'574','الدار البيضاء','Dar El Beida','Dar El Beida',198),</v>
      </c>
    </row>
    <row r="558" spans="1:8" ht="20.100000000000001" customHeight="1" x14ac:dyDescent="0.25">
      <c r="A558" s="3">
        <v>556</v>
      </c>
      <c r="B558" s="8">
        <v>584</v>
      </c>
      <c r="C558" s="4" t="s">
        <v>1148</v>
      </c>
      <c r="D558" s="4" t="s">
        <v>1147</v>
      </c>
      <c r="E558" s="4" t="s">
        <v>1147</v>
      </c>
      <c r="F558" s="7">
        <v>198</v>
      </c>
      <c r="G558" s="7">
        <v>16</v>
      </c>
      <c r="H558" s="16" t="str">
        <f t="shared" si="8"/>
        <v>(556,'584','المرسى','El Marsa','El Marsa',198),</v>
      </c>
    </row>
    <row r="559" spans="1:8" ht="20.100000000000001" customHeight="1" x14ac:dyDescent="0.25">
      <c r="A559" s="3">
        <v>557</v>
      </c>
      <c r="B559" s="8">
        <v>595</v>
      </c>
      <c r="C559" s="4" t="s">
        <v>1791</v>
      </c>
      <c r="D559" s="4" t="s">
        <v>1790</v>
      </c>
      <c r="E559" s="4" t="s">
        <v>1790</v>
      </c>
      <c r="F559" s="7">
        <v>198</v>
      </c>
      <c r="G559" s="7">
        <v>16</v>
      </c>
      <c r="H559" s="16" t="str">
        <f t="shared" si="8"/>
        <v>(557,'595','المحمدية','Mohammadia','Mohammadia',198),</v>
      </c>
    </row>
    <row r="560" spans="1:8" ht="20.100000000000001" customHeight="1" x14ac:dyDescent="0.25">
      <c r="A560" s="3">
        <v>558</v>
      </c>
      <c r="B560" s="8">
        <v>566</v>
      </c>
      <c r="C560" s="4" t="s">
        <v>1502</v>
      </c>
      <c r="D560" s="4" t="s">
        <v>2829</v>
      </c>
      <c r="E560" s="4" t="s">
        <v>2829</v>
      </c>
      <c r="F560" s="7">
        <v>199</v>
      </c>
      <c r="G560" s="7">
        <v>16</v>
      </c>
      <c r="H560" s="16" t="str">
        <f t="shared" si="8"/>
        <v>(558,'566','بئر توتة','Bir Touta','Bir Touta',199),</v>
      </c>
    </row>
    <row r="561" spans="1:8" ht="20.100000000000001" customHeight="1" x14ac:dyDescent="0.25">
      <c r="A561" s="3">
        <v>559</v>
      </c>
      <c r="B561" s="8">
        <v>598</v>
      </c>
      <c r="C561" s="4" t="s">
        <v>2830</v>
      </c>
      <c r="D561" s="4" t="s">
        <v>2831</v>
      </c>
      <c r="E561" s="4" t="s">
        <v>2831</v>
      </c>
      <c r="F561" s="7">
        <v>199</v>
      </c>
      <c r="G561" s="7">
        <v>16</v>
      </c>
      <c r="H561" s="16" t="str">
        <f t="shared" si="8"/>
        <v>(559,'598','اولاد شبل','Ouled Chebel','Ouled Chebel',199),</v>
      </c>
    </row>
    <row r="562" spans="1:8" ht="20.100000000000001" customHeight="1" x14ac:dyDescent="0.25">
      <c r="A562" s="3">
        <v>560</v>
      </c>
      <c r="B562" s="8">
        <v>609</v>
      </c>
      <c r="C562" s="4" t="s">
        <v>2832</v>
      </c>
      <c r="D562" s="4" t="s">
        <v>2833</v>
      </c>
      <c r="E562" s="4" t="s">
        <v>2833</v>
      </c>
      <c r="F562" s="7">
        <v>199</v>
      </c>
      <c r="G562" s="7">
        <v>16</v>
      </c>
      <c r="H562" s="16" t="str">
        <f t="shared" si="8"/>
        <v>(560,'609','تسالة المرجة','Tessala El Merdja','Tessala El Merdja',199),</v>
      </c>
    </row>
    <row r="563" spans="1:8" ht="20.100000000000001" customHeight="1" x14ac:dyDescent="0.25">
      <c r="A563" s="3">
        <v>561</v>
      </c>
      <c r="B563" s="8">
        <v>587</v>
      </c>
      <c r="C563" s="4" t="s">
        <v>2834</v>
      </c>
      <c r="D563" s="4" t="s">
        <v>2835</v>
      </c>
      <c r="E563" s="4" t="s">
        <v>2835</v>
      </c>
      <c r="F563" s="7">
        <v>200</v>
      </c>
      <c r="G563" s="7">
        <v>16</v>
      </c>
      <c r="H563" s="16" t="str">
        <f t="shared" si="8"/>
        <v>(561,'587','هراوة','Herraoua','Herraoua',200),</v>
      </c>
    </row>
    <row r="564" spans="1:8" ht="20.100000000000001" customHeight="1" x14ac:dyDescent="0.25">
      <c r="A564" s="3">
        <v>562</v>
      </c>
      <c r="B564" s="8">
        <v>602</v>
      </c>
      <c r="C564" s="4" t="s">
        <v>2836</v>
      </c>
      <c r="D564" s="4" t="s">
        <v>2837</v>
      </c>
      <c r="E564" s="4" t="s">
        <v>2837</v>
      </c>
      <c r="F564" s="7">
        <v>200</v>
      </c>
      <c r="G564" s="7">
        <v>16</v>
      </c>
      <c r="H564" s="16" t="str">
        <f t="shared" si="8"/>
        <v>(562,'602','رغاية','Reghaia','Reghaia',200),</v>
      </c>
    </row>
    <row r="565" spans="1:8" ht="20.100000000000001" customHeight="1" x14ac:dyDescent="0.25">
      <c r="A565" s="3">
        <v>563</v>
      </c>
      <c r="B565" s="8">
        <v>603</v>
      </c>
      <c r="C565" s="4" t="s">
        <v>1506</v>
      </c>
      <c r="D565" s="4" t="s">
        <v>1505</v>
      </c>
      <c r="E565" s="4" t="s">
        <v>1505</v>
      </c>
      <c r="F565" s="7">
        <v>200</v>
      </c>
      <c r="G565" s="7">
        <v>16</v>
      </c>
      <c r="H565" s="16" t="str">
        <f t="shared" si="8"/>
        <v>(563,'603','الرويبة','Rouiba','Rouiba',200),</v>
      </c>
    </row>
    <row r="566" spans="1:8" ht="20.100000000000001" customHeight="1" x14ac:dyDescent="0.25">
      <c r="A566" s="3">
        <v>564</v>
      </c>
      <c r="B566" s="8">
        <v>593</v>
      </c>
      <c r="C566" s="4" t="s">
        <v>2838</v>
      </c>
      <c r="D566" s="4" t="s">
        <v>2839</v>
      </c>
      <c r="E566" s="4" t="s">
        <v>2839</v>
      </c>
      <c r="F566" s="7">
        <v>201</v>
      </c>
      <c r="G566" s="7">
        <v>16</v>
      </c>
      <c r="H566" s="16" t="str">
        <f t="shared" si="8"/>
        <v>(564,'593','المعالمة','Maalma','Maalma',201),</v>
      </c>
    </row>
    <row r="567" spans="1:8" ht="20.100000000000001" customHeight="1" x14ac:dyDescent="0.25">
      <c r="A567" s="3">
        <v>565</v>
      </c>
      <c r="B567" s="8">
        <v>600</v>
      </c>
      <c r="C567" s="4" t="s">
        <v>2840</v>
      </c>
      <c r="D567" s="4" t="s">
        <v>2841</v>
      </c>
      <c r="E567" s="4" t="s">
        <v>2841</v>
      </c>
      <c r="F567" s="7">
        <v>201</v>
      </c>
      <c r="G567" s="7">
        <v>16</v>
      </c>
      <c r="H567" s="16" t="str">
        <f t="shared" si="8"/>
        <v>(565,'600','الرحمانية','Rahmania','Rahmania',201),</v>
      </c>
    </row>
    <row r="568" spans="1:8" ht="20.100000000000001" customHeight="1" x14ac:dyDescent="0.25">
      <c r="A568" s="3">
        <v>566</v>
      </c>
      <c r="B568" s="8">
        <v>607</v>
      </c>
      <c r="C568" s="4" t="s">
        <v>2842</v>
      </c>
      <c r="D568" s="4" t="s">
        <v>2843</v>
      </c>
      <c r="E568" s="4" t="s">
        <v>2843</v>
      </c>
      <c r="F568" s="7">
        <v>201</v>
      </c>
      <c r="G568" s="7">
        <v>16</v>
      </c>
      <c r="H568" s="16" t="str">
        <f t="shared" si="8"/>
        <v>(566,'607','سويدانية','Souidania','Souidania',201),</v>
      </c>
    </row>
    <row r="569" spans="1:8" ht="20.100000000000001" customHeight="1" x14ac:dyDescent="0.25">
      <c r="A569" s="3">
        <v>567</v>
      </c>
      <c r="B569" s="8">
        <v>608</v>
      </c>
      <c r="C569" s="4" t="s">
        <v>2844</v>
      </c>
      <c r="D569" s="4" t="s">
        <v>2845</v>
      </c>
      <c r="E569" s="4" t="s">
        <v>2845</v>
      </c>
      <c r="F569" s="7">
        <v>201</v>
      </c>
      <c r="G569" s="7">
        <v>16</v>
      </c>
      <c r="H569" s="16" t="str">
        <f t="shared" si="8"/>
        <v>(567,'608','سطاوالي','Staoueli','Staoueli',201),</v>
      </c>
    </row>
    <row r="570" spans="1:8" ht="20.100000000000001" customHeight="1" x14ac:dyDescent="0.25">
      <c r="A570" s="3">
        <v>568</v>
      </c>
      <c r="B570" s="8">
        <v>610</v>
      </c>
      <c r="C570" s="4" t="s">
        <v>1508</v>
      </c>
      <c r="D570" s="4" t="s">
        <v>1507</v>
      </c>
      <c r="E570" s="4" t="s">
        <v>1507</v>
      </c>
      <c r="F570" s="7">
        <v>201</v>
      </c>
      <c r="G570" s="7">
        <v>16</v>
      </c>
      <c r="H570" s="16" t="str">
        <f t="shared" si="8"/>
        <v>(568,'610','زرالدة','Zeralda','Zeralda',201),</v>
      </c>
    </row>
    <row r="571" spans="1:8" ht="20.100000000000001" customHeight="1" x14ac:dyDescent="0.25">
      <c r="A571" s="3">
        <v>569</v>
      </c>
      <c r="B571" s="8">
        <v>559</v>
      </c>
      <c r="C571" s="4" t="s">
        <v>2846</v>
      </c>
      <c r="D571" s="4" t="s">
        <v>2847</v>
      </c>
      <c r="E571" s="4" t="s">
        <v>2847</v>
      </c>
      <c r="F571" s="7">
        <v>202</v>
      </c>
      <c r="G571" s="7">
        <v>16</v>
      </c>
      <c r="H571" s="16" t="str">
        <f t="shared" si="8"/>
        <v>(569,'559','بابا حسن','Baba Hassen','Baba Hassen',202),</v>
      </c>
    </row>
    <row r="572" spans="1:8" ht="20.100000000000001" customHeight="1" x14ac:dyDescent="0.25">
      <c r="A572" s="3">
        <v>570</v>
      </c>
      <c r="B572" s="8">
        <v>577</v>
      </c>
      <c r="C572" s="4" t="s">
        <v>2848</v>
      </c>
      <c r="D572" s="4" t="s">
        <v>2849</v>
      </c>
      <c r="E572" s="4" t="s">
        <v>2849</v>
      </c>
      <c r="F572" s="7">
        <v>202</v>
      </c>
      <c r="G572" s="7">
        <v>16</v>
      </c>
      <c r="H572" s="16" t="str">
        <f t="shared" si="8"/>
        <v>(570,'577','الدويرة','Douira','Douira',202),</v>
      </c>
    </row>
    <row r="573" spans="1:8" ht="20.100000000000001" customHeight="1" x14ac:dyDescent="0.25">
      <c r="A573" s="3">
        <v>571</v>
      </c>
      <c r="B573" s="8">
        <v>578</v>
      </c>
      <c r="C573" s="4" t="s">
        <v>1492</v>
      </c>
      <c r="D573" s="4" t="s">
        <v>1491</v>
      </c>
      <c r="E573" s="4" t="s">
        <v>1491</v>
      </c>
      <c r="F573" s="7">
        <v>202</v>
      </c>
      <c r="G573" s="7">
        <v>16</v>
      </c>
      <c r="H573" s="16" t="str">
        <f t="shared" si="8"/>
        <v>(571,'578','الدرارية','Draria','Draria',202),</v>
      </c>
    </row>
    <row r="574" spans="1:8" ht="20.100000000000001" customHeight="1" x14ac:dyDescent="0.25">
      <c r="A574" s="3">
        <v>572</v>
      </c>
      <c r="B574" s="8">
        <v>579</v>
      </c>
      <c r="C574" s="4" t="s">
        <v>2850</v>
      </c>
      <c r="D574" s="4" t="s">
        <v>2851</v>
      </c>
      <c r="E574" s="4" t="s">
        <v>2851</v>
      </c>
      <c r="F574" s="7">
        <v>202</v>
      </c>
      <c r="G574" s="7">
        <v>16</v>
      </c>
      <c r="H574" s="16" t="str">
        <f t="shared" si="8"/>
        <v>(572,'579','العاشور','El Achour','El Achour',202),</v>
      </c>
    </row>
    <row r="575" spans="1:8" ht="20.100000000000001" customHeight="1" x14ac:dyDescent="0.25">
      <c r="A575" s="3">
        <v>573</v>
      </c>
      <c r="B575" s="8">
        <v>590</v>
      </c>
      <c r="C575" s="4" t="s">
        <v>2852</v>
      </c>
      <c r="D575" s="4" t="s">
        <v>2853</v>
      </c>
      <c r="E575" s="4" t="s">
        <v>2853</v>
      </c>
      <c r="F575" s="7">
        <v>202</v>
      </c>
      <c r="G575" s="7">
        <v>16</v>
      </c>
      <c r="H575" s="16" t="str">
        <f t="shared" si="8"/>
        <v>(573,'590','الخرايسية','Khraissia','Khraissia',202),</v>
      </c>
    </row>
    <row r="576" spans="1:8" ht="20.100000000000001" customHeight="1" x14ac:dyDescent="0.25">
      <c r="A576" s="3">
        <v>574</v>
      </c>
      <c r="B576" s="8">
        <v>554</v>
      </c>
      <c r="C576" s="4" t="s">
        <v>2854</v>
      </c>
      <c r="D576" s="4" t="s">
        <v>2855</v>
      </c>
      <c r="E576" s="4" t="s">
        <v>2855</v>
      </c>
      <c r="F576" s="7">
        <v>203</v>
      </c>
      <c r="G576" s="7">
        <v>16</v>
      </c>
      <c r="H576" s="16" t="str">
        <f t="shared" si="8"/>
        <v>(574,'554','عين بنيان','Ain Benian','Ain Benian',203),</v>
      </c>
    </row>
    <row r="577" spans="1:8" ht="20.100000000000001" customHeight="1" x14ac:dyDescent="0.25">
      <c r="A577" s="3">
        <v>575</v>
      </c>
      <c r="B577" s="8">
        <v>573</v>
      </c>
      <c r="C577" s="4" t="s">
        <v>1484</v>
      </c>
      <c r="D577" s="4" t="s">
        <v>1483</v>
      </c>
      <c r="E577" s="4" t="s">
        <v>1483</v>
      </c>
      <c r="F577" s="7">
        <v>203</v>
      </c>
      <c r="G577" s="7">
        <v>16</v>
      </c>
      <c r="H577" s="16" t="str">
        <f t="shared" si="8"/>
        <v>(575,'573','الشراقة','Cheraga','Cheraga',203),</v>
      </c>
    </row>
    <row r="578" spans="1:8" ht="20.100000000000001" customHeight="1" x14ac:dyDescent="0.25">
      <c r="A578" s="3">
        <v>576</v>
      </c>
      <c r="B578" s="8">
        <v>575</v>
      </c>
      <c r="C578" s="4" t="s">
        <v>2856</v>
      </c>
      <c r="D578" s="4" t="s">
        <v>2857</v>
      </c>
      <c r="E578" s="4" t="s">
        <v>2857</v>
      </c>
      <c r="F578" s="7">
        <v>203</v>
      </c>
      <c r="G578" s="7">
        <v>16</v>
      </c>
      <c r="H578" s="16" t="str">
        <f t="shared" si="8"/>
        <v>(576,'575','دالي ابراهيم','Dely Ibrahim','Dely Ibrahim',203),</v>
      </c>
    </row>
    <row r="579" spans="1:8" ht="20.100000000000001" customHeight="1" x14ac:dyDescent="0.25">
      <c r="A579" s="3">
        <v>577</v>
      </c>
      <c r="B579" s="8">
        <v>586</v>
      </c>
      <c r="C579" s="4" t="s">
        <v>2533</v>
      </c>
      <c r="D579" s="4" t="s">
        <v>2534</v>
      </c>
      <c r="E579" s="4" t="s">
        <v>2534</v>
      </c>
      <c r="F579" s="7">
        <v>203</v>
      </c>
      <c r="G579" s="7">
        <v>16</v>
      </c>
      <c r="H579" s="16" t="str">
        <f t="shared" si="8"/>
        <v>(577,'586','الحمامات','Hammamet','Hammamet',203),</v>
      </c>
    </row>
    <row r="580" spans="1:8" ht="20.100000000000001" customHeight="1" x14ac:dyDescent="0.25">
      <c r="A580" s="3">
        <v>578</v>
      </c>
      <c r="B580" s="8">
        <v>599</v>
      </c>
      <c r="C580" s="4" t="s">
        <v>2858</v>
      </c>
      <c r="D580" s="4" t="s">
        <v>2859</v>
      </c>
      <c r="E580" s="4" t="s">
        <v>2859</v>
      </c>
      <c r="F580" s="7">
        <v>203</v>
      </c>
      <c r="G580" s="7">
        <v>16</v>
      </c>
      <c r="H580" s="16" t="str">
        <f t="shared" ref="H580:H643" si="9">CONCATENATE("(",A580,",'",B580,"','",C580,"','",D580,"','",E580,"',",F580,"),")</f>
        <v>(578,'599','اولاد فايت','Ouled Fayet','Ouled Fayet',203),</v>
      </c>
    </row>
    <row r="581" spans="1:8" ht="20.100000000000001" customHeight="1" x14ac:dyDescent="0.25">
      <c r="A581" s="3">
        <v>579</v>
      </c>
      <c r="B581" s="8">
        <v>624</v>
      </c>
      <c r="C581" s="4" t="s">
        <v>1003</v>
      </c>
      <c r="D581" s="4" t="s">
        <v>1004</v>
      </c>
      <c r="E581" s="4" t="s">
        <v>1004</v>
      </c>
      <c r="F581" s="7">
        <v>204</v>
      </c>
      <c r="G581" s="7">
        <v>17</v>
      </c>
      <c r="H581" s="16" t="str">
        <f t="shared" si="9"/>
        <v>(579,'624','الجلفة','Djelfa','Djelfa',204),</v>
      </c>
    </row>
    <row r="582" spans="1:8" ht="20.100000000000001" customHeight="1" x14ac:dyDescent="0.25">
      <c r="A582" s="3">
        <v>580</v>
      </c>
      <c r="B582" s="8">
        <v>614</v>
      </c>
      <c r="C582" s="4" t="s">
        <v>2860</v>
      </c>
      <c r="D582" s="4" t="s">
        <v>2861</v>
      </c>
      <c r="E582" s="4" t="s">
        <v>2861</v>
      </c>
      <c r="F582" s="7">
        <v>205</v>
      </c>
      <c r="G582" s="7">
        <v>17</v>
      </c>
      <c r="H582" s="16" t="str">
        <f t="shared" si="9"/>
        <v>(580,'614','عين معبد','Ain Maabed','Ain Maabed',205),</v>
      </c>
    </row>
    <row r="583" spans="1:8" ht="20.100000000000001" customHeight="1" x14ac:dyDescent="0.25">
      <c r="A583" s="3">
        <v>581</v>
      </c>
      <c r="B583" s="8">
        <v>633</v>
      </c>
      <c r="C583" s="4" t="s">
        <v>1516</v>
      </c>
      <c r="D583" s="4" t="s">
        <v>1515</v>
      </c>
      <c r="E583" s="4" t="s">
        <v>1515</v>
      </c>
      <c r="F583" s="7">
        <v>205</v>
      </c>
      <c r="G583" s="7">
        <v>17</v>
      </c>
      <c r="H583" s="16" t="str">
        <f t="shared" si="9"/>
        <v>(581,'633','حاسي بحبح','Hassi Bahbah','Hassi Bahbah',205),</v>
      </c>
    </row>
    <row r="584" spans="1:8" ht="20.100000000000001" customHeight="1" x14ac:dyDescent="0.25">
      <c r="A584" s="3">
        <v>582</v>
      </c>
      <c r="B584" s="8">
        <v>634</v>
      </c>
      <c r="C584" s="4" t="s">
        <v>2862</v>
      </c>
      <c r="D584" s="4" t="s">
        <v>2863</v>
      </c>
      <c r="E584" s="4" t="s">
        <v>2863</v>
      </c>
      <c r="F584" s="7">
        <v>205</v>
      </c>
      <c r="G584" s="7">
        <v>17</v>
      </c>
      <c r="H584" s="16" t="str">
        <f t="shared" si="9"/>
        <v>(582,'634','حاسي العش','Hassi El Euch','Hassi El Euch',205),</v>
      </c>
    </row>
    <row r="585" spans="1:8" ht="20.100000000000001" customHeight="1" x14ac:dyDescent="0.25">
      <c r="A585" s="3">
        <v>583</v>
      </c>
      <c r="B585" s="8">
        <v>645</v>
      </c>
      <c r="C585" s="4" t="s">
        <v>2864</v>
      </c>
      <c r="D585" s="4" t="s">
        <v>2865</v>
      </c>
      <c r="E585" s="4" t="s">
        <v>2865</v>
      </c>
      <c r="F585" s="7">
        <v>205</v>
      </c>
      <c r="G585" s="7">
        <v>17</v>
      </c>
      <c r="H585" s="16" t="str">
        <f t="shared" si="9"/>
        <v>(583,'645','زعفران','Zaafrane','Zaafrane',205),</v>
      </c>
    </row>
    <row r="586" spans="1:8" ht="20.100000000000001" customHeight="1" x14ac:dyDescent="0.25">
      <c r="A586" s="3">
        <v>584</v>
      </c>
      <c r="B586" s="8">
        <v>616</v>
      </c>
      <c r="C586" s="4" t="s">
        <v>2866</v>
      </c>
      <c r="D586" s="4" t="s">
        <v>2867</v>
      </c>
      <c r="E586" s="4" t="s">
        <v>2867</v>
      </c>
      <c r="F586" s="7">
        <v>206</v>
      </c>
      <c r="G586" s="7">
        <v>17</v>
      </c>
      <c r="H586" s="16" t="str">
        <f t="shared" si="9"/>
        <v>(584,'616','عمورة','Amourah','Amourah',206),</v>
      </c>
    </row>
    <row r="587" spans="1:8" ht="20.100000000000001" customHeight="1" x14ac:dyDescent="0.25">
      <c r="A587" s="3">
        <v>585</v>
      </c>
      <c r="B587" s="8">
        <v>629</v>
      </c>
      <c r="C587" s="4" t="s">
        <v>1520</v>
      </c>
      <c r="D587" s="4" t="s">
        <v>1519</v>
      </c>
      <c r="E587" s="4" t="s">
        <v>1519</v>
      </c>
      <c r="F587" s="7">
        <v>206</v>
      </c>
      <c r="G587" s="7">
        <v>17</v>
      </c>
      <c r="H587" s="16" t="str">
        <f t="shared" si="9"/>
        <v>(585,'629','فيض البطمة','Faidh El Botma','Faidh El Botma',206),</v>
      </c>
    </row>
    <row r="588" spans="1:8" ht="20.100000000000001" customHeight="1" x14ac:dyDescent="0.25">
      <c r="A588" s="3">
        <v>586</v>
      </c>
      <c r="B588" s="8">
        <v>639</v>
      </c>
      <c r="C588" s="4" t="s">
        <v>2868</v>
      </c>
      <c r="D588" s="4" t="s">
        <v>2869</v>
      </c>
      <c r="E588" s="4" t="s">
        <v>2869</v>
      </c>
      <c r="F588" s="7">
        <v>206</v>
      </c>
      <c r="G588" s="7">
        <v>17</v>
      </c>
      <c r="H588" s="16" t="str">
        <f t="shared" si="9"/>
        <v>(586,'639','أم العظام','Oum Laadham','Oum Laadham',206),</v>
      </c>
    </row>
    <row r="589" spans="1:8" ht="20.100000000000001" customHeight="1" x14ac:dyDescent="0.25">
      <c r="A589" s="3">
        <v>587</v>
      </c>
      <c r="B589" s="8">
        <v>617</v>
      </c>
      <c r="C589" s="4" t="s">
        <v>2870</v>
      </c>
      <c r="D589" s="4" t="s">
        <v>2871</v>
      </c>
      <c r="E589" s="4" t="s">
        <v>2871</v>
      </c>
      <c r="F589" s="7">
        <v>207</v>
      </c>
      <c r="G589" s="7">
        <v>17</v>
      </c>
      <c r="H589" s="16" t="str">
        <f t="shared" si="9"/>
        <v>(587,'617','بنهار','Benhar','Benhar',207),</v>
      </c>
    </row>
    <row r="590" spans="1:8" ht="20.100000000000001" customHeight="1" x14ac:dyDescent="0.25">
      <c r="A590" s="3">
        <v>588</v>
      </c>
      <c r="B590" s="8">
        <v>619</v>
      </c>
      <c r="C590" s="4" t="s">
        <v>1522</v>
      </c>
      <c r="D590" s="4" t="s">
        <v>1521</v>
      </c>
      <c r="E590" s="4" t="s">
        <v>1521</v>
      </c>
      <c r="F590" s="7">
        <v>207</v>
      </c>
      <c r="G590" s="7">
        <v>17</v>
      </c>
      <c r="H590" s="16" t="str">
        <f t="shared" si="9"/>
        <v>(588,'619','بيرين','Birine','Birine',207),</v>
      </c>
    </row>
    <row r="591" spans="1:8" ht="20.100000000000001" customHeight="1" x14ac:dyDescent="0.25">
      <c r="A591" s="3">
        <v>589</v>
      </c>
      <c r="B591" s="8">
        <v>611</v>
      </c>
      <c r="C591" s="4" t="s">
        <v>2872</v>
      </c>
      <c r="D591" s="4" t="s">
        <v>2873</v>
      </c>
      <c r="E591" s="4" t="s">
        <v>2873</v>
      </c>
      <c r="F591" s="7">
        <v>208</v>
      </c>
      <c r="G591" s="7">
        <v>17</v>
      </c>
      <c r="H591" s="16" t="str">
        <f t="shared" si="9"/>
        <v>(589,'611','عين الشهداء','Ain Chouhada','Ain Chouhada',208),</v>
      </c>
    </row>
    <row r="592" spans="1:8" ht="20.100000000000001" customHeight="1" x14ac:dyDescent="0.25">
      <c r="A592" s="3">
        <v>590</v>
      </c>
      <c r="B592" s="8">
        <v>625</v>
      </c>
      <c r="C592" s="4" t="s">
        <v>2874</v>
      </c>
      <c r="D592" s="4" t="s">
        <v>2875</v>
      </c>
      <c r="E592" s="4" t="s">
        <v>2875</v>
      </c>
      <c r="F592" s="7">
        <v>208</v>
      </c>
      <c r="G592" s="7">
        <v>17</v>
      </c>
      <c r="H592" s="16" t="str">
        <f t="shared" si="9"/>
        <v>(590,'625','دويس','Douis','Douis',208),</v>
      </c>
    </row>
    <row r="593" spans="1:8" ht="20.100000000000001" customHeight="1" x14ac:dyDescent="0.25">
      <c r="A593" s="3">
        <v>591</v>
      </c>
      <c r="B593" s="8">
        <v>627</v>
      </c>
      <c r="C593" s="4" t="s">
        <v>1510</v>
      </c>
      <c r="D593" s="4" t="s">
        <v>1509</v>
      </c>
      <c r="E593" s="4" t="s">
        <v>1509</v>
      </c>
      <c r="F593" s="7">
        <v>208</v>
      </c>
      <c r="G593" s="7">
        <v>17</v>
      </c>
      <c r="H593" s="16" t="str">
        <f t="shared" si="9"/>
        <v>(591,'627','الادريسية','El Idrissia','El Idrissia',208),</v>
      </c>
    </row>
    <row r="594" spans="1:8" ht="20.100000000000001" customHeight="1" x14ac:dyDescent="0.25">
      <c r="A594" s="3">
        <v>592</v>
      </c>
      <c r="B594" s="8">
        <v>623</v>
      </c>
      <c r="C594" s="4" t="s">
        <v>2876</v>
      </c>
      <c r="D594" s="4" t="s">
        <v>2877</v>
      </c>
      <c r="E594" s="4" t="s">
        <v>2877</v>
      </c>
      <c r="F594" s="7">
        <v>209</v>
      </c>
      <c r="G594" s="7">
        <v>17</v>
      </c>
      <c r="H594" s="16" t="str">
        <f t="shared" si="9"/>
        <v>(592,'623','دلدول','Deldoul','Deldoul',209),</v>
      </c>
    </row>
    <row r="595" spans="1:8" ht="20.100000000000001" customHeight="1" x14ac:dyDescent="0.25">
      <c r="A595" s="3">
        <v>593</v>
      </c>
      <c r="B595" s="8">
        <v>631</v>
      </c>
      <c r="C595" s="4" t="s">
        <v>2878</v>
      </c>
      <c r="D595" s="4" t="s">
        <v>2879</v>
      </c>
      <c r="E595" s="4" t="s">
        <v>2879</v>
      </c>
      <c r="F595" s="7">
        <v>209</v>
      </c>
      <c r="G595" s="7">
        <v>17</v>
      </c>
      <c r="H595" s="16" t="str">
        <f t="shared" si="9"/>
        <v>(593,'631','قطارة','Guettara','Guettara',209),</v>
      </c>
    </row>
    <row r="596" spans="1:8" ht="20.100000000000001" customHeight="1" x14ac:dyDescent="0.25">
      <c r="A596" s="3">
        <v>594</v>
      </c>
      <c r="B596" s="8">
        <v>636</v>
      </c>
      <c r="C596" s="4" t="s">
        <v>1528</v>
      </c>
      <c r="D596" s="4" t="s">
        <v>1527</v>
      </c>
      <c r="E596" s="4" t="s">
        <v>1527</v>
      </c>
      <c r="F596" s="7">
        <v>209</v>
      </c>
      <c r="G596" s="7">
        <v>17</v>
      </c>
      <c r="H596" s="16" t="str">
        <f t="shared" si="9"/>
        <v>(594,'636','مسعد','Messaad','Messaad',209),</v>
      </c>
    </row>
    <row r="597" spans="1:8" ht="20.100000000000001" customHeight="1" x14ac:dyDescent="0.25">
      <c r="A597" s="3">
        <v>595</v>
      </c>
      <c r="B597" s="8">
        <v>640</v>
      </c>
      <c r="C597" s="4" t="s">
        <v>2880</v>
      </c>
      <c r="D597" s="4" t="s">
        <v>2881</v>
      </c>
      <c r="E597" s="4" t="s">
        <v>2881</v>
      </c>
      <c r="F597" s="7">
        <v>209</v>
      </c>
      <c r="G597" s="7">
        <v>17</v>
      </c>
      <c r="H597" s="16" t="str">
        <f t="shared" si="9"/>
        <v>(595,'640','سد الرحال','Sed Rahal','Sed Rahal',209),</v>
      </c>
    </row>
    <row r="598" spans="1:8" ht="20.100000000000001" customHeight="1" x14ac:dyDescent="0.25">
      <c r="A598" s="3">
        <v>596</v>
      </c>
      <c r="B598" s="8">
        <v>641</v>
      </c>
      <c r="C598" s="4" t="s">
        <v>2882</v>
      </c>
      <c r="D598" s="4" t="s">
        <v>2883</v>
      </c>
      <c r="E598" s="4" t="s">
        <v>2883</v>
      </c>
      <c r="F598" s="7">
        <v>209</v>
      </c>
      <c r="G598" s="7">
        <v>17</v>
      </c>
      <c r="H598" s="16" t="str">
        <f t="shared" si="9"/>
        <v>(596,'641','سلمانة','Selmana','Selmana',209),</v>
      </c>
    </row>
    <row r="599" spans="1:8" ht="20.100000000000001" customHeight="1" x14ac:dyDescent="0.25">
      <c r="A599" s="3">
        <v>597</v>
      </c>
      <c r="B599" s="8">
        <v>628</v>
      </c>
      <c r="C599" s="4" t="s">
        <v>2884</v>
      </c>
      <c r="D599" s="4" t="s">
        <v>2885</v>
      </c>
      <c r="E599" s="4" t="s">
        <v>2885</v>
      </c>
      <c r="F599" s="7">
        <v>210</v>
      </c>
      <c r="G599" s="7">
        <v>17</v>
      </c>
      <c r="H599" s="16" t="str">
        <f t="shared" si="9"/>
        <v>(597,'628','الخميس','El Khemis','El Khemis',210),</v>
      </c>
    </row>
    <row r="600" spans="1:8" ht="20.100000000000001" customHeight="1" x14ac:dyDescent="0.25">
      <c r="A600" s="3">
        <v>598</v>
      </c>
      <c r="B600" s="8">
        <v>635</v>
      </c>
      <c r="C600" s="4" t="s">
        <v>2886</v>
      </c>
      <c r="D600" s="4" t="s">
        <v>2887</v>
      </c>
      <c r="E600" s="4" t="s">
        <v>2887</v>
      </c>
      <c r="F600" s="7">
        <v>210</v>
      </c>
      <c r="G600" s="7">
        <v>17</v>
      </c>
      <c r="H600" s="16" t="str">
        <f t="shared" si="9"/>
        <v>(598,'635','حاسي فدول','Hassi Fedoul','Hassi Fedoul',210),</v>
      </c>
    </row>
    <row r="601" spans="1:8" ht="20.100000000000001" customHeight="1" x14ac:dyDescent="0.25">
      <c r="A601" s="3">
        <v>599</v>
      </c>
      <c r="B601" s="8">
        <v>643</v>
      </c>
      <c r="C601" s="4" t="s">
        <v>1530</v>
      </c>
      <c r="D601" s="4" t="s">
        <v>1529</v>
      </c>
      <c r="E601" s="4" t="s">
        <v>1529</v>
      </c>
      <c r="F601" s="7">
        <v>210</v>
      </c>
      <c r="G601" s="7">
        <v>17</v>
      </c>
      <c r="H601" s="16" t="str">
        <f t="shared" si="9"/>
        <v>(599,'643','سيدي لعجال','Sidi Laadjel','Sidi Laadjel',210),</v>
      </c>
    </row>
    <row r="602" spans="1:8" ht="20.100000000000001" customHeight="1" x14ac:dyDescent="0.25">
      <c r="A602" s="3">
        <v>600</v>
      </c>
      <c r="B602" s="8">
        <v>613</v>
      </c>
      <c r="C602" s="4" t="s">
        <v>2888</v>
      </c>
      <c r="D602" s="4" t="s">
        <v>2889</v>
      </c>
      <c r="E602" s="4" t="s">
        <v>2889</v>
      </c>
      <c r="F602" s="7">
        <v>211</v>
      </c>
      <c r="G602" s="7">
        <v>17</v>
      </c>
      <c r="H602" s="16" t="str">
        <f t="shared" si="9"/>
        <v>(600,'613','عين فقه','Ain Fekka','Ain Fekka',211),</v>
      </c>
    </row>
    <row r="603" spans="1:8" ht="20.100000000000001" customHeight="1" x14ac:dyDescent="0.25">
      <c r="A603" s="3">
        <v>601</v>
      </c>
      <c r="B603" s="8">
        <v>620</v>
      </c>
      <c r="C603" s="4" t="s">
        <v>2890</v>
      </c>
      <c r="D603" s="4" t="s">
        <v>2891</v>
      </c>
      <c r="E603" s="4" t="s">
        <v>2891</v>
      </c>
      <c r="F603" s="7">
        <v>211</v>
      </c>
      <c r="G603" s="7">
        <v>17</v>
      </c>
      <c r="H603" s="16" t="str">
        <f t="shared" si="9"/>
        <v>(601,'620','بويرة الأحداب','Bouira Lahdab','Bouira Lahdab',211),</v>
      </c>
    </row>
    <row r="604" spans="1:8" ht="20.100000000000001" customHeight="1" x14ac:dyDescent="0.25">
      <c r="A604" s="3">
        <v>602</v>
      </c>
      <c r="B604" s="8">
        <v>632</v>
      </c>
      <c r="C604" s="4" t="s">
        <v>1514</v>
      </c>
      <c r="D604" s="4" t="s">
        <v>1513</v>
      </c>
      <c r="E604" s="4" t="s">
        <v>1513</v>
      </c>
      <c r="F604" s="7">
        <v>211</v>
      </c>
      <c r="G604" s="7">
        <v>17</v>
      </c>
      <c r="H604" s="16" t="str">
        <f t="shared" si="9"/>
        <v>(602,'632','حد الصحاري','Had Sahary','Had Sahary',211),</v>
      </c>
    </row>
    <row r="605" spans="1:8" ht="20.100000000000001" customHeight="1" x14ac:dyDescent="0.25">
      <c r="A605" s="3">
        <v>603</v>
      </c>
      <c r="B605" s="8">
        <v>622</v>
      </c>
      <c r="C605" s="4" t="s">
        <v>1526</v>
      </c>
      <c r="D605" s="4" t="s">
        <v>1525</v>
      </c>
      <c r="E605" s="4" t="s">
        <v>1525</v>
      </c>
      <c r="F605" s="7">
        <v>212</v>
      </c>
      <c r="G605" s="7">
        <v>17</v>
      </c>
      <c r="H605" s="16" t="str">
        <f t="shared" si="9"/>
        <v>(603,'622','دار الشيوخ','Dar Chioukh','Dar Chioukh',212),</v>
      </c>
    </row>
    <row r="606" spans="1:8" ht="20.100000000000001" customHeight="1" x14ac:dyDescent="0.25">
      <c r="A606" s="3">
        <v>604</v>
      </c>
      <c r="B606" s="8">
        <v>637</v>
      </c>
      <c r="C606" s="4" t="s">
        <v>2892</v>
      </c>
      <c r="D606" s="4" t="s">
        <v>5861</v>
      </c>
      <c r="E606" s="4" t="s">
        <v>5861</v>
      </c>
      <c r="F606" s="7">
        <v>212</v>
      </c>
      <c r="G606" s="7">
        <v>17</v>
      </c>
      <c r="H606" s="16" t="str">
        <f t="shared" si="9"/>
        <v>(604,'637','مليليحة','M\'liliha','M\'liliha',212),</v>
      </c>
    </row>
    <row r="607" spans="1:8" ht="20.100000000000001" customHeight="1" x14ac:dyDescent="0.25">
      <c r="A607" s="3">
        <v>605</v>
      </c>
      <c r="B607" s="8">
        <v>642</v>
      </c>
      <c r="C607" s="4" t="s">
        <v>2893</v>
      </c>
      <c r="D607" s="4" t="s">
        <v>2894</v>
      </c>
      <c r="E607" s="4" t="s">
        <v>2894</v>
      </c>
      <c r="F607" s="7">
        <v>212</v>
      </c>
      <c r="G607" s="7">
        <v>17</v>
      </c>
      <c r="H607" s="16" t="str">
        <f t="shared" si="9"/>
        <v>(605,'642','سيدي بايزيد','Sidi Baizid','Sidi Baizid',212),</v>
      </c>
    </row>
    <row r="608" spans="1:8" ht="20.100000000000001" customHeight="1" x14ac:dyDescent="0.25">
      <c r="A608" s="3">
        <v>606</v>
      </c>
      <c r="B608" s="8">
        <v>618</v>
      </c>
      <c r="C608" s="4" t="s">
        <v>2895</v>
      </c>
      <c r="D608" s="4" t="s">
        <v>2896</v>
      </c>
      <c r="E608" s="4" t="s">
        <v>2896</v>
      </c>
      <c r="F608" s="7">
        <v>213</v>
      </c>
      <c r="G608" s="7">
        <v>17</v>
      </c>
      <c r="H608" s="16" t="str">
        <f t="shared" si="9"/>
        <v>(606,'618','بن يعقوب','Benyagoub','Benyagoub',213),</v>
      </c>
    </row>
    <row r="609" spans="1:8" ht="20.100000000000001" customHeight="1" x14ac:dyDescent="0.25">
      <c r="A609" s="3">
        <v>607</v>
      </c>
      <c r="B609" s="8">
        <v>621</v>
      </c>
      <c r="C609" s="4" t="s">
        <v>1524</v>
      </c>
      <c r="D609" s="4" t="s">
        <v>1523</v>
      </c>
      <c r="E609" s="4" t="s">
        <v>1523</v>
      </c>
      <c r="F609" s="7">
        <v>213</v>
      </c>
      <c r="G609" s="7">
        <v>17</v>
      </c>
      <c r="H609" s="16" t="str">
        <f t="shared" si="9"/>
        <v>(607,'621','الشارف','Charef','Charef',213),</v>
      </c>
    </row>
    <row r="610" spans="1:8" ht="20.100000000000001" customHeight="1" x14ac:dyDescent="0.25">
      <c r="A610" s="3">
        <v>608</v>
      </c>
      <c r="B610" s="8">
        <v>626</v>
      </c>
      <c r="C610" s="4" t="s">
        <v>2897</v>
      </c>
      <c r="D610" s="4" t="s">
        <v>2898</v>
      </c>
      <c r="E610" s="4" t="s">
        <v>2898</v>
      </c>
      <c r="F610" s="7">
        <v>213</v>
      </c>
      <c r="G610" s="7">
        <v>17</v>
      </c>
      <c r="H610" s="16" t="str">
        <f t="shared" si="9"/>
        <v>(608,'626','القديد','El Guedid','El Guedid',213),</v>
      </c>
    </row>
    <row r="611" spans="1:8" ht="20.100000000000001" customHeight="1" x14ac:dyDescent="0.25">
      <c r="A611" s="3">
        <v>609</v>
      </c>
      <c r="B611" s="8">
        <v>612</v>
      </c>
      <c r="C611" s="4" t="s">
        <v>1512</v>
      </c>
      <c r="D611" s="4" t="s">
        <v>1511</v>
      </c>
      <c r="E611" s="4" t="s">
        <v>1511</v>
      </c>
      <c r="F611" s="7">
        <v>214</v>
      </c>
      <c r="G611" s="7">
        <v>17</v>
      </c>
      <c r="H611" s="16" t="str">
        <f t="shared" si="9"/>
        <v>(609,'612','عين الإبل','Ain El Ibel','Ain El Ibel',214),</v>
      </c>
    </row>
    <row r="612" spans="1:8" ht="20.100000000000001" customHeight="1" x14ac:dyDescent="0.25">
      <c r="A612" s="3">
        <v>610</v>
      </c>
      <c r="B612" s="8">
        <v>638</v>
      </c>
      <c r="C612" s="4" t="s">
        <v>2899</v>
      </c>
      <c r="D612" s="4" t="s">
        <v>2900</v>
      </c>
      <c r="E612" s="4" t="s">
        <v>2900</v>
      </c>
      <c r="F612" s="7">
        <v>214</v>
      </c>
      <c r="G612" s="7">
        <v>17</v>
      </c>
      <c r="H612" s="16" t="str">
        <f t="shared" si="9"/>
        <v>(610,'638','مجبارة','Moudjebara','Moudjebara',214),</v>
      </c>
    </row>
    <row r="613" spans="1:8" ht="20.100000000000001" customHeight="1" x14ac:dyDescent="0.25">
      <c r="A613" s="3">
        <v>611</v>
      </c>
      <c r="B613" s="8">
        <v>644</v>
      </c>
      <c r="C613" s="4" t="s">
        <v>2901</v>
      </c>
      <c r="D613" s="4" t="s">
        <v>2902</v>
      </c>
      <c r="E613" s="4" t="s">
        <v>2902</v>
      </c>
      <c r="F613" s="7">
        <v>214</v>
      </c>
      <c r="G613" s="7">
        <v>17</v>
      </c>
      <c r="H613" s="16" t="str">
        <f t="shared" si="9"/>
        <v>(611,'644','تعظميت','Taadmit','Taadmit',214),</v>
      </c>
    </row>
    <row r="614" spans="1:8" ht="20.100000000000001" customHeight="1" x14ac:dyDescent="0.25">
      <c r="A614" s="3">
        <v>612</v>
      </c>
      <c r="B614" s="8">
        <v>646</v>
      </c>
      <c r="C614" s="4" t="s">
        <v>2903</v>
      </c>
      <c r="D614" s="4" t="s">
        <v>2904</v>
      </c>
      <c r="E614" s="4" t="s">
        <v>2904</v>
      </c>
      <c r="F614" s="7">
        <v>214</v>
      </c>
      <c r="G614" s="7">
        <v>17</v>
      </c>
      <c r="H614" s="16" t="str">
        <f t="shared" si="9"/>
        <v>(612,'646','زكار','Zaccar','Zaccar',214),</v>
      </c>
    </row>
    <row r="615" spans="1:8" ht="20.100000000000001" customHeight="1" x14ac:dyDescent="0.25">
      <c r="A615" s="3">
        <v>613</v>
      </c>
      <c r="B615" s="8">
        <v>615</v>
      </c>
      <c r="C615" s="4" t="s">
        <v>1518</v>
      </c>
      <c r="D615" s="4" t="s">
        <v>1517</v>
      </c>
      <c r="E615" s="4" t="s">
        <v>1517</v>
      </c>
      <c r="F615" s="7">
        <v>215</v>
      </c>
      <c r="G615" s="7">
        <v>17</v>
      </c>
      <c r="H615" s="16" t="str">
        <f t="shared" si="9"/>
        <v>(613,'615','عين وسارة','Ain Oussera','Ain Oussera',215),</v>
      </c>
    </row>
    <row r="616" spans="1:8" ht="20.100000000000001" customHeight="1" x14ac:dyDescent="0.25">
      <c r="A616" s="3">
        <v>614</v>
      </c>
      <c r="B616" s="8">
        <v>630</v>
      </c>
      <c r="C616" s="4" t="s">
        <v>2905</v>
      </c>
      <c r="D616" s="4" t="s">
        <v>2906</v>
      </c>
      <c r="E616" s="4" t="s">
        <v>2906</v>
      </c>
      <c r="F616" s="7">
        <v>215</v>
      </c>
      <c r="G616" s="7">
        <v>17</v>
      </c>
      <c r="H616" s="16" t="str">
        <f t="shared" si="9"/>
        <v>(614,'630','قرنيني','Guernini','Guernini',215),</v>
      </c>
    </row>
    <row r="617" spans="1:8" ht="20.100000000000001" customHeight="1" x14ac:dyDescent="0.25">
      <c r="A617" s="3">
        <v>615</v>
      </c>
      <c r="B617" s="8">
        <v>662</v>
      </c>
      <c r="C617" s="4" t="s">
        <v>1005</v>
      </c>
      <c r="D617" s="4" t="s">
        <v>1006</v>
      </c>
      <c r="E617" s="4" t="s">
        <v>1006</v>
      </c>
      <c r="F617" s="7">
        <v>216</v>
      </c>
      <c r="G617" s="7">
        <v>18</v>
      </c>
      <c r="H617" s="16" t="str">
        <f t="shared" si="9"/>
        <v>(615,'662','جيجل','Jijel','Jijel',216),</v>
      </c>
    </row>
    <row r="618" spans="1:8" ht="20.100000000000001" customHeight="1" x14ac:dyDescent="0.25">
      <c r="A618" s="3">
        <v>616</v>
      </c>
      <c r="B618" s="8">
        <v>656</v>
      </c>
      <c r="C618" s="4" t="s">
        <v>1540</v>
      </c>
      <c r="D618" s="4" t="s">
        <v>1539</v>
      </c>
      <c r="E618" s="4" t="s">
        <v>1539</v>
      </c>
      <c r="F618" s="7">
        <v>217</v>
      </c>
      <c r="G618" s="7">
        <v>18</v>
      </c>
      <c r="H618" s="16" t="str">
        <f t="shared" si="9"/>
        <v>(616,'656','العوانة','El Aouana','El Aouana',217),</v>
      </c>
    </row>
    <row r="619" spans="1:8" ht="20.100000000000001" customHeight="1" x14ac:dyDescent="0.25">
      <c r="A619" s="3">
        <v>617</v>
      </c>
      <c r="B619" s="8">
        <v>668</v>
      </c>
      <c r="C619" s="4" t="s">
        <v>2907</v>
      </c>
      <c r="D619" s="4" t="s">
        <v>2908</v>
      </c>
      <c r="E619" s="4" t="s">
        <v>2908</v>
      </c>
      <c r="F619" s="7">
        <v>217</v>
      </c>
      <c r="G619" s="7">
        <v>18</v>
      </c>
      <c r="H619" s="16" t="str">
        <f t="shared" si="9"/>
        <v>(617,'668','سلمى بن زيادة','Selma Benziada','Selma Benziada',217),</v>
      </c>
    </row>
    <row r="620" spans="1:8" ht="20.100000000000001" customHeight="1" x14ac:dyDescent="0.25">
      <c r="A620" s="3">
        <v>618</v>
      </c>
      <c r="B620" s="8">
        <v>660</v>
      </c>
      <c r="C620" s="4" t="s">
        <v>2909</v>
      </c>
      <c r="D620" s="4" t="s">
        <v>2910</v>
      </c>
      <c r="E620" s="4" t="s">
        <v>2910</v>
      </c>
      <c r="F620" s="7">
        <v>218</v>
      </c>
      <c r="G620" s="7">
        <v>18</v>
      </c>
      <c r="H620" s="16" t="str">
        <f t="shared" si="9"/>
        <v>(618,'660','أراقن سويسي','Erraguene Souissi','Erraguene Souissi',218),</v>
      </c>
    </row>
    <row r="621" spans="1:8" ht="20.100000000000001" customHeight="1" x14ac:dyDescent="0.25">
      <c r="A621" s="3">
        <v>619</v>
      </c>
      <c r="B621" s="8">
        <v>674</v>
      </c>
      <c r="C621" s="4" t="s">
        <v>1544</v>
      </c>
      <c r="D621" s="4" t="s">
        <v>2911</v>
      </c>
      <c r="E621" s="4" t="s">
        <v>2911</v>
      </c>
      <c r="F621" s="7">
        <v>218</v>
      </c>
      <c r="G621" s="7">
        <v>18</v>
      </c>
      <c r="H621" s="16" t="str">
        <f t="shared" si="9"/>
        <v>(619,'674','زيامة منصورية','Ziama Mansouriah','Ziama Mansouriah',218),</v>
      </c>
    </row>
    <row r="622" spans="1:8" ht="20.100000000000001" customHeight="1" x14ac:dyDescent="0.25">
      <c r="A622" s="3">
        <v>620</v>
      </c>
      <c r="B622" s="8">
        <v>650</v>
      </c>
      <c r="C622" s="4" t="s">
        <v>2912</v>
      </c>
      <c r="D622" s="4" t="s">
        <v>2913</v>
      </c>
      <c r="E622" s="4" t="s">
        <v>2913</v>
      </c>
      <c r="F622" s="7">
        <v>219</v>
      </c>
      <c r="G622" s="7">
        <v>18</v>
      </c>
      <c r="H622" s="16" t="str">
        <f t="shared" si="9"/>
        <v>(620,'650','بوسيف أولاد عسكر','Boussif Ouled Askeur','Boussif Ouled Askeur',219),</v>
      </c>
    </row>
    <row r="623" spans="1:8" ht="20.100000000000001" customHeight="1" x14ac:dyDescent="0.25">
      <c r="A623" s="3">
        <v>621</v>
      </c>
      <c r="B623" s="8">
        <v>651</v>
      </c>
      <c r="C623" s="4" t="s">
        <v>2914</v>
      </c>
      <c r="D623" s="4" t="s">
        <v>2915</v>
      </c>
      <c r="E623" s="4" t="s">
        <v>2915</v>
      </c>
      <c r="F623" s="7">
        <v>219</v>
      </c>
      <c r="G623" s="7">
        <v>18</v>
      </c>
      <c r="H623" s="16" t="str">
        <f t="shared" si="9"/>
        <v>(621,'651','الشحنة','Chahna','Chahna',219),</v>
      </c>
    </row>
    <row r="624" spans="1:8" ht="20.100000000000001" customHeight="1" x14ac:dyDescent="0.25">
      <c r="A624" s="3">
        <v>622</v>
      </c>
      <c r="B624" s="8">
        <v>659</v>
      </c>
      <c r="C624" s="4" t="s">
        <v>2916</v>
      </c>
      <c r="D624" s="4" t="s">
        <v>2917</v>
      </c>
      <c r="E624" s="4" t="s">
        <v>2917</v>
      </c>
      <c r="F624" s="7">
        <v>219</v>
      </c>
      <c r="G624" s="7">
        <v>18</v>
      </c>
      <c r="H624" s="16" t="str">
        <f t="shared" si="9"/>
        <v>(622,'659','الامير عبد القادر','Emir Abdelkader','Emir Abdelkader',219),</v>
      </c>
    </row>
    <row r="625" spans="1:8" ht="20.100000000000001" customHeight="1" x14ac:dyDescent="0.25">
      <c r="A625" s="3">
        <v>623</v>
      </c>
      <c r="B625" s="8">
        <v>665</v>
      </c>
      <c r="C625" s="4" t="s">
        <v>2918</v>
      </c>
      <c r="D625" s="4" t="s">
        <v>2919</v>
      </c>
      <c r="E625" s="4" t="s">
        <v>2919</v>
      </c>
      <c r="F625" s="7">
        <v>219</v>
      </c>
      <c r="G625" s="7">
        <v>18</v>
      </c>
      <c r="H625" s="16" t="str">
        <f t="shared" si="9"/>
        <v>(623,'665','وجانة','Oudjana','Oudjana',219),</v>
      </c>
    </row>
    <row r="626" spans="1:8" ht="20.100000000000001" customHeight="1" x14ac:dyDescent="0.25">
      <c r="A626" s="3">
        <v>624</v>
      </c>
      <c r="B626" s="8">
        <v>672</v>
      </c>
      <c r="C626" s="4" t="s">
        <v>1538</v>
      </c>
      <c r="D626" s="4" t="s">
        <v>1537</v>
      </c>
      <c r="E626" s="4" t="s">
        <v>1537</v>
      </c>
      <c r="F626" s="7">
        <v>219</v>
      </c>
      <c r="G626" s="7">
        <v>18</v>
      </c>
      <c r="H626" s="16" t="str">
        <f t="shared" si="9"/>
        <v>(624,'672','الطاهير','Taher','Taher',219),</v>
      </c>
    </row>
    <row r="627" spans="1:8" ht="20.100000000000001" customHeight="1" x14ac:dyDescent="0.25">
      <c r="A627" s="3">
        <v>625</v>
      </c>
      <c r="B627" s="8">
        <v>647</v>
      </c>
      <c r="C627" s="4" t="s">
        <v>2920</v>
      </c>
      <c r="D627" s="4" t="s">
        <v>5862</v>
      </c>
      <c r="E627" s="4" t="s">
        <v>5862</v>
      </c>
      <c r="F627" s="7">
        <v>220</v>
      </c>
      <c r="G627" s="7">
        <v>18</v>
      </c>
      <c r="H627" s="16" t="str">
        <f t="shared" si="9"/>
        <v>(625,'647','برج الطهر','Bordj T\'har','Bordj T\'har',220),</v>
      </c>
    </row>
    <row r="628" spans="1:8" ht="20.100000000000001" customHeight="1" x14ac:dyDescent="0.25">
      <c r="A628" s="3">
        <v>626</v>
      </c>
      <c r="B628" s="8">
        <v>652</v>
      </c>
      <c r="C628" s="4" t="s">
        <v>1532</v>
      </c>
      <c r="D628" s="4" t="s">
        <v>1531</v>
      </c>
      <c r="E628" s="4" t="s">
        <v>1531</v>
      </c>
      <c r="F628" s="7">
        <v>220</v>
      </c>
      <c r="G628" s="7">
        <v>18</v>
      </c>
      <c r="H628" s="16" t="str">
        <f t="shared" si="9"/>
        <v>(626,'652','الشقفة','Chekfa','Chekfa',220),</v>
      </c>
    </row>
    <row r="629" spans="1:8" ht="20.100000000000001" customHeight="1" x14ac:dyDescent="0.25">
      <c r="A629" s="3">
        <v>627</v>
      </c>
      <c r="B629" s="8">
        <v>657</v>
      </c>
      <c r="C629" s="4" t="s">
        <v>2921</v>
      </c>
      <c r="D629" s="4" t="s">
        <v>2922</v>
      </c>
      <c r="E629" s="4" t="s">
        <v>2922</v>
      </c>
      <c r="F629" s="7">
        <v>220</v>
      </c>
      <c r="G629" s="7">
        <v>18</v>
      </c>
      <c r="H629" s="16" t="str">
        <f t="shared" si="9"/>
        <v>(627,'657','القنار نشفي','El Kennar Nouchfi','El Kennar Nouchfi',220),</v>
      </c>
    </row>
    <row r="630" spans="1:8" ht="20.100000000000001" customHeight="1" x14ac:dyDescent="0.25">
      <c r="A630" s="3">
        <v>628</v>
      </c>
      <c r="B630" s="8">
        <v>670</v>
      </c>
      <c r="C630" s="4" t="s">
        <v>2923</v>
      </c>
      <c r="D630" s="4" t="s">
        <v>2924</v>
      </c>
      <c r="E630" s="4" t="s">
        <v>2924</v>
      </c>
      <c r="F630" s="7">
        <v>220</v>
      </c>
      <c r="G630" s="7">
        <v>18</v>
      </c>
      <c r="H630" s="16" t="str">
        <f t="shared" si="9"/>
        <v>(628,'670','سيدي عبد العزيز','Sidi Abdelaziz','Sidi Abdelaziz',220),</v>
      </c>
    </row>
    <row r="631" spans="1:8" ht="20.100000000000001" customHeight="1" x14ac:dyDescent="0.25">
      <c r="A631" s="3">
        <v>629</v>
      </c>
      <c r="B631" s="8">
        <v>658</v>
      </c>
      <c r="C631" s="4" t="s">
        <v>1542</v>
      </c>
      <c r="D631" s="4" t="s">
        <v>1541</v>
      </c>
      <c r="E631" s="4" t="s">
        <v>1541</v>
      </c>
      <c r="F631" s="7">
        <v>221</v>
      </c>
      <c r="G631" s="7">
        <v>18</v>
      </c>
      <c r="H631" s="16" t="str">
        <f t="shared" si="9"/>
        <v>(629,'658','الميلية','El Milia','El Milia',221),</v>
      </c>
    </row>
    <row r="632" spans="1:8" ht="20.100000000000001" customHeight="1" x14ac:dyDescent="0.25">
      <c r="A632" s="3">
        <v>630</v>
      </c>
      <c r="B632" s="8">
        <v>667</v>
      </c>
      <c r="C632" s="4" t="s">
        <v>2925</v>
      </c>
      <c r="D632" s="4" t="s">
        <v>2926</v>
      </c>
      <c r="E632" s="4" t="s">
        <v>2926</v>
      </c>
      <c r="F632" s="7">
        <v>221</v>
      </c>
      <c r="G632" s="7">
        <v>18</v>
      </c>
      <c r="H632" s="16" t="str">
        <f t="shared" si="9"/>
        <v>(630,'667','أولاد يحيى خدروش','Ouled Yahia Khadrouch','Ouled Yahia Khadrouch',221),</v>
      </c>
    </row>
    <row r="633" spans="1:8" ht="20.100000000000001" customHeight="1" x14ac:dyDescent="0.25">
      <c r="A633" s="3">
        <v>631</v>
      </c>
      <c r="B633" s="8">
        <v>666</v>
      </c>
      <c r="C633" s="4" t="s">
        <v>2927</v>
      </c>
      <c r="D633" s="4" t="s">
        <v>2928</v>
      </c>
      <c r="E633" s="4" t="s">
        <v>2928</v>
      </c>
      <c r="F633" s="7">
        <v>222</v>
      </c>
      <c r="G633" s="7">
        <v>18</v>
      </c>
      <c r="H633" s="16" t="str">
        <f t="shared" si="9"/>
        <v>(631,'666','أولاد رابح','Ouled Rabah','Ouled Rabah',222),</v>
      </c>
    </row>
    <row r="634" spans="1:8" ht="20.100000000000001" customHeight="1" x14ac:dyDescent="0.25">
      <c r="A634" s="3">
        <v>632</v>
      </c>
      <c r="B634" s="8">
        <v>671</v>
      </c>
      <c r="C634" s="4" t="s">
        <v>1550</v>
      </c>
      <c r="D634" s="4" t="s">
        <v>1549</v>
      </c>
      <c r="E634" s="4" t="s">
        <v>1549</v>
      </c>
      <c r="F634" s="7">
        <v>222</v>
      </c>
      <c r="G634" s="7">
        <v>18</v>
      </c>
      <c r="H634" s="16" t="str">
        <f t="shared" si="9"/>
        <v>(632,'671','سيدي معروف','Sidi Marouf','Sidi Marouf',222),</v>
      </c>
    </row>
    <row r="635" spans="1:8" ht="20.100000000000001" customHeight="1" x14ac:dyDescent="0.25">
      <c r="A635" s="3">
        <v>633</v>
      </c>
      <c r="B635" s="8">
        <v>661</v>
      </c>
      <c r="C635" s="4" t="s">
        <v>2929</v>
      </c>
      <c r="D635" s="4" t="s">
        <v>2930</v>
      </c>
      <c r="E635" s="4" t="s">
        <v>2930</v>
      </c>
      <c r="F635" s="7">
        <v>223</v>
      </c>
      <c r="G635" s="7">
        <v>18</v>
      </c>
      <c r="H635" s="16" t="str">
        <f t="shared" si="9"/>
        <v>(633,'661','غبالة','Ghebala','Ghebala',223),</v>
      </c>
    </row>
    <row r="636" spans="1:8" ht="20.100000000000001" customHeight="1" x14ac:dyDescent="0.25">
      <c r="A636" s="3">
        <v>634</v>
      </c>
      <c r="B636" s="8">
        <v>669</v>
      </c>
      <c r="C636" s="4" t="s">
        <v>1546</v>
      </c>
      <c r="D636" s="4" t="s">
        <v>1545</v>
      </c>
      <c r="E636" s="4" t="s">
        <v>1545</v>
      </c>
      <c r="F636" s="7">
        <v>223</v>
      </c>
      <c r="G636" s="7">
        <v>18</v>
      </c>
      <c r="H636" s="16" t="str">
        <f t="shared" si="9"/>
        <v>(634,'669','السطارة','Settara','Settara',223),</v>
      </c>
    </row>
    <row r="637" spans="1:8" ht="20.100000000000001" customHeight="1" x14ac:dyDescent="0.25">
      <c r="A637" s="3">
        <v>635</v>
      </c>
      <c r="B637" s="8">
        <v>649</v>
      </c>
      <c r="C637" s="4" t="s">
        <v>2931</v>
      </c>
      <c r="D637" s="4" t="s">
        <v>2932</v>
      </c>
      <c r="E637" s="4" t="s">
        <v>2932</v>
      </c>
      <c r="F637" s="7">
        <v>224</v>
      </c>
      <c r="G637" s="7">
        <v>18</v>
      </c>
      <c r="H637" s="16" t="str">
        <f t="shared" si="9"/>
        <v>(635,'649','بوراوي بلهادف','Bouraoui Belhadef','Bouraoui Belhadef',224),</v>
      </c>
    </row>
    <row r="638" spans="1:8" ht="20.100000000000001" customHeight="1" x14ac:dyDescent="0.25">
      <c r="A638" s="3">
        <v>636</v>
      </c>
      <c r="B638" s="8">
        <v>653</v>
      </c>
      <c r="C638" s="4" t="s">
        <v>2933</v>
      </c>
      <c r="D638" s="4" t="s">
        <v>2934</v>
      </c>
      <c r="E638" s="4" t="s">
        <v>2934</v>
      </c>
      <c r="F638" s="7">
        <v>224</v>
      </c>
      <c r="G638" s="7">
        <v>18</v>
      </c>
      <c r="H638" s="16" t="str">
        <f t="shared" si="9"/>
        <v>(636,'653','الجمعة بني حبيبي','Djemaa Beni Habibi','Djemaa Beni Habibi',224),</v>
      </c>
    </row>
    <row r="639" spans="1:8" ht="20.100000000000001" customHeight="1" x14ac:dyDescent="0.25">
      <c r="A639" s="3">
        <v>637</v>
      </c>
      <c r="B639" s="8">
        <v>655</v>
      </c>
      <c r="C639" s="4" t="s">
        <v>1536</v>
      </c>
      <c r="D639" s="4" t="s">
        <v>1535</v>
      </c>
      <c r="E639" s="4" t="s">
        <v>1535</v>
      </c>
      <c r="F639" s="7">
        <v>224</v>
      </c>
      <c r="G639" s="7">
        <v>18</v>
      </c>
      <c r="H639" s="16" t="str">
        <f t="shared" si="9"/>
        <v>(637,'655','العنصر','El Ancer','El Ancer',224),</v>
      </c>
    </row>
    <row r="640" spans="1:8" ht="20.100000000000001" customHeight="1" x14ac:dyDescent="0.25">
      <c r="A640" s="3">
        <v>638</v>
      </c>
      <c r="B640" s="8">
        <v>664</v>
      </c>
      <c r="C640" s="4" t="s">
        <v>2935</v>
      </c>
      <c r="D640" s="4" t="s">
        <v>2936</v>
      </c>
      <c r="E640" s="4" t="s">
        <v>2936</v>
      </c>
      <c r="F640" s="7">
        <v>224</v>
      </c>
      <c r="G640" s="7">
        <v>18</v>
      </c>
      <c r="H640" s="16" t="str">
        <f t="shared" si="9"/>
        <v>(638,'664','خيري واد عجول','Khiri Oued Adjoul','Khiri Oued Adjoul',224),</v>
      </c>
    </row>
    <row r="641" spans="1:8" ht="20.100000000000001" customHeight="1" x14ac:dyDescent="0.25">
      <c r="A641" s="3">
        <v>639</v>
      </c>
      <c r="B641" s="8">
        <v>648</v>
      </c>
      <c r="C641" s="4" t="s">
        <v>2937</v>
      </c>
      <c r="D641" s="4" t="s">
        <v>2938</v>
      </c>
      <c r="E641" s="4" t="s">
        <v>2938</v>
      </c>
      <c r="F641" s="7">
        <v>225</v>
      </c>
      <c r="G641" s="7">
        <v>18</v>
      </c>
      <c r="H641" s="16" t="str">
        <f t="shared" si="9"/>
        <v>(639,'648','بودريعة بني  ياجيس','Boudria Beniyadjis','Boudria Beniyadjis',225),</v>
      </c>
    </row>
    <row r="642" spans="1:8" ht="20.100000000000001" customHeight="1" x14ac:dyDescent="0.25">
      <c r="A642" s="3">
        <v>640</v>
      </c>
      <c r="B642" s="8">
        <v>654</v>
      </c>
      <c r="C642" s="4" t="s">
        <v>1534</v>
      </c>
      <c r="D642" s="4" t="s">
        <v>1533</v>
      </c>
      <c r="E642" s="4" t="s">
        <v>1533</v>
      </c>
      <c r="F642" s="7">
        <v>225</v>
      </c>
      <c r="G642" s="7">
        <v>18</v>
      </c>
      <c r="H642" s="16" t="str">
        <f t="shared" si="9"/>
        <v>(640,'654','جيملة','Djimla','Djimla',225),</v>
      </c>
    </row>
    <row r="643" spans="1:8" ht="20.100000000000001" customHeight="1" x14ac:dyDescent="0.25">
      <c r="A643" s="3">
        <v>641</v>
      </c>
      <c r="B643" s="8">
        <v>663</v>
      </c>
      <c r="C643" s="4" t="s">
        <v>2939</v>
      </c>
      <c r="D643" s="4" t="s">
        <v>2940</v>
      </c>
      <c r="E643" s="4" t="s">
        <v>2940</v>
      </c>
      <c r="F643" s="7">
        <v>226</v>
      </c>
      <c r="G643" s="7">
        <v>18</v>
      </c>
      <c r="H643" s="16" t="str">
        <f t="shared" si="9"/>
        <v>(641,'663','قاوس','Kaous','Kaous',226),</v>
      </c>
    </row>
    <row r="644" spans="1:8" ht="20.100000000000001" customHeight="1" x14ac:dyDescent="0.25">
      <c r="A644" s="3">
        <v>642</v>
      </c>
      <c r="B644" s="8">
        <v>673</v>
      </c>
      <c r="C644" s="4" t="s">
        <v>1548</v>
      </c>
      <c r="D644" s="4" t="s">
        <v>1547</v>
      </c>
      <c r="E644" s="4" t="s">
        <v>1547</v>
      </c>
      <c r="F644" s="7">
        <v>226</v>
      </c>
      <c r="G644" s="7">
        <v>18</v>
      </c>
      <c r="H644" s="16" t="str">
        <f t="shared" ref="H644:H707" si="10">CONCATENATE("(",A644,",'",B644,"','",C644,"','",D644,"','",E644,"',",F644,"),")</f>
        <v>(642,'673','تاكسنة','Texenna','Texenna',226),</v>
      </c>
    </row>
    <row r="645" spans="1:8" ht="20.100000000000001" customHeight="1" x14ac:dyDescent="0.25">
      <c r="A645" s="3">
        <v>643</v>
      </c>
      <c r="B645" s="8">
        <v>729</v>
      </c>
      <c r="C645" s="4" t="s">
        <v>1007</v>
      </c>
      <c r="D645" s="4" t="s">
        <v>1094</v>
      </c>
      <c r="E645" s="4" t="s">
        <v>1094</v>
      </c>
      <c r="F645" s="7">
        <v>227</v>
      </c>
      <c r="G645" s="7">
        <v>19</v>
      </c>
      <c r="H645" s="16" t="str">
        <f t="shared" si="10"/>
        <v>(643,'729','سطيف','Setif','Setif',227),</v>
      </c>
    </row>
    <row r="646" spans="1:8" ht="20.100000000000001" customHeight="1" x14ac:dyDescent="0.25">
      <c r="A646" s="3">
        <v>644</v>
      </c>
      <c r="B646" s="8">
        <v>678</v>
      </c>
      <c r="C646" s="4" t="s">
        <v>1556</v>
      </c>
      <c r="D646" s="4" t="s">
        <v>1555</v>
      </c>
      <c r="E646" s="4" t="s">
        <v>1555</v>
      </c>
      <c r="F646" s="7">
        <v>228</v>
      </c>
      <c r="G646" s="7">
        <v>19</v>
      </c>
      <c r="H646" s="16" t="str">
        <f t="shared" si="10"/>
        <v>(644,'678','عين الكبيرة','Ain El Kebira','Ain El Kebira',228),</v>
      </c>
    </row>
    <row r="647" spans="1:8" ht="20.100000000000001" customHeight="1" x14ac:dyDescent="0.25">
      <c r="A647" s="3">
        <v>645</v>
      </c>
      <c r="B647" s="8">
        <v>703</v>
      </c>
      <c r="C647" s="4" t="s">
        <v>2941</v>
      </c>
      <c r="D647" s="4" t="s">
        <v>2942</v>
      </c>
      <c r="E647" s="4" t="s">
        <v>2942</v>
      </c>
      <c r="F647" s="7">
        <v>228</v>
      </c>
      <c r="G647" s="7">
        <v>19</v>
      </c>
      <c r="H647" s="16" t="str">
        <f t="shared" si="10"/>
        <v>(645,'703','الدهامشة','Dehamcha','Dehamcha',228),</v>
      </c>
    </row>
    <row r="648" spans="1:8" ht="20.100000000000001" customHeight="1" x14ac:dyDescent="0.25">
      <c r="A648" s="3">
        <v>646</v>
      </c>
      <c r="B648" s="8">
        <v>722</v>
      </c>
      <c r="C648" s="4" t="s">
        <v>2943</v>
      </c>
      <c r="D648" s="4" t="s">
        <v>2944</v>
      </c>
      <c r="E648" s="4" t="s">
        <v>2944</v>
      </c>
      <c r="F648" s="7">
        <v>228</v>
      </c>
      <c r="G648" s="7">
        <v>19</v>
      </c>
      <c r="H648" s="16" t="str">
        <f t="shared" si="10"/>
        <v>(646,'722','أولاد عدوان','Ouled Addouane','Ouled Addouane',228),</v>
      </c>
    </row>
    <row r="649" spans="1:8" ht="20.100000000000001" customHeight="1" x14ac:dyDescent="0.25">
      <c r="A649" s="3">
        <v>647</v>
      </c>
      <c r="B649" s="8">
        <v>683</v>
      </c>
      <c r="C649" s="4" t="s">
        <v>2945</v>
      </c>
      <c r="D649" s="4" t="s">
        <v>2946</v>
      </c>
      <c r="E649" s="4" t="s">
        <v>2946</v>
      </c>
      <c r="F649" s="7">
        <v>229</v>
      </c>
      <c r="G649" s="7">
        <v>19</v>
      </c>
      <c r="H649" s="16" t="str">
        <f t="shared" si="10"/>
        <v>(647,'683','عين السبت','Ain-Sebt','Ain-Sebt',229),</v>
      </c>
    </row>
    <row r="650" spans="1:8" ht="20.100000000000001" customHeight="1" x14ac:dyDescent="0.25">
      <c r="A650" s="3">
        <v>648</v>
      </c>
      <c r="B650" s="8">
        <v>695</v>
      </c>
      <c r="C650" s="4" t="s">
        <v>1564</v>
      </c>
      <c r="D650" s="4" t="s">
        <v>2947</v>
      </c>
      <c r="E650" s="4" t="s">
        <v>2947</v>
      </c>
      <c r="F650" s="7">
        <v>229</v>
      </c>
      <c r="G650" s="7">
        <v>19</v>
      </c>
      <c r="H650" s="16" t="str">
        <f t="shared" si="10"/>
        <v>(648,'695','بني عزيز','Beni-Aziz','Beni-Aziz',229),</v>
      </c>
    </row>
    <row r="651" spans="1:8" ht="20.100000000000001" customHeight="1" x14ac:dyDescent="0.25">
      <c r="A651" s="3">
        <v>649</v>
      </c>
      <c r="B651" s="8">
        <v>718</v>
      </c>
      <c r="C651" s="4" t="s">
        <v>2948</v>
      </c>
      <c r="D651" s="4" t="s">
        <v>2949</v>
      </c>
      <c r="E651" s="4" t="s">
        <v>2949</v>
      </c>
      <c r="F651" s="7">
        <v>229</v>
      </c>
      <c r="G651" s="7">
        <v>19</v>
      </c>
      <c r="H651" s="16" t="str">
        <f t="shared" si="10"/>
        <v>(649,'718','معاوية','Maaouia','Maaouia',229),</v>
      </c>
    </row>
    <row r="652" spans="1:8" ht="20.100000000000001" customHeight="1" x14ac:dyDescent="0.25">
      <c r="A652" s="3">
        <v>650</v>
      </c>
      <c r="B652" s="8">
        <v>690</v>
      </c>
      <c r="C652" s="4" t="s">
        <v>2950</v>
      </c>
      <c r="D652" s="4" t="s">
        <v>2951</v>
      </c>
      <c r="E652" s="4" t="s">
        <v>2951</v>
      </c>
      <c r="F652" s="7">
        <v>230</v>
      </c>
      <c r="G652" s="7">
        <v>19</v>
      </c>
      <c r="H652" s="16" t="str">
        <f t="shared" si="10"/>
        <v>(650,'690','بلاعة','Bellaa','Bellaa',230),</v>
      </c>
    </row>
    <row r="653" spans="1:8" ht="20.100000000000001" customHeight="1" x14ac:dyDescent="0.25">
      <c r="A653" s="3">
        <v>651</v>
      </c>
      <c r="B653" s="8">
        <v>698</v>
      </c>
      <c r="C653" s="4" t="s">
        <v>1574</v>
      </c>
      <c r="D653" s="4" t="s">
        <v>2952</v>
      </c>
      <c r="E653" s="4" t="s">
        <v>2952</v>
      </c>
      <c r="F653" s="7">
        <v>230</v>
      </c>
      <c r="G653" s="7">
        <v>19</v>
      </c>
      <c r="H653" s="16" t="str">
        <f t="shared" si="10"/>
        <v>(651,'698','بئر العرش','Bir-El-Arch','Bir-El-Arch',230),</v>
      </c>
    </row>
    <row r="654" spans="1:8" ht="20.100000000000001" customHeight="1" x14ac:dyDescent="0.25">
      <c r="A654" s="3">
        <v>652</v>
      </c>
      <c r="B654" s="8">
        <v>708</v>
      </c>
      <c r="C654" s="4" t="s">
        <v>2953</v>
      </c>
      <c r="D654" s="4" t="s">
        <v>2954</v>
      </c>
      <c r="E654" s="4" t="s">
        <v>2954</v>
      </c>
      <c r="F654" s="7">
        <v>230</v>
      </c>
      <c r="G654" s="7">
        <v>19</v>
      </c>
      <c r="H654" s="16" t="str">
        <f t="shared" si="10"/>
        <v>(652,'708','الولجة','El-Ouldja','El-Ouldja',230),</v>
      </c>
    </row>
    <row r="655" spans="1:8" ht="20.100000000000001" customHeight="1" x14ac:dyDescent="0.25">
      <c r="A655" s="3">
        <v>653</v>
      </c>
      <c r="B655" s="8">
        <v>730</v>
      </c>
      <c r="C655" s="4" t="s">
        <v>2955</v>
      </c>
      <c r="D655" s="4" t="s">
        <v>2956</v>
      </c>
      <c r="E655" s="4" t="s">
        <v>2956</v>
      </c>
      <c r="F655" s="7">
        <v>230</v>
      </c>
      <c r="G655" s="7">
        <v>19</v>
      </c>
      <c r="H655" s="16" t="str">
        <f t="shared" si="10"/>
        <v>(653,'730','تاشودة','Tachouda','Tachouda',230),</v>
      </c>
    </row>
    <row r="656" spans="1:8" ht="20.100000000000001" customHeight="1" x14ac:dyDescent="0.25">
      <c r="A656" s="3">
        <v>654</v>
      </c>
      <c r="B656" s="8">
        <v>687</v>
      </c>
      <c r="C656" s="4" t="s">
        <v>1570</v>
      </c>
      <c r="D656" s="4" t="s">
        <v>1569</v>
      </c>
      <c r="E656" s="4" t="s">
        <v>1569</v>
      </c>
      <c r="F656" s="7">
        <v>231</v>
      </c>
      <c r="G656" s="7">
        <v>19</v>
      </c>
      <c r="H656" s="16" t="str">
        <f t="shared" si="10"/>
        <v>(654,'687','بابور','Babor','Babor',231),</v>
      </c>
    </row>
    <row r="657" spans="1:8" ht="20.100000000000001" customHeight="1" x14ac:dyDescent="0.25">
      <c r="A657" s="3">
        <v>655</v>
      </c>
      <c r="B657" s="8">
        <v>728</v>
      </c>
      <c r="C657" s="4" t="s">
        <v>2957</v>
      </c>
      <c r="D657" s="4" t="s">
        <v>2958</v>
      </c>
      <c r="E657" s="4" t="s">
        <v>2958</v>
      </c>
      <c r="F657" s="7">
        <v>231</v>
      </c>
      <c r="G657" s="7">
        <v>19</v>
      </c>
      <c r="H657" s="16" t="str">
        <f t="shared" si="10"/>
        <v>(655,'728','سرج الغول','Serdj-El-Ghoul','Serdj-El-Ghoul',231),</v>
      </c>
    </row>
    <row r="658" spans="1:8" ht="20.100000000000001" customHeight="1" x14ac:dyDescent="0.25">
      <c r="A658" s="3">
        <v>656</v>
      </c>
      <c r="B658" s="8">
        <v>712</v>
      </c>
      <c r="C658" s="4" t="s">
        <v>1584</v>
      </c>
      <c r="D658" s="4" t="s">
        <v>1583</v>
      </c>
      <c r="E658" s="4" t="s">
        <v>1583</v>
      </c>
      <c r="F658" s="7">
        <v>232</v>
      </c>
      <c r="G658" s="7">
        <v>19</v>
      </c>
      <c r="H658" s="16" t="str">
        <f t="shared" si="10"/>
        <v>(656,'712','قجال','Guidjel','Guidjel',232),</v>
      </c>
    </row>
    <row r="659" spans="1:8" ht="20.100000000000001" customHeight="1" x14ac:dyDescent="0.25">
      <c r="A659" s="3">
        <v>657</v>
      </c>
      <c r="B659" s="8">
        <v>723</v>
      </c>
      <c r="C659" s="4" t="s">
        <v>2959</v>
      </c>
      <c r="D659" s="4" t="s">
        <v>2960</v>
      </c>
      <c r="E659" s="4" t="s">
        <v>2960</v>
      </c>
      <c r="F659" s="7">
        <v>232</v>
      </c>
      <c r="G659" s="7">
        <v>19</v>
      </c>
      <c r="H659" s="16" t="str">
        <f t="shared" si="10"/>
        <v>(657,'723','أولاد صابر','Ouled Sabor','Ouled Sabor',232),</v>
      </c>
    </row>
    <row r="660" spans="1:8" ht="20.100000000000001" customHeight="1" x14ac:dyDescent="0.25">
      <c r="A660" s="3">
        <v>658</v>
      </c>
      <c r="B660" s="8">
        <v>688</v>
      </c>
      <c r="C660" s="4" t="s">
        <v>2961</v>
      </c>
      <c r="D660" s="4" t="s">
        <v>2962</v>
      </c>
      <c r="E660" s="4" t="s">
        <v>2962</v>
      </c>
      <c r="F660" s="7">
        <v>233</v>
      </c>
      <c r="G660" s="7">
        <v>19</v>
      </c>
      <c r="H660" s="16" t="str">
        <f t="shared" si="10"/>
        <v>(658,'688','بازر سكرة','Bazer-Sakra','Bazer-Sakra',233),</v>
      </c>
    </row>
    <row r="661" spans="1:8" ht="20.100000000000001" customHeight="1" x14ac:dyDescent="0.25">
      <c r="A661" s="3">
        <v>659</v>
      </c>
      <c r="B661" s="8">
        <v>706</v>
      </c>
      <c r="C661" s="4" t="s">
        <v>1572</v>
      </c>
      <c r="D661" s="4" t="s">
        <v>1571</v>
      </c>
      <c r="E661" s="4" t="s">
        <v>1571</v>
      </c>
      <c r="F661" s="7">
        <v>233</v>
      </c>
      <c r="G661" s="7">
        <v>19</v>
      </c>
      <c r="H661" s="16" t="str">
        <f t="shared" si="10"/>
        <v>(659,'706','العلمة','El Eulma','El Eulma',233),</v>
      </c>
    </row>
    <row r="662" spans="1:8" ht="20.100000000000001" customHeight="1" x14ac:dyDescent="0.25">
      <c r="A662" s="3">
        <v>660</v>
      </c>
      <c r="B662" s="8">
        <v>710</v>
      </c>
      <c r="C662" s="4" t="s">
        <v>2963</v>
      </c>
      <c r="D662" s="4" t="s">
        <v>2964</v>
      </c>
      <c r="E662" s="4" t="s">
        <v>2964</v>
      </c>
      <c r="F662" s="7">
        <v>233</v>
      </c>
      <c r="G662" s="7">
        <v>19</v>
      </c>
      <c r="H662" s="16" t="str">
        <f t="shared" si="10"/>
        <v>(660,'710','قلتة زرقاء','Guelta Zerka','Guelta Zerka',233),</v>
      </c>
    </row>
    <row r="663" spans="1:8" ht="20.100000000000001" customHeight="1" x14ac:dyDescent="0.25">
      <c r="A663" s="3">
        <v>661</v>
      </c>
      <c r="B663" s="8">
        <v>692</v>
      </c>
      <c r="C663" s="4" t="s">
        <v>2965</v>
      </c>
      <c r="D663" s="4" t="s">
        <v>2966</v>
      </c>
      <c r="E663" s="4" t="s">
        <v>2966</v>
      </c>
      <c r="F663" s="7">
        <v>234</v>
      </c>
      <c r="G663" s="7">
        <v>19</v>
      </c>
      <c r="H663" s="16" t="str">
        <f t="shared" si="10"/>
        <v>(661,'692','بني فودة','Beni Fouda','Beni Fouda',234),</v>
      </c>
    </row>
    <row r="664" spans="1:8" ht="20.100000000000001" customHeight="1" x14ac:dyDescent="0.25">
      <c r="A664" s="3">
        <v>662</v>
      </c>
      <c r="B664" s="8">
        <v>704</v>
      </c>
      <c r="C664" s="4" t="s">
        <v>1576</v>
      </c>
      <c r="D664" s="4" t="s">
        <v>1575</v>
      </c>
      <c r="E664" s="4" t="s">
        <v>1575</v>
      </c>
      <c r="F664" s="7">
        <v>234</v>
      </c>
      <c r="G664" s="7">
        <v>19</v>
      </c>
      <c r="H664" s="16" t="str">
        <f t="shared" si="10"/>
        <v>(662,'704','جميلة','Djemila','Djemila',234),</v>
      </c>
    </row>
    <row r="665" spans="1:8" ht="20.100000000000001" customHeight="1" x14ac:dyDescent="0.25">
      <c r="A665" s="3">
        <v>663</v>
      </c>
      <c r="B665" s="8">
        <v>681</v>
      </c>
      <c r="C665" s="4" t="s">
        <v>2967</v>
      </c>
      <c r="D665" s="4" t="s">
        <v>2968</v>
      </c>
      <c r="E665" s="4" t="s">
        <v>2968</v>
      </c>
      <c r="F665" s="7">
        <v>235</v>
      </c>
      <c r="G665" s="7">
        <v>19</v>
      </c>
      <c r="H665" s="16" t="str">
        <f t="shared" si="10"/>
        <v>(663,'681','عين لقراج','Ain-Legradj','Ain-Legradj',235),</v>
      </c>
    </row>
    <row r="666" spans="1:8" ht="20.100000000000001" customHeight="1" x14ac:dyDescent="0.25">
      <c r="A666" s="3">
        <v>664</v>
      </c>
      <c r="B666" s="8">
        <v>691</v>
      </c>
      <c r="C666" s="4" t="s">
        <v>2969</v>
      </c>
      <c r="D666" s="4" t="s">
        <v>2970</v>
      </c>
      <c r="E666" s="4" t="s">
        <v>2970</v>
      </c>
      <c r="F666" s="7">
        <v>235</v>
      </c>
      <c r="G666" s="7">
        <v>19</v>
      </c>
      <c r="H666" s="16" t="str">
        <f t="shared" si="10"/>
        <v>(664,'691','بني شبانة','Beni Chebana','Beni Chebana',235),</v>
      </c>
    </row>
    <row r="667" spans="1:8" ht="20.100000000000001" customHeight="1" x14ac:dyDescent="0.25">
      <c r="A667" s="3">
        <v>665</v>
      </c>
      <c r="B667" s="8">
        <v>693</v>
      </c>
      <c r="C667" s="4" t="s">
        <v>1560</v>
      </c>
      <c r="D667" s="4" t="s">
        <v>1559</v>
      </c>
      <c r="E667" s="4" t="s">
        <v>1559</v>
      </c>
      <c r="F667" s="7">
        <v>235</v>
      </c>
      <c r="G667" s="7">
        <v>19</v>
      </c>
      <c r="H667" s="16" t="str">
        <f t="shared" si="10"/>
        <v>(665,'693','بني ورتيلان','Beni Ourtilane','Beni Ourtilane',235),</v>
      </c>
    </row>
    <row r="668" spans="1:8" ht="20.100000000000001" customHeight="1" x14ac:dyDescent="0.25">
      <c r="A668" s="3">
        <v>666</v>
      </c>
      <c r="B668" s="8">
        <v>696</v>
      </c>
      <c r="C668" s="4" t="s">
        <v>2971</v>
      </c>
      <c r="D668" s="4" t="s">
        <v>2972</v>
      </c>
      <c r="E668" s="4" t="s">
        <v>2972</v>
      </c>
      <c r="F668" s="7">
        <v>235</v>
      </c>
      <c r="G668" s="7">
        <v>19</v>
      </c>
      <c r="H668" s="16" t="str">
        <f t="shared" si="10"/>
        <v>(666,'696','بني موحلي','Beni-Mouhli','Beni-Mouhli',235),</v>
      </c>
    </row>
    <row r="669" spans="1:8" ht="20.100000000000001" customHeight="1" x14ac:dyDescent="0.25">
      <c r="A669" s="3">
        <v>667</v>
      </c>
      <c r="B669" s="8">
        <v>675</v>
      </c>
      <c r="C669" s="4" t="s">
        <v>2973</v>
      </c>
      <c r="D669" s="4" t="s">
        <v>2974</v>
      </c>
      <c r="E669" s="4" t="s">
        <v>2974</v>
      </c>
      <c r="F669" s="7">
        <v>236</v>
      </c>
      <c r="G669" s="7">
        <v>19</v>
      </c>
      <c r="H669" s="16" t="str">
        <f t="shared" si="10"/>
        <v>(667,'675','عين عباسة','Ain Abessa','Ain Abessa',236),</v>
      </c>
    </row>
    <row r="670" spans="1:8" ht="20.100000000000001" customHeight="1" x14ac:dyDescent="0.25">
      <c r="A670" s="3">
        <v>668</v>
      </c>
      <c r="B670" s="8">
        <v>676</v>
      </c>
      <c r="C670" s="4" t="s">
        <v>1552</v>
      </c>
      <c r="D670" s="4" t="s">
        <v>1551</v>
      </c>
      <c r="E670" s="4" t="s">
        <v>1551</v>
      </c>
      <c r="F670" s="7">
        <v>236</v>
      </c>
      <c r="G670" s="7">
        <v>19</v>
      </c>
      <c r="H670" s="16" t="str">
        <f t="shared" si="10"/>
        <v>(668,'676','عين أرنات','Ain Arnat','Ain Arnat',236),</v>
      </c>
    </row>
    <row r="671" spans="1:8" ht="20.100000000000001" customHeight="1" x14ac:dyDescent="0.25">
      <c r="A671" s="3">
        <v>669</v>
      </c>
      <c r="B671" s="8">
        <v>707</v>
      </c>
      <c r="C671" s="4" t="s">
        <v>2975</v>
      </c>
      <c r="D671" s="4" t="s">
        <v>2976</v>
      </c>
      <c r="E671" s="4" t="s">
        <v>2976</v>
      </c>
      <c r="F671" s="7">
        <v>236</v>
      </c>
      <c r="G671" s="7">
        <v>19</v>
      </c>
      <c r="H671" s="16" t="str">
        <f t="shared" si="10"/>
        <v>(669,'707','أوريسيا','El Ouricia','El Ouricia',236),</v>
      </c>
    </row>
    <row r="672" spans="1:8" ht="20.100000000000001" customHeight="1" x14ac:dyDescent="0.25">
      <c r="A672" s="3">
        <v>670</v>
      </c>
      <c r="B672" s="8">
        <v>720</v>
      </c>
      <c r="C672" s="4" t="s">
        <v>2977</v>
      </c>
      <c r="D672" s="4" t="s">
        <v>2978</v>
      </c>
      <c r="E672" s="4" t="s">
        <v>2978</v>
      </c>
      <c r="F672" s="7">
        <v>236</v>
      </c>
      <c r="G672" s="7">
        <v>19</v>
      </c>
      <c r="H672" s="16" t="str">
        <f t="shared" si="10"/>
        <v>(670,'720','مزلوق','Mezloug','Mezloug',236),</v>
      </c>
    </row>
    <row r="673" spans="1:8" ht="20.100000000000001" customHeight="1" x14ac:dyDescent="0.25">
      <c r="A673" s="3">
        <v>671</v>
      </c>
      <c r="B673" s="8">
        <v>686</v>
      </c>
      <c r="C673" s="4" t="s">
        <v>1568</v>
      </c>
      <c r="D673" s="4" t="s">
        <v>1567</v>
      </c>
      <c r="E673" s="4" t="s">
        <v>1567</v>
      </c>
      <c r="F673" s="7">
        <v>237</v>
      </c>
      <c r="G673" s="7">
        <v>19</v>
      </c>
      <c r="H673" s="16" t="str">
        <f t="shared" si="10"/>
        <v>(671,'686','عموشة','Amoucha','Amoucha',237),</v>
      </c>
    </row>
    <row r="674" spans="1:8" ht="20.100000000000001" customHeight="1" x14ac:dyDescent="0.25">
      <c r="A674" s="3">
        <v>672</v>
      </c>
      <c r="B674" s="8">
        <v>721</v>
      </c>
      <c r="C674" s="4" t="s">
        <v>2979</v>
      </c>
      <c r="D674" s="4" t="s">
        <v>2980</v>
      </c>
      <c r="E674" s="4" t="s">
        <v>2980</v>
      </c>
      <c r="F674" s="7">
        <v>237</v>
      </c>
      <c r="G674" s="7">
        <v>19</v>
      </c>
      <c r="H674" s="16" t="str">
        <f t="shared" si="10"/>
        <v>(672,'721','واد البارد','Oued El Bared','Oued El Bared',237),</v>
      </c>
    </row>
    <row r="675" spans="1:8" ht="20.100000000000001" customHeight="1" x14ac:dyDescent="0.25">
      <c r="A675" s="3">
        <v>673</v>
      </c>
      <c r="B675" s="8">
        <v>734</v>
      </c>
      <c r="C675" s="4" t="s">
        <v>2981</v>
      </c>
      <c r="D675" s="4" t="s">
        <v>5863</v>
      </c>
      <c r="E675" s="4" t="s">
        <v>5863</v>
      </c>
      <c r="F675" s="7">
        <v>237</v>
      </c>
      <c r="G675" s="7">
        <v>19</v>
      </c>
      <c r="H675" s="16" t="str">
        <f t="shared" si="10"/>
        <v>(673,'734','تيزي نبشار','Tizi N\'bechar','Tizi N\'bechar',237),</v>
      </c>
    </row>
    <row r="676" spans="1:8" ht="20.100000000000001" customHeight="1" x14ac:dyDescent="0.25">
      <c r="A676" s="3">
        <v>674</v>
      </c>
      <c r="B676" s="8">
        <v>680</v>
      </c>
      <c r="C676" s="4" t="s">
        <v>1558</v>
      </c>
      <c r="D676" s="4" t="s">
        <v>1557</v>
      </c>
      <c r="E676" s="4" t="s">
        <v>1557</v>
      </c>
      <c r="F676" s="7">
        <v>238</v>
      </c>
      <c r="G676" s="7">
        <v>19</v>
      </c>
      <c r="H676" s="16" t="str">
        <f t="shared" si="10"/>
        <v>(674,'680','عين ولمان','Ain Oulmene','Ain Oulmene',238),</v>
      </c>
    </row>
    <row r="677" spans="1:8" ht="20.100000000000001" customHeight="1" x14ac:dyDescent="0.25">
      <c r="A677" s="3">
        <v>675</v>
      </c>
      <c r="B677" s="8">
        <v>709</v>
      </c>
      <c r="C677" s="4" t="s">
        <v>2982</v>
      </c>
      <c r="D677" s="4" t="s">
        <v>2983</v>
      </c>
      <c r="E677" s="4" t="s">
        <v>2983</v>
      </c>
      <c r="F677" s="7">
        <v>238</v>
      </c>
      <c r="G677" s="7">
        <v>19</v>
      </c>
      <c r="H677" s="16" t="str">
        <f t="shared" si="10"/>
        <v>(675,'709','قلال','Guellal','Guellal',238),</v>
      </c>
    </row>
    <row r="678" spans="1:8" ht="20.100000000000001" customHeight="1" x14ac:dyDescent="0.25">
      <c r="A678" s="3">
        <v>676</v>
      </c>
      <c r="B678" s="8">
        <v>717</v>
      </c>
      <c r="C678" s="4" t="s">
        <v>2984</v>
      </c>
      <c r="D678" s="4" t="s">
        <v>2985</v>
      </c>
      <c r="E678" s="4" t="s">
        <v>2985</v>
      </c>
      <c r="F678" s="7">
        <v>238</v>
      </c>
      <c r="G678" s="7">
        <v>19</v>
      </c>
      <c r="H678" s="16" t="str">
        <f t="shared" si="10"/>
        <v>(676,'717','قصر الابطال','Kasr El Abtal','Kasr El Abtal',238),</v>
      </c>
    </row>
    <row r="679" spans="1:8" ht="20.100000000000001" customHeight="1" x14ac:dyDescent="0.25">
      <c r="A679" s="3">
        <v>677</v>
      </c>
      <c r="B679" s="8">
        <v>724</v>
      </c>
      <c r="C679" s="4" t="s">
        <v>2986</v>
      </c>
      <c r="D679" s="4" t="s">
        <v>2987</v>
      </c>
      <c r="E679" s="4" t="s">
        <v>2987</v>
      </c>
      <c r="F679" s="7">
        <v>238</v>
      </c>
      <c r="G679" s="7">
        <v>19</v>
      </c>
      <c r="H679" s="16" t="str">
        <f t="shared" si="10"/>
        <v>(677,'724','أولاد سي أحمد','Ouled Si Ahmed','Ouled Si Ahmed',238),</v>
      </c>
    </row>
    <row r="680" spans="1:8" ht="20.100000000000001" customHeight="1" x14ac:dyDescent="0.25">
      <c r="A680" s="3">
        <v>678</v>
      </c>
      <c r="B680" s="8">
        <v>684</v>
      </c>
      <c r="C680" s="4" t="s">
        <v>2988</v>
      </c>
      <c r="D680" s="4" t="s">
        <v>2989</v>
      </c>
      <c r="E680" s="4" t="s">
        <v>2989</v>
      </c>
      <c r="F680" s="7">
        <v>239</v>
      </c>
      <c r="G680" s="7">
        <v>19</v>
      </c>
      <c r="H680" s="16" t="str">
        <f t="shared" si="10"/>
        <v>(678,'684','أيت نوال مزادة','Ait Naoual Mezada','Ait Naoual Mezada',239),</v>
      </c>
    </row>
    <row r="681" spans="1:8" ht="20.100000000000001" customHeight="1" x14ac:dyDescent="0.25">
      <c r="A681" s="3">
        <v>679</v>
      </c>
      <c r="B681" s="8">
        <v>685</v>
      </c>
      <c r="C681" s="4" t="s">
        <v>2990</v>
      </c>
      <c r="D681" s="4" t="s">
        <v>2991</v>
      </c>
      <c r="E681" s="4" t="s">
        <v>2991</v>
      </c>
      <c r="F681" s="7">
        <v>239</v>
      </c>
      <c r="G681" s="7">
        <v>19</v>
      </c>
      <c r="H681" s="16" t="str">
        <f t="shared" si="10"/>
        <v>(679,'685','ايت تيزي','Ait-Tizi','Ait-Tizi',239),</v>
      </c>
    </row>
    <row r="682" spans="1:8" ht="20.100000000000001" customHeight="1" x14ac:dyDescent="0.25">
      <c r="A682" s="3">
        <v>680</v>
      </c>
      <c r="B682" s="8">
        <v>699</v>
      </c>
      <c r="C682" s="4" t="s">
        <v>1566</v>
      </c>
      <c r="D682" s="4" t="s">
        <v>1565</v>
      </c>
      <c r="E682" s="4" t="s">
        <v>1565</v>
      </c>
      <c r="F682" s="7">
        <v>239</v>
      </c>
      <c r="G682" s="7">
        <v>19</v>
      </c>
      <c r="H682" s="16" t="str">
        <f t="shared" si="10"/>
        <v>(680,'699','بوعنداس','Bouandas','Bouandas',239),</v>
      </c>
    </row>
    <row r="683" spans="1:8" ht="20.100000000000001" customHeight="1" x14ac:dyDescent="0.25">
      <c r="A683" s="3">
        <v>681</v>
      </c>
      <c r="B683" s="8">
        <v>701</v>
      </c>
      <c r="C683" s="4" t="s">
        <v>2992</v>
      </c>
      <c r="D683" s="4" t="s">
        <v>2993</v>
      </c>
      <c r="E683" s="4" t="s">
        <v>2993</v>
      </c>
      <c r="F683" s="7">
        <v>239</v>
      </c>
      <c r="G683" s="7">
        <v>19</v>
      </c>
      <c r="H683" s="16" t="str">
        <f t="shared" si="10"/>
        <v>(681,'701','بوسلام','Bousselam','Bousselam',239),</v>
      </c>
    </row>
    <row r="684" spans="1:8" ht="20.100000000000001" customHeight="1" x14ac:dyDescent="0.25">
      <c r="A684" s="3">
        <v>682</v>
      </c>
      <c r="B684" s="8">
        <v>713</v>
      </c>
      <c r="C684" s="4" t="s">
        <v>1586</v>
      </c>
      <c r="D684" s="4" t="s">
        <v>2994</v>
      </c>
      <c r="E684" s="4" t="s">
        <v>2994</v>
      </c>
      <c r="F684" s="7">
        <v>240</v>
      </c>
      <c r="G684" s="7">
        <v>19</v>
      </c>
      <c r="H684" s="16" t="str">
        <f t="shared" si="10"/>
        <v>(682,'713','حمام السخنة','Hamam Soukhna','Hamam Soukhna',240),</v>
      </c>
    </row>
    <row r="685" spans="1:8" ht="20.100000000000001" customHeight="1" x14ac:dyDescent="0.25">
      <c r="A685" s="3">
        <v>683</v>
      </c>
      <c r="B685" s="8">
        <v>732</v>
      </c>
      <c r="C685" s="4" t="s">
        <v>2995</v>
      </c>
      <c r="D685" s="4" t="s">
        <v>2996</v>
      </c>
      <c r="E685" s="4" t="s">
        <v>2996</v>
      </c>
      <c r="F685" s="7">
        <v>240</v>
      </c>
      <c r="G685" s="7">
        <v>19</v>
      </c>
      <c r="H685" s="16" t="str">
        <f t="shared" si="10"/>
        <v>(683,'732','الطاية','Taya','Taya',240),</v>
      </c>
    </row>
    <row r="686" spans="1:8" ht="20.100000000000001" customHeight="1" x14ac:dyDescent="0.25">
      <c r="A686" s="3">
        <v>684</v>
      </c>
      <c r="B686" s="8">
        <v>733</v>
      </c>
      <c r="C686" s="4" t="s">
        <v>2997</v>
      </c>
      <c r="D686" s="4" t="s">
        <v>2998</v>
      </c>
      <c r="E686" s="4" t="s">
        <v>2998</v>
      </c>
      <c r="F686" s="7">
        <v>240</v>
      </c>
      <c r="G686" s="7">
        <v>19</v>
      </c>
      <c r="H686" s="16" t="str">
        <f t="shared" si="10"/>
        <v>(684,'733','التلة','Tella','Tella',240),</v>
      </c>
    </row>
    <row r="687" spans="1:8" ht="20.100000000000001" customHeight="1" x14ac:dyDescent="0.25">
      <c r="A687" s="3">
        <v>685</v>
      </c>
      <c r="B687" s="8">
        <v>702</v>
      </c>
      <c r="C687" s="4" t="s">
        <v>2999</v>
      </c>
      <c r="D687" s="4" t="s">
        <v>3000</v>
      </c>
      <c r="E687" s="4" t="s">
        <v>3000</v>
      </c>
      <c r="F687" s="7">
        <v>241</v>
      </c>
      <c r="G687" s="7">
        <v>19</v>
      </c>
      <c r="H687" s="16" t="str">
        <f t="shared" si="10"/>
        <v>(685,'702','بوطالب','Boutaleb','Boutaleb',241),</v>
      </c>
    </row>
    <row r="688" spans="1:8" ht="20.100000000000001" customHeight="1" x14ac:dyDescent="0.25">
      <c r="A688" s="3">
        <v>686</v>
      </c>
      <c r="B688" s="8">
        <v>714</v>
      </c>
      <c r="C688" s="4" t="s">
        <v>1936</v>
      </c>
      <c r="D688" s="4" t="s">
        <v>3001</v>
      </c>
      <c r="E688" s="4" t="s">
        <v>3001</v>
      </c>
      <c r="F688" s="7">
        <v>241</v>
      </c>
      <c r="G688" s="7">
        <v>19</v>
      </c>
      <c r="H688" s="16" t="str">
        <f t="shared" si="10"/>
        <v>(686,'714','الحامة','Hamma','Hamma',241),</v>
      </c>
    </row>
    <row r="689" spans="1:8" ht="20.100000000000001" customHeight="1" x14ac:dyDescent="0.25">
      <c r="A689" s="3">
        <v>687</v>
      </c>
      <c r="B689" s="8">
        <v>725</v>
      </c>
      <c r="C689" s="4" t="s">
        <v>3002</v>
      </c>
      <c r="D689" s="4" t="s">
        <v>3003</v>
      </c>
      <c r="E689" s="4" t="s">
        <v>3003</v>
      </c>
      <c r="F689" s="7">
        <v>241</v>
      </c>
      <c r="G689" s="7">
        <v>19</v>
      </c>
      <c r="H689" s="16" t="str">
        <f t="shared" si="10"/>
        <v>(687,'725','أولاد تبان','Ouled Tebben','Ouled Tebben',241),</v>
      </c>
    </row>
    <row r="690" spans="1:8" ht="20.100000000000001" customHeight="1" x14ac:dyDescent="0.25">
      <c r="A690" s="3">
        <v>688</v>
      </c>
      <c r="B690" s="8">
        <v>726</v>
      </c>
      <c r="C690" s="4" t="s">
        <v>3004</v>
      </c>
      <c r="D690" s="4" t="s">
        <v>3005</v>
      </c>
      <c r="E690" s="4" t="s">
        <v>3005</v>
      </c>
      <c r="F690" s="7">
        <v>241</v>
      </c>
      <c r="G690" s="7">
        <v>19</v>
      </c>
      <c r="H690" s="16" t="str">
        <f t="shared" si="10"/>
        <v>(688,'726','الرصفة','Rosfa','Rosfa',241),</v>
      </c>
    </row>
    <row r="691" spans="1:8" ht="20.100000000000001" customHeight="1" x14ac:dyDescent="0.25">
      <c r="A691" s="3">
        <v>689</v>
      </c>
      <c r="B691" s="8">
        <v>727</v>
      </c>
      <c r="C691" s="4" t="s">
        <v>1578</v>
      </c>
      <c r="D691" s="4" t="s">
        <v>1577</v>
      </c>
      <c r="E691" s="4" t="s">
        <v>1577</v>
      </c>
      <c r="F691" s="7">
        <v>241</v>
      </c>
      <c r="G691" s="7">
        <v>19</v>
      </c>
      <c r="H691" s="16" t="str">
        <f t="shared" si="10"/>
        <v>(689,'727','صالح باي','Salah Bey','Salah Bey',241),</v>
      </c>
    </row>
    <row r="692" spans="1:8" ht="20.100000000000001" customHeight="1" x14ac:dyDescent="0.25">
      <c r="A692" s="3">
        <v>690</v>
      </c>
      <c r="B692" s="8">
        <v>677</v>
      </c>
      <c r="C692" s="4" t="s">
        <v>1554</v>
      </c>
      <c r="D692" s="4" t="s">
        <v>1553</v>
      </c>
      <c r="E692" s="4" t="s">
        <v>1553</v>
      </c>
      <c r="F692" s="7">
        <v>242</v>
      </c>
      <c r="G692" s="7">
        <v>19</v>
      </c>
      <c r="H692" s="16" t="str">
        <f t="shared" si="10"/>
        <v>(690,'677','عين أزال','Ain Azel','Ain Azel',242),</v>
      </c>
    </row>
    <row r="693" spans="1:8" ht="20.100000000000001" customHeight="1" x14ac:dyDescent="0.25">
      <c r="A693" s="3">
        <v>691</v>
      </c>
      <c r="B693" s="8">
        <v>679</v>
      </c>
      <c r="C693" s="4" t="s">
        <v>1590</v>
      </c>
      <c r="D693" s="4" t="s">
        <v>3006</v>
      </c>
      <c r="E693" s="4" t="s">
        <v>3006</v>
      </c>
      <c r="F693" s="7">
        <v>242</v>
      </c>
      <c r="G693" s="7">
        <v>19</v>
      </c>
      <c r="H693" s="16" t="str">
        <f t="shared" si="10"/>
        <v>(691,'679','عين الحجر','Ain Lahdjar','Ain Lahdjar',242),</v>
      </c>
    </row>
    <row r="694" spans="1:8" ht="20.100000000000001" customHeight="1" x14ac:dyDescent="0.25">
      <c r="A694" s="3">
        <v>692</v>
      </c>
      <c r="B694" s="8">
        <v>689</v>
      </c>
      <c r="C694" s="4" t="s">
        <v>3007</v>
      </c>
      <c r="D694" s="4" t="s">
        <v>3008</v>
      </c>
      <c r="E694" s="4" t="s">
        <v>3008</v>
      </c>
      <c r="F694" s="7">
        <v>242</v>
      </c>
      <c r="G694" s="7">
        <v>19</v>
      </c>
      <c r="H694" s="16" t="str">
        <f t="shared" si="10"/>
        <v>(692,'689','بيضاء برج','Beidha Bordj','Beidha Bordj',242),</v>
      </c>
    </row>
    <row r="695" spans="1:8" ht="20.100000000000001" customHeight="1" x14ac:dyDescent="0.25">
      <c r="A695" s="3">
        <v>693</v>
      </c>
      <c r="B695" s="8">
        <v>697</v>
      </c>
      <c r="C695" s="4" t="s">
        <v>3009</v>
      </c>
      <c r="D695" s="4" t="s">
        <v>3010</v>
      </c>
      <c r="E695" s="4" t="s">
        <v>3010</v>
      </c>
      <c r="F695" s="7">
        <v>242</v>
      </c>
      <c r="G695" s="7">
        <v>19</v>
      </c>
      <c r="H695" s="16" t="str">
        <f t="shared" si="10"/>
        <v>(693,'697','بئر حدادة','Bir Haddada','Bir Haddada',242),</v>
      </c>
    </row>
    <row r="696" spans="1:8" ht="20.100000000000001" customHeight="1" x14ac:dyDescent="0.25">
      <c r="A696" s="3">
        <v>694</v>
      </c>
      <c r="B696" s="8">
        <v>711</v>
      </c>
      <c r="C696" s="4" t="s">
        <v>1582</v>
      </c>
      <c r="D696" s="4" t="s">
        <v>1581</v>
      </c>
      <c r="E696" s="4" t="s">
        <v>1581</v>
      </c>
      <c r="F696" s="7">
        <v>243</v>
      </c>
      <c r="G696" s="7">
        <v>19</v>
      </c>
      <c r="H696" s="16" t="str">
        <f t="shared" si="10"/>
        <v>(694,'711','قنزات','Guenzet','Guenzet',243),</v>
      </c>
    </row>
    <row r="697" spans="1:8" ht="20.100000000000001" customHeight="1" x14ac:dyDescent="0.25">
      <c r="A697" s="3">
        <v>695</v>
      </c>
      <c r="B697" s="8">
        <v>716</v>
      </c>
      <c r="C697" s="4" t="s">
        <v>3011</v>
      </c>
      <c r="D697" s="4" t="s">
        <v>3012</v>
      </c>
      <c r="E697" s="4" t="s">
        <v>3012</v>
      </c>
      <c r="F697" s="7">
        <v>243</v>
      </c>
      <c r="G697" s="7">
        <v>19</v>
      </c>
      <c r="H697" s="16" t="str">
        <f t="shared" si="10"/>
        <v>(695,'716','حربيل','Harbil','Harbil',243),</v>
      </c>
    </row>
    <row r="698" spans="1:8" ht="20.100000000000001" customHeight="1" x14ac:dyDescent="0.25">
      <c r="A698" s="3">
        <v>696</v>
      </c>
      <c r="B698" s="8">
        <v>682</v>
      </c>
      <c r="C698" s="4" t="s">
        <v>3013</v>
      </c>
      <c r="D698" s="4" t="s">
        <v>3014</v>
      </c>
      <c r="E698" s="4" t="s">
        <v>3014</v>
      </c>
      <c r="F698" s="7">
        <v>244</v>
      </c>
      <c r="G698" s="7">
        <v>19</v>
      </c>
      <c r="H698" s="16" t="str">
        <f t="shared" si="10"/>
        <v>(696,'682','عين الروى','Ain-Roua','Ain-Roua',244),</v>
      </c>
    </row>
    <row r="699" spans="1:8" ht="20.100000000000001" customHeight="1" x14ac:dyDescent="0.25">
      <c r="A699" s="3">
        <v>697</v>
      </c>
      <c r="B699" s="8">
        <v>694</v>
      </c>
      <c r="C699" s="4" t="s">
        <v>3015</v>
      </c>
      <c r="D699" s="4" t="s">
        <v>3016</v>
      </c>
      <c r="E699" s="4" t="s">
        <v>3016</v>
      </c>
      <c r="F699" s="7">
        <v>244</v>
      </c>
      <c r="G699" s="7">
        <v>19</v>
      </c>
      <c r="H699" s="16" t="str">
        <f t="shared" si="10"/>
        <v>(697,'694','بني وسين','Beni Oussine','Beni Oussine',244),</v>
      </c>
    </row>
    <row r="700" spans="1:8" ht="20.100000000000001" customHeight="1" x14ac:dyDescent="0.25">
      <c r="A700" s="3">
        <v>698</v>
      </c>
      <c r="B700" s="8">
        <v>700</v>
      </c>
      <c r="C700" s="4" t="s">
        <v>1562</v>
      </c>
      <c r="D700" s="4" t="s">
        <v>1561</v>
      </c>
      <c r="E700" s="4" t="s">
        <v>1561</v>
      </c>
      <c r="F700" s="7">
        <v>244</v>
      </c>
      <c r="G700" s="7">
        <v>19</v>
      </c>
      <c r="H700" s="16" t="str">
        <f t="shared" si="10"/>
        <v>(698,'700','بوقاعة','Bougaa','Bougaa',244),</v>
      </c>
    </row>
    <row r="701" spans="1:8" ht="20.100000000000001" customHeight="1" x14ac:dyDescent="0.25">
      <c r="A701" s="3">
        <v>699</v>
      </c>
      <c r="B701" s="8">
        <v>705</v>
      </c>
      <c r="C701" s="4" t="s">
        <v>3017</v>
      </c>
      <c r="D701" s="4" t="s">
        <v>3018</v>
      </c>
      <c r="E701" s="4" t="s">
        <v>3018</v>
      </c>
      <c r="F701" s="7">
        <v>245</v>
      </c>
      <c r="G701" s="7">
        <v>19</v>
      </c>
      <c r="H701" s="16" t="str">
        <f t="shared" si="10"/>
        <v>(699,'705','ذراع قبيلة','Draa-Kebila','Draa-Kebila',245),</v>
      </c>
    </row>
    <row r="702" spans="1:8" ht="20.100000000000001" customHeight="1" x14ac:dyDescent="0.25">
      <c r="A702" s="3">
        <v>700</v>
      </c>
      <c r="B702" s="8">
        <v>715</v>
      </c>
      <c r="C702" s="4" t="s">
        <v>1580</v>
      </c>
      <c r="D702" s="4" t="s">
        <v>1579</v>
      </c>
      <c r="E702" s="4" t="s">
        <v>1579</v>
      </c>
      <c r="F702" s="7">
        <v>245</v>
      </c>
      <c r="G702" s="7">
        <v>19</v>
      </c>
      <c r="H702" s="16" t="str">
        <f t="shared" si="10"/>
        <v>(700,'715','حمام قرقور','Hammam Guergour','Hammam Guergour',245),</v>
      </c>
    </row>
    <row r="703" spans="1:8" ht="20.100000000000001" customHeight="1" x14ac:dyDescent="0.25">
      <c r="A703" s="3">
        <v>701</v>
      </c>
      <c r="B703" s="8">
        <v>719</v>
      </c>
      <c r="C703" s="4" t="s">
        <v>1588</v>
      </c>
      <c r="D703" s="4" t="s">
        <v>3019</v>
      </c>
      <c r="E703" s="4" t="s">
        <v>3019</v>
      </c>
      <c r="F703" s="7">
        <v>246</v>
      </c>
      <c r="G703" s="7">
        <v>19</v>
      </c>
      <c r="H703" s="16" t="str">
        <f t="shared" si="10"/>
        <v>(701,'719','ماوكلان','Maouaklane','Maouaklane',246),</v>
      </c>
    </row>
    <row r="704" spans="1:8" ht="20.100000000000001" customHeight="1" x14ac:dyDescent="0.25">
      <c r="A704" s="3">
        <v>702</v>
      </c>
      <c r="B704" s="8">
        <v>731</v>
      </c>
      <c r="C704" s="4" t="s">
        <v>3020</v>
      </c>
      <c r="D704" s="4" t="s">
        <v>3021</v>
      </c>
      <c r="E704" s="4" t="s">
        <v>3021</v>
      </c>
      <c r="F704" s="7">
        <v>246</v>
      </c>
      <c r="G704" s="7">
        <v>19</v>
      </c>
      <c r="H704" s="16" t="str">
        <f t="shared" si="10"/>
        <v>(702,'731','تالة إيفاسن','Tala-Ifacene','Tala-Ifacene',246),</v>
      </c>
    </row>
    <row r="705" spans="1:8" ht="20.100000000000001" customHeight="1" x14ac:dyDescent="0.25">
      <c r="A705" s="3">
        <v>703</v>
      </c>
      <c r="B705" s="8">
        <v>745</v>
      </c>
      <c r="C705" s="4" t="s">
        <v>1009</v>
      </c>
      <c r="D705" s="4" t="s">
        <v>1089</v>
      </c>
      <c r="E705" s="4" t="s">
        <v>1089</v>
      </c>
      <c r="F705" s="7">
        <v>247</v>
      </c>
      <c r="G705" s="7">
        <v>20</v>
      </c>
      <c r="H705" s="16" t="str">
        <f t="shared" si="10"/>
        <v>(703,'745','سعيدة','Saida','Saida',247),</v>
      </c>
    </row>
    <row r="706" spans="1:8" ht="20.100000000000001" customHeight="1" x14ac:dyDescent="0.25">
      <c r="A706" s="3">
        <v>704</v>
      </c>
      <c r="B706" s="8">
        <v>735</v>
      </c>
      <c r="C706" s="4" t="s">
        <v>1590</v>
      </c>
      <c r="D706" s="4" t="s">
        <v>1589</v>
      </c>
      <c r="E706" s="4" t="s">
        <v>1589</v>
      </c>
      <c r="F706" s="7">
        <v>248</v>
      </c>
      <c r="G706" s="7">
        <v>20</v>
      </c>
      <c r="H706" s="16" t="str">
        <f t="shared" si="10"/>
        <v>(704,'735','عين الحجر','Ain El Hadjar','Ain El Hadjar',248),</v>
      </c>
    </row>
    <row r="707" spans="1:8" ht="20.100000000000001" customHeight="1" x14ac:dyDescent="0.25">
      <c r="A707" s="3">
        <v>705</v>
      </c>
      <c r="B707" s="8">
        <v>742</v>
      </c>
      <c r="C707" s="4" t="s">
        <v>3022</v>
      </c>
      <c r="D707" s="4" t="s">
        <v>3023</v>
      </c>
      <c r="E707" s="4" t="s">
        <v>3023</v>
      </c>
      <c r="F707" s="7">
        <v>248</v>
      </c>
      <c r="G707" s="7">
        <v>20</v>
      </c>
      <c r="H707" s="16" t="str">
        <f t="shared" si="10"/>
        <v>(705,'742','مولاي العربي','Moulay Larbi','Moulay Larbi',248),</v>
      </c>
    </row>
    <row r="708" spans="1:8" ht="20.100000000000001" customHeight="1" x14ac:dyDescent="0.25">
      <c r="A708" s="3">
        <v>706</v>
      </c>
      <c r="B708" s="8">
        <v>746</v>
      </c>
      <c r="C708" s="4" t="s">
        <v>3024</v>
      </c>
      <c r="D708" s="4" t="s">
        <v>3025</v>
      </c>
      <c r="E708" s="4" t="s">
        <v>3025</v>
      </c>
      <c r="F708" s="7">
        <v>248</v>
      </c>
      <c r="G708" s="7">
        <v>20</v>
      </c>
      <c r="H708" s="16" t="str">
        <f t="shared" ref="H708:H771" si="11">CONCATENATE("(",A708,",'",B708,"','",C708,"','",D708,"','",E708,"',",F708,"),")</f>
        <v>(706,'746','سيدي احمد','Sidi Ahmed','Sidi Ahmed',248),</v>
      </c>
    </row>
    <row r="709" spans="1:8" ht="20.100000000000001" customHeight="1" x14ac:dyDescent="0.25">
      <c r="A709" s="3">
        <v>707</v>
      </c>
      <c r="B709" s="8">
        <v>738</v>
      </c>
      <c r="C709" s="4" t="s">
        <v>3026</v>
      </c>
      <c r="D709" s="4" t="s">
        <v>3027</v>
      </c>
      <c r="E709" s="4" t="s">
        <v>3027</v>
      </c>
      <c r="F709" s="7">
        <v>249</v>
      </c>
      <c r="G709" s="7">
        <v>20</v>
      </c>
      <c r="H709" s="16" t="str">
        <f t="shared" si="11"/>
        <v>(707,'738','دوي ثابت','Doui Thabet','Doui Thabet',249),</v>
      </c>
    </row>
    <row r="710" spans="1:8" ht="20.100000000000001" customHeight="1" x14ac:dyDescent="0.25">
      <c r="A710" s="3">
        <v>708</v>
      </c>
      <c r="B710" s="8">
        <v>750</v>
      </c>
      <c r="C710" s="4" t="s">
        <v>1596</v>
      </c>
      <c r="D710" s="4" t="s">
        <v>1595</v>
      </c>
      <c r="E710" s="4" t="s">
        <v>1595</v>
      </c>
      <c r="F710" s="7">
        <v>249</v>
      </c>
      <c r="G710" s="7">
        <v>20</v>
      </c>
      <c r="H710" s="16" t="str">
        <f t="shared" si="11"/>
        <v>(708,'750','يوب','Youb','Youb',249),</v>
      </c>
    </row>
    <row r="711" spans="1:8" ht="20.100000000000001" customHeight="1" x14ac:dyDescent="0.25">
      <c r="A711" s="3">
        <v>709</v>
      </c>
      <c r="B711" s="8">
        <v>740</v>
      </c>
      <c r="C711" s="4" t="s">
        <v>3028</v>
      </c>
      <c r="D711" s="4" t="s">
        <v>3029</v>
      </c>
      <c r="E711" s="4" t="s">
        <v>3029</v>
      </c>
      <c r="F711" s="7">
        <v>250</v>
      </c>
      <c r="G711" s="7">
        <v>20</v>
      </c>
      <c r="H711" s="16" t="str">
        <f t="shared" si="11"/>
        <v>(709,'740','هونت','Hounet','Hounet',250),</v>
      </c>
    </row>
    <row r="712" spans="1:8" ht="20.100000000000001" customHeight="1" x14ac:dyDescent="0.25">
      <c r="A712" s="3">
        <v>710</v>
      </c>
      <c r="B712" s="8">
        <v>744</v>
      </c>
      <c r="C712" s="4" t="s">
        <v>3030</v>
      </c>
      <c r="D712" s="4" t="s">
        <v>3031</v>
      </c>
      <c r="E712" s="4" t="s">
        <v>3031</v>
      </c>
      <c r="F712" s="7">
        <v>250</v>
      </c>
      <c r="G712" s="7">
        <v>20</v>
      </c>
      <c r="H712" s="16" t="str">
        <f t="shared" si="11"/>
        <v>(710,'744','أولاد خالد','Ouled Khaled','Ouled Khaled',250),</v>
      </c>
    </row>
    <row r="713" spans="1:8" ht="20.100000000000001" customHeight="1" x14ac:dyDescent="0.25">
      <c r="A713" s="3">
        <v>711</v>
      </c>
      <c r="B713" s="8">
        <v>747</v>
      </c>
      <c r="C713" s="4" t="s">
        <v>3032</v>
      </c>
      <c r="D713" s="4" t="s">
        <v>1979</v>
      </c>
      <c r="E713" s="4" t="s">
        <v>1979</v>
      </c>
      <c r="F713" s="7">
        <v>250</v>
      </c>
      <c r="G713" s="7">
        <v>20</v>
      </c>
      <c r="H713" s="16" t="str">
        <f t="shared" si="11"/>
        <v>(711,'747','سيدي عمر','Sidi Amar','Sidi Amar',250),</v>
      </c>
    </row>
    <row r="714" spans="1:8" ht="20.100000000000001" customHeight="1" x14ac:dyDescent="0.25">
      <c r="A714" s="3">
        <v>712</v>
      </c>
      <c r="B714" s="8">
        <v>748</v>
      </c>
      <c r="C714" s="4" t="s">
        <v>1598</v>
      </c>
      <c r="D714" s="4" t="s">
        <v>1597</v>
      </c>
      <c r="E714" s="4" t="s">
        <v>1597</v>
      </c>
      <c r="F714" s="7">
        <v>250</v>
      </c>
      <c r="G714" s="7">
        <v>20</v>
      </c>
      <c r="H714" s="16" t="str">
        <f t="shared" si="11"/>
        <v>(712,'748','سيدي بوبكر','Sidi Boubekeur','Sidi Boubekeur',250),</v>
      </c>
    </row>
    <row r="715" spans="1:8" ht="20.100000000000001" customHeight="1" x14ac:dyDescent="0.25">
      <c r="A715" s="3">
        <v>713</v>
      </c>
      <c r="B715" s="8">
        <v>736</v>
      </c>
      <c r="C715" s="4" t="s">
        <v>3033</v>
      </c>
      <c r="D715" s="4" t="s">
        <v>3034</v>
      </c>
      <c r="E715" s="4" t="s">
        <v>3034</v>
      </c>
      <c r="F715" s="7">
        <v>251</v>
      </c>
      <c r="G715" s="7">
        <v>20</v>
      </c>
      <c r="H715" s="16" t="str">
        <f t="shared" si="11"/>
        <v>(713,'736','عين السخونة','Ain Sekhouna','Ain Sekhouna',251),</v>
      </c>
    </row>
    <row r="716" spans="1:8" ht="20.100000000000001" customHeight="1" x14ac:dyDescent="0.25">
      <c r="A716" s="3">
        <v>714</v>
      </c>
      <c r="B716" s="8">
        <v>739</v>
      </c>
      <c r="C716" s="4" t="s">
        <v>1592</v>
      </c>
      <c r="D716" s="4" t="s">
        <v>1591</v>
      </c>
      <c r="E716" s="4" t="s">
        <v>1591</v>
      </c>
      <c r="F716" s="7">
        <v>251</v>
      </c>
      <c r="G716" s="7">
        <v>20</v>
      </c>
      <c r="H716" s="16" t="str">
        <f t="shared" si="11"/>
        <v>(714,'739','الحساسنة','El Hassasna','El Hassasna',251),</v>
      </c>
    </row>
    <row r="717" spans="1:8" ht="20.100000000000001" customHeight="1" x14ac:dyDescent="0.25">
      <c r="A717" s="3">
        <v>715</v>
      </c>
      <c r="B717" s="8">
        <v>741</v>
      </c>
      <c r="C717" s="4" t="s">
        <v>2510</v>
      </c>
      <c r="D717" s="4" t="s">
        <v>2511</v>
      </c>
      <c r="E717" s="4" t="s">
        <v>2511</v>
      </c>
      <c r="F717" s="7">
        <v>251</v>
      </c>
      <c r="G717" s="7">
        <v>20</v>
      </c>
      <c r="H717" s="16" t="str">
        <f t="shared" si="11"/>
        <v>(715,'741','المعمورة','Maamora','Maamora',251),</v>
      </c>
    </row>
    <row r="718" spans="1:8" ht="20.100000000000001" customHeight="1" x14ac:dyDescent="0.25">
      <c r="A718" s="3">
        <v>716</v>
      </c>
      <c r="B718" s="8">
        <v>737</v>
      </c>
      <c r="C718" s="4" t="s">
        <v>3035</v>
      </c>
      <c r="D718" s="4" t="s">
        <v>3036</v>
      </c>
      <c r="E718" s="4" t="s">
        <v>3036</v>
      </c>
      <c r="F718" s="7">
        <v>252</v>
      </c>
      <c r="G718" s="7">
        <v>20</v>
      </c>
      <c r="H718" s="16" t="str">
        <f t="shared" si="11"/>
        <v>(716,'737','عين السلطان','Ain Soltane','Ain Soltane',252),</v>
      </c>
    </row>
    <row r="719" spans="1:8" ht="20.100000000000001" customHeight="1" x14ac:dyDescent="0.25">
      <c r="A719" s="3">
        <v>717</v>
      </c>
      <c r="B719" s="8">
        <v>743</v>
      </c>
      <c r="C719" s="4" t="s">
        <v>3037</v>
      </c>
      <c r="D719" s="4" t="s">
        <v>1593</v>
      </c>
      <c r="E719" s="4" t="s">
        <v>1593</v>
      </c>
      <c r="F719" s="7">
        <v>252</v>
      </c>
      <c r="G719" s="7">
        <v>20</v>
      </c>
      <c r="H719" s="16" t="str">
        <f t="shared" si="11"/>
        <v>(717,'743','أولاد إبراهيم','Ouled Brahim','Ouled Brahim',252),</v>
      </c>
    </row>
    <row r="720" spans="1:8" ht="20.100000000000001" customHeight="1" x14ac:dyDescent="0.25">
      <c r="A720" s="3">
        <v>718</v>
      </c>
      <c r="B720" s="8">
        <v>749</v>
      </c>
      <c r="C720" s="4" t="s">
        <v>3038</v>
      </c>
      <c r="D720" s="4" t="s">
        <v>3039</v>
      </c>
      <c r="E720" s="4" t="s">
        <v>3039</v>
      </c>
      <c r="F720" s="7">
        <v>252</v>
      </c>
      <c r="G720" s="7">
        <v>20</v>
      </c>
      <c r="H720" s="16" t="str">
        <f t="shared" si="11"/>
        <v>(718,'749','تيرسين','Tircine','Tircine',252),</v>
      </c>
    </row>
    <row r="721" spans="1:8" ht="20.100000000000001" customHeight="1" x14ac:dyDescent="0.25">
      <c r="A721" s="3">
        <v>719</v>
      </c>
      <c r="B721" s="8">
        <v>772</v>
      </c>
      <c r="C721" s="4" t="s">
        <v>3040</v>
      </c>
      <c r="D721" s="4" t="s">
        <v>3041</v>
      </c>
      <c r="E721" s="4" t="s">
        <v>3041</v>
      </c>
      <c r="F721" s="7">
        <v>253</v>
      </c>
      <c r="G721" s="7">
        <v>21</v>
      </c>
      <c r="H721" s="16" t="str">
        <f t="shared" si="11"/>
        <v>(719,'772','فلفلة','Filfila','Filfila',253),</v>
      </c>
    </row>
    <row r="722" spans="1:8" ht="20.100000000000001" customHeight="1" x14ac:dyDescent="0.25">
      <c r="A722" s="3">
        <v>720</v>
      </c>
      <c r="B722" s="8">
        <v>773</v>
      </c>
      <c r="C722" s="4" t="s">
        <v>3042</v>
      </c>
      <c r="D722" s="4" t="s">
        <v>3043</v>
      </c>
      <c r="E722" s="4" t="s">
        <v>3043</v>
      </c>
      <c r="F722" s="7">
        <v>253</v>
      </c>
      <c r="G722" s="7">
        <v>21</v>
      </c>
      <c r="H722" s="16" t="str">
        <f t="shared" si="11"/>
        <v>(720,'773','حمادي كرومة','Hammadi Krouma','Hammadi Krouma',253),</v>
      </c>
    </row>
    <row r="723" spans="1:8" ht="20.100000000000001" customHeight="1" x14ac:dyDescent="0.25">
      <c r="A723" s="3">
        <v>721</v>
      </c>
      <c r="B723" s="8">
        <v>785</v>
      </c>
      <c r="C723" s="4" t="s">
        <v>1011</v>
      </c>
      <c r="D723" s="4" t="s">
        <v>1012</v>
      </c>
      <c r="E723" s="4" t="s">
        <v>1012</v>
      </c>
      <c r="F723" s="7">
        <v>253</v>
      </c>
      <c r="G723" s="7">
        <v>21</v>
      </c>
      <c r="H723" s="16" t="str">
        <f t="shared" si="11"/>
        <v>(721,'785','سكيكدة','Skikda','Skikda',253),</v>
      </c>
    </row>
    <row r="724" spans="1:8" ht="20.100000000000001" customHeight="1" x14ac:dyDescent="0.25">
      <c r="A724" s="3">
        <v>722</v>
      </c>
      <c r="B724" s="8">
        <v>754</v>
      </c>
      <c r="C724" s="4" t="s">
        <v>3044</v>
      </c>
      <c r="D724" s="4" t="s">
        <v>3045</v>
      </c>
      <c r="E724" s="4" t="s">
        <v>3045</v>
      </c>
      <c r="F724" s="7">
        <v>254</v>
      </c>
      <c r="G724" s="7">
        <v>21</v>
      </c>
      <c r="H724" s="16" t="str">
        <f t="shared" si="11"/>
        <v>(722,'754','عين زويت','Ain Zouit','Ain Zouit',254),</v>
      </c>
    </row>
    <row r="725" spans="1:8" ht="20.100000000000001" customHeight="1" x14ac:dyDescent="0.25">
      <c r="A725" s="3">
        <v>723</v>
      </c>
      <c r="B725" s="8">
        <v>762</v>
      </c>
      <c r="C725" s="4" t="s">
        <v>3046</v>
      </c>
      <c r="D725" s="4" t="s">
        <v>3047</v>
      </c>
      <c r="E725" s="4" t="s">
        <v>3047</v>
      </c>
      <c r="F725" s="7">
        <v>254</v>
      </c>
      <c r="G725" s="7">
        <v>21</v>
      </c>
      <c r="H725" s="16" t="str">
        <f t="shared" si="11"/>
        <v>(723,'762','بوشطاطة','Bouchetata','Bouchetata',254),</v>
      </c>
    </row>
    <row r="726" spans="1:8" ht="20.100000000000001" customHeight="1" x14ac:dyDescent="0.25">
      <c r="A726" s="3">
        <v>724</v>
      </c>
      <c r="B726" s="8">
        <v>768</v>
      </c>
      <c r="C726" s="4" t="s">
        <v>1606</v>
      </c>
      <c r="D726" s="4" t="s">
        <v>1605</v>
      </c>
      <c r="E726" s="4" t="s">
        <v>1605</v>
      </c>
      <c r="F726" s="7">
        <v>254</v>
      </c>
      <c r="G726" s="7">
        <v>21</v>
      </c>
      <c r="H726" s="16" t="str">
        <f t="shared" si="11"/>
        <v>(724,'768','الحدائق','El Hadaiek','El Hadaiek',254),</v>
      </c>
    </row>
    <row r="727" spans="1:8" ht="20.100000000000001" customHeight="1" x14ac:dyDescent="0.25">
      <c r="A727" s="3">
        <v>725</v>
      </c>
      <c r="B727" s="8">
        <v>752</v>
      </c>
      <c r="C727" s="4" t="s">
        <v>3048</v>
      </c>
      <c r="D727" s="4" t="s">
        <v>3049</v>
      </c>
      <c r="E727" s="4" t="s">
        <v>3049</v>
      </c>
      <c r="F727" s="7">
        <v>255</v>
      </c>
      <c r="G727" s="7">
        <v>21</v>
      </c>
      <c r="H727" s="16" t="str">
        <f t="shared" si="11"/>
        <v>(725,'752','عين شرشار','Ain Charchar','Ain Charchar',255),</v>
      </c>
    </row>
    <row r="728" spans="1:8" ht="20.100000000000001" customHeight="1" x14ac:dyDescent="0.25">
      <c r="A728" s="3">
        <v>726</v>
      </c>
      <c r="B728" s="8">
        <v>755</v>
      </c>
      <c r="C728" s="4" t="s">
        <v>1602</v>
      </c>
      <c r="D728" s="4" t="s">
        <v>1601</v>
      </c>
      <c r="E728" s="4" t="s">
        <v>1601</v>
      </c>
      <c r="F728" s="7">
        <v>255</v>
      </c>
      <c r="G728" s="7">
        <v>21</v>
      </c>
      <c r="H728" s="16" t="str">
        <f t="shared" si="11"/>
        <v>(726,'755','عزابة','Azzaba','Azzaba',255),</v>
      </c>
    </row>
    <row r="729" spans="1:8" ht="20.100000000000001" customHeight="1" x14ac:dyDescent="0.25">
      <c r="A729" s="3">
        <v>727</v>
      </c>
      <c r="B729" s="8">
        <v>765</v>
      </c>
      <c r="C729" s="4" t="s">
        <v>3050</v>
      </c>
      <c r="D729" s="4" t="s">
        <v>3051</v>
      </c>
      <c r="E729" s="4" t="s">
        <v>3051</v>
      </c>
      <c r="F729" s="7">
        <v>255</v>
      </c>
      <c r="G729" s="7">
        <v>21</v>
      </c>
      <c r="H729" s="16" t="str">
        <f t="shared" si="11"/>
        <v>(727,'765','جندل سعدي محمد','Djendel Saadi Mohamed','Djendel Saadi Mohamed',255),</v>
      </c>
    </row>
    <row r="730" spans="1:8" ht="20.100000000000001" customHeight="1" x14ac:dyDescent="0.25">
      <c r="A730" s="3">
        <v>728</v>
      </c>
      <c r="B730" s="8">
        <v>767</v>
      </c>
      <c r="C730" s="4" t="s">
        <v>3052</v>
      </c>
      <c r="D730" s="4" t="s">
        <v>3053</v>
      </c>
      <c r="E730" s="4" t="s">
        <v>3053</v>
      </c>
      <c r="F730" s="7">
        <v>255</v>
      </c>
      <c r="G730" s="7">
        <v>21</v>
      </c>
      <c r="H730" s="16" t="str">
        <f t="shared" si="11"/>
        <v>(728,'767','الغدير','El Ghedir','El Ghedir',255),</v>
      </c>
    </row>
    <row r="731" spans="1:8" ht="20.100000000000001" customHeight="1" x14ac:dyDescent="0.25">
      <c r="A731" s="3">
        <v>729</v>
      </c>
      <c r="B731" s="8">
        <v>771</v>
      </c>
      <c r="C731" s="4" t="s">
        <v>2644</v>
      </c>
      <c r="D731" s="4" t="s">
        <v>3054</v>
      </c>
      <c r="E731" s="4" t="s">
        <v>3054</v>
      </c>
      <c r="F731" s="7">
        <v>255</v>
      </c>
      <c r="G731" s="7">
        <v>21</v>
      </c>
      <c r="H731" s="16" t="str">
        <f t="shared" si="11"/>
        <v>(729,'771','السبت','Es Sebt','Es Sebt',255),</v>
      </c>
    </row>
    <row r="732" spans="1:8" ht="20.100000000000001" customHeight="1" x14ac:dyDescent="0.25">
      <c r="A732" s="3">
        <v>730</v>
      </c>
      <c r="B732" s="8">
        <v>756</v>
      </c>
      <c r="C732" s="4" t="s">
        <v>3055</v>
      </c>
      <c r="D732" s="4" t="s">
        <v>3056</v>
      </c>
      <c r="E732" s="4" t="s">
        <v>3056</v>
      </c>
      <c r="F732" s="7">
        <v>256</v>
      </c>
      <c r="G732" s="7">
        <v>21</v>
      </c>
      <c r="H732" s="16" t="str">
        <f t="shared" si="11"/>
        <v>(730,'756','بكوش لخضر','Bekkouche Lakhdar','Bekkouche Lakhdar',256),</v>
      </c>
    </row>
    <row r="733" spans="1:8" ht="20.100000000000001" customHeight="1" x14ac:dyDescent="0.25">
      <c r="A733" s="3">
        <v>731</v>
      </c>
      <c r="B733" s="8">
        <v>757</v>
      </c>
      <c r="C733" s="4" t="s">
        <v>1608</v>
      </c>
      <c r="D733" s="4" t="s">
        <v>1607</v>
      </c>
      <c r="E733" s="4" t="s">
        <v>1607</v>
      </c>
      <c r="F733" s="7">
        <v>256</v>
      </c>
      <c r="G733" s="7">
        <v>21</v>
      </c>
      <c r="H733" s="16" t="str">
        <f t="shared" si="11"/>
        <v>(731,'757','بن عزوز','Ben Azzouz','Ben Azzouz',256),</v>
      </c>
    </row>
    <row r="734" spans="1:8" ht="20.100000000000001" customHeight="1" x14ac:dyDescent="0.25">
      <c r="A734" s="3">
        <v>732</v>
      </c>
      <c r="B734" s="8">
        <v>769</v>
      </c>
      <c r="C734" s="4" t="s">
        <v>1148</v>
      </c>
      <c r="D734" s="4" t="s">
        <v>1147</v>
      </c>
      <c r="E734" s="4" t="s">
        <v>1147</v>
      </c>
      <c r="F734" s="7">
        <v>256</v>
      </c>
      <c r="G734" s="7">
        <v>21</v>
      </c>
      <c r="H734" s="16" t="str">
        <f t="shared" si="11"/>
        <v>(732,'769','المرسى','El Marsa','El Marsa',256),</v>
      </c>
    </row>
    <row r="735" spans="1:8" ht="20.100000000000001" customHeight="1" x14ac:dyDescent="0.25">
      <c r="A735" s="3">
        <v>733</v>
      </c>
      <c r="B735" s="8">
        <v>760</v>
      </c>
      <c r="C735" s="4" t="s">
        <v>3057</v>
      </c>
      <c r="D735" s="4" t="s">
        <v>3058</v>
      </c>
      <c r="E735" s="4" t="s">
        <v>3058</v>
      </c>
      <c r="F735" s="7">
        <v>257</v>
      </c>
      <c r="G735" s="7">
        <v>21</v>
      </c>
      <c r="H735" s="16" t="str">
        <f t="shared" si="11"/>
        <v>(733,'760','بني زيد','Beni Zid','Beni Zid',257),</v>
      </c>
    </row>
    <row r="736" spans="1:8" ht="20.100000000000001" customHeight="1" x14ac:dyDescent="0.25">
      <c r="A736" s="3">
        <v>734</v>
      </c>
      <c r="B736" s="8">
        <v>763</v>
      </c>
      <c r="C736" s="4" t="s">
        <v>3059</v>
      </c>
      <c r="D736" s="4" t="s">
        <v>3060</v>
      </c>
      <c r="E736" s="4" t="s">
        <v>3060</v>
      </c>
      <c r="F736" s="7">
        <v>257</v>
      </c>
      <c r="G736" s="7">
        <v>21</v>
      </c>
      <c r="H736" s="16" t="str">
        <f t="shared" si="11"/>
        <v>(734,'763','الشرايع','Cheraia','Cheraia',257),</v>
      </c>
    </row>
    <row r="737" spans="1:8" ht="20.100000000000001" customHeight="1" x14ac:dyDescent="0.25">
      <c r="A737" s="3">
        <v>735</v>
      </c>
      <c r="B737" s="8">
        <v>764</v>
      </c>
      <c r="C737" s="4" t="s">
        <v>1612</v>
      </c>
      <c r="D737" s="4" t="s">
        <v>1611</v>
      </c>
      <c r="E737" s="4" t="s">
        <v>1611</v>
      </c>
      <c r="F737" s="7">
        <v>257</v>
      </c>
      <c r="G737" s="7">
        <v>21</v>
      </c>
      <c r="H737" s="16" t="str">
        <f t="shared" si="11"/>
        <v>(735,'764','القل','Collo','Collo',257),</v>
      </c>
    </row>
    <row r="738" spans="1:8" ht="20.100000000000001" customHeight="1" x14ac:dyDescent="0.25">
      <c r="A738" s="3">
        <v>736</v>
      </c>
      <c r="B738" s="8">
        <v>776</v>
      </c>
      <c r="C738" s="4" t="s">
        <v>3061</v>
      </c>
      <c r="D738" s="4" t="s">
        <v>3062</v>
      </c>
      <c r="E738" s="4" t="s">
        <v>3062</v>
      </c>
      <c r="F738" s="7">
        <v>258</v>
      </c>
      <c r="G738" s="7">
        <v>21</v>
      </c>
      <c r="H738" s="16" t="str">
        <f t="shared" si="11"/>
        <v>(736,'776','خناق مايو','Khenag Maoune','Khenag Maoune',258),</v>
      </c>
    </row>
    <row r="739" spans="1:8" ht="20.100000000000001" customHeight="1" x14ac:dyDescent="0.25">
      <c r="A739" s="3">
        <v>737</v>
      </c>
      <c r="B739" s="8">
        <v>777</v>
      </c>
      <c r="C739" s="4" t="s">
        <v>3063</v>
      </c>
      <c r="D739" s="4" t="s">
        <v>3064</v>
      </c>
      <c r="E739" s="4" t="s">
        <v>3064</v>
      </c>
      <c r="F739" s="7">
        <v>258</v>
      </c>
      <c r="G739" s="7">
        <v>21</v>
      </c>
      <c r="H739" s="16" t="str">
        <f t="shared" si="11"/>
        <v>(737,'777','وادي الزهور','Oued Zhour','Oued Zhour',258),</v>
      </c>
    </row>
    <row r="740" spans="1:8" ht="20.100000000000001" customHeight="1" x14ac:dyDescent="0.25">
      <c r="A740" s="3">
        <v>738</v>
      </c>
      <c r="B740" s="8">
        <v>779</v>
      </c>
      <c r="C740" s="4" t="s">
        <v>1620</v>
      </c>
      <c r="D740" s="4" t="s">
        <v>1619</v>
      </c>
      <c r="E740" s="4" t="s">
        <v>1619</v>
      </c>
      <c r="F740" s="7">
        <v>258</v>
      </c>
      <c r="G740" s="7">
        <v>21</v>
      </c>
      <c r="H740" s="16" t="str">
        <f t="shared" si="11"/>
        <v>(738,'779','أولاد عطية','Ouled Attia','Ouled Attia',258),</v>
      </c>
    </row>
    <row r="741" spans="1:8" ht="20.100000000000001" customHeight="1" x14ac:dyDescent="0.25">
      <c r="A741" s="3">
        <v>739</v>
      </c>
      <c r="B741" s="8">
        <v>774</v>
      </c>
      <c r="C741" s="4" t="s">
        <v>3065</v>
      </c>
      <c r="D741" s="4" t="s">
        <v>3066</v>
      </c>
      <c r="E741" s="4" t="s">
        <v>3066</v>
      </c>
      <c r="F741" s="7">
        <v>259</v>
      </c>
      <c r="G741" s="7">
        <v>21</v>
      </c>
      <c r="H741" s="16" t="str">
        <f t="shared" si="11"/>
        <v>(739,'774','قنواع','Kanoua','Kanoua',259),</v>
      </c>
    </row>
    <row r="742" spans="1:8" ht="20.100000000000001" customHeight="1" x14ac:dyDescent="0.25">
      <c r="A742" s="3">
        <v>740</v>
      </c>
      <c r="B742" s="8">
        <v>788</v>
      </c>
      <c r="C742" s="4" t="s">
        <v>1618</v>
      </c>
      <c r="D742" s="4" t="s">
        <v>1617</v>
      </c>
      <c r="E742" s="4" t="s">
        <v>1617</v>
      </c>
      <c r="F742" s="7">
        <v>259</v>
      </c>
      <c r="G742" s="7">
        <v>21</v>
      </c>
      <c r="H742" s="16" t="str">
        <f t="shared" si="11"/>
        <v>(740,'788','الزيتونة','Zitouna','Zitouna',259),</v>
      </c>
    </row>
    <row r="743" spans="1:8" ht="20.100000000000001" customHeight="1" x14ac:dyDescent="0.25">
      <c r="A743" s="3">
        <v>741</v>
      </c>
      <c r="B743" s="8">
        <v>766</v>
      </c>
      <c r="C743" s="4" t="s">
        <v>1616</v>
      </c>
      <c r="D743" s="4" t="s">
        <v>3067</v>
      </c>
      <c r="E743" s="4" t="s">
        <v>3067</v>
      </c>
      <c r="F743" s="7">
        <v>260</v>
      </c>
      <c r="G743" s="7">
        <v>21</v>
      </c>
      <c r="H743" s="16" t="str">
        <f t="shared" si="11"/>
        <v>(741,'766','الحروش','El Arrouch','El Arrouch',260),</v>
      </c>
    </row>
    <row r="744" spans="1:8" ht="20.100000000000001" customHeight="1" x14ac:dyDescent="0.25">
      <c r="A744" s="3">
        <v>742</v>
      </c>
      <c r="B744" s="8">
        <v>770</v>
      </c>
      <c r="C744" s="4" t="s">
        <v>3068</v>
      </c>
      <c r="D744" s="4" t="s">
        <v>3069</v>
      </c>
      <c r="E744" s="4" t="s">
        <v>3069</v>
      </c>
      <c r="F744" s="7">
        <v>260</v>
      </c>
      <c r="G744" s="7">
        <v>21</v>
      </c>
      <c r="H744" s="16" t="str">
        <f t="shared" si="11"/>
        <v>(742,'770','مجاز الدشيش','Emjez Edchich','Emjez Edchich',260),</v>
      </c>
    </row>
    <row r="745" spans="1:8" ht="20.100000000000001" customHeight="1" x14ac:dyDescent="0.25">
      <c r="A745" s="3">
        <v>743</v>
      </c>
      <c r="B745" s="8">
        <v>780</v>
      </c>
      <c r="C745" s="4" t="s">
        <v>3070</v>
      </c>
      <c r="D745" s="4" t="s">
        <v>3071</v>
      </c>
      <c r="E745" s="4" t="s">
        <v>3071</v>
      </c>
      <c r="F745" s="7">
        <v>260</v>
      </c>
      <c r="G745" s="7">
        <v>21</v>
      </c>
      <c r="H745" s="16" t="str">
        <f t="shared" si="11"/>
        <v>(743,'780','أولاد حبابة','Ouled Habbaba','Ouled Habbaba',260),</v>
      </c>
    </row>
    <row r="746" spans="1:8" ht="20.100000000000001" customHeight="1" x14ac:dyDescent="0.25">
      <c r="A746" s="3">
        <v>744</v>
      </c>
      <c r="B746" s="8">
        <v>783</v>
      </c>
      <c r="C746" s="4" t="s">
        <v>3072</v>
      </c>
      <c r="D746" s="4" t="s">
        <v>3073</v>
      </c>
      <c r="E746" s="4" t="s">
        <v>3073</v>
      </c>
      <c r="F746" s="7">
        <v>260</v>
      </c>
      <c r="G746" s="7">
        <v>21</v>
      </c>
      <c r="H746" s="16" t="str">
        <f t="shared" si="11"/>
        <v>(744,'783','صالح بو الشعور','Salah Bouchaour','Salah Bouchaour',260),</v>
      </c>
    </row>
    <row r="747" spans="1:8" ht="20.100000000000001" customHeight="1" x14ac:dyDescent="0.25">
      <c r="A747" s="3">
        <v>745</v>
      </c>
      <c r="B747" s="8">
        <v>787</v>
      </c>
      <c r="C747" s="4" t="s">
        <v>3074</v>
      </c>
      <c r="D747" s="4" t="s">
        <v>3075</v>
      </c>
      <c r="E747" s="4" t="s">
        <v>3075</v>
      </c>
      <c r="F747" s="7">
        <v>260</v>
      </c>
      <c r="G747" s="7">
        <v>21</v>
      </c>
      <c r="H747" s="16" t="str">
        <f t="shared" si="11"/>
        <v>(745,'787','زردازة','Zerdezas','Zerdezas',260),</v>
      </c>
    </row>
    <row r="748" spans="1:8" ht="20.100000000000001" customHeight="1" x14ac:dyDescent="0.25">
      <c r="A748" s="3">
        <v>746</v>
      </c>
      <c r="B748" s="8">
        <v>751</v>
      </c>
      <c r="C748" s="4" t="s">
        <v>3076</v>
      </c>
      <c r="D748" s="4" t="s">
        <v>3077</v>
      </c>
      <c r="E748" s="4" t="s">
        <v>3077</v>
      </c>
      <c r="F748" s="7">
        <v>261</v>
      </c>
      <c r="G748" s="7">
        <v>21</v>
      </c>
      <c r="H748" s="16" t="str">
        <f t="shared" si="11"/>
        <v>(746,'751','عين بوزيان','Ain Bouziane','Ain Bouziane',261),</v>
      </c>
    </row>
    <row r="749" spans="1:8" ht="20.100000000000001" customHeight="1" x14ac:dyDescent="0.25">
      <c r="A749" s="3">
        <v>747</v>
      </c>
      <c r="B749" s="8">
        <v>759</v>
      </c>
      <c r="C749" s="4" t="s">
        <v>3078</v>
      </c>
      <c r="D749" s="4" t="s">
        <v>3079</v>
      </c>
      <c r="E749" s="4" t="s">
        <v>3079</v>
      </c>
      <c r="F749" s="7">
        <v>261</v>
      </c>
      <c r="G749" s="7">
        <v>21</v>
      </c>
      <c r="H749" s="16" t="str">
        <f t="shared" si="11"/>
        <v>(747,'759','بني ولبان','Beni Oulbane','Beni Oulbane',261),</v>
      </c>
    </row>
    <row r="750" spans="1:8" ht="20.100000000000001" customHeight="1" x14ac:dyDescent="0.25">
      <c r="A750" s="3">
        <v>748</v>
      </c>
      <c r="B750" s="8">
        <v>784</v>
      </c>
      <c r="C750" s="4" t="s">
        <v>1600</v>
      </c>
      <c r="D750" s="4" t="s">
        <v>1599</v>
      </c>
      <c r="E750" s="4" t="s">
        <v>1599</v>
      </c>
      <c r="F750" s="7">
        <v>261</v>
      </c>
      <c r="G750" s="7">
        <v>21</v>
      </c>
      <c r="H750" s="16" t="str">
        <f t="shared" si="11"/>
        <v>(748,'784','سيدي مزغيش','Sidi Mezghiche','Sidi Mezghiche',261),</v>
      </c>
    </row>
    <row r="751" spans="1:8" ht="20.100000000000001" customHeight="1" x14ac:dyDescent="0.25">
      <c r="A751" s="3">
        <v>749</v>
      </c>
      <c r="B751" s="8">
        <v>758</v>
      </c>
      <c r="C751" s="4" t="s">
        <v>3080</v>
      </c>
      <c r="D751" s="4" t="s">
        <v>3081</v>
      </c>
      <c r="E751" s="4" t="s">
        <v>3081</v>
      </c>
      <c r="F751" s="7">
        <v>262</v>
      </c>
      <c r="G751" s="7">
        <v>21</v>
      </c>
      <c r="H751" s="16" t="str">
        <f t="shared" si="11"/>
        <v>(749,'758','بني بشير','Beni Bechir','Beni Bechir',262),</v>
      </c>
    </row>
    <row r="752" spans="1:8" ht="20.100000000000001" customHeight="1" x14ac:dyDescent="0.25">
      <c r="A752" s="3">
        <v>750</v>
      </c>
      <c r="B752" s="8">
        <v>782</v>
      </c>
      <c r="C752" s="4" t="s">
        <v>1610</v>
      </c>
      <c r="D752" s="4" t="s">
        <v>1609</v>
      </c>
      <c r="E752" s="4" t="s">
        <v>1609</v>
      </c>
      <c r="F752" s="7">
        <v>262</v>
      </c>
      <c r="G752" s="7">
        <v>21</v>
      </c>
      <c r="H752" s="16" t="str">
        <f t="shared" si="11"/>
        <v>(750,'782','رمضان جمال','Ramdane Djamel','Ramdane Djamel',262),</v>
      </c>
    </row>
    <row r="753" spans="1:8" ht="20.100000000000001" customHeight="1" x14ac:dyDescent="0.25">
      <c r="A753" s="3">
        <v>751</v>
      </c>
      <c r="B753" s="8">
        <v>761</v>
      </c>
      <c r="C753" s="4" t="s">
        <v>3082</v>
      </c>
      <c r="D753" s="4" t="s">
        <v>3083</v>
      </c>
      <c r="E753" s="4" t="s">
        <v>3083</v>
      </c>
      <c r="F753" s="7">
        <v>263</v>
      </c>
      <c r="G753" s="7">
        <v>21</v>
      </c>
      <c r="H753" s="16" t="str">
        <f t="shared" si="11"/>
        <v>(751,'761','بين الويدان','Bin El Ouiden','Bin El Ouiden',263),</v>
      </c>
    </row>
    <row r="754" spans="1:8" ht="20.100000000000001" customHeight="1" x14ac:dyDescent="0.25">
      <c r="A754" s="3">
        <v>752</v>
      </c>
      <c r="B754" s="8">
        <v>775</v>
      </c>
      <c r="C754" s="4" t="s">
        <v>3084</v>
      </c>
      <c r="D754" s="4" t="s">
        <v>3085</v>
      </c>
      <c r="E754" s="4" t="s">
        <v>3085</v>
      </c>
      <c r="F754" s="7">
        <v>263</v>
      </c>
      <c r="G754" s="7">
        <v>21</v>
      </c>
      <c r="H754" s="16" t="str">
        <f t="shared" si="11"/>
        <v>(752,'775','الكركرة','Kerkara','Kerkara',263),</v>
      </c>
    </row>
    <row r="755" spans="1:8" ht="20.100000000000001" customHeight="1" x14ac:dyDescent="0.25">
      <c r="A755" s="3">
        <v>753</v>
      </c>
      <c r="B755" s="8">
        <v>786</v>
      </c>
      <c r="C755" s="4" t="s">
        <v>1614</v>
      </c>
      <c r="D755" s="4" t="s">
        <v>1613</v>
      </c>
      <c r="E755" s="4" t="s">
        <v>1613</v>
      </c>
      <c r="F755" s="7">
        <v>263</v>
      </c>
      <c r="G755" s="7">
        <v>21</v>
      </c>
      <c r="H755" s="16" t="str">
        <f t="shared" si="11"/>
        <v>(753,'786','تمالوس','Tamalous','Tamalous',263),</v>
      </c>
    </row>
    <row r="756" spans="1:8" ht="20.100000000000001" customHeight="1" x14ac:dyDescent="0.25">
      <c r="A756" s="3">
        <v>754</v>
      </c>
      <c r="B756" s="8">
        <v>753</v>
      </c>
      <c r="C756" s="4" t="s">
        <v>1604</v>
      </c>
      <c r="D756" s="4" t="s">
        <v>1603</v>
      </c>
      <c r="E756" s="4" t="s">
        <v>1603</v>
      </c>
      <c r="F756" s="7">
        <v>264</v>
      </c>
      <c r="G756" s="7">
        <v>21</v>
      </c>
      <c r="H756" s="16" t="str">
        <f t="shared" si="11"/>
        <v>(754,'753','عين قشرة','Ain Kechra','Ain Kechra',264),</v>
      </c>
    </row>
    <row r="757" spans="1:8" ht="20.100000000000001" customHeight="1" x14ac:dyDescent="0.25">
      <c r="A757" s="3">
        <v>755</v>
      </c>
      <c r="B757" s="8">
        <v>778</v>
      </c>
      <c r="C757" s="4" t="s">
        <v>3086</v>
      </c>
      <c r="D757" s="4" t="s">
        <v>3087</v>
      </c>
      <c r="E757" s="4" t="s">
        <v>3087</v>
      </c>
      <c r="F757" s="7">
        <v>264</v>
      </c>
      <c r="G757" s="7">
        <v>21</v>
      </c>
      <c r="H757" s="16" t="str">
        <f t="shared" si="11"/>
        <v>(755,'778','الولجة بولبلوط','Ouldja Boulbalout','Ouldja Boulbalout',264),</v>
      </c>
    </row>
    <row r="758" spans="1:8" ht="20.100000000000001" customHeight="1" x14ac:dyDescent="0.25">
      <c r="A758" s="3">
        <v>756</v>
      </c>
      <c r="B758" s="8">
        <v>781</v>
      </c>
      <c r="C758" s="4" t="s">
        <v>1622</v>
      </c>
      <c r="D758" s="4" t="s">
        <v>1621</v>
      </c>
      <c r="E758" s="4" t="s">
        <v>1621</v>
      </c>
      <c r="F758" s="7">
        <v>265</v>
      </c>
      <c r="G758" s="7">
        <v>21</v>
      </c>
      <c r="H758" s="16" t="str">
        <f t="shared" si="11"/>
        <v>(756,'781','أم الطوب','Oum Toub','Oum Toub',265),</v>
      </c>
    </row>
    <row r="759" spans="1:8" ht="20.100000000000001" customHeight="1" x14ac:dyDescent="0.25">
      <c r="A759" s="3">
        <v>757</v>
      </c>
      <c r="B759" s="8">
        <v>824</v>
      </c>
      <c r="C759" s="4" t="s">
        <v>1013</v>
      </c>
      <c r="D759" s="4" t="s">
        <v>3088</v>
      </c>
      <c r="E759" s="4" t="s">
        <v>3088</v>
      </c>
      <c r="F759" s="7">
        <v>266</v>
      </c>
      <c r="G759" s="7">
        <v>22</v>
      </c>
      <c r="H759" s="16" t="str">
        <f t="shared" si="11"/>
        <v>(757,'824','سيدي بلعباس','Sidi Bel-Abbes','Sidi Bel-Abbes',266),</v>
      </c>
    </row>
    <row r="760" spans="1:8" ht="20.100000000000001" customHeight="1" x14ac:dyDescent="0.25">
      <c r="A760" s="3">
        <v>758</v>
      </c>
      <c r="B760" s="8">
        <v>791</v>
      </c>
      <c r="C760" s="4" t="s">
        <v>3089</v>
      </c>
      <c r="D760" s="4" t="s">
        <v>3090</v>
      </c>
      <c r="E760" s="4" t="s">
        <v>3090</v>
      </c>
      <c r="F760" s="7">
        <v>267</v>
      </c>
      <c r="G760" s="7">
        <v>22</v>
      </c>
      <c r="H760" s="16" t="str">
        <f t="shared" si="11"/>
        <v>(758,'791','عين الثريد','Ain Thrid','Ain Thrid',267),</v>
      </c>
    </row>
    <row r="761" spans="1:8" ht="20.100000000000001" customHeight="1" x14ac:dyDescent="0.25">
      <c r="A761" s="3">
        <v>759</v>
      </c>
      <c r="B761" s="8">
        <v>820</v>
      </c>
      <c r="C761" s="4" t="s">
        <v>3091</v>
      </c>
      <c r="D761" s="4" t="s">
        <v>3092</v>
      </c>
      <c r="E761" s="4" t="s">
        <v>3092</v>
      </c>
      <c r="F761" s="7">
        <v>267</v>
      </c>
      <c r="G761" s="7">
        <v>22</v>
      </c>
      <c r="H761" s="16" t="str">
        <f t="shared" si="11"/>
        <v>(759,'820','السهالة الثورة','Sehala Thaoura','Sehala Thaoura',267),</v>
      </c>
    </row>
    <row r="762" spans="1:8" ht="20.100000000000001" customHeight="1" x14ac:dyDescent="0.25">
      <c r="A762" s="3">
        <v>760</v>
      </c>
      <c r="B762" s="8">
        <v>838</v>
      </c>
      <c r="C762" s="4" t="s">
        <v>1628</v>
      </c>
      <c r="D762" s="4" t="s">
        <v>1627</v>
      </c>
      <c r="E762" s="4" t="s">
        <v>1627</v>
      </c>
      <c r="F762" s="7">
        <v>267</v>
      </c>
      <c r="G762" s="7">
        <v>22</v>
      </c>
      <c r="H762" s="16" t="str">
        <f t="shared" si="11"/>
        <v>(760,'838','تسالة','Tessala','Tessala',267),</v>
      </c>
    </row>
    <row r="763" spans="1:8" ht="20.100000000000001" customHeight="1" x14ac:dyDescent="0.25">
      <c r="A763" s="3">
        <v>761</v>
      </c>
      <c r="B763" s="8">
        <v>796</v>
      </c>
      <c r="C763" s="4" t="s">
        <v>3093</v>
      </c>
      <c r="D763" s="4" t="s">
        <v>3094</v>
      </c>
      <c r="E763" s="4" t="s">
        <v>3094</v>
      </c>
      <c r="F763" s="7">
        <v>268</v>
      </c>
      <c r="G763" s="7">
        <v>22</v>
      </c>
      <c r="H763" s="16" t="str">
        <f t="shared" si="11"/>
        <v>(761,'796','بلعربي','Belarbi','Belarbi',268),</v>
      </c>
    </row>
    <row r="764" spans="1:8" ht="20.100000000000001" customHeight="1" x14ac:dyDescent="0.25">
      <c r="A764" s="3">
        <v>762</v>
      </c>
      <c r="B764" s="8">
        <v>813</v>
      </c>
      <c r="C764" s="4" t="s">
        <v>1638</v>
      </c>
      <c r="D764" s="4" t="s">
        <v>1637</v>
      </c>
      <c r="E764" s="4" t="s">
        <v>1637</v>
      </c>
      <c r="F764" s="7">
        <v>268</v>
      </c>
      <c r="G764" s="7">
        <v>22</v>
      </c>
      <c r="H764" s="16" t="str">
        <f t="shared" si="11"/>
        <v>(762,'813','مصطفى بن ابراهيم','Mostefa  Ben Brahim','Mostefa  Ben Brahim',268),</v>
      </c>
    </row>
    <row r="765" spans="1:8" ht="20.100000000000001" customHeight="1" x14ac:dyDescent="0.25">
      <c r="A765" s="3">
        <v>763</v>
      </c>
      <c r="B765" s="8">
        <v>839</v>
      </c>
      <c r="C765" s="4" t="s">
        <v>3095</v>
      </c>
      <c r="D765" s="4" t="s">
        <v>3096</v>
      </c>
      <c r="E765" s="4" t="s">
        <v>3096</v>
      </c>
      <c r="F765" s="7">
        <v>268</v>
      </c>
      <c r="G765" s="7">
        <v>22</v>
      </c>
      <c r="H765" s="16" t="str">
        <f t="shared" si="11"/>
        <v>(763,'839','تلموني','Tilmouni','Tilmouni',268),</v>
      </c>
    </row>
    <row r="766" spans="1:8" ht="20.100000000000001" customHeight="1" x14ac:dyDescent="0.25">
      <c r="A766" s="3">
        <v>764</v>
      </c>
      <c r="B766" s="8">
        <v>840</v>
      </c>
      <c r="C766" s="4" t="s">
        <v>3097</v>
      </c>
      <c r="D766" s="4" t="s">
        <v>3098</v>
      </c>
      <c r="E766" s="4" t="s">
        <v>3098</v>
      </c>
      <c r="F766" s="7">
        <v>268</v>
      </c>
      <c r="G766" s="7">
        <v>22</v>
      </c>
      <c r="H766" s="16" t="str">
        <f t="shared" si="11"/>
        <v>(764,'840','زروالة','Zerouala','Zerouala',268),</v>
      </c>
    </row>
    <row r="767" spans="1:8" ht="20.100000000000001" customHeight="1" x14ac:dyDescent="0.25">
      <c r="A767" s="3">
        <v>765</v>
      </c>
      <c r="B767" s="8">
        <v>803</v>
      </c>
      <c r="C767" s="4" t="s">
        <v>3099</v>
      </c>
      <c r="D767" s="4" t="s">
        <v>3100</v>
      </c>
      <c r="E767" s="4" t="s">
        <v>3100</v>
      </c>
      <c r="F767" s="7">
        <v>269</v>
      </c>
      <c r="G767" s="7">
        <v>22</v>
      </c>
      <c r="H767" s="16" t="str">
        <f t="shared" si="11"/>
        <v>(765,'803','الضاية','Dhaya','Dhaya',269),</v>
      </c>
    </row>
    <row r="768" spans="1:8" ht="20.100000000000001" customHeight="1" x14ac:dyDescent="0.25">
      <c r="A768" s="3">
        <v>766</v>
      </c>
      <c r="B768" s="8">
        <v>812</v>
      </c>
      <c r="C768" s="4" t="s">
        <v>3101</v>
      </c>
      <c r="D768" s="4" t="s">
        <v>3102</v>
      </c>
      <c r="E768" s="4" t="s">
        <v>3102</v>
      </c>
      <c r="F768" s="7">
        <v>269</v>
      </c>
      <c r="G768" s="7">
        <v>22</v>
      </c>
      <c r="H768" s="16" t="str">
        <f t="shared" si="11"/>
        <v>(766,'812','مزاورو','Mezaourou','Mezaourou',269),</v>
      </c>
    </row>
    <row r="769" spans="1:8" ht="20.100000000000001" customHeight="1" x14ac:dyDescent="0.25">
      <c r="A769" s="3">
        <v>767</v>
      </c>
      <c r="B769" s="8">
        <v>835</v>
      </c>
      <c r="C769" s="4" t="s">
        <v>3103</v>
      </c>
      <c r="D769" s="4" t="s">
        <v>3104</v>
      </c>
      <c r="E769" s="4" t="s">
        <v>3104</v>
      </c>
      <c r="F769" s="7">
        <v>269</v>
      </c>
      <c r="G769" s="7">
        <v>22</v>
      </c>
      <c r="H769" s="16" t="str">
        <f t="shared" si="11"/>
        <v>(767,'835','تغاليمت','Teghalimet','Teghalimet',269),</v>
      </c>
    </row>
    <row r="770" spans="1:8" ht="20.100000000000001" customHeight="1" x14ac:dyDescent="0.25">
      <c r="A770" s="3">
        <v>768</v>
      </c>
      <c r="B770" s="8">
        <v>836</v>
      </c>
      <c r="C770" s="4" t="s">
        <v>1646</v>
      </c>
      <c r="D770" s="4" t="s">
        <v>1645</v>
      </c>
      <c r="E770" s="4" t="s">
        <v>1645</v>
      </c>
      <c r="F770" s="7">
        <v>269</v>
      </c>
      <c r="G770" s="7">
        <v>22</v>
      </c>
      <c r="H770" s="16" t="str">
        <f t="shared" si="11"/>
        <v>(768,'836','تلاغ','Telagh','Telagh',269),</v>
      </c>
    </row>
    <row r="771" spans="1:8" ht="20.100000000000001" customHeight="1" x14ac:dyDescent="0.25">
      <c r="A771" s="3">
        <v>769</v>
      </c>
      <c r="B771" s="8">
        <v>790</v>
      </c>
      <c r="C771" s="4" t="s">
        <v>3105</v>
      </c>
      <c r="D771" s="4" t="s">
        <v>3106</v>
      </c>
      <c r="E771" s="4" t="s">
        <v>3106</v>
      </c>
      <c r="F771" s="7">
        <v>270</v>
      </c>
      <c r="G771" s="7">
        <v>22</v>
      </c>
      <c r="H771" s="16" t="str">
        <f t="shared" si="11"/>
        <v>(769,'790','عين قادة','Ain Kada','Ain Kada',270),</v>
      </c>
    </row>
    <row r="772" spans="1:8" ht="20.100000000000001" customHeight="1" x14ac:dyDescent="0.25">
      <c r="A772" s="3">
        <v>770</v>
      </c>
      <c r="B772" s="8">
        <v>807</v>
      </c>
      <c r="C772" s="4" t="s">
        <v>3107</v>
      </c>
      <c r="D772" s="4" t="s">
        <v>3108</v>
      </c>
      <c r="E772" s="4" t="s">
        <v>3108</v>
      </c>
      <c r="F772" s="7">
        <v>270</v>
      </c>
      <c r="G772" s="7">
        <v>22</v>
      </c>
      <c r="H772" s="16" t="str">
        <f t="shared" ref="H772:H835" si="12">CONCATENATE("(",A772,",'",B772,"','",C772,"','",D772,"','",E772,"',",F772,"),")</f>
        <v>(770,'807','لمطار','Lamtar','Lamtar',270),</v>
      </c>
    </row>
    <row r="773" spans="1:8" ht="20.100000000000001" customHeight="1" x14ac:dyDescent="0.25">
      <c r="A773" s="3">
        <v>771</v>
      </c>
      <c r="B773" s="8">
        <v>823</v>
      </c>
      <c r="C773" s="4" t="s">
        <v>1626</v>
      </c>
      <c r="D773" s="4" t="s">
        <v>1625</v>
      </c>
      <c r="E773" s="4" t="s">
        <v>1625</v>
      </c>
      <c r="F773" s="7">
        <v>270</v>
      </c>
      <c r="G773" s="7">
        <v>22</v>
      </c>
      <c r="H773" s="16" t="str">
        <f t="shared" si="12"/>
        <v>(771,'823','سيدي علي بوسيدي','Sidi Ali Boussidi','Sidi Ali Boussidi',270),</v>
      </c>
    </row>
    <row r="774" spans="1:8" ht="20.100000000000001" customHeight="1" x14ac:dyDescent="0.25">
      <c r="A774" s="3">
        <v>772</v>
      </c>
      <c r="B774" s="8">
        <v>827</v>
      </c>
      <c r="C774" s="4" t="s">
        <v>3109</v>
      </c>
      <c r="D774" s="4" t="s">
        <v>3110</v>
      </c>
      <c r="E774" s="4" t="s">
        <v>3110</v>
      </c>
      <c r="F774" s="7">
        <v>270</v>
      </c>
      <c r="G774" s="7">
        <v>22</v>
      </c>
      <c r="H774" s="16" t="str">
        <f t="shared" si="12"/>
        <v>(772,'827','سيدي دحو الزاير','Sidi Dahou Zairs','Sidi Dahou Zairs',270),</v>
      </c>
    </row>
    <row r="775" spans="1:8" ht="20.100000000000001" customHeight="1" x14ac:dyDescent="0.25">
      <c r="A775" s="3">
        <v>773</v>
      </c>
      <c r="B775" s="8">
        <v>799</v>
      </c>
      <c r="C775" s="4" t="s">
        <v>3111</v>
      </c>
      <c r="D775" s="4" t="s">
        <v>3112</v>
      </c>
      <c r="E775" s="4" t="s">
        <v>3112</v>
      </c>
      <c r="F775" s="7">
        <v>271</v>
      </c>
      <c r="G775" s="7">
        <v>22</v>
      </c>
      <c r="H775" s="16" t="str">
        <f t="shared" si="12"/>
        <v>(773,'799','بئر الحمام','Bir El Hammam','Bir El Hammam',271),</v>
      </c>
    </row>
    <row r="776" spans="1:8" ht="20.100000000000001" customHeight="1" x14ac:dyDescent="0.25">
      <c r="A776" s="3">
        <v>774</v>
      </c>
      <c r="B776" s="8">
        <v>809</v>
      </c>
      <c r="C776" s="4" t="s">
        <v>1642</v>
      </c>
      <c r="D776" s="4" t="s">
        <v>1641</v>
      </c>
      <c r="E776" s="4" t="s">
        <v>1641</v>
      </c>
      <c r="F776" s="7">
        <v>271</v>
      </c>
      <c r="G776" s="7">
        <v>22</v>
      </c>
      <c r="H776" s="16" t="str">
        <f t="shared" si="12"/>
        <v>(774,'809','مرحوم','Marhoum','Marhoum',271),</v>
      </c>
    </row>
    <row r="777" spans="1:8" ht="20.100000000000001" customHeight="1" x14ac:dyDescent="0.25">
      <c r="A777" s="3">
        <v>775</v>
      </c>
      <c r="B777" s="8">
        <v>826</v>
      </c>
      <c r="C777" s="4" t="s">
        <v>3113</v>
      </c>
      <c r="D777" s="4" t="s">
        <v>3114</v>
      </c>
      <c r="E777" s="4" t="s">
        <v>3114</v>
      </c>
      <c r="F777" s="7">
        <v>271</v>
      </c>
      <c r="G777" s="7">
        <v>22</v>
      </c>
      <c r="H777" s="16" t="str">
        <f t="shared" si="12"/>
        <v>(775,'826','سيدي شعيب','Sidi Chaib','Sidi Chaib',271),</v>
      </c>
    </row>
    <row r="778" spans="1:8" ht="20.100000000000001" customHeight="1" x14ac:dyDescent="0.25">
      <c r="A778" s="3">
        <v>776</v>
      </c>
      <c r="B778" s="8">
        <v>794</v>
      </c>
      <c r="C778" s="4" t="s">
        <v>3115</v>
      </c>
      <c r="D778" s="4" t="s">
        <v>3116</v>
      </c>
      <c r="E778" s="4" t="s">
        <v>3116</v>
      </c>
      <c r="F778" s="7">
        <v>272</v>
      </c>
      <c r="G778" s="7">
        <v>22</v>
      </c>
      <c r="H778" s="16" t="str">
        <f t="shared" si="12"/>
        <v>(776,'794','العمارنة','Amarnas','Amarnas',272),</v>
      </c>
    </row>
    <row r="779" spans="1:8" ht="20.100000000000001" customHeight="1" x14ac:dyDescent="0.25">
      <c r="A779" s="3">
        <v>777</v>
      </c>
      <c r="B779" s="8">
        <v>829</v>
      </c>
      <c r="C779" s="4" t="s">
        <v>3117</v>
      </c>
      <c r="D779" s="4" t="s">
        <v>1271</v>
      </c>
      <c r="E779" s="4" t="s">
        <v>1271</v>
      </c>
      <c r="F779" s="7">
        <v>272</v>
      </c>
      <c r="G779" s="7">
        <v>22</v>
      </c>
      <c r="H779" s="16" t="str">
        <f t="shared" si="12"/>
        <v>(777,'829','سيدي خالد','Sidi Khaled','Sidi Khaled',272),</v>
      </c>
    </row>
    <row r="780" spans="1:8" ht="20.100000000000001" customHeight="1" x14ac:dyDescent="0.25">
      <c r="A780" s="3">
        <v>778</v>
      </c>
      <c r="B780" s="8">
        <v>830</v>
      </c>
      <c r="C780" s="4" t="s">
        <v>1634</v>
      </c>
      <c r="D780" s="4" t="s">
        <v>1633</v>
      </c>
      <c r="E780" s="4" t="s">
        <v>1633</v>
      </c>
      <c r="F780" s="7">
        <v>272</v>
      </c>
      <c r="G780" s="7">
        <v>22</v>
      </c>
      <c r="H780" s="16" t="str">
        <f t="shared" si="12"/>
        <v>(778,'830','سيدي لحسن','Sidi Lahcene','Sidi Lahcene',272),</v>
      </c>
    </row>
    <row r="781" spans="1:8" ht="20.100000000000001" customHeight="1" x14ac:dyDescent="0.25">
      <c r="A781" s="3">
        <v>779</v>
      </c>
      <c r="B781" s="8">
        <v>831</v>
      </c>
      <c r="C781" s="4" t="s">
        <v>3118</v>
      </c>
      <c r="D781" s="4" t="s">
        <v>3119</v>
      </c>
      <c r="E781" s="4" t="s">
        <v>3119</v>
      </c>
      <c r="F781" s="7">
        <v>272</v>
      </c>
      <c r="G781" s="7">
        <v>22</v>
      </c>
      <c r="H781" s="16" t="str">
        <f t="shared" si="12"/>
        <v>(779,'831','سيدي يعقوب','Sidi Yacoub','Sidi Yacoub',272),</v>
      </c>
    </row>
    <row r="782" spans="1:8" ht="20.100000000000001" customHeight="1" x14ac:dyDescent="0.25">
      <c r="A782" s="3">
        <v>780</v>
      </c>
      <c r="B782" s="8">
        <v>798</v>
      </c>
      <c r="C782" s="4" t="s">
        <v>3120</v>
      </c>
      <c r="D782" s="4" t="s">
        <v>3121</v>
      </c>
      <c r="E782" s="4" t="s">
        <v>3121</v>
      </c>
      <c r="F782" s="7">
        <v>273</v>
      </c>
      <c r="G782" s="7">
        <v>22</v>
      </c>
      <c r="H782" s="16" t="str">
        <f t="shared" si="12"/>
        <v>(780,'798','بن عشيبة شلية','Benachiba Chelia','Benachiba Chelia',273),</v>
      </c>
    </row>
    <row r="783" spans="1:8" ht="20.100000000000001" customHeight="1" x14ac:dyDescent="0.25">
      <c r="A783" s="3">
        <v>781</v>
      </c>
      <c r="B783" s="8">
        <v>805</v>
      </c>
      <c r="C783" s="4" t="s">
        <v>3122</v>
      </c>
      <c r="D783" s="4" t="s">
        <v>3123</v>
      </c>
      <c r="E783" s="4" t="s">
        <v>3123</v>
      </c>
      <c r="F783" s="7">
        <v>273</v>
      </c>
      <c r="G783" s="7">
        <v>22</v>
      </c>
      <c r="H783" s="16" t="str">
        <f t="shared" si="12"/>
        <v>(781,'805','حاسي دحو','Hassi Dahou','Hassi Dahou',273),</v>
      </c>
    </row>
    <row r="784" spans="1:8" ht="20.100000000000001" customHeight="1" x14ac:dyDescent="0.25">
      <c r="A784" s="3">
        <v>782</v>
      </c>
      <c r="B784" s="8">
        <v>816</v>
      </c>
      <c r="C784" s="4" t="s">
        <v>3124</v>
      </c>
      <c r="D784" s="4" t="s">
        <v>3125</v>
      </c>
      <c r="E784" s="4" t="s">
        <v>3125</v>
      </c>
      <c r="F784" s="7">
        <v>273</v>
      </c>
      <c r="G784" s="7">
        <v>22</v>
      </c>
      <c r="H784" s="16" t="str">
        <f t="shared" si="12"/>
        <v>(782,'816','وادي سفيون','Oued Sefioun','Oued Sefioun',273),</v>
      </c>
    </row>
    <row r="785" spans="1:8" ht="20.100000000000001" customHeight="1" x14ac:dyDescent="0.25">
      <c r="A785" s="3">
        <v>783</v>
      </c>
      <c r="B785" s="8">
        <v>837</v>
      </c>
      <c r="C785" s="4" t="s">
        <v>1640</v>
      </c>
      <c r="D785" s="4" t="s">
        <v>1639</v>
      </c>
      <c r="E785" s="4" t="s">
        <v>1639</v>
      </c>
      <c r="F785" s="7">
        <v>273</v>
      </c>
      <c r="G785" s="7">
        <v>22</v>
      </c>
      <c r="H785" s="16" t="str">
        <f t="shared" si="12"/>
        <v>(783,'837','تنيرة','Tenira','Tenira',273),</v>
      </c>
    </row>
    <row r="786" spans="1:8" ht="20.100000000000001" customHeight="1" x14ac:dyDescent="0.25">
      <c r="A786" s="3">
        <v>784</v>
      </c>
      <c r="B786" s="8">
        <v>792</v>
      </c>
      <c r="C786" s="4" t="s">
        <v>3126</v>
      </c>
      <c r="D786" s="4" t="s">
        <v>3127</v>
      </c>
      <c r="E786" s="4" t="s">
        <v>3127</v>
      </c>
      <c r="F786" s="7">
        <v>274</v>
      </c>
      <c r="G786" s="7">
        <v>22</v>
      </c>
      <c r="H786" s="16" t="str">
        <f t="shared" si="12"/>
        <v>(784,'792','عين تندمين','Ain Tindamine','Ain Tindamine',274),</v>
      </c>
    </row>
    <row r="787" spans="1:8" ht="20.100000000000001" customHeight="1" x14ac:dyDescent="0.25">
      <c r="A787" s="3">
        <v>785</v>
      </c>
      <c r="B787" s="8">
        <v>804</v>
      </c>
      <c r="C787" s="4" t="s">
        <v>3128</v>
      </c>
      <c r="D787" s="4" t="s">
        <v>3129</v>
      </c>
      <c r="E787" s="4" t="s">
        <v>3129</v>
      </c>
      <c r="F787" s="7">
        <v>274</v>
      </c>
      <c r="G787" s="7">
        <v>22</v>
      </c>
      <c r="H787" s="16" t="str">
        <f t="shared" si="12"/>
        <v>(785,'804','الحصيبة','El Hacaiba','El Hacaiba',274),</v>
      </c>
    </row>
    <row r="788" spans="1:8" ht="20.100000000000001" customHeight="1" x14ac:dyDescent="0.25">
      <c r="A788" s="3">
        <v>786</v>
      </c>
      <c r="B788" s="8">
        <v>814</v>
      </c>
      <c r="C788" s="4" t="s">
        <v>1630</v>
      </c>
      <c r="D788" s="4" t="s">
        <v>1629</v>
      </c>
      <c r="E788" s="4" t="s">
        <v>1629</v>
      </c>
      <c r="F788" s="7">
        <v>274</v>
      </c>
      <c r="G788" s="7">
        <v>22</v>
      </c>
      <c r="H788" s="16" t="str">
        <f t="shared" si="12"/>
        <v>(786,'814','مولاي سليسن','Moulay Slissen','Moulay Slissen',274),</v>
      </c>
    </row>
    <row r="789" spans="1:8" ht="20.100000000000001" customHeight="1" x14ac:dyDescent="0.25">
      <c r="A789" s="3">
        <v>787</v>
      </c>
      <c r="B789" s="8">
        <v>811</v>
      </c>
      <c r="C789" s="4" t="s">
        <v>1648</v>
      </c>
      <c r="D789" s="4" t="s">
        <v>1647</v>
      </c>
      <c r="E789" s="4" t="s">
        <v>1647</v>
      </c>
      <c r="F789" s="7">
        <v>275</v>
      </c>
      <c r="G789" s="7">
        <v>22</v>
      </c>
      <c r="H789" s="16" t="str">
        <f t="shared" si="12"/>
        <v>(787,'811','مرين','Merine','Merine',275),</v>
      </c>
    </row>
    <row r="790" spans="1:8" ht="20.100000000000001" customHeight="1" x14ac:dyDescent="0.25">
      <c r="A790" s="3">
        <v>788</v>
      </c>
      <c r="B790" s="8">
        <v>817</v>
      </c>
      <c r="C790" s="4" t="s">
        <v>3130</v>
      </c>
      <c r="D790" s="4" t="s">
        <v>3131</v>
      </c>
      <c r="E790" s="4" t="s">
        <v>3131</v>
      </c>
      <c r="F790" s="7">
        <v>275</v>
      </c>
      <c r="G790" s="7">
        <v>22</v>
      </c>
      <c r="H790" s="16" t="str">
        <f t="shared" si="12"/>
        <v>(788,'817','وادي تاوريرة','Oued Taourira','Oued Taourira',275),</v>
      </c>
    </row>
    <row r="791" spans="1:8" ht="20.100000000000001" customHeight="1" x14ac:dyDescent="0.25">
      <c r="A791" s="3">
        <v>789</v>
      </c>
      <c r="B791" s="8">
        <v>833</v>
      </c>
      <c r="C791" s="4" t="s">
        <v>3132</v>
      </c>
      <c r="D791" s="4" t="s">
        <v>3133</v>
      </c>
      <c r="E791" s="4" t="s">
        <v>3133</v>
      </c>
      <c r="F791" s="7">
        <v>275</v>
      </c>
      <c r="G791" s="7">
        <v>22</v>
      </c>
      <c r="H791" s="16" t="str">
        <f t="shared" si="12"/>
        <v>(789,'833','تاودموت','Taoudmout','Taoudmout',275),</v>
      </c>
    </row>
    <row r="792" spans="1:8" ht="20.100000000000001" customHeight="1" x14ac:dyDescent="0.25">
      <c r="A792" s="3">
        <v>790</v>
      </c>
      <c r="B792" s="8">
        <v>834</v>
      </c>
      <c r="C792" s="4" t="s">
        <v>3134</v>
      </c>
      <c r="D792" s="4" t="s">
        <v>3135</v>
      </c>
      <c r="E792" s="4" t="s">
        <v>3135</v>
      </c>
      <c r="F792" s="7">
        <v>275</v>
      </c>
      <c r="G792" s="7">
        <v>22</v>
      </c>
      <c r="H792" s="16" t="str">
        <f t="shared" si="12"/>
        <v>(790,'834','تفسور','Tefessour','Tefessour',275),</v>
      </c>
    </row>
    <row r="793" spans="1:8" ht="20.100000000000001" customHeight="1" x14ac:dyDescent="0.25">
      <c r="A793" s="3">
        <v>791</v>
      </c>
      <c r="B793" s="8">
        <v>815</v>
      </c>
      <c r="C793" s="4" t="s">
        <v>3136</v>
      </c>
      <c r="D793" s="4" t="s">
        <v>3137</v>
      </c>
      <c r="E793" s="4" t="s">
        <v>3137</v>
      </c>
      <c r="F793" s="7">
        <v>276</v>
      </c>
      <c r="G793" s="7">
        <v>22</v>
      </c>
      <c r="H793" s="16" t="str">
        <f t="shared" si="12"/>
        <v>(791,'815','وادي السبع','Oued Sebaa','Oued Sebaa',276),</v>
      </c>
    </row>
    <row r="794" spans="1:8" ht="20.100000000000001" customHeight="1" x14ac:dyDescent="0.25">
      <c r="A794" s="3">
        <v>792</v>
      </c>
      <c r="B794" s="8">
        <v>818</v>
      </c>
      <c r="C794" s="4" t="s">
        <v>1650</v>
      </c>
      <c r="D794" s="4" t="s">
        <v>1649</v>
      </c>
      <c r="E794" s="4" t="s">
        <v>1649</v>
      </c>
      <c r="F794" s="7">
        <v>276</v>
      </c>
      <c r="G794" s="7">
        <v>22</v>
      </c>
      <c r="H794" s="16" t="str">
        <f t="shared" si="12"/>
        <v>(792,'818','راس الماء','Ras El Ma','Ras El Ma',276),</v>
      </c>
    </row>
    <row r="795" spans="1:8" ht="20.100000000000001" customHeight="1" x14ac:dyDescent="0.25">
      <c r="A795" s="3">
        <v>793</v>
      </c>
      <c r="B795" s="8">
        <v>819</v>
      </c>
      <c r="C795" s="4" t="s">
        <v>3138</v>
      </c>
      <c r="D795" s="4" t="s">
        <v>3139</v>
      </c>
      <c r="E795" s="4" t="s">
        <v>3139</v>
      </c>
      <c r="F795" s="7">
        <v>276</v>
      </c>
      <c r="G795" s="7">
        <v>22</v>
      </c>
      <c r="H795" s="16" t="str">
        <f t="shared" si="12"/>
        <v>(793,'819','رجم دموش','Redjem Demouche','Redjem Demouche',276),</v>
      </c>
    </row>
    <row r="796" spans="1:8" ht="20.100000000000001" customHeight="1" x14ac:dyDescent="0.25">
      <c r="A796" s="3">
        <v>794</v>
      </c>
      <c r="B796" s="8">
        <v>789</v>
      </c>
      <c r="C796" s="4" t="s">
        <v>1624</v>
      </c>
      <c r="D796" s="4" t="s">
        <v>1623</v>
      </c>
      <c r="E796" s="4" t="s">
        <v>1623</v>
      </c>
      <c r="F796" s="7">
        <v>277</v>
      </c>
      <c r="G796" s="7">
        <v>22</v>
      </c>
      <c r="H796" s="16" t="str">
        <f t="shared" si="12"/>
        <v>(794,'789','عين البرد','Ain El Berd','Ain El Berd',277),</v>
      </c>
    </row>
    <row r="797" spans="1:8" ht="20.100000000000001" customHeight="1" x14ac:dyDescent="0.25">
      <c r="A797" s="3">
        <v>795</v>
      </c>
      <c r="B797" s="8">
        <v>808</v>
      </c>
      <c r="C797" s="4" t="s">
        <v>3140</v>
      </c>
      <c r="D797" s="4" t="s">
        <v>3141</v>
      </c>
      <c r="E797" s="4" t="s">
        <v>3141</v>
      </c>
      <c r="F797" s="7">
        <v>277</v>
      </c>
      <c r="G797" s="7">
        <v>22</v>
      </c>
      <c r="H797" s="16" t="str">
        <f t="shared" si="12"/>
        <v>(795,'808','مكدرة','Makedra','Makedra',277),</v>
      </c>
    </row>
    <row r="798" spans="1:8" ht="20.100000000000001" customHeight="1" x14ac:dyDescent="0.25">
      <c r="A798" s="3">
        <v>796</v>
      </c>
      <c r="B798" s="8">
        <v>825</v>
      </c>
      <c r="C798" s="4" t="s">
        <v>3142</v>
      </c>
      <c r="D798" s="4" t="s">
        <v>3143</v>
      </c>
      <c r="E798" s="4" t="s">
        <v>3143</v>
      </c>
      <c r="F798" s="7">
        <v>277</v>
      </c>
      <c r="G798" s="7">
        <v>22</v>
      </c>
      <c r="H798" s="16" t="str">
        <f t="shared" si="12"/>
        <v>(796,'825','سيدي ابراهيم','Sidi Brahim','Sidi Brahim',277),</v>
      </c>
    </row>
    <row r="799" spans="1:8" ht="20.100000000000001" customHeight="1" x14ac:dyDescent="0.25">
      <c r="A799" s="3">
        <v>797</v>
      </c>
      <c r="B799" s="8">
        <v>828</v>
      </c>
      <c r="C799" s="4" t="s">
        <v>3144</v>
      </c>
      <c r="D799" s="4" t="s">
        <v>3145</v>
      </c>
      <c r="E799" s="4" t="s">
        <v>3145</v>
      </c>
      <c r="F799" s="7">
        <v>277</v>
      </c>
      <c r="G799" s="7">
        <v>22</v>
      </c>
      <c r="H799" s="16" t="str">
        <f t="shared" si="12"/>
        <v>(797,'828','سيدي حمادوش','Sidi Hamadouche','Sidi Hamadouche',277),</v>
      </c>
    </row>
    <row r="800" spans="1:8" ht="20.100000000000001" customHeight="1" x14ac:dyDescent="0.25">
      <c r="A800" s="3">
        <v>798</v>
      </c>
      <c r="B800" s="8">
        <v>793</v>
      </c>
      <c r="C800" s="4" t="s">
        <v>3146</v>
      </c>
      <c r="D800" s="4" t="s">
        <v>3147</v>
      </c>
      <c r="E800" s="4" t="s">
        <v>3147</v>
      </c>
      <c r="F800" s="7">
        <v>278</v>
      </c>
      <c r="G800" s="7">
        <v>22</v>
      </c>
      <c r="H800" s="16" t="str">
        <f t="shared" si="12"/>
        <v>(798,'793','عين أدن','Ain- Adden','Ain- Adden',278),</v>
      </c>
    </row>
    <row r="801" spans="1:8" ht="20.100000000000001" customHeight="1" x14ac:dyDescent="0.25">
      <c r="A801" s="3">
        <v>799</v>
      </c>
      <c r="B801" s="8">
        <v>800</v>
      </c>
      <c r="C801" s="4" t="s">
        <v>3148</v>
      </c>
      <c r="D801" s="4" t="s">
        <v>3149</v>
      </c>
      <c r="E801" s="4" t="s">
        <v>3149</v>
      </c>
      <c r="F801" s="7">
        <v>278</v>
      </c>
      <c r="G801" s="7">
        <v>22</v>
      </c>
      <c r="H801" s="16" t="str">
        <f t="shared" si="12"/>
        <v>(799,'800','بوجبهة البرج','Boudjebaa El Bordj','Boudjebaa El Bordj',278),</v>
      </c>
    </row>
    <row r="802" spans="1:8" ht="20.100000000000001" customHeight="1" x14ac:dyDescent="0.25">
      <c r="A802" s="3">
        <v>800</v>
      </c>
      <c r="B802" s="8">
        <v>810</v>
      </c>
      <c r="C802" s="4" t="s">
        <v>3150</v>
      </c>
      <c r="D802" s="4" t="s">
        <v>5864</v>
      </c>
      <c r="E802" s="4" t="s">
        <v>5864</v>
      </c>
      <c r="F802" s="7">
        <v>278</v>
      </c>
      <c r="G802" s="7">
        <v>22</v>
      </c>
      <c r="H802" s="16" t="str">
        <f t="shared" si="12"/>
        <v>(800,'810','مسيد','M\'cid','M\'cid',278),</v>
      </c>
    </row>
    <row r="803" spans="1:8" ht="20.100000000000001" customHeight="1" x14ac:dyDescent="0.25">
      <c r="A803" s="3">
        <v>801</v>
      </c>
      <c r="B803" s="8">
        <v>821</v>
      </c>
      <c r="C803" s="4" t="s">
        <v>1632</v>
      </c>
      <c r="D803" s="4" t="s">
        <v>1631</v>
      </c>
      <c r="E803" s="4" t="s">
        <v>1631</v>
      </c>
      <c r="F803" s="7">
        <v>278</v>
      </c>
      <c r="G803" s="7">
        <v>22</v>
      </c>
      <c r="H803" s="16" t="str">
        <f t="shared" si="12"/>
        <v>(801,'821','سفيزف','Sfisef','Sfisef',278),</v>
      </c>
    </row>
    <row r="804" spans="1:8" ht="20.100000000000001" customHeight="1" x14ac:dyDescent="0.25">
      <c r="A804" s="3">
        <v>802</v>
      </c>
      <c r="B804" s="8">
        <v>795</v>
      </c>
      <c r="C804" s="4" t="s">
        <v>3151</v>
      </c>
      <c r="D804" s="4" t="s">
        <v>3152</v>
      </c>
      <c r="E804" s="4" t="s">
        <v>3152</v>
      </c>
      <c r="F804" s="7">
        <v>279</v>
      </c>
      <c r="G804" s="7">
        <v>22</v>
      </c>
      <c r="H804" s="16" t="str">
        <f t="shared" si="12"/>
        <v>(802,'795','بضرابين المقراني','Bedrabine El Mokrani','Bedrabine El Mokrani',279),</v>
      </c>
    </row>
    <row r="805" spans="1:8" ht="20.100000000000001" customHeight="1" x14ac:dyDescent="0.25">
      <c r="A805" s="3">
        <v>803</v>
      </c>
      <c r="B805" s="8">
        <v>797</v>
      </c>
      <c r="C805" s="4" t="s">
        <v>1636</v>
      </c>
      <c r="D805" s="4" t="s">
        <v>1635</v>
      </c>
      <c r="E805" s="4" t="s">
        <v>1635</v>
      </c>
      <c r="F805" s="7">
        <v>279</v>
      </c>
      <c r="G805" s="7">
        <v>22</v>
      </c>
      <c r="H805" s="16" t="str">
        <f t="shared" si="12"/>
        <v>(803,'797','بن باديس','Ben Badis','Ben Badis',279),</v>
      </c>
    </row>
    <row r="806" spans="1:8" ht="20.100000000000001" customHeight="1" x14ac:dyDescent="0.25">
      <c r="A806" s="3">
        <v>804</v>
      </c>
      <c r="B806" s="8">
        <v>802</v>
      </c>
      <c r="C806" s="4" t="s">
        <v>3153</v>
      </c>
      <c r="D806" s="4" t="s">
        <v>3154</v>
      </c>
      <c r="E806" s="4" t="s">
        <v>3154</v>
      </c>
      <c r="F806" s="7">
        <v>279</v>
      </c>
      <c r="G806" s="7">
        <v>22</v>
      </c>
      <c r="H806" s="16" t="str">
        <f t="shared" si="12"/>
        <v>(804,'802','شيطوان البلايلة','Chetouane Belaila','Chetouane Belaila',279),</v>
      </c>
    </row>
    <row r="807" spans="1:8" ht="20.100000000000001" customHeight="1" x14ac:dyDescent="0.25">
      <c r="A807" s="3">
        <v>805</v>
      </c>
      <c r="B807" s="8">
        <v>806</v>
      </c>
      <c r="C807" s="4" t="s">
        <v>3155</v>
      </c>
      <c r="D807" s="4" t="s">
        <v>3156</v>
      </c>
      <c r="E807" s="4" t="s">
        <v>3156</v>
      </c>
      <c r="F807" s="7">
        <v>279</v>
      </c>
      <c r="G807" s="7">
        <v>22</v>
      </c>
      <c r="H807" s="16" t="str">
        <f t="shared" si="12"/>
        <v>(805,'806','حاسي زهانة','Hassi Zahana','Hassi Zahana',279),</v>
      </c>
    </row>
    <row r="808" spans="1:8" ht="20.100000000000001" customHeight="1" x14ac:dyDescent="0.25">
      <c r="A808" s="3">
        <v>806</v>
      </c>
      <c r="B808" s="8">
        <v>801</v>
      </c>
      <c r="C808" s="4" t="s">
        <v>3157</v>
      </c>
      <c r="D808" s="4" t="s">
        <v>3158</v>
      </c>
      <c r="E808" s="4" t="s">
        <v>3158</v>
      </c>
      <c r="F808" s="7">
        <v>280</v>
      </c>
      <c r="G808" s="7">
        <v>22</v>
      </c>
      <c r="H808" s="16" t="str">
        <f t="shared" si="12"/>
        <v>(806,'801','بوخنفيس','Boukhanefis','Boukhanefis',280),</v>
      </c>
    </row>
    <row r="809" spans="1:8" ht="20.100000000000001" customHeight="1" x14ac:dyDescent="0.25">
      <c r="A809" s="3">
        <v>807</v>
      </c>
      <c r="B809" s="8">
        <v>822</v>
      </c>
      <c r="C809" s="4" t="s">
        <v>1644</v>
      </c>
      <c r="D809" s="4" t="s">
        <v>3159</v>
      </c>
      <c r="E809" s="4" t="s">
        <v>3159</v>
      </c>
      <c r="F809" s="7">
        <v>280</v>
      </c>
      <c r="G809" s="7">
        <v>22</v>
      </c>
      <c r="H809" s="16" t="str">
        <f t="shared" si="12"/>
        <v>(807,'822','سيدي علي بن يوب','Sidi Ali Benyoub','Sidi Ali Benyoub',280),</v>
      </c>
    </row>
    <row r="810" spans="1:8" ht="20.100000000000001" customHeight="1" x14ac:dyDescent="0.25">
      <c r="A810" s="3">
        <v>808</v>
      </c>
      <c r="B810" s="8">
        <v>832</v>
      </c>
      <c r="C810" s="4" t="s">
        <v>3160</v>
      </c>
      <c r="D810" s="4" t="s">
        <v>3161</v>
      </c>
      <c r="E810" s="4" t="s">
        <v>3161</v>
      </c>
      <c r="F810" s="7">
        <v>280</v>
      </c>
      <c r="G810" s="7">
        <v>22</v>
      </c>
      <c r="H810" s="16" t="str">
        <f t="shared" si="12"/>
        <v>(808,'832','طابية','Tabia','Tabia',280),</v>
      </c>
    </row>
    <row r="811" spans="1:8" ht="20.100000000000001" customHeight="1" x14ac:dyDescent="0.25">
      <c r="A811" s="3">
        <v>809</v>
      </c>
      <c r="B811" s="8">
        <v>842</v>
      </c>
      <c r="C811" s="4" t="s">
        <v>1015</v>
      </c>
      <c r="D811" s="4" t="s">
        <v>1016</v>
      </c>
      <c r="E811" s="4" t="s">
        <v>1016</v>
      </c>
      <c r="F811" s="7">
        <v>281</v>
      </c>
      <c r="G811" s="7">
        <v>23</v>
      </c>
      <c r="H811" s="16" t="str">
        <f t="shared" si="12"/>
        <v>(809,'842','عنابة','Annaba','Annaba',281),</v>
      </c>
    </row>
    <row r="812" spans="1:8" ht="20.100000000000001" customHeight="1" x14ac:dyDescent="0.25">
      <c r="A812" s="3">
        <v>810</v>
      </c>
      <c r="B812" s="8">
        <v>850</v>
      </c>
      <c r="C812" s="4" t="s">
        <v>3162</v>
      </c>
      <c r="D812" s="4" t="s">
        <v>3163</v>
      </c>
      <c r="E812" s="4" t="s">
        <v>3163</v>
      </c>
      <c r="F812" s="7">
        <v>281</v>
      </c>
      <c r="G812" s="7">
        <v>23</v>
      </c>
      <c r="H812" s="16" t="str">
        <f t="shared" si="12"/>
        <v>(810,'850','سرايدي','Seraidi','Seraidi',281),</v>
      </c>
    </row>
    <row r="813" spans="1:8" ht="20.100000000000001" customHeight="1" x14ac:dyDescent="0.25">
      <c r="A813" s="3">
        <v>811</v>
      </c>
      <c r="B813" s="8">
        <v>843</v>
      </c>
      <c r="C813" s="4" t="s">
        <v>1654</v>
      </c>
      <c r="D813" s="4" t="s">
        <v>1653</v>
      </c>
      <c r="E813" s="4" t="s">
        <v>1653</v>
      </c>
      <c r="F813" s="7">
        <v>282</v>
      </c>
      <c r="G813" s="7">
        <v>23</v>
      </c>
      <c r="H813" s="16" t="str">
        <f t="shared" si="12"/>
        <v>(811,'843','برحال','Berrahal','Berrahal',282),</v>
      </c>
    </row>
    <row r="814" spans="1:8" ht="20.100000000000001" customHeight="1" x14ac:dyDescent="0.25">
      <c r="A814" s="3">
        <v>812</v>
      </c>
      <c r="B814" s="8">
        <v>849</v>
      </c>
      <c r="C814" s="4" t="s">
        <v>3164</v>
      </c>
      <c r="D814" s="4" t="s">
        <v>3165</v>
      </c>
      <c r="E814" s="4" t="s">
        <v>3165</v>
      </c>
      <c r="F814" s="7">
        <v>282</v>
      </c>
      <c r="G814" s="7">
        <v>23</v>
      </c>
      <c r="H814" s="16" t="str">
        <f t="shared" si="12"/>
        <v>(812,'849','واد العنب','Oued El Aneb','Oued El Aneb',282),</v>
      </c>
    </row>
    <row r="815" spans="1:8" ht="20.100000000000001" customHeight="1" x14ac:dyDescent="0.25">
      <c r="A815" s="3">
        <v>813</v>
      </c>
      <c r="B815" s="8">
        <v>852</v>
      </c>
      <c r="C815" s="4" t="s">
        <v>3166</v>
      </c>
      <c r="D815" s="4" t="s">
        <v>3167</v>
      </c>
      <c r="E815" s="4" t="s">
        <v>3167</v>
      </c>
      <c r="F815" s="7">
        <v>282</v>
      </c>
      <c r="G815" s="7">
        <v>23</v>
      </c>
      <c r="H815" s="16" t="str">
        <f t="shared" si="12"/>
        <v>(813,'852','التريعات','Treat','Treat',282),</v>
      </c>
    </row>
    <row r="816" spans="1:8" ht="20.100000000000001" customHeight="1" x14ac:dyDescent="0.25">
      <c r="A816" s="3">
        <v>814</v>
      </c>
      <c r="B816" s="8">
        <v>848</v>
      </c>
      <c r="C816" s="4" t="s">
        <v>1660</v>
      </c>
      <c r="D816" s="4" t="s">
        <v>1659</v>
      </c>
      <c r="E816" s="4" t="s">
        <v>1659</v>
      </c>
      <c r="F816" s="7">
        <v>283</v>
      </c>
      <c r="G816" s="7">
        <v>23</v>
      </c>
      <c r="H816" s="16" t="str">
        <f t="shared" si="12"/>
        <v>(814,'848','الحجار','El Hadjar','El Hadjar',283),</v>
      </c>
    </row>
    <row r="817" spans="1:8" ht="20.100000000000001" customHeight="1" x14ac:dyDescent="0.25">
      <c r="A817" s="3">
        <v>815</v>
      </c>
      <c r="B817" s="8">
        <v>851</v>
      </c>
      <c r="C817" s="4" t="s">
        <v>3168</v>
      </c>
      <c r="D817" s="4" t="s">
        <v>1979</v>
      </c>
      <c r="E817" s="4" t="s">
        <v>1979</v>
      </c>
      <c r="F817" s="7">
        <v>283</v>
      </c>
      <c r="G817" s="7">
        <v>23</v>
      </c>
      <c r="H817" s="16" t="str">
        <f t="shared" si="12"/>
        <v>(815,'851','سيدي عمار','Sidi Amar','Sidi Amar',283),</v>
      </c>
    </row>
    <row r="818" spans="1:8" ht="20.100000000000001" customHeight="1" x14ac:dyDescent="0.25">
      <c r="A818" s="3">
        <v>816</v>
      </c>
      <c r="B818" s="8">
        <v>846</v>
      </c>
      <c r="C818" s="4" t="s">
        <v>1658</v>
      </c>
      <c r="D818" s="4" t="s">
        <v>1657</v>
      </c>
      <c r="E818" s="4" t="s">
        <v>1657</v>
      </c>
      <c r="F818" s="7">
        <v>284</v>
      </c>
      <c r="G818" s="7">
        <v>23</v>
      </c>
      <c r="H818" s="16" t="str">
        <f t="shared" si="12"/>
        <v>(816,'846','البوني','El Bouni','El Bouni',284),</v>
      </c>
    </row>
    <row r="819" spans="1:8" ht="20.100000000000001" customHeight="1" x14ac:dyDescent="0.25">
      <c r="A819" s="3">
        <v>817</v>
      </c>
      <c r="B819" s="8">
        <v>841</v>
      </c>
      <c r="C819" s="4" t="s">
        <v>1652</v>
      </c>
      <c r="D819" s="4" t="s">
        <v>1651</v>
      </c>
      <c r="E819" s="4" t="s">
        <v>1651</v>
      </c>
      <c r="F819" s="7">
        <v>285</v>
      </c>
      <c r="G819" s="7">
        <v>23</v>
      </c>
      <c r="H819" s="16" t="str">
        <f t="shared" si="12"/>
        <v>(817,'841','عين الباردة','Ain El Berda','Ain El Berda',285),</v>
      </c>
    </row>
    <row r="820" spans="1:8" ht="20.100000000000001" customHeight="1" x14ac:dyDescent="0.25">
      <c r="A820" s="3">
        <v>818</v>
      </c>
      <c r="B820" s="8">
        <v>845</v>
      </c>
      <c r="C820" s="4" t="s">
        <v>3169</v>
      </c>
      <c r="D820" s="4" t="s">
        <v>3170</v>
      </c>
      <c r="E820" s="4" t="s">
        <v>3170</v>
      </c>
      <c r="F820" s="7">
        <v>285</v>
      </c>
      <c r="G820" s="7">
        <v>23</v>
      </c>
      <c r="H820" s="16" t="str">
        <f t="shared" si="12"/>
        <v>(818,'845','الشرفة','Cheurfa','Cheurfa',285),</v>
      </c>
    </row>
    <row r="821" spans="1:8" ht="20.100000000000001" customHeight="1" x14ac:dyDescent="0.25">
      <c r="A821" s="3">
        <v>819</v>
      </c>
      <c r="B821" s="8">
        <v>847</v>
      </c>
      <c r="C821" s="4" t="s">
        <v>1572</v>
      </c>
      <c r="D821" s="4" t="s">
        <v>1571</v>
      </c>
      <c r="E821" s="4" t="s">
        <v>1571</v>
      </c>
      <c r="F821" s="7">
        <v>285</v>
      </c>
      <c r="G821" s="7">
        <v>23</v>
      </c>
      <c r="H821" s="16" t="str">
        <f t="shared" si="12"/>
        <v>(819,'847','العلمة','El Eulma','El Eulma',285),</v>
      </c>
    </row>
    <row r="822" spans="1:8" ht="20.100000000000001" customHeight="1" x14ac:dyDescent="0.25">
      <c r="A822" s="3">
        <v>820</v>
      </c>
      <c r="B822" s="8">
        <v>844</v>
      </c>
      <c r="C822" s="4" t="s">
        <v>1656</v>
      </c>
      <c r="D822" s="4" t="s">
        <v>1655</v>
      </c>
      <c r="E822" s="4" t="s">
        <v>1655</v>
      </c>
      <c r="F822" s="7">
        <v>286</v>
      </c>
      <c r="G822" s="7">
        <v>23</v>
      </c>
      <c r="H822" s="16" t="str">
        <f t="shared" si="12"/>
        <v>(820,'844','شطايبي','Chetaibi','Chetaibi',286),</v>
      </c>
    </row>
    <row r="823" spans="1:8" ht="20.100000000000001" customHeight="1" x14ac:dyDescent="0.25">
      <c r="A823" s="3">
        <v>821</v>
      </c>
      <c r="B823" s="8">
        <v>859</v>
      </c>
      <c r="C823" s="4" t="s">
        <v>3171</v>
      </c>
      <c r="D823" s="4" t="s">
        <v>3172</v>
      </c>
      <c r="E823" s="4" t="s">
        <v>3172</v>
      </c>
      <c r="F823" s="7">
        <v>287</v>
      </c>
      <c r="G823" s="7">
        <v>24</v>
      </c>
      <c r="H823" s="16" t="str">
        <f t="shared" si="12"/>
        <v>(821,'859','بن جراح','Bendjarah','Bendjarah',287),</v>
      </c>
    </row>
    <row r="824" spans="1:8" ht="20.100000000000001" customHeight="1" x14ac:dyDescent="0.25">
      <c r="A824" s="3">
        <v>822</v>
      </c>
      <c r="B824" s="8">
        <v>871</v>
      </c>
      <c r="C824" s="4" t="s">
        <v>1017</v>
      </c>
      <c r="D824" s="4" t="s">
        <v>1018</v>
      </c>
      <c r="E824" s="4" t="s">
        <v>1018</v>
      </c>
      <c r="F824" s="7">
        <v>287</v>
      </c>
      <c r="G824" s="7">
        <v>24</v>
      </c>
      <c r="H824" s="16" t="str">
        <f t="shared" si="12"/>
        <v>(822,'871','قالمة','Guelma','Guelma',287),</v>
      </c>
    </row>
    <row r="825" spans="1:8" ht="20.100000000000001" customHeight="1" x14ac:dyDescent="0.25">
      <c r="A825" s="3">
        <v>823</v>
      </c>
      <c r="B825" s="8">
        <v>856</v>
      </c>
      <c r="C825" s="4" t="s">
        <v>3173</v>
      </c>
      <c r="D825" s="4" t="s">
        <v>3174</v>
      </c>
      <c r="E825" s="4" t="s">
        <v>3174</v>
      </c>
      <c r="F825" s="7">
        <v>288</v>
      </c>
      <c r="G825" s="7">
        <v>24</v>
      </c>
      <c r="H825" s="16" t="str">
        <f t="shared" si="12"/>
        <v>(823,'856','عين رقادة','Ain Regada','Ain Regada',288),</v>
      </c>
    </row>
    <row r="826" spans="1:8" ht="20.100000000000001" customHeight="1" x14ac:dyDescent="0.25">
      <c r="A826" s="3">
        <v>824</v>
      </c>
      <c r="B826" s="8">
        <v>861</v>
      </c>
      <c r="C826" s="4" t="s">
        <v>3175</v>
      </c>
      <c r="D826" s="4" t="s">
        <v>3176</v>
      </c>
      <c r="E826" s="4" t="s">
        <v>3176</v>
      </c>
      <c r="F826" s="7">
        <v>288</v>
      </c>
      <c r="G826" s="7">
        <v>24</v>
      </c>
      <c r="H826" s="16" t="str">
        <f t="shared" si="12"/>
        <v>(824,'861','برج صباط','Bordj Sabath','Bordj Sabath',288),</v>
      </c>
    </row>
    <row r="827" spans="1:8" ht="20.100000000000001" customHeight="1" x14ac:dyDescent="0.25">
      <c r="A827" s="3">
        <v>825</v>
      </c>
      <c r="B827" s="8">
        <v>882</v>
      </c>
      <c r="C827" s="4" t="s">
        <v>1666</v>
      </c>
      <c r="D827" s="4" t="s">
        <v>1665</v>
      </c>
      <c r="E827" s="4" t="s">
        <v>1665</v>
      </c>
      <c r="F827" s="7">
        <v>288</v>
      </c>
      <c r="G827" s="7">
        <v>24</v>
      </c>
      <c r="H827" s="16" t="str">
        <f t="shared" si="12"/>
        <v>(825,'882','وادي الزناتي','Oued Zenati','Oued Zenati',288),</v>
      </c>
    </row>
    <row r="828" spans="1:8" ht="20.100000000000001" customHeight="1" x14ac:dyDescent="0.25">
      <c r="A828" s="3">
        <v>826</v>
      </c>
      <c r="B828" s="8">
        <v>854</v>
      </c>
      <c r="C828" s="4" t="s">
        <v>3177</v>
      </c>
      <c r="D828" s="4" t="s">
        <v>3178</v>
      </c>
      <c r="E828" s="4" t="s">
        <v>3178</v>
      </c>
      <c r="F828" s="7">
        <v>289</v>
      </c>
      <c r="G828" s="7">
        <v>24</v>
      </c>
      <c r="H828" s="16" t="str">
        <f t="shared" si="12"/>
        <v>(826,'854','عين العربي','Ain Larbi','Ain Larbi',289),</v>
      </c>
    </row>
    <row r="829" spans="1:8" ht="20.100000000000001" customHeight="1" x14ac:dyDescent="0.25">
      <c r="A829" s="3">
        <v>827</v>
      </c>
      <c r="B829" s="8">
        <v>855</v>
      </c>
      <c r="C829" s="4" t="s">
        <v>1664</v>
      </c>
      <c r="D829" s="4" t="s">
        <v>1663</v>
      </c>
      <c r="E829" s="4" t="s">
        <v>1663</v>
      </c>
      <c r="F829" s="7">
        <v>289</v>
      </c>
      <c r="G829" s="7">
        <v>24</v>
      </c>
      <c r="H829" s="16" t="str">
        <f t="shared" si="12"/>
        <v>(827,'855','عين مخلوف','Ain Makhlouf','Ain Makhlouf',289),</v>
      </c>
    </row>
    <row r="830" spans="1:8" ht="20.100000000000001" customHeight="1" x14ac:dyDescent="0.25">
      <c r="A830" s="3">
        <v>828</v>
      </c>
      <c r="B830" s="8">
        <v>886</v>
      </c>
      <c r="C830" s="4" t="s">
        <v>3179</v>
      </c>
      <c r="D830" s="4" t="s">
        <v>3180</v>
      </c>
      <c r="E830" s="4" t="s">
        <v>3180</v>
      </c>
      <c r="F830" s="7">
        <v>289</v>
      </c>
      <c r="G830" s="7">
        <v>24</v>
      </c>
      <c r="H830" s="16" t="str">
        <f t="shared" si="12"/>
        <v>(828,'886','تاملوكة','Tamlouka','Tamlouka',289),</v>
      </c>
    </row>
    <row r="831" spans="1:8" ht="20.100000000000001" customHeight="1" x14ac:dyDescent="0.25">
      <c r="A831" s="3">
        <v>829</v>
      </c>
      <c r="B831" s="8">
        <v>857</v>
      </c>
      <c r="C831" s="4" t="s">
        <v>3181</v>
      </c>
      <c r="D831" s="4" t="s">
        <v>3182</v>
      </c>
      <c r="E831" s="4" t="s">
        <v>3182</v>
      </c>
      <c r="F831" s="7">
        <v>290</v>
      </c>
      <c r="G831" s="7">
        <v>24</v>
      </c>
      <c r="H831" s="16" t="str">
        <f t="shared" si="12"/>
        <v>(829,'857','عين صندل','Ain Sandel','Ain Sandel',290),</v>
      </c>
    </row>
    <row r="832" spans="1:8" ht="20.100000000000001" customHeight="1" x14ac:dyDescent="0.25">
      <c r="A832" s="3">
        <v>830</v>
      </c>
      <c r="B832" s="8">
        <v>862</v>
      </c>
      <c r="C832" s="4" t="s">
        <v>3183</v>
      </c>
      <c r="D832" s="4" t="s">
        <v>3184</v>
      </c>
      <c r="E832" s="4" t="s">
        <v>3184</v>
      </c>
      <c r="F832" s="7">
        <v>290</v>
      </c>
      <c r="G832" s="7">
        <v>24</v>
      </c>
      <c r="H832" s="16" t="str">
        <f t="shared" si="12"/>
        <v>(830,'862','بوحشانة','Bou Hachana','Bou Hachana',290),</v>
      </c>
    </row>
    <row r="833" spans="1:8" ht="20.100000000000001" customHeight="1" x14ac:dyDescent="0.25">
      <c r="A833" s="3">
        <v>831</v>
      </c>
      <c r="B833" s="8">
        <v>876</v>
      </c>
      <c r="C833" s="4" t="s">
        <v>3185</v>
      </c>
      <c r="D833" s="4" t="s">
        <v>1667</v>
      </c>
      <c r="E833" s="4" t="s">
        <v>1667</v>
      </c>
      <c r="F833" s="7">
        <v>290</v>
      </c>
      <c r="G833" s="7">
        <v>24</v>
      </c>
      <c r="H833" s="16" t="str">
        <f t="shared" si="12"/>
        <v>(831,'876','لخزارة','Khezaras','Khezaras',290),</v>
      </c>
    </row>
    <row r="834" spans="1:8" ht="20.100000000000001" customHeight="1" x14ac:dyDescent="0.25">
      <c r="A834" s="3">
        <v>832</v>
      </c>
      <c r="B834" s="8">
        <v>858</v>
      </c>
      <c r="C834" s="4" t="s">
        <v>3186</v>
      </c>
      <c r="D834" s="4" t="s">
        <v>3187</v>
      </c>
      <c r="E834" s="4" t="s">
        <v>3187</v>
      </c>
      <c r="F834" s="7">
        <v>291</v>
      </c>
      <c r="G834" s="7">
        <v>24</v>
      </c>
      <c r="H834" s="16" t="str">
        <f t="shared" si="12"/>
        <v>(832,'858','بلخير','Belkheir','Belkheir',291),</v>
      </c>
    </row>
    <row r="835" spans="1:8" ht="20.100000000000001" customHeight="1" x14ac:dyDescent="0.25">
      <c r="A835" s="3">
        <v>833</v>
      </c>
      <c r="B835" s="8">
        <v>860</v>
      </c>
      <c r="C835" s="4" t="s">
        <v>3188</v>
      </c>
      <c r="D835" s="4" t="s">
        <v>3189</v>
      </c>
      <c r="E835" s="4" t="s">
        <v>3189</v>
      </c>
      <c r="F835" s="7">
        <v>291</v>
      </c>
      <c r="G835" s="7">
        <v>24</v>
      </c>
      <c r="H835" s="16" t="str">
        <f t="shared" si="12"/>
        <v>(833,'860','بني مزلين','Beni Mezline','Beni Mezline',291),</v>
      </c>
    </row>
    <row r="836" spans="1:8" ht="20.100000000000001" customHeight="1" x14ac:dyDescent="0.25">
      <c r="A836" s="3">
        <v>834</v>
      </c>
      <c r="B836" s="8">
        <v>866</v>
      </c>
      <c r="C836" s="4" t="s">
        <v>3190</v>
      </c>
      <c r="D836" s="4" t="s">
        <v>3191</v>
      </c>
      <c r="E836" s="4" t="s">
        <v>3191</v>
      </c>
      <c r="F836" s="7">
        <v>291</v>
      </c>
      <c r="G836" s="7">
        <v>24</v>
      </c>
      <c r="H836" s="16" t="str">
        <f t="shared" ref="H836:H899" si="13">CONCATENATE("(",A836,",'",B836,"','",C836,"','",D836,"','",E836,"',",F836,"),")</f>
        <v>(834,'866','بومهرة أحمد','Boumahra Ahmed','Boumahra Ahmed',291),</v>
      </c>
    </row>
    <row r="837" spans="1:8" ht="20.100000000000001" customHeight="1" x14ac:dyDescent="0.25">
      <c r="A837" s="3">
        <v>835</v>
      </c>
      <c r="B837" s="8">
        <v>868</v>
      </c>
      <c r="C837" s="4" t="s">
        <v>3192</v>
      </c>
      <c r="D837" s="4" t="s">
        <v>3193</v>
      </c>
      <c r="E837" s="4" t="s">
        <v>3193</v>
      </c>
      <c r="F837" s="7">
        <v>291</v>
      </c>
      <c r="G837" s="7">
        <v>24</v>
      </c>
      <c r="H837" s="16" t="str">
        <f t="shared" si="13"/>
        <v>(835,'868','جبالة الخميسي','Djeballah Khemissi','Djeballah Khemissi',291),</v>
      </c>
    </row>
    <row r="838" spans="1:8" ht="20.100000000000001" customHeight="1" x14ac:dyDescent="0.25">
      <c r="A838" s="3">
        <v>836</v>
      </c>
      <c r="B838" s="8">
        <v>870</v>
      </c>
      <c r="C838" s="4" t="s">
        <v>1670</v>
      </c>
      <c r="D838" s="4" t="s">
        <v>3194</v>
      </c>
      <c r="E838" s="4" t="s">
        <v>3194</v>
      </c>
      <c r="F838" s="7">
        <v>291</v>
      </c>
      <c r="G838" s="7">
        <v>24</v>
      </c>
      <c r="H838" s="16" t="str">
        <f t="shared" si="13"/>
        <v>(836,'870','قلعة بوصبع','Guelaat Bou Sbaa','Guelaat Bou Sbaa',291),</v>
      </c>
    </row>
    <row r="839" spans="1:8" ht="20.100000000000001" customHeight="1" x14ac:dyDescent="0.25">
      <c r="A839" s="3">
        <v>837</v>
      </c>
      <c r="B839" s="8">
        <v>875</v>
      </c>
      <c r="C839" s="4" t="s">
        <v>3195</v>
      </c>
      <c r="D839" s="4" t="s">
        <v>3196</v>
      </c>
      <c r="E839" s="4" t="s">
        <v>3196</v>
      </c>
      <c r="F839" s="7">
        <v>291</v>
      </c>
      <c r="G839" s="7">
        <v>24</v>
      </c>
      <c r="H839" s="16" t="str">
        <f t="shared" si="13"/>
        <v>(837,'875','نشماية','Nechmaya','Nechmaya',291),</v>
      </c>
    </row>
    <row r="840" spans="1:8" ht="20.100000000000001" customHeight="1" x14ac:dyDescent="0.25">
      <c r="A840" s="3">
        <v>838</v>
      </c>
      <c r="B840" s="8">
        <v>863</v>
      </c>
      <c r="C840" s="4" t="s">
        <v>3197</v>
      </c>
      <c r="D840" s="4" t="s">
        <v>3198</v>
      </c>
      <c r="E840" s="4" t="s">
        <v>3198</v>
      </c>
      <c r="F840" s="7">
        <v>292</v>
      </c>
      <c r="G840" s="7">
        <v>24</v>
      </c>
      <c r="H840" s="16" t="str">
        <f t="shared" si="13"/>
        <v>(838,'863','بوحمدان','Bou Hamdane','Bou Hamdane',292),</v>
      </c>
    </row>
    <row r="841" spans="1:8" ht="20.100000000000001" customHeight="1" x14ac:dyDescent="0.25">
      <c r="A841" s="3">
        <v>839</v>
      </c>
      <c r="B841" s="8">
        <v>872</v>
      </c>
      <c r="C841" s="4" t="s">
        <v>1672</v>
      </c>
      <c r="D841" s="4" t="s">
        <v>1671</v>
      </c>
      <c r="E841" s="4" t="s">
        <v>1671</v>
      </c>
      <c r="F841" s="7">
        <v>292</v>
      </c>
      <c r="G841" s="7">
        <v>24</v>
      </c>
      <c r="H841" s="16" t="str">
        <f t="shared" si="13"/>
        <v>(839,'872','حمام دباغ','Hammam Debagh','Hammam Debagh',292),</v>
      </c>
    </row>
    <row r="842" spans="1:8" ht="20.100000000000001" customHeight="1" x14ac:dyDescent="0.25">
      <c r="A842" s="3">
        <v>840</v>
      </c>
      <c r="B842" s="8">
        <v>884</v>
      </c>
      <c r="C842" s="4" t="s">
        <v>3199</v>
      </c>
      <c r="D842" s="4" t="s">
        <v>3200</v>
      </c>
      <c r="E842" s="4" t="s">
        <v>3200</v>
      </c>
      <c r="F842" s="7">
        <v>292</v>
      </c>
      <c r="G842" s="7">
        <v>24</v>
      </c>
      <c r="H842" s="16" t="str">
        <f t="shared" si="13"/>
        <v>(840,'884','الركنية','Roknia','Roknia',292),</v>
      </c>
    </row>
    <row r="843" spans="1:8" ht="20.100000000000001" customHeight="1" x14ac:dyDescent="0.25">
      <c r="A843" s="3">
        <v>841</v>
      </c>
      <c r="B843" s="8">
        <v>867</v>
      </c>
      <c r="C843" s="4" t="s">
        <v>3201</v>
      </c>
      <c r="D843" s="4" t="s">
        <v>3202</v>
      </c>
      <c r="E843" s="4" t="s">
        <v>3202</v>
      </c>
      <c r="F843" s="7">
        <v>293</v>
      </c>
      <c r="G843" s="7">
        <v>24</v>
      </c>
      <c r="H843" s="16" t="str">
        <f t="shared" si="13"/>
        <v>(841,'867','الدهوارة','Dahouara','Dahouara',293),</v>
      </c>
    </row>
    <row r="844" spans="1:8" ht="20.100000000000001" customHeight="1" x14ac:dyDescent="0.25">
      <c r="A844" s="3">
        <v>842</v>
      </c>
      <c r="B844" s="8">
        <v>873</v>
      </c>
      <c r="C844" s="4" t="s">
        <v>1676</v>
      </c>
      <c r="D844" s="4" t="s">
        <v>5865</v>
      </c>
      <c r="E844" s="4" t="s">
        <v>5865</v>
      </c>
      <c r="F844" s="7">
        <v>293</v>
      </c>
      <c r="G844" s="7">
        <v>24</v>
      </c>
      <c r="H844" s="16" t="str">
        <f t="shared" si="13"/>
        <v>(842,'873','حمام النبايل','Hammam N\'bail','Hammam N\'bail',293),</v>
      </c>
    </row>
    <row r="845" spans="1:8" ht="20.100000000000001" customHeight="1" x14ac:dyDescent="0.25">
      <c r="A845" s="3">
        <v>843</v>
      </c>
      <c r="B845" s="8">
        <v>880</v>
      </c>
      <c r="C845" s="4" t="s">
        <v>3203</v>
      </c>
      <c r="D845" s="4" t="s">
        <v>3204</v>
      </c>
      <c r="E845" s="4" t="s">
        <v>3204</v>
      </c>
      <c r="F845" s="7">
        <v>293</v>
      </c>
      <c r="G845" s="7">
        <v>24</v>
      </c>
      <c r="H845" s="16" t="str">
        <f t="shared" si="13"/>
        <v>(843,'880','وادي الشحم','Oued Cheham','Oued Cheham',293),</v>
      </c>
    </row>
    <row r="846" spans="1:8" ht="20.100000000000001" customHeight="1" x14ac:dyDescent="0.25">
      <c r="A846" s="3">
        <v>844</v>
      </c>
      <c r="B846" s="8">
        <v>853</v>
      </c>
      <c r="C846" s="4" t="s">
        <v>3205</v>
      </c>
      <c r="D846" s="4" t="s">
        <v>3206</v>
      </c>
      <c r="E846" s="4" t="s">
        <v>3206</v>
      </c>
      <c r="F846" s="7">
        <v>294</v>
      </c>
      <c r="G846" s="7">
        <v>24</v>
      </c>
      <c r="H846" s="16" t="str">
        <f t="shared" si="13"/>
        <v>(844,'853','عين بن بيضاء','Ain Ben Beida','Ain Ben Beida',294),</v>
      </c>
    </row>
    <row r="847" spans="1:8" ht="20.100000000000001" customHeight="1" x14ac:dyDescent="0.25">
      <c r="A847" s="3">
        <v>845</v>
      </c>
      <c r="B847" s="8">
        <v>865</v>
      </c>
      <c r="C847" s="4" t="s">
        <v>1662</v>
      </c>
      <c r="D847" s="4" t="s">
        <v>1661</v>
      </c>
      <c r="E847" s="4" t="s">
        <v>1661</v>
      </c>
      <c r="F847" s="7">
        <v>294</v>
      </c>
      <c r="G847" s="7">
        <v>24</v>
      </c>
      <c r="H847" s="16" t="str">
        <f t="shared" si="13"/>
        <v>(845,'865','بوشقوف','Bouchegouf','Bouchegouf',294),</v>
      </c>
    </row>
    <row r="848" spans="1:8" ht="20.100000000000001" customHeight="1" x14ac:dyDescent="0.25">
      <c r="A848" s="3">
        <v>846</v>
      </c>
      <c r="B848" s="8">
        <v>878</v>
      </c>
      <c r="C848" s="4" t="s">
        <v>3207</v>
      </c>
      <c r="D848" s="4" t="s">
        <v>3208</v>
      </c>
      <c r="E848" s="4" t="s">
        <v>3208</v>
      </c>
      <c r="F848" s="7">
        <v>294</v>
      </c>
      <c r="G848" s="7">
        <v>24</v>
      </c>
      <c r="H848" s="16" t="str">
        <f t="shared" si="13"/>
        <v>(846,'878','مجاز الصفاء','Medjez Sfa','Medjez Sfa',294),</v>
      </c>
    </row>
    <row r="849" spans="1:8" ht="20.100000000000001" customHeight="1" x14ac:dyDescent="0.25">
      <c r="A849" s="3">
        <v>847</v>
      </c>
      <c r="B849" s="8">
        <v>881</v>
      </c>
      <c r="C849" s="4" t="s">
        <v>3209</v>
      </c>
      <c r="D849" s="4" t="s">
        <v>3210</v>
      </c>
      <c r="E849" s="4" t="s">
        <v>3210</v>
      </c>
      <c r="F849" s="7">
        <v>294</v>
      </c>
      <c r="G849" s="7">
        <v>24</v>
      </c>
      <c r="H849" s="16" t="str">
        <f t="shared" si="13"/>
        <v>(847,'881','وادي فراغة','Oued Ferragha','Oued Ferragha',294),</v>
      </c>
    </row>
    <row r="850" spans="1:8" ht="20.100000000000001" customHeight="1" x14ac:dyDescent="0.25">
      <c r="A850" s="3">
        <v>848</v>
      </c>
      <c r="B850" s="8">
        <v>864</v>
      </c>
      <c r="C850" s="4" t="s">
        <v>3211</v>
      </c>
      <c r="D850" s="4" t="s">
        <v>3212</v>
      </c>
      <c r="E850" s="4" t="s">
        <v>3212</v>
      </c>
      <c r="F850" s="7">
        <v>295</v>
      </c>
      <c r="G850" s="7">
        <v>24</v>
      </c>
      <c r="H850" s="16" t="str">
        <f t="shared" si="13"/>
        <v>(848,'864','بوعاتي محمود','Bouati Mahmoud','Bouati Mahmoud',295),</v>
      </c>
    </row>
    <row r="851" spans="1:8" ht="20.100000000000001" customHeight="1" x14ac:dyDescent="0.25">
      <c r="A851" s="3">
        <v>849</v>
      </c>
      <c r="B851" s="8">
        <v>869</v>
      </c>
      <c r="C851" s="4" t="s">
        <v>3213</v>
      </c>
      <c r="D851" s="4" t="s">
        <v>3214</v>
      </c>
      <c r="E851" s="4" t="s">
        <v>3214</v>
      </c>
      <c r="F851" s="7">
        <v>295</v>
      </c>
      <c r="G851" s="7">
        <v>24</v>
      </c>
      <c r="H851" s="16" t="str">
        <f t="shared" si="13"/>
        <v>(849,'869','الفجوج','El Fedjoudj','El Fedjoudj',295),</v>
      </c>
    </row>
    <row r="852" spans="1:8" ht="20.100000000000001" customHeight="1" x14ac:dyDescent="0.25">
      <c r="A852" s="3">
        <v>850</v>
      </c>
      <c r="B852" s="8">
        <v>874</v>
      </c>
      <c r="C852" s="4" t="s">
        <v>1674</v>
      </c>
      <c r="D852" s="4" t="s">
        <v>1673</v>
      </c>
      <c r="E852" s="4" t="s">
        <v>1673</v>
      </c>
      <c r="F852" s="7">
        <v>295</v>
      </c>
      <c r="G852" s="7">
        <v>24</v>
      </c>
      <c r="H852" s="16" t="str">
        <f t="shared" si="13"/>
        <v>(850,'874','هيليوبوليس','Heliopolis','Heliopolis',295),</v>
      </c>
    </row>
    <row r="853" spans="1:8" ht="20.100000000000001" customHeight="1" x14ac:dyDescent="0.25">
      <c r="A853" s="3">
        <v>851</v>
      </c>
      <c r="B853" s="8">
        <v>877</v>
      </c>
      <c r="C853" s="4" t="s">
        <v>3215</v>
      </c>
      <c r="D853" s="4" t="s">
        <v>3216</v>
      </c>
      <c r="E853" s="4" t="s">
        <v>3216</v>
      </c>
      <c r="F853" s="7">
        <v>296</v>
      </c>
      <c r="G853" s="7">
        <v>24</v>
      </c>
      <c r="H853" s="16" t="str">
        <f t="shared" si="13"/>
        <v>(851,'877','مجاز عمار','Medjez Amar','Medjez Amar',296),</v>
      </c>
    </row>
    <row r="854" spans="1:8" ht="20.100000000000001" customHeight="1" x14ac:dyDescent="0.25">
      <c r="A854" s="3">
        <v>852</v>
      </c>
      <c r="B854" s="8">
        <v>879</v>
      </c>
      <c r="C854" s="4" t="s">
        <v>3217</v>
      </c>
      <c r="D854" s="4" t="s">
        <v>3218</v>
      </c>
      <c r="E854" s="4" t="s">
        <v>3218</v>
      </c>
      <c r="F854" s="7">
        <v>296</v>
      </c>
      <c r="G854" s="7">
        <v>24</v>
      </c>
      <c r="H854" s="16" t="str">
        <f t="shared" si="13"/>
        <v>(852,'879','هواري بومدين','Houari Boumedienne','Houari Boumedienne',296),</v>
      </c>
    </row>
    <row r="855" spans="1:8" ht="20.100000000000001" customHeight="1" x14ac:dyDescent="0.25">
      <c r="A855" s="3">
        <v>853</v>
      </c>
      <c r="B855" s="8">
        <v>883</v>
      </c>
      <c r="C855" s="4" t="s">
        <v>3219</v>
      </c>
      <c r="D855" s="4" t="s">
        <v>3220</v>
      </c>
      <c r="E855" s="4" t="s">
        <v>3220</v>
      </c>
      <c r="F855" s="7">
        <v>296</v>
      </c>
      <c r="G855" s="7">
        <v>24</v>
      </c>
      <c r="H855" s="16" t="str">
        <f t="shared" si="13"/>
        <v>(853,'883','رأس العقبة','Ras El Agba','Ras El Agba',296),</v>
      </c>
    </row>
    <row r="856" spans="1:8" ht="20.100000000000001" customHeight="1" x14ac:dyDescent="0.25">
      <c r="A856" s="3">
        <v>854</v>
      </c>
      <c r="B856" s="8">
        <v>885</v>
      </c>
      <c r="C856" s="4" t="s">
        <v>3221</v>
      </c>
      <c r="D856" s="4" t="s">
        <v>3222</v>
      </c>
      <c r="E856" s="4" t="s">
        <v>3222</v>
      </c>
      <c r="F856" s="7">
        <v>296</v>
      </c>
      <c r="G856" s="7">
        <v>24</v>
      </c>
      <c r="H856" s="16" t="str">
        <f t="shared" si="13"/>
        <v>(854,'885','سلاوة عنونة','Sellaoua Announa','Sellaoua Announa',296),</v>
      </c>
    </row>
    <row r="857" spans="1:8" ht="20.100000000000001" customHeight="1" x14ac:dyDescent="0.25">
      <c r="A857" s="3">
        <v>855</v>
      </c>
      <c r="B857" s="8">
        <v>891</v>
      </c>
      <c r="C857" s="4" t="s">
        <v>1019</v>
      </c>
      <c r="D857" s="4" t="s">
        <v>1020</v>
      </c>
      <c r="E857" s="4" t="s">
        <v>1020</v>
      </c>
      <c r="F857" s="7">
        <v>297</v>
      </c>
      <c r="G857" s="7">
        <v>25</v>
      </c>
      <c r="H857" s="16" t="str">
        <f t="shared" si="13"/>
        <v>(855,'891','قسنطينة','Constantine','Constantine',297),</v>
      </c>
    </row>
    <row r="858" spans="1:8" ht="20.100000000000001" customHeight="1" x14ac:dyDescent="0.25">
      <c r="A858" s="3">
        <v>856</v>
      </c>
      <c r="B858" s="8">
        <v>892</v>
      </c>
      <c r="C858" s="4" t="s">
        <v>3223</v>
      </c>
      <c r="D858" s="4" t="s">
        <v>3224</v>
      </c>
      <c r="E858" s="4" t="s">
        <v>3224</v>
      </c>
      <c r="F858" s="7">
        <v>298</v>
      </c>
      <c r="G858" s="7">
        <v>25</v>
      </c>
      <c r="H858" s="16" t="str">
        <f t="shared" si="13"/>
        <v>(856,'892','ديدوش مراد','Didouche Mourad','Didouche Mourad',298),</v>
      </c>
    </row>
    <row r="859" spans="1:8" ht="20.100000000000001" customHeight="1" x14ac:dyDescent="0.25">
      <c r="A859" s="3">
        <v>857</v>
      </c>
      <c r="B859" s="8">
        <v>894</v>
      </c>
      <c r="C859" s="4" t="s">
        <v>1686</v>
      </c>
      <c r="D859" s="4" t="s">
        <v>1685</v>
      </c>
      <c r="E859" s="4" t="s">
        <v>1685</v>
      </c>
      <c r="F859" s="7">
        <v>298</v>
      </c>
      <c r="G859" s="7">
        <v>25</v>
      </c>
      <c r="H859" s="16" t="str">
        <f t="shared" si="13"/>
        <v>(857,'894','حامة بوزيان','Hamma Bouziane','Hamma Bouziane',298),</v>
      </c>
    </row>
    <row r="860" spans="1:8" ht="20.100000000000001" customHeight="1" x14ac:dyDescent="0.25">
      <c r="A860" s="3">
        <v>858</v>
      </c>
      <c r="B860" s="8">
        <v>890</v>
      </c>
      <c r="C860" s="4" t="s">
        <v>3225</v>
      </c>
      <c r="D860" s="4" t="s">
        <v>3226</v>
      </c>
      <c r="E860" s="4" t="s">
        <v>3226</v>
      </c>
      <c r="F860" s="7">
        <v>299</v>
      </c>
      <c r="G860" s="7">
        <v>25</v>
      </c>
      <c r="H860" s="16" t="str">
        <f t="shared" si="13"/>
        <v>(858,'890','بني حميدان','Beni Hamidane','Beni Hamidane',299),</v>
      </c>
    </row>
    <row r="861" spans="1:8" ht="20.100000000000001" customHeight="1" x14ac:dyDescent="0.25">
      <c r="A861" s="3">
        <v>859</v>
      </c>
      <c r="B861" s="8">
        <v>898</v>
      </c>
      <c r="C861" s="4" t="s">
        <v>1684</v>
      </c>
      <c r="D861" s="4" t="s">
        <v>1683</v>
      </c>
      <c r="E861" s="4" t="s">
        <v>1683</v>
      </c>
      <c r="F861" s="7">
        <v>299</v>
      </c>
      <c r="G861" s="7">
        <v>25</v>
      </c>
      <c r="H861" s="16" t="str">
        <f t="shared" si="13"/>
        <v>(859,'898','زيغود يوسف','Zighoud Youcef','Zighoud Youcef',299),</v>
      </c>
    </row>
    <row r="862" spans="1:8" ht="20.100000000000001" customHeight="1" x14ac:dyDescent="0.25">
      <c r="A862" s="3">
        <v>860</v>
      </c>
      <c r="B862" s="8">
        <v>888</v>
      </c>
      <c r="C862" s="4" t="s">
        <v>3227</v>
      </c>
      <c r="D862" s="4" t="s">
        <v>3228</v>
      </c>
      <c r="E862" s="4" t="s">
        <v>3228</v>
      </c>
      <c r="F862" s="7">
        <v>300</v>
      </c>
      <c r="G862" s="7">
        <v>25</v>
      </c>
      <c r="H862" s="16" t="str">
        <f t="shared" si="13"/>
        <v>(860,'888','عين السمارة','Ain Smara','Ain Smara',300),</v>
      </c>
    </row>
    <row r="863" spans="1:8" ht="20.100000000000001" customHeight="1" x14ac:dyDescent="0.25">
      <c r="A863" s="3">
        <v>861</v>
      </c>
      <c r="B863" s="8">
        <v>893</v>
      </c>
      <c r="C863" s="4" t="s">
        <v>1682</v>
      </c>
      <c r="D863" s="4" t="s">
        <v>1681</v>
      </c>
      <c r="E863" s="4" t="s">
        <v>1681</v>
      </c>
      <c r="F863" s="7">
        <v>300</v>
      </c>
      <c r="G863" s="7">
        <v>25</v>
      </c>
      <c r="H863" s="16" t="str">
        <f t="shared" si="13"/>
        <v>(861,'893','الخروب','El Khroub','El Khroub',300),</v>
      </c>
    </row>
    <row r="864" spans="1:8" ht="20.100000000000001" customHeight="1" x14ac:dyDescent="0.25">
      <c r="A864" s="3">
        <v>862</v>
      </c>
      <c r="B864" s="8">
        <v>897</v>
      </c>
      <c r="C864" s="4" t="s">
        <v>3229</v>
      </c>
      <c r="D864" s="4" t="s">
        <v>3230</v>
      </c>
      <c r="E864" s="4" t="s">
        <v>3230</v>
      </c>
      <c r="F864" s="7">
        <v>300</v>
      </c>
      <c r="G864" s="7">
        <v>25</v>
      </c>
      <c r="H864" s="16" t="str">
        <f t="shared" si="13"/>
        <v>(862,'897','أولاد رحمون','Ouled Rahmoun','Ouled Rahmoun',300),</v>
      </c>
    </row>
    <row r="865" spans="1:8" ht="20.100000000000001" customHeight="1" x14ac:dyDescent="0.25">
      <c r="A865" s="3">
        <v>863</v>
      </c>
      <c r="B865" s="8">
        <v>887</v>
      </c>
      <c r="C865" s="4" t="s">
        <v>1680</v>
      </c>
      <c r="D865" s="4" t="s">
        <v>1679</v>
      </c>
      <c r="E865" s="4" t="s">
        <v>1679</v>
      </c>
      <c r="F865" s="7">
        <v>301</v>
      </c>
      <c r="G865" s="7">
        <v>25</v>
      </c>
      <c r="H865" s="16" t="str">
        <f t="shared" si="13"/>
        <v>(863,'887','عين عبيد','Ain Abid','Ain Abid',301),</v>
      </c>
    </row>
    <row r="866" spans="1:8" ht="20.100000000000001" customHeight="1" x14ac:dyDescent="0.25">
      <c r="A866" s="3">
        <v>864</v>
      </c>
      <c r="B866" s="8">
        <v>889</v>
      </c>
      <c r="C866" s="4" t="s">
        <v>3231</v>
      </c>
      <c r="D866" s="4" t="s">
        <v>1635</v>
      </c>
      <c r="E866" s="4" t="s">
        <v>1635</v>
      </c>
      <c r="F866" s="7">
        <v>301</v>
      </c>
      <c r="G866" s="7">
        <v>25</v>
      </c>
      <c r="H866" s="16" t="str">
        <f t="shared" si="13"/>
        <v>(864,'889','أبن باديس الهرية','Ben Badis','Ben Badis',301),</v>
      </c>
    </row>
    <row r="867" spans="1:8" ht="20.100000000000001" customHeight="1" x14ac:dyDescent="0.25">
      <c r="A867" s="3">
        <v>865</v>
      </c>
      <c r="B867" s="8">
        <v>895</v>
      </c>
      <c r="C867" s="4" t="s">
        <v>1688</v>
      </c>
      <c r="D867" s="4" t="s">
        <v>1687</v>
      </c>
      <c r="E867" s="4" t="s">
        <v>1687</v>
      </c>
      <c r="F867" s="7">
        <v>302</v>
      </c>
      <c r="G867" s="7">
        <v>25</v>
      </c>
      <c r="H867" s="16" t="str">
        <f t="shared" si="13"/>
        <v>(865,'895','ابن زياد','Ibn Ziad','Ibn Ziad',302),</v>
      </c>
    </row>
    <row r="868" spans="1:8" ht="20.100000000000001" customHeight="1" x14ac:dyDescent="0.25">
      <c r="A868" s="3">
        <v>866</v>
      </c>
      <c r="B868" s="8">
        <v>896</v>
      </c>
      <c r="C868" s="4" t="s">
        <v>3232</v>
      </c>
      <c r="D868" s="4" t="s">
        <v>3233</v>
      </c>
      <c r="E868" s="4" t="s">
        <v>3233</v>
      </c>
      <c r="F868" s="7">
        <v>302</v>
      </c>
      <c r="G868" s="7">
        <v>25</v>
      </c>
      <c r="H868" s="16" t="str">
        <f t="shared" si="13"/>
        <v>(866,'896','بوجريو مسعود','Messaoud Boudjeriou','Messaoud Boudjeriou',302),</v>
      </c>
    </row>
    <row r="869" spans="1:8" ht="20.100000000000001" customHeight="1" x14ac:dyDescent="0.25">
      <c r="A869" s="3">
        <v>867</v>
      </c>
      <c r="B869" s="8">
        <v>919</v>
      </c>
      <c r="C869" s="4" t="s">
        <v>3234</v>
      </c>
      <c r="D869" s="4" t="s">
        <v>3235</v>
      </c>
      <c r="E869" s="4" t="s">
        <v>3235</v>
      </c>
      <c r="F869" s="7">
        <v>303</v>
      </c>
      <c r="G869" s="7">
        <v>26</v>
      </c>
      <c r="H869" s="16" t="str">
        <f t="shared" si="13"/>
        <v>(867,'919','ذراع السمار','Draa Esmar','Draa Esmar',303),</v>
      </c>
    </row>
    <row r="870" spans="1:8" ht="20.100000000000001" customHeight="1" x14ac:dyDescent="0.25">
      <c r="A870" s="3">
        <v>868</v>
      </c>
      <c r="B870" s="8">
        <v>931</v>
      </c>
      <c r="C870" s="4" t="s">
        <v>1021</v>
      </c>
      <c r="D870" s="4" t="s">
        <v>1095</v>
      </c>
      <c r="E870" s="4" t="s">
        <v>1095</v>
      </c>
      <c r="F870" s="7">
        <v>303</v>
      </c>
      <c r="G870" s="7">
        <v>26</v>
      </c>
      <c r="H870" s="16" t="str">
        <f t="shared" si="13"/>
        <v>(868,'931','المدية','Medea','Medea',303),</v>
      </c>
    </row>
    <row r="871" spans="1:8" ht="20.100000000000001" customHeight="1" x14ac:dyDescent="0.25">
      <c r="A871" s="3">
        <v>869</v>
      </c>
      <c r="B871" s="8">
        <v>959</v>
      </c>
      <c r="C871" s="4" t="s">
        <v>3236</v>
      </c>
      <c r="D871" s="4" t="s">
        <v>3237</v>
      </c>
      <c r="E871" s="4" t="s">
        <v>3237</v>
      </c>
      <c r="F871" s="7">
        <v>303</v>
      </c>
      <c r="G871" s="7">
        <v>26</v>
      </c>
      <c r="H871" s="16" t="str">
        <f t="shared" si="13"/>
        <v>(869,'959','تمسقيدة','Tamesguida','Tamesguida',303),</v>
      </c>
    </row>
    <row r="872" spans="1:8" ht="20.100000000000001" customHeight="1" x14ac:dyDescent="0.25">
      <c r="A872" s="3">
        <v>870</v>
      </c>
      <c r="B872" s="8">
        <v>904</v>
      </c>
      <c r="C872" s="4" t="s">
        <v>3238</v>
      </c>
      <c r="D872" s="4" t="s">
        <v>3239</v>
      </c>
      <c r="E872" s="4" t="s">
        <v>3239</v>
      </c>
      <c r="F872" s="7">
        <v>304</v>
      </c>
      <c r="G872" s="7">
        <v>26</v>
      </c>
      <c r="H872" s="16" t="str">
        <f t="shared" si="13"/>
        <v>(870,'904','بن شكاو','Ben Chicao','Ben Chicao',304),</v>
      </c>
    </row>
    <row r="873" spans="1:8" ht="20.100000000000001" customHeight="1" x14ac:dyDescent="0.25">
      <c r="A873" s="3">
        <v>871</v>
      </c>
      <c r="B873" s="8">
        <v>922</v>
      </c>
      <c r="C873" s="4" t="s">
        <v>3240</v>
      </c>
      <c r="D873" s="4" t="s">
        <v>3241</v>
      </c>
      <c r="E873" s="4" t="s">
        <v>3241</v>
      </c>
      <c r="F873" s="7">
        <v>304</v>
      </c>
      <c r="G873" s="7">
        <v>26</v>
      </c>
      <c r="H873" s="16" t="str">
        <f t="shared" si="13"/>
        <v>(871,'922','الحمدانية','El Hamdania','El Hamdania',304),</v>
      </c>
    </row>
    <row r="874" spans="1:8" ht="20.100000000000001" customHeight="1" x14ac:dyDescent="0.25">
      <c r="A874" s="3">
        <v>872</v>
      </c>
      <c r="B874" s="8">
        <v>945</v>
      </c>
      <c r="C874" s="4" t="s">
        <v>1700</v>
      </c>
      <c r="D874" s="4" t="s">
        <v>1699</v>
      </c>
      <c r="E874" s="4" t="s">
        <v>1699</v>
      </c>
      <c r="F874" s="7">
        <v>304</v>
      </c>
      <c r="G874" s="7">
        <v>26</v>
      </c>
      <c r="H874" s="16" t="str">
        <f t="shared" si="13"/>
        <v>(872,'945','وزرة','Ouzera','Ouzera',304),</v>
      </c>
    </row>
    <row r="875" spans="1:8" ht="20.100000000000001" customHeight="1" x14ac:dyDescent="0.25">
      <c r="A875" s="3">
        <v>873</v>
      </c>
      <c r="B875" s="8">
        <v>960</v>
      </c>
      <c r="C875" s="4" t="s">
        <v>3242</v>
      </c>
      <c r="D875" s="4" t="s">
        <v>3243</v>
      </c>
      <c r="E875" s="4" t="s">
        <v>3243</v>
      </c>
      <c r="F875" s="7">
        <v>304</v>
      </c>
      <c r="G875" s="7">
        <v>26</v>
      </c>
      <c r="H875" s="16" t="str">
        <f t="shared" si="13"/>
        <v>(873,'960','تيزي مهدي','Tizi Mahdi','Tizi Mahdi',304),</v>
      </c>
    </row>
    <row r="876" spans="1:8" ht="20.100000000000001" customHeight="1" x14ac:dyDescent="0.25">
      <c r="A876" s="3">
        <v>874</v>
      </c>
      <c r="B876" s="8">
        <v>899</v>
      </c>
      <c r="C876" s="4" t="s">
        <v>1690</v>
      </c>
      <c r="D876" s="4" t="s">
        <v>1689</v>
      </c>
      <c r="E876" s="4" t="s">
        <v>1689</v>
      </c>
      <c r="F876" s="7">
        <v>305</v>
      </c>
      <c r="G876" s="7">
        <v>26</v>
      </c>
      <c r="H876" s="16" t="str">
        <f t="shared" si="13"/>
        <v>(874,'899','عين بوسيف','Ain Boucif','Ain Boucif',305),</v>
      </c>
    </row>
    <row r="877" spans="1:8" ht="20.100000000000001" customHeight="1" x14ac:dyDescent="0.25">
      <c r="A877" s="3">
        <v>875</v>
      </c>
      <c r="B877" s="8">
        <v>925</v>
      </c>
      <c r="C877" s="4" t="s">
        <v>1370</v>
      </c>
      <c r="D877" s="4" t="s">
        <v>3244</v>
      </c>
      <c r="E877" s="4" t="s">
        <v>3244</v>
      </c>
      <c r="F877" s="7">
        <v>305</v>
      </c>
      <c r="G877" s="7">
        <v>26</v>
      </c>
      <c r="H877" s="16" t="str">
        <f t="shared" si="13"/>
        <v>(875,'925','العوينات','El Ouinet','El Ouinet',305),</v>
      </c>
    </row>
    <row r="878" spans="1:8" ht="20.100000000000001" customHeight="1" x14ac:dyDescent="0.25">
      <c r="A878" s="3">
        <v>876</v>
      </c>
      <c r="B878" s="8">
        <v>927</v>
      </c>
      <c r="C878" s="4" t="s">
        <v>3245</v>
      </c>
      <c r="D878" s="4" t="s">
        <v>3246</v>
      </c>
      <c r="E878" s="4" t="s">
        <v>3246</v>
      </c>
      <c r="F878" s="7">
        <v>305</v>
      </c>
      <c r="G878" s="7">
        <v>26</v>
      </c>
      <c r="H878" s="16" t="str">
        <f t="shared" si="13"/>
        <v>(876,'927','الكاف الاخضر','Kef Lakhdar','Kef Lakhdar',305),</v>
      </c>
    </row>
    <row r="879" spans="1:8" ht="20.100000000000001" customHeight="1" x14ac:dyDescent="0.25">
      <c r="A879" s="3">
        <v>877</v>
      </c>
      <c r="B879" s="8">
        <v>942</v>
      </c>
      <c r="C879" s="4" t="s">
        <v>3247</v>
      </c>
      <c r="D879" s="4" t="s">
        <v>3248</v>
      </c>
      <c r="E879" s="4" t="s">
        <v>3248</v>
      </c>
      <c r="F879" s="7">
        <v>305</v>
      </c>
      <c r="G879" s="7">
        <v>26</v>
      </c>
      <c r="H879" s="16" t="str">
        <f t="shared" si="13"/>
        <v>(877,'942','أولاد امعرف','Ouled Emaaraf','Ouled Emaaraf',305),</v>
      </c>
    </row>
    <row r="880" spans="1:8" ht="20.100000000000001" customHeight="1" x14ac:dyDescent="0.25">
      <c r="A880" s="3">
        <v>878</v>
      </c>
      <c r="B880" s="8">
        <v>951</v>
      </c>
      <c r="C880" s="4" t="s">
        <v>3249</v>
      </c>
      <c r="D880" s="4" t="s">
        <v>3250</v>
      </c>
      <c r="E880" s="4" t="s">
        <v>3250</v>
      </c>
      <c r="F880" s="7">
        <v>305</v>
      </c>
      <c r="G880" s="7">
        <v>26</v>
      </c>
      <c r="H880" s="16" t="str">
        <f t="shared" si="13"/>
        <v>(878,'951','سيدي دامد','Sidi Demed','Sidi Demed',305),</v>
      </c>
    </row>
    <row r="881" spans="1:8" ht="20.100000000000001" customHeight="1" x14ac:dyDescent="0.25">
      <c r="A881" s="3">
        <v>879</v>
      </c>
      <c r="B881" s="8">
        <v>903</v>
      </c>
      <c r="C881" s="4" t="s">
        <v>3251</v>
      </c>
      <c r="D881" s="4" t="s">
        <v>3252</v>
      </c>
      <c r="E881" s="4" t="s">
        <v>3252</v>
      </c>
      <c r="F881" s="7">
        <v>306</v>
      </c>
      <c r="G881" s="7">
        <v>26</v>
      </c>
      <c r="H881" s="16" t="str">
        <f t="shared" si="13"/>
        <v>(879,'903','بعطة','Baata','Baata',306),</v>
      </c>
    </row>
    <row r="882" spans="1:8" ht="20.100000000000001" customHeight="1" x14ac:dyDescent="0.25">
      <c r="A882" s="3">
        <v>880</v>
      </c>
      <c r="B882" s="8">
        <v>924</v>
      </c>
      <c r="C882" s="4" t="s">
        <v>1698</v>
      </c>
      <c r="D882" s="4" t="s">
        <v>1697</v>
      </c>
      <c r="E882" s="4" t="s">
        <v>1697</v>
      </c>
      <c r="F882" s="7">
        <v>306</v>
      </c>
      <c r="G882" s="7">
        <v>26</v>
      </c>
      <c r="H882" s="16" t="str">
        <f t="shared" si="13"/>
        <v>(880,'924','العمارية','El Omaria','El Omaria',306),</v>
      </c>
    </row>
    <row r="883" spans="1:8" ht="20.100000000000001" customHeight="1" x14ac:dyDescent="0.25">
      <c r="A883" s="3">
        <v>881</v>
      </c>
      <c r="B883" s="8">
        <v>940</v>
      </c>
      <c r="C883" s="4" t="s">
        <v>3037</v>
      </c>
      <c r="D883" s="4" t="s">
        <v>1593</v>
      </c>
      <c r="E883" s="4" t="s">
        <v>1593</v>
      </c>
      <c r="F883" s="7">
        <v>306</v>
      </c>
      <c r="G883" s="7">
        <v>26</v>
      </c>
      <c r="H883" s="16" t="str">
        <f t="shared" si="13"/>
        <v>(881,'940','أولاد إبراهيم','Ouled Brahim','Ouled Brahim',306),</v>
      </c>
    </row>
    <row r="884" spans="1:8" ht="20.100000000000001" customHeight="1" x14ac:dyDescent="0.25">
      <c r="A884" s="3">
        <v>882</v>
      </c>
      <c r="B884" s="8">
        <v>907</v>
      </c>
      <c r="C884" s="4" t="s">
        <v>3253</v>
      </c>
      <c r="D884" s="4" t="s">
        <v>3254</v>
      </c>
      <c r="E884" s="4" t="s">
        <v>3254</v>
      </c>
      <c r="F884" s="7">
        <v>307</v>
      </c>
      <c r="G884" s="7">
        <v>26</v>
      </c>
      <c r="H884" s="16" t="str">
        <f t="shared" si="13"/>
        <v>(882,'907','بئر بن عابد','Bir Ben Laabed','Bir Ben Laabed',307),</v>
      </c>
    </row>
    <row r="885" spans="1:8" ht="20.100000000000001" customHeight="1" x14ac:dyDescent="0.25">
      <c r="A885" s="3">
        <v>883</v>
      </c>
      <c r="B885" s="8">
        <v>921</v>
      </c>
      <c r="C885" s="4" t="s">
        <v>1706</v>
      </c>
      <c r="D885" s="4" t="s">
        <v>3255</v>
      </c>
      <c r="E885" s="4" t="s">
        <v>3255</v>
      </c>
      <c r="F885" s="7">
        <v>307</v>
      </c>
      <c r="G885" s="7">
        <v>26</v>
      </c>
      <c r="H885" s="16" t="str">
        <f t="shared" si="13"/>
        <v>(883,'921','القلب الكبير','El Guelbelkebir','El Guelbelkebir',307),</v>
      </c>
    </row>
    <row r="886" spans="1:8" ht="20.100000000000001" customHeight="1" x14ac:dyDescent="0.25">
      <c r="A886" s="3">
        <v>884</v>
      </c>
      <c r="B886" s="8">
        <v>948</v>
      </c>
      <c r="C886" s="4" t="s">
        <v>3256</v>
      </c>
      <c r="D886" s="4" t="s">
        <v>3257</v>
      </c>
      <c r="E886" s="4" t="s">
        <v>3257</v>
      </c>
      <c r="F886" s="7">
        <v>307</v>
      </c>
      <c r="G886" s="7">
        <v>26</v>
      </c>
      <c r="H886" s="16" t="str">
        <f t="shared" si="13"/>
        <v>(884,'948','سدراية','Sedraya','Sedraya',307),</v>
      </c>
    </row>
    <row r="887" spans="1:8" ht="20.100000000000001" customHeight="1" x14ac:dyDescent="0.25">
      <c r="A887" s="3">
        <v>885</v>
      </c>
      <c r="B887" s="8">
        <v>900</v>
      </c>
      <c r="C887" s="4" t="s">
        <v>3258</v>
      </c>
      <c r="D887" s="4" t="s">
        <v>3259</v>
      </c>
      <c r="E887" s="4" t="s">
        <v>3259</v>
      </c>
      <c r="F887" s="7">
        <v>308</v>
      </c>
      <c r="G887" s="7">
        <v>26</v>
      </c>
      <c r="H887" s="16" t="str">
        <f t="shared" si="13"/>
        <v>(885,'900','عين اقصير','Ain Ouksir','Ain Ouksir',308),</v>
      </c>
    </row>
    <row r="888" spans="1:8" ht="20.100000000000001" customHeight="1" x14ac:dyDescent="0.25">
      <c r="A888" s="3">
        <v>886</v>
      </c>
      <c r="B888" s="8">
        <v>915</v>
      </c>
      <c r="C888" s="4" t="s">
        <v>1692</v>
      </c>
      <c r="D888" s="4" t="s">
        <v>3260</v>
      </c>
      <c r="E888" s="4" t="s">
        <v>3260</v>
      </c>
      <c r="F888" s="7">
        <v>308</v>
      </c>
      <c r="G888" s="7">
        <v>26</v>
      </c>
      <c r="H888" s="16" t="str">
        <f t="shared" si="13"/>
        <v>(886,'915','شلالة العذاورة','Chelalet El Adhaoura','Chelalet El Adhaoura',308),</v>
      </c>
    </row>
    <row r="889" spans="1:8" ht="20.100000000000001" customHeight="1" x14ac:dyDescent="0.25">
      <c r="A889" s="3">
        <v>887</v>
      </c>
      <c r="B889" s="8">
        <v>916</v>
      </c>
      <c r="C889" s="4" t="s">
        <v>3261</v>
      </c>
      <c r="D889" s="4" t="s">
        <v>3262</v>
      </c>
      <c r="E889" s="4" t="s">
        <v>3262</v>
      </c>
      <c r="F889" s="7">
        <v>308</v>
      </c>
      <c r="G889" s="7">
        <v>26</v>
      </c>
      <c r="H889" s="16" t="str">
        <f t="shared" si="13"/>
        <v>(887,'916','شنيقل','Cheniguel','Cheniguel',308),</v>
      </c>
    </row>
    <row r="890" spans="1:8" ht="20.100000000000001" customHeight="1" x14ac:dyDescent="0.25">
      <c r="A890" s="3">
        <v>888</v>
      </c>
      <c r="B890" s="8">
        <v>958</v>
      </c>
      <c r="C890" s="4" t="s">
        <v>3263</v>
      </c>
      <c r="D890" s="4" t="s">
        <v>3264</v>
      </c>
      <c r="E890" s="4" t="s">
        <v>3264</v>
      </c>
      <c r="F890" s="7">
        <v>308</v>
      </c>
      <c r="G890" s="7">
        <v>26</v>
      </c>
      <c r="H890" s="16" t="str">
        <f t="shared" si="13"/>
        <v>(888,'958','تفراوت','Tafraout','Tafraout',308),</v>
      </c>
    </row>
    <row r="891" spans="1:8" ht="20.100000000000001" customHeight="1" x14ac:dyDescent="0.25">
      <c r="A891" s="3">
        <v>889</v>
      </c>
      <c r="B891" s="8">
        <v>911</v>
      </c>
      <c r="C891" s="4" t="s">
        <v>3265</v>
      </c>
      <c r="D891" s="4" t="s">
        <v>3266</v>
      </c>
      <c r="E891" s="4" t="s">
        <v>3266</v>
      </c>
      <c r="F891" s="7">
        <v>309</v>
      </c>
      <c r="G891" s="7">
        <v>26</v>
      </c>
      <c r="H891" s="16" t="str">
        <f t="shared" si="13"/>
        <v>(889,'911','بوشراحيل','Bouchrahil','Bouchrahil',309),</v>
      </c>
    </row>
    <row r="892" spans="1:8" ht="20.100000000000001" customHeight="1" x14ac:dyDescent="0.25">
      <c r="A892" s="3">
        <v>890</v>
      </c>
      <c r="B892" s="8">
        <v>928</v>
      </c>
      <c r="C892" s="4" t="s">
        <v>3267</v>
      </c>
      <c r="D892" s="4" t="s">
        <v>3268</v>
      </c>
      <c r="E892" s="4" t="s">
        <v>3268</v>
      </c>
      <c r="F892" s="7">
        <v>309</v>
      </c>
      <c r="G892" s="7">
        <v>26</v>
      </c>
      <c r="H892" s="16" t="str">
        <f t="shared" si="13"/>
        <v>(890,'928','خمس جوامع','Khams Djouamaa','Khams Djouamaa',309),</v>
      </c>
    </row>
    <row r="893" spans="1:8" ht="20.100000000000001" customHeight="1" x14ac:dyDescent="0.25">
      <c r="A893" s="3">
        <v>891</v>
      </c>
      <c r="B893" s="8">
        <v>952</v>
      </c>
      <c r="C893" s="4" t="s">
        <v>1714</v>
      </c>
      <c r="D893" s="4" t="s">
        <v>1713</v>
      </c>
      <c r="E893" s="4" t="s">
        <v>1713</v>
      </c>
      <c r="F893" s="7">
        <v>309</v>
      </c>
      <c r="G893" s="7">
        <v>26</v>
      </c>
      <c r="H893" s="16" t="str">
        <f t="shared" si="13"/>
        <v>(891,'952','سيدي نعمان','Sidi Naamane','Sidi Naamane',309),</v>
      </c>
    </row>
    <row r="894" spans="1:8" ht="20.100000000000001" customHeight="1" x14ac:dyDescent="0.25">
      <c r="A894" s="3">
        <v>892</v>
      </c>
      <c r="B894" s="8">
        <v>902</v>
      </c>
      <c r="C894" s="4" t="s">
        <v>1696</v>
      </c>
      <c r="D894" s="4" t="s">
        <v>1695</v>
      </c>
      <c r="E894" s="4" t="s">
        <v>1695</v>
      </c>
      <c r="F894" s="7">
        <v>310</v>
      </c>
      <c r="G894" s="7">
        <v>26</v>
      </c>
      <c r="H894" s="16" t="str">
        <f t="shared" si="13"/>
        <v>(892,'902','عزيز','Aziz','Aziz',310),</v>
      </c>
    </row>
    <row r="895" spans="1:8" ht="20.100000000000001" customHeight="1" x14ac:dyDescent="0.25">
      <c r="A895" s="3">
        <v>893</v>
      </c>
      <c r="B895" s="8">
        <v>917</v>
      </c>
      <c r="C895" s="4" t="s">
        <v>3269</v>
      </c>
      <c r="D895" s="4" t="s">
        <v>3270</v>
      </c>
      <c r="E895" s="4" t="s">
        <v>3270</v>
      </c>
      <c r="F895" s="7">
        <v>310</v>
      </c>
      <c r="G895" s="7">
        <v>26</v>
      </c>
      <c r="H895" s="16" t="str">
        <f t="shared" si="13"/>
        <v>(893,'917','دراق','Derrag','Derrag',310),</v>
      </c>
    </row>
    <row r="896" spans="1:8" ht="20.100000000000001" customHeight="1" x14ac:dyDescent="0.25">
      <c r="A896" s="3">
        <v>894</v>
      </c>
      <c r="B896" s="8">
        <v>944</v>
      </c>
      <c r="C896" s="4" t="s">
        <v>3271</v>
      </c>
      <c r="D896" s="4" t="s">
        <v>3272</v>
      </c>
      <c r="E896" s="4" t="s">
        <v>3272</v>
      </c>
      <c r="F896" s="7">
        <v>310</v>
      </c>
      <c r="G896" s="7">
        <v>26</v>
      </c>
      <c r="H896" s="16" t="str">
        <f t="shared" si="13"/>
        <v>(894,'944','أم الجليل','Oum El Djellil','Oum El Djellil',310),</v>
      </c>
    </row>
    <row r="897" spans="1:8" ht="20.100000000000001" customHeight="1" x14ac:dyDescent="0.25">
      <c r="A897" s="3">
        <v>895</v>
      </c>
      <c r="B897" s="8">
        <v>918</v>
      </c>
      <c r="C897" s="4" t="s">
        <v>3273</v>
      </c>
      <c r="D897" s="4" t="s">
        <v>3274</v>
      </c>
      <c r="E897" s="4" t="s">
        <v>3274</v>
      </c>
      <c r="F897" s="7">
        <v>311</v>
      </c>
      <c r="G897" s="7">
        <v>26</v>
      </c>
      <c r="H897" s="16" t="str">
        <f t="shared" si="13"/>
        <v>(895,'918','جواب','Djouab','Djouab',311),</v>
      </c>
    </row>
    <row r="898" spans="1:8" ht="20.100000000000001" customHeight="1" x14ac:dyDescent="0.25">
      <c r="A898" s="3">
        <v>896</v>
      </c>
      <c r="B898" s="8">
        <v>954</v>
      </c>
      <c r="C898" s="4" t="s">
        <v>3275</v>
      </c>
      <c r="D898" s="4" t="s">
        <v>3276</v>
      </c>
      <c r="E898" s="4" t="s">
        <v>3276</v>
      </c>
      <c r="F898" s="7">
        <v>311</v>
      </c>
      <c r="G898" s="7">
        <v>26</v>
      </c>
      <c r="H898" s="16" t="str">
        <f t="shared" si="13"/>
        <v>(896,'954','سيدي زهار','Sidi Zahar','Sidi Zahar',311),</v>
      </c>
    </row>
    <row r="899" spans="1:8" ht="20.100000000000001" customHeight="1" x14ac:dyDescent="0.25">
      <c r="A899" s="3">
        <v>897</v>
      </c>
      <c r="B899" s="8">
        <v>955</v>
      </c>
      <c r="C899" s="4" t="s">
        <v>3277</v>
      </c>
      <c r="D899" s="4" t="s">
        <v>3278</v>
      </c>
      <c r="E899" s="4" t="s">
        <v>3278</v>
      </c>
      <c r="F899" s="7">
        <v>311</v>
      </c>
      <c r="G899" s="7">
        <v>26</v>
      </c>
      <c r="H899" s="16" t="str">
        <f t="shared" si="13"/>
        <v>(897,'955','سيدي زيان','Sidi Ziane','Sidi Ziane',311),</v>
      </c>
    </row>
    <row r="900" spans="1:8" ht="20.100000000000001" customHeight="1" x14ac:dyDescent="0.25">
      <c r="A900" s="3">
        <v>898</v>
      </c>
      <c r="B900" s="8">
        <v>956</v>
      </c>
      <c r="C900" s="4" t="s">
        <v>1716</v>
      </c>
      <c r="D900" s="4" t="s">
        <v>3279</v>
      </c>
      <c r="E900" s="4" t="s">
        <v>3279</v>
      </c>
      <c r="F900" s="7">
        <v>311</v>
      </c>
      <c r="G900" s="7">
        <v>26</v>
      </c>
      <c r="H900" s="16" t="str">
        <f t="shared" ref="H900:H963" si="14">CONCATENATE("(",A900,",'",B900,"','",C900,"','",D900,"','",E900,"',",F900,"),")</f>
        <v>(898,'956','السواقي','Souagui','Souagui',311),</v>
      </c>
    </row>
    <row r="901" spans="1:8" ht="20.100000000000001" customHeight="1" x14ac:dyDescent="0.25">
      <c r="A901" s="3">
        <v>899</v>
      </c>
      <c r="B901" s="8">
        <v>929</v>
      </c>
      <c r="C901" s="4" t="s">
        <v>1722</v>
      </c>
      <c r="D901" s="4" t="s">
        <v>1721</v>
      </c>
      <c r="E901" s="4" t="s">
        <v>1721</v>
      </c>
      <c r="F901" s="7">
        <v>312</v>
      </c>
      <c r="G901" s="7">
        <v>26</v>
      </c>
      <c r="H901" s="16" t="str">
        <f t="shared" si="14"/>
        <v>(899,'929','قصر البخاري','Ksar El Boukhari','Ksar El Boukhari',312),</v>
      </c>
    </row>
    <row r="902" spans="1:8" ht="20.100000000000001" customHeight="1" x14ac:dyDescent="0.25">
      <c r="A902" s="3">
        <v>900</v>
      </c>
      <c r="B902" s="8">
        <v>934</v>
      </c>
      <c r="C902" s="4" t="s">
        <v>3280</v>
      </c>
      <c r="D902" s="4" t="s">
        <v>5866</v>
      </c>
      <c r="E902" s="4" t="s">
        <v>5866</v>
      </c>
      <c r="F902" s="7">
        <v>312</v>
      </c>
      <c r="G902" s="7">
        <v>26</v>
      </c>
      <c r="H902" s="16" t="str">
        <f t="shared" si="14"/>
        <v>(900,'934','مفاتحة','M\'fatha','M\'fatha',312),</v>
      </c>
    </row>
    <row r="903" spans="1:8" ht="20.100000000000001" customHeight="1" x14ac:dyDescent="0.25">
      <c r="A903" s="3">
        <v>901</v>
      </c>
      <c r="B903" s="8">
        <v>947</v>
      </c>
      <c r="C903" s="4" t="s">
        <v>3281</v>
      </c>
      <c r="D903" s="4" t="s">
        <v>3282</v>
      </c>
      <c r="E903" s="4" t="s">
        <v>3282</v>
      </c>
      <c r="F903" s="7">
        <v>312</v>
      </c>
      <c r="G903" s="7">
        <v>26</v>
      </c>
      <c r="H903" s="16" t="str">
        <f t="shared" si="14"/>
        <v>(901,'947','السانق','Saneg','Saneg',312),</v>
      </c>
    </row>
    <row r="904" spans="1:8" ht="20.100000000000001" customHeight="1" x14ac:dyDescent="0.25">
      <c r="A904" s="3">
        <v>902</v>
      </c>
      <c r="B904" s="8">
        <v>920</v>
      </c>
      <c r="C904" s="4" t="s">
        <v>1718</v>
      </c>
      <c r="D904" s="4" t="s">
        <v>1717</v>
      </c>
      <c r="E904" s="4" t="s">
        <v>1717</v>
      </c>
      <c r="F904" s="7">
        <v>313</v>
      </c>
      <c r="G904" s="7">
        <v>26</v>
      </c>
      <c r="H904" s="16" t="str">
        <f t="shared" si="14"/>
        <v>(902,'920','العزيزية','El Azizia','El Azizia',313),</v>
      </c>
    </row>
    <row r="905" spans="1:8" ht="20.100000000000001" customHeight="1" x14ac:dyDescent="0.25">
      <c r="A905" s="3">
        <v>903</v>
      </c>
      <c r="B905" s="8">
        <v>930</v>
      </c>
      <c r="C905" s="4" t="s">
        <v>3283</v>
      </c>
      <c r="D905" s="4" t="s">
        <v>3284</v>
      </c>
      <c r="E905" s="4" t="s">
        <v>3284</v>
      </c>
      <c r="F905" s="7">
        <v>313</v>
      </c>
      <c r="G905" s="7">
        <v>26</v>
      </c>
      <c r="H905" s="16" t="str">
        <f t="shared" si="14"/>
        <v>(903,'930','مغراوة','Maghraoua','Maghraoua',313),</v>
      </c>
    </row>
    <row r="906" spans="1:8" ht="20.100000000000001" customHeight="1" x14ac:dyDescent="0.25">
      <c r="A906" s="3">
        <v>904</v>
      </c>
      <c r="B906" s="8">
        <v>935</v>
      </c>
      <c r="C906" s="4" t="s">
        <v>3285</v>
      </c>
      <c r="D906" s="4" t="s">
        <v>3286</v>
      </c>
      <c r="E906" s="4" t="s">
        <v>3286</v>
      </c>
      <c r="F906" s="7">
        <v>313</v>
      </c>
      <c r="G906" s="7">
        <v>26</v>
      </c>
      <c r="H906" s="16" t="str">
        <f t="shared" si="14"/>
        <v>(904,'935','ميهوب','Mihoub','Mihoub',313),</v>
      </c>
    </row>
    <row r="907" spans="1:8" ht="20.100000000000001" customHeight="1" x14ac:dyDescent="0.25">
      <c r="A907" s="3">
        <v>905</v>
      </c>
      <c r="B907" s="8">
        <v>909</v>
      </c>
      <c r="C907" s="4" t="s">
        <v>3287</v>
      </c>
      <c r="D907" s="4" t="s">
        <v>3288</v>
      </c>
      <c r="E907" s="4" t="s">
        <v>3288</v>
      </c>
      <c r="F907" s="7">
        <v>314</v>
      </c>
      <c r="G907" s="7">
        <v>26</v>
      </c>
      <c r="H907" s="16" t="str">
        <f t="shared" si="14"/>
        <v>(905,'909','بوعيش','Bouaiche','Bouaiche',314),</v>
      </c>
    </row>
    <row r="908" spans="1:8" ht="20.100000000000001" customHeight="1" x14ac:dyDescent="0.25">
      <c r="A908" s="3">
        <v>906</v>
      </c>
      <c r="B908" s="8">
        <v>912</v>
      </c>
      <c r="C908" s="4" t="s">
        <v>3289</v>
      </c>
      <c r="D908" s="4" t="s">
        <v>3290</v>
      </c>
      <c r="E908" s="4" t="s">
        <v>3290</v>
      </c>
      <c r="F908" s="7">
        <v>314</v>
      </c>
      <c r="G908" s="7">
        <v>26</v>
      </c>
      <c r="H908" s="16" t="str">
        <f t="shared" si="14"/>
        <v>(906,'912','بوغزول','Boughzoul','Boughzoul',314),</v>
      </c>
    </row>
    <row r="909" spans="1:8" ht="20.100000000000001" customHeight="1" x14ac:dyDescent="0.25">
      <c r="A909" s="3">
        <v>907</v>
      </c>
      <c r="B909" s="8">
        <v>914</v>
      </c>
      <c r="C909" s="4" t="s">
        <v>1710</v>
      </c>
      <c r="D909" s="4" t="s">
        <v>3291</v>
      </c>
      <c r="E909" s="4" t="s">
        <v>3291</v>
      </c>
      <c r="F909" s="7">
        <v>314</v>
      </c>
      <c r="G909" s="7">
        <v>26</v>
      </c>
      <c r="H909" s="16" t="str">
        <f t="shared" si="14"/>
        <v>(907,'914','الشهبونية','Chabounia','Chabounia',314),</v>
      </c>
    </row>
    <row r="910" spans="1:8" ht="20.100000000000001" customHeight="1" x14ac:dyDescent="0.25">
      <c r="A910" s="3">
        <v>908</v>
      </c>
      <c r="B910" s="8">
        <v>926</v>
      </c>
      <c r="C910" s="4" t="s">
        <v>3292</v>
      </c>
      <c r="D910" s="4" t="s">
        <v>3293</v>
      </c>
      <c r="E910" s="4" t="s">
        <v>3293</v>
      </c>
      <c r="F910" s="7">
        <v>315</v>
      </c>
      <c r="G910" s="7">
        <v>26</v>
      </c>
      <c r="H910" s="16" t="str">
        <f t="shared" si="14"/>
        <v>(908,'926','حناشة','Hannacha','Hannacha',315),</v>
      </c>
    </row>
    <row r="911" spans="1:8" ht="20.100000000000001" customHeight="1" x14ac:dyDescent="0.25">
      <c r="A911" s="3">
        <v>909</v>
      </c>
      <c r="B911" s="8">
        <v>936</v>
      </c>
      <c r="C911" s="4" t="s">
        <v>1720</v>
      </c>
      <c r="D911" s="4" t="s">
        <v>1719</v>
      </c>
      <c r="E911" s="4" t="s">
        <v>1719</v>
      </c>
      <c r="F911" s="7">
        <v>315</v>
      </c>
      <c r="G911" s="7">
        <v>26</v>
      </c>
      <c r="H911" s="16" t="str">
        <f t="shared" si="14"/>
        <v>(909,'936','عوامري','Ouamri','Ouamri',315),</v>
      </c>
    </row>
    <row r="912" spans="1:8" ht="20.100000000000001" customHeight="1" x14ac:dyDescent="0.25">
      <c r="A912" s="3">
        <v>910</v>
      </c>
      <c r="B912" s="8">
        <v>937</v>
      </c>
      <c r="C912" s="4" t="s">
        <v>3294</v>
      </c>
      <c r="D912" s="4" t="s">
        <v>3295</v>
      </c>
      <c r="E912" s="4" t="s">
        <v>3295</v>
      </c>
      <c r="F912" s="7">
        <v>315</v>
      </c>
      <c r="G912" s="7">
        <v>26</v>
      </c>
      <c r="H912" s="16" t="str">
        <f t="shared" si="14"/>
        <v>(910,'937','وادي حربيل','Oued Harbil','Oued Harbil',315),</v>
      </c>
    </row>
    <row r="913" spans="1:8" ht="20.100000000000001" customHeight="1" x14ac:dyDescent="0.25">
      <c r="A913" s="3">
        <v>911</v>
      </c>
      <c r="B913" s="8">
        <v>910</v>
      </c>
      <c r="C913" s="4" t="s">
        <v>3296</v>
      </c>
      <c r="D913" s="4" t="s">
        <v>3297</v>
      </c>
      <c r="E913" s="4" t="s">
        <v>3297</v>
      </c>
      <c r="F913" s="7">
        <v>316</v>
      </c>
      <c r="G913" s="7">
        <v>26</v>
      </c>
      <c r="H913" s="16" t="str">
        <f t="shared" si="14"/>
        <v>(911,'910','بوعيشون','Bouaichoune','Bouaichoune',316),</v>
      </c>
    </row>
    <row r="914" spans="1:8" ht="20.100000000000001" customHeight="1" x14ac:dyDescent="0.25">
      <c r="A914" s="3">
        <v>912</v>
      </c>
      <c r="B914" s="8">
        <v>939</v>
      </c>
      <c r="C914" s="4" t="s">
        <v>3298</v>
      </c>
      <c r="D914" s="4" t="s">
        <v>3299</v>
      </c>
      <c r="E914" s="4" t="s">
        <v>3299</v>
      </c>
      <c r="F914" s="7">
        <v>316</v>
      </c>
      <c r="G914" s="7">
        <v>26</v>
      </c>
      <c r="H914" s="16" t="str">
        <f t="shared" si="14"/>
        <v>(912,'939','أولاد بوعشرة','Ouled Bouachra','Ouled Bouachra',316),</v>
      </c>
    </row>
    <row r="915" spans="1:8" ht="20.100000000000001" customHeight="1" x14ac:dyDescent="0.25">
      <c r="A915" s="3">
        <v>913</v>
      </c>
      <c r="B915" s="8">
        <v>950</v>
      </c>
      <c r="C915" s="4" t="s">
        <v>1712</v>
      </c>
      <c r="D915" s="4" t="s">
        <v>1711</v>
      </c>
      <c r="E915" s="4" t="s">
        <v>1711</v>
      </c>
      <c r="F915" s="7">
        <v>316</v>
      </c>
      <c r="G915" s="7">
        <v>26</v>
      </c>
      <c r="H915" s="16" t="str">
        <f t="shared" si="14"/>
        <v>(913,'950','سي المحجوب','Si Mahdjoub','Si Mahdjoub',316),</v>
      </c>
    </row>
    <row r="916" spans="1:8" ht="20.100000000000001" customHeight="1" x14ac:dyDescent="0.25">
      <c r="A916" s="3">
        <v>914</v>
      </c>
      <c r="B916" s="8">
        <v>905</v>
      </c>
      <c r="C916" s="4" t="s">
        <v>1702</v>
      </c>
      <c r="D916" s="4" t="s">
        <v>1701</v>
      </c>
      <c r="E916" s="4" t="s">
        <v>1701</v>
      </c>
      <c r="F916" s="7">
        <v>317</v>
      </c>
      <c r="G916" s="7">
        <v>26</v>
      </c>
      <c r="H916" s="16" t="str">
        <f t="shared" si="14"/>
        <v>(914,'905','بني سليمان','Beni Slimane','Beni Slimane',317),</v>
      </c>
    </row>
    <row r="917" spans="1:8" ht="20.100000000000001" customHeight="1" x14ac:dyDescent="0.25">
      <c r="A917" s="3">
        <v>915</v>
      </c>
      <c r="B917" s="8">
        <v>913</v>
      </c>
      <c r="C917" s="4" t="s">
        <v>3300</v>
      </c>
      <c r="D917" s="4" t="s">
        <v>3301</v>
      </c>
      <c r="E917" s="4" t="s">
        <v>3301</v>
      </c>
      <c r="F917" s="7">
        <v>317</v>
      </c>
      <c r="G917" s="7">
        <v>26</v>
      </c>
      <c r="H917" s="16" t="str">
        <f t="shared" si="14"/>
        <v>(915,'913','بوسكن','Bouskene','Bouskene',317),</v>
      </c>
    </row>
    <row r="918" spans="1:8" ht="20.100000000000001" customHeight="1" x14ac:dyDescent="0.25">
      <c r="A918" s="3">
        <v>916</v>
      </c>
      <c r="B918" s="8">
        <v>953</v>
      </c>
      <c r="C918" s="4" t="s">
        <v>3302</v>
      </c>
      <c r="D918" s="4" t="s">
        <v>3303</v>
      </c>
      <c r="E918" s="4" t="s">
        <v>3303</v>
      </c>
      <c r="F918" s="7">
        <v>317</v>
      </c>
      <c r="G918" s="7">
        <v>26</v>
      </c>
      <c r="H918" s="16" t="str">
        <f t="shared" si="14"/>
        <v>(916,'953','سيدي الربيع','Sidi Rabie','Sidi Rabie',317),</v>
      </c>
    </row>
    <row r="919" spans="1:8" ht="20.100000000000001" customHeight="1" x14ac:dyDescent="0.25">
      <c r="A919" s="3">
        <v>917</v>
      </c>
      <c r="B919" s="8">
        <v>906</v>
      </c>
      <c r="C919" s="4" t="s">
        <v>1704</v>
      </c>
      <c r="D919" s="4" t="s">
        <v>1703</v>
      </c>
      <c r="E919" s="4" t="s">
        <v>1703</v>
      </c>
      <c r="F919" s="7">
        <v>318</v>
      </c>
      <c r="G919" s="7">
        <v>26</v>
      </c>
      <c r="H919" s="16" t="str">
        <f t="shared" si="14"/>
        <v>(917,'906','البرواقية','Berrouaghia','Berrouaghia',318),</v>
      </c>
    </row>
    <row r="920" spans="1:8" ht="20.100000000000001" customHeight="1" x14ac:dyDescent="0.25">
      <c r="A920" s="3">
        <v>918</v>
      </c>
      <c r="B920" s="8">
        <v>941</v>
      </c>
      <c r="C920" s="4" t="s">
        <v>3304</v>
      </c>
      <c r="D920" s="4" t="s">
        <v>3305</v>
      </c>
      <c r="E920" s="4" t="s">
        <v>3305</v>
      </c>
      <c r="F920" s="7">
        <v>318</v>
      </c>
      <c r="G920" s="7">
        <v>26</v>
      </c>
      <c r="H920" s="16" t="str">
        <f t="shared" si="14"/>
        <v>(918,'941','أولاد دايد','Ouled Deid','Ouled Deid',318),</v>
      </c>
    </row>
    <row r="921" spans="1:8" ht="20.100000000000001" customHeight="1" x14ac:dyDescent="0.25">
      <c r="A921" s="3">
        <v>919</v>
      </c>
      <c r="B921" s="8">
        <v>946</v>
      </c>
      <c r="C921" s="4" t="s">
        <v>3306</v>
      </c>
      <c r="D921" s="4" t="s">
        <v>3307</v>
      </c>
      <c r="E921" s="4" t="s">
        <v>3307</v>
      </c>
      <c r="F921" s="7">
        <v>318</v>
      </c>
      <c r="G921" s="7">
        <v>26</v>
      </c>
      <c r="H921" s="16" t="str">
        <f t="shared" si="14"/>
        <v>(919,'946','الربعية','Rebaia','Rebaia',318),</v>
      </c>
    </row>
    <row r="922" spans="1:8" ht="20.100000000000001" customHeight="1" x14ac:dyDescent="0.25">
      <c r="A922" s="3">
        <v>920</v>
      </c>
      <c r="B922" s="8">
        <v>932</v>
      </c>
      <c r="C922" s="4" t="s">
        <v>3308</v>
      </c>
      <c r="D922" s="4" t="s">
        <v>3309</v>
      </c>
      <c r="E922" s="4" t="s">
        <v>3309</v>
      </c>
      <c r="F922" s="7">
        <v>319</v>
      </c>
      <c r="G922" s="7">
        <v>26</v>
      </c>
      <c r="H922" s="16" t="str">
        <f t="shared" si="14"/>
        <v>(920,'932','مجبر','Medjebar','Medjebar',319),</v>
      </c>
    </row>
    <row r="923" spans="1:8" ht="20.100000000000001" customHeight="1" x14ac:dyDescent="0.25">
      <c r="A923" s="3">
        <v>921</v>
      </c>
      <c r="B923" s="8">
        <v>949</v>
      </c>
      <c r="C923" s="4" t="s">
        <v>1724</v>
      </c>
      <c r="D923" s="4" t="s">
        <v>1723</v>
      </c>
      <c r="E923" s="4" t="s">
        <v>1723</v>
      </c>
      <c r="F923" s="7">
        <v>319</v>
      </c>
      <c r="G923" s="7">
        <v>26</v>
      </c>
      <c r="H923" s="16" t="str">
        <f t="shared" si="14"/>
        <v>(921,'949','سغوان','Seghouane','Seghouane',319),</v>
      </c>
    </row>
    <row r="924" spans="1:8" ht="20.100000000000001" customHeight="1" x14ac:dyDescent="0.25">
      <c r="A924" s="3">
        <v>922</v>
      </c>
      <c r="B924" s="8">
        <v>961</v>
      </c>
      <c r="C924" s="4" t="s">
        <v>3310</v>
      </c>
      <c r="D924" s="4" t="s">
        <v>3311</v>
      </c>
      <c r="E924" s="4" t="s">
        <v>3311</v>
      </c>
      <c r="F924" s="7">
        <v>319</v>
      </c>
      <c r="G924" s="7">
        <v>26</v>
      </c>
      <c r="H924" s="16" t="str">
        <f t="shared" si="14"/>
        <v>(922,'961','ثلاث دوائر','Tletat Ed Douair','Tletat Ed Douair',319),</v>
      </c>
    </row>
    <row r="925" spans="1:8" ht="20.100000000000001" customHeight="1" x14ac:dyDescent="0.25">
      <c r="A925" s="3">
        <v>923</v>
      </c>
      <c r="B925" s="8">
        <v>962</v>
      </c>
      <c r="C925" s="4" t="s">
        <v>3312</v>
      </c>
      <c r="D925" s="4" t="s">
        <v>3313</v>
      </c>
      <c r="E925" s="4" t="s">
        <v>3313</v>
      </c>
      <c r="F925" s="7">
        <v>319</v>
      </c>
      <c r="G925" s="7">
        <v>26</v>
      </c>
      <c r="H925" s="16" t="str">
        <f t="shared" si="14"/>
        <v>(923,'962','الزبيرية','Zoubiria','Zoubiria',319),</v>
      </c>
    </row>
    <row r="926" spans="1:8" ht="20.100000000000001" customHeight="1" x14ac:dyDescent="0.25">
      <c r="A926" s="3">
        <v>924</v>
      </c>
      <c r="B926" s="8">
        <v>901</v>
      </c>
      <c r="C926" s="4" t="s">
        <v>3314</v>
      </c>
      <c r="D926" s="4" t="s">
        <v>3315</v>
      </c>
      <c r="E926" s="4" t="s">
        <v>3315</v>
      </c>
      <c r="F926" s="7">
        <v>320</v>
      </c>
      <c r="G926" s="7">
        <v>26</v>
      </c>
      <c r="H926" s="16" t="str">
        <f t="shared" si="14"/>
        <v>(924,'901','العيساوية','Aissaouia','Aissaouia',320),</v>
      </c>
    </row>
    <row r="927" spans="1:8" ht="20.100000000000001" customHeight="1" x14ac:dyDescent="0.25">
      <c r="A927" s="3">
        <v>925</v>
      </c>
      <c r="B927" s="8">
        <v>923</v>
      </c>
      <c r="C927" s="4" t="s">
        <v>3316</v>
      </c>
      <c r="D927" s="4" t="s">
        <v>3317</v>
      </c>
      <c r="E927" s="4" t="s">
        <v>3317</v>
      </c>
      <c r="F927" s="7">
        <v>320</v>
      </c>
      <c r="G927" s="7">
        <v>26</v>
      </c>
      <c r="H927" s="16" t="str">
        <f t="shared" si="14"/>
        <v>(925,'923','الحوضان','El Haoudane','El Haoudane',320),</v>
      </c>
    </row>
    <row r="928" spans="1:8" ht="20.100000000000001" customHeight="1" x14ac:dyDescent="0.25">
      <c r="A928" s="3">
        <v>926</v>
      </c>
      <c r="B928" s="8">
        <v>933</v>
      </c>
      <c r="C928" s="4" t="s">
        <v>3318</v>
      </c>
      <c r="D928" s="4" t="s">
        <v>3319</v>
      </c>
      <c r="E928" s="4" t="s">
        <v>3319</v>
      </c>
      <c r="F928" s="7">
        <v>320</v>
      </c>
      <c r="G928" s="7">
        <v>26</v>
      </c>
      <c r="H928" s="16" t="str">
        <f t="shared" si="14"/>
        <v>(926,'933','مزغنة','Mezerana','Mezerana',320),</v>
      </c>
    </row>
    <row r="929" spans="1:8" ht="20.100000000000001" customHeight="1" x14ac:dyDescent="0.25">
      <c r="A929" s="3">
        <v>927</v>
      </c>
      <c r="B929" s="8">
        <v>957</v>
      </c>
      <c r="C929" s="4" t="s">
        <v>1694</v>
      </c>
      <c r="D929" s="4" t="s">
        <v>1693</v>
      </c>
      <c r="E929" s="4" t="s">
        <v>1693</v>
      </c>
      <c r="F929" s="7">
        <v>320</v>
      </c>
      <c r="G929" s="7">
        <v>26</v>
      </c>
      <c r="H929" s="16" t="str">
        <f t="shared" si="14"/>
        <v>(927,'957','تابلاط','Tablat','Tablat',320),</v>
      </c>
    </row>
    <row r="930" spans="1:8" ht="20.100000000000001" customHeight="1" x14ac:dyDescent="0.25">
      <c r="A930" s="3">
        <v>928</v>
      </c>
      <c r="B930" s="8">
        <v>908</v>
      </c>
      <c r="C930" s="4" t="s">
        <v>3320</v>
      </c>
      <c r="D930" s="4" t="s">
        <v>3321</v>
      </c>
      <c r="E930" s="4" t="s">
        <v>3321</v>
      </c>
      <c r="F930" s="7">
        <v>321</v>
      </c>
      <c r="G930" s="7">
        <v>26</v>
      </c>
      <c r="H930" s="16" t="str">
        <f t="shared" si="14"/>
        <v>(928,'908','بوغار','Boghar','Boghar',321),</v>
      </c>
    </row>
    <row r="931" spans="1:8" ht="20.100000000000001" customHeight="1" x14ac:dyDescent="0.25">
      <c r="A931" s="3">
        <v>929</v>
      </c>
      <c r="B931" s="8">
        <v>938</v>
      </c>
      <c r="C931" s="4" t="s">
        <v>1708</v>
      </c>
      <c r="D931" s="4" t="s">
        <v>1707</v>
      </c>
      <c r="E931" s="4" t="s">
        <v>1707</v>
      </c>
      <c r="F931" s="7">
        <v>321</v>
      </c>
      <c r="G931" s="7">
        <v>26</v>
      </c>
      <c r="H931" s="16" t="str">
        <f t="shared" si="14"/>
        <v>(929,'938','أولاد عنتر','Ouled Antar','Ouled Antar',321),</v>
      </c>
    </row>
    <row r="932" spans="1:8" ht="20.100000000000001" customHeight="1" x14ac:dyDescent="0.25">
      <c r="A932" s="3">
        <v>930</v>
      </c>
      <c r="B932" s="8">
        <v>943</v>
      </c>
      <c r="C932" s="4" t="s">
        <v>3322</v>
      </c>
      <c r="D932" s="4" t="s">
        <v>3323</v>
      </c>
      <c r="E932" s="4" t="s">
        <v>3323</v>
      </c>
      <c r="F932" s="7">
        <v>321</v>
      </c>
      <c r="G932" s="7">
        <v>26</v>
      </c>
      <c r="H932" s="16" t="str">
        <f t="shared" si="14"/>
        <v>(930,'943','أولاد هلال','Ouled Hellal','Ouled Hellal',321),</v>
      </c>
    </row>
    <row r="933" spans="1:8" ht="20.100000000000001" customHeight="1" x14ac:dyDescent="0.25">
      <c r="A933" s="3">
        <v>931</v>
      </c>
      <c r="B933" s="8">
        <v>979</v>
      </c>
      <c r="C933" s="4" t="s">
        <v>1023</v>
      </c>
      <c r="D933" s="4" t="s">
        <v>1024</v>
      </c>
      <c r="E933" s="4" t="s">
        <v>1024</v>
      </c>
      <c r="F933" s="7">
        <v>322</v>
      </c>
      <c r="G933" s="7">
        <v>27</v>
      </c>
      <c r="H933" s="16" t="str">
        <f t="shared" si="14"/>
        <v>(931,'979','مستغانم','Mostaganem','Mostaganem',322),</v>
      </c>
    </row>
    <row r="934" spans="1:8" ht="20.100000000000001" customHeight="1" x14ac:dyDescent="0.25">
      <c r="A934" s="3">
        <v>932</v>
      </c>
      <c r="B934" s="8">
        <v>965</v>
      </c>
      <c r="C934" s="4" t="s">
        <v>1730</v>
      </c>
      <c r="D934" s="4" t="s">
        <v>3324</v>
      </c>
      <c r="E934" s="4" t="s">
        <v>3324</v>
      </c>
      <c r="F934" s="7">
        <v>323</v>
      </c>
      <c r="G934" s="7">
        <v>27</v>
      </c>
      <c r="H934" s="16" t="str">
        <f t="shared" si="14"/>
        <v>(932,'965','عين نويسي','Ain-Nouissy','Ain-Nouissy',323),</v>
      </c>
    </row>
    <row r="935" spans="1:8" ht="20.100000000000001" customHeight="1" x14ac:dyDescent="0.25">
      <c r="A935" s="3">
        <v>933</v>
      </c>
      <c r="B935" s="8">
        <v>970</v>
      </c>
      <c r="C935" s="4" t="s">
        <v>3325</v>
      </c>
      <c r="D935" s="4" t="s">
        <v>3326</v>
      </c>
      <c r="E935" s="4" t="s">
        <v>3326</v>
      </c>
      <c r="F935" s="7">
        <v>323</v>
      </c>
      <c r="G935" s="7">
        <v>27</v>
      </c>
      <c r="H935" s="16" t="str">
        <f t="shared" si="14"/>
        <v>(933,'970','فرناقة','Fornaka','Fornaka',323),</v>
      </c>
    </row>
    <row r="936" spans="1:8" ht="20.100000000000001" customHeight="1" x14ac:dyDescent="0.25">
      <c r="A936" s="3">
        <v>934</v>
      </c>
      <c r="B936" s="8">
        <v>973</v>
      </c>
      <c r="C936" s="4" t="s">
        <v>3327</v>
      </c>
      <c r="D936" s="4" t="s">
        <v>3328</v>
      </c>
      <c r="E936" s="4" t="s">
        <v>3328</v>
      </c>
      <c r="F936" s="7">
        <v>323</v>
      </c>
      <c r="G936" s="7">
        <v>27</v>
      </c>
      <c r="H936" s="16" t="str">
        <f t="shared" si="14"/>
        <v>(934,'973','الحسيان (بني ياحي','Hassiane','Hassiane',323),</v>
      </c>
    </row>
    <row r="937" spans="1:8" ht="20.100000000000001" customHeight="1" x14ac:dyDescent="0.25">
      <c r="A937" s="3">
        <v>935</v>
      </c>
      <c r="B937" s="8">
        <v>972</v>
      </c>
      <c r="C937" s="4" t="s">
        <v>1740</v>
      </c>
      <c r="D937" s="4" t="s">
        <v>1739</v>
      </c>
      <c r="E937" s="4" t="s">
        <v>1739</v>
      </c>
      <c r="F937" s="7">
        <v>324</v>
      </c>
      <c r="G937" s="7">
        <v>27</v>
      </c>
      <c r="H937" s="16" t="str">
        <f t="shared" si="14"/>
        <v>(935,'972','حاسي ماماش','Hassi Mameche','Hassi Mameche',324),</v>
      </c>
    </row>
    <row r="938" spans="1:8" ht="20.100000000000001" customHeight="1" x14ac:dyDescent="0.25">
      <c r="A938" s="3">
        <v>936</v>
      </c>
      <c r="B938" s="8">
        <v>977</v>
      </c>
      <c r="C938" s="4" t="s">
        <v>3329</v>
      </c>
      <c r="D938" s="4" t="s">
        <v>3330</v>
      </c>
      <c r="E938" s="4" t="s">
        <v>3330</v>
      </c>
      <c r="F938" s="7">
        <v>324</v>
      </c>
      <c r="G938" s="7">
        <v>27</v>
      </c>
      <c r="H938" s="16" t="str">
        <f t="shared" si="14"/>
        <v>(936,'977','مزغران','Mazagran','Mazagran',324),</v>
      </c>
    </row>
    <row r="939" spans="1:8" ht="20.100000000000001" customHeight="1" x14ac:dyDescent="0.25">
      <c r="A939" s="3">
        <v>937</v>
      </c>
      <c r="B939" s="8">
        <v>992</v>
      </c>
      <c r="C939" s="4" t="s">
        <v>3331</v>
      </c>
      <c r="D939" s="4" t="s">
        <v>3332</v>
      </c>
      <c r="E939" s="4" t="s">
        <v>3332</v>
      </c>
      <c r="F939" s="7">
        <v>324</v>
      </c>
      <c r="G939" s="7">
        <v>27</v>
      </c>
      <c r="H939" s="16" t="str">
        <f t="shared" si="14"/>
        <v>(937,'992','ستيدية','Stidia','Stidia',324),</v>
      </c>
    </row>
    <row r="940" spans="1:8" ht="20.100000000000001" customHeight="1" x14ac:dyDescent="0.25">
      <c r="A940" s="3">
        <v>938</v>
      </c>
      <c r="B940" s="8">
        <v>967</v>
      </c>
      <c r="C940" s="4" t="s">
        <v>1734</v>
      </c>
      <c r="D940" s="4" t="s">
        <v>3333</v>
      </c>
      <c r="E940" s="4" t="s">
        <v>3333</v>
      </c>
      <c r="F940" s="7">
        <v>325</v>
      </c>
      <c r="G940" s="7">
        <v>27</v>
      </c>
      <c r="H940" s="16" t="str">
        <f t="shared" si="14"/>
        <v>(938,'967','عين تادلس','Ain-Tedles','Ain-Tedles',325),</v>
      </c>
    </row>
    <row r="941" spans="1:8" ht="20.100000000000001" customHeight="1" x14ac:dyDescent="0.25">
      <c r="A941" s="3">
        <v>939</v>
      </c>
      <c r="B941" s="8">
        <v>981</v>
      </c>
      <c r="C941" s="4" t="s">
        <v>3334</v>
      </c>
      <c r="D941" s="4" t="s">
        <v>3335</v>
      </c>
      <c r="E941" s="4" t="s">
        <v>3335</v>
      </c>
      <c r="F941" s="7">
        <v>325</v>
      </c>
      <c r="G941" s="7">
        <v>27</v>
      </c>
      <c r="H941" s="16" t="str">
        <f t="shared" si="14"/>
        <v>(939,'981','وادي الخير','Oued El Kheir','Oued El Kheir',325),</v>
      </c>
    </row>
    <row r="942" spans="1:8" ht="20.100000000000001" customHeight="1" x14ac:dyDescent="0.25">
      <c r="A942" s="3">
        <v>940</v>
      </c>
      <c r="B942" s="8">
        <v>987</v>
      </c>
      <c r="C942" s="4" t="s">
        <v>3336</v>
      </c>
      <c r="D942" s="4" t="s">
        <v>3337</v>
      </c>
      <c r="E942" s="4" t="s">
        <v>3337</v>
      </c>
      <c r="F942" s="7">
        <v>325</v>
      </c>
      <c r="G942" s="7">
        <v>27</v>
      </c>
      <c r="H942" s="16" t="str">
        <f t="shared" si="14"/>
        <v>(940,'987','سيدي بلعطار','Sidi Belaattar','Sidi Belaattar',325),</v>
      </c>
    </row>
    <row r="943" spans="1:8" ht="20.100000000000001" customHeight="1" x14ac:dyDescent="0.25">
      <c r="A943" s="3">
        <v>941</v>
      </c>
      <c r="B943" s="8">
        <v>991</v>
      </c>
      <c r="C943" s="4" t="s">
        <v>3338</v>
      </c>
      <c r="D943" s="4" t="s">
        <v>3339</v>
      </c>
      <c r="E943" s="4" t="s">
        <v>3339</v>
      </c>
      <c r="F943" s="7">
        <v>325</v>
      </c>
      <c r="G943" s="7">
        <v>27</v>
      </c>
      <c r="H943" s="16" t="str">
        <f t="shared" si="14"/>
        <v>(941,'991','سور','Sour','Sour',325),</v>
      </c>
    </row>
    <row r="944" spans="1:8" ht="20.100000000000001" customHeight="1" x14ac:dyDescent="0.25">
      <c r="A944" s="3">
        <v>942</v>
      </c>
      <c r="B944" s="8">
        <v>964</v>
      </c>
      <c r="C944" s="4" t="s">
        <v>3340</v>
      </c>
      <c r="D944" s="4" t="s">
        <v>3341</v>
      </c>
      <c r="E944" s="4" t="s">
        <v>3341</v>
      </c>
      <c r="F944" s="7">
        <v>326</v>
      </c>
      <c r="G944" s="7">
        <v>27</v>
      </c>
      <c r="H944" s="16" t="str">
        <f t="shared" si="14"/>
        <v>(942,'964','عين بودينار','Ain-Boudinar','Ain-Boudinar',326),</v>
      </c>
    </row>
    <row r="945" spans="1:8" ht="20.100000000000001" customHeight="1" x14ac:dyDescent="0.25">
      <c r="A945" s="3">
        <v>943</v>
      </c>
      <c r="B945" s="8">
        <v>975</v>
      </c>
      <c r="C945" s="4" t="s">
        <v>1728</v>
      </c>
      <c r="D945" s="4" t="s">
        <v>3342</v>
      </c>
      <c r="E945" s="4" t="s">
        <v>3342</v>
      </c>
      <c r="F945" s="7">
        <v>326</v>
      </c>
      <c r="G945" s="7">
        <v>27</v>
      </c>
      <c r="H945" s="16" t="str">
        <f t="shared" si="14"/>
        <v>(943,'975','خير الدين','Kheir-Eddine','Kheir-Eddine',326),</v>
      </c>
    </row>
    <row r="946" spans="1:8" ht="20.100000000000001" customHeight="1" x14ac:dyDescent="0.25">
      <c r="A946" s="3">
        <v>944</v>
      </c>
      <c r="B946" s="8">
        <v>985</v>
      </c>
      <c r="C946" s="4" t="s">
        <v>3343</v>
      </c>
      <c r="D946" s="4" t="s">
        <v>3344</v>
      </c>
      <c r="E946" s="4" t="s">
        <v>3344</v>
      </c>
      <c r="F946" s="7">
        <v>326</v>
      </c>
      <c r="G946" s="7">
        <v>27</v>
      </c>
      <c r="H946" s="16" t="str">
        <f t="shared" si="14"/>
        <v>(944,'985','صيادة','Sayada','Sayada',326),</v>
      </c>
    </row>
    <row r="947" spans="1:8" ht="20.100000000000001" customHeight="1" x14ac:dyDescent="0.25">
      <c r="A947" s="3">
        <v>945</v>
      </c>
      <c r="B947" s="8">
        <v>983</v>
      </c>
      <c r="C947" s="4" t="s">
        <v>3345</v>
      </c>
      <c r="D947" s="4" t="s">
        <v>3346</v>
      </c>
      <c r="E947" s="4" t="s">
        <v>3346</v>
      </c>
      <c r="F947" s="7">
        <v>327</v>
      </c>
      <c r="G947" s="7">
        <v>27</v>
      </c>
      <c r="H947" s="16" t="str">
        <f t="shared" si="14"/>
        <v>(945,'983','أولاد مع الله','Ouled-Maalah','Ouled-Maalah',327),</v>
      </c>
    </row>
    <row r="948" spans="1:8" ht="20.100000000000001" customHeight="1" x14ac:dyDescent="0.25">
      <c r="A948" s="3">
        <v>946</v>
      </c>
      <c r="B948" s="8">
        <v>986</v>
      </c>
      <c r="C948" s="4" t="s">
        <v>1742</v>
      </c>
      <c r="D948" s="4" t="s">
        <v>1741</v>
      </c>
      <c r="E948" s="4" t="s">
        <v>1741</v>
      </c>
      <c r="F948" s="7">
        <v>327</v>
      </c>
      <c r="G948" s="7">
        <v>27</v>
      </c>
      <c r="H948" s="16" t="str">
        <f t="shared" si="14"/>
        <v>(946,'986','سيدي علي','Sidi Ali','Sidi Ali',327),</v>
      </c>
    </row>
    <row r="949" spans="1:8" ht="20.100000000000001" customHeight="1" x14ac:dyDescent="0.25">
      <c r="A949" s="3">
        <v>947</v>
      </c>
      <c r="B949" s="8">
        <v>993</v>
      </c>
      <c r="C949" s="4" t="s">
        <v>3347</v>
      </c>
      <c r="D949" s="4" t="s">
        <v>3348</v>
      </c>
      <c r="E949" s="4" t="s">
        <v>3348</v>
      </c>
      <c r="F949" s="7">
        <v>327</v>
      </c>
      <c r="G949" s="7">
        <v>27</v>
      </c>
      <c r="H949" s="16" t="str">
        <f t="shared" si="14"/>
        <v>(947,'993','تزقايت','Tazgait','Tazgait',327),</v>
      </c>
    </row>
    <row r="950" spans="1:8" ht="20.100000000000001" customHeight="1" x14ac:dyDescent="0.25">
      <c r="A950" s="3">
        <v>948</v>
      </c>
      <c r="B950" s="8">
        <v>968</v>
      </c>
      <c r="C950" s="4" t="s">
        <v>3349</v>
      </c>
      <c r="D950" s="4" t="s">
        <v>3350</v>
      </c>
      <c r="E950" s="4" t="s">
        <v>3350</v>
      </c>
      <c r="F950" s="7">
        <v>328</v>
      </c>
      <c r="G950" s="7">
        <v>27</v>
      </c>
      <c r="H950" s="16" t="str">
        <f t="shared" si="14"/>
        <v>(948,'968','بن عبد المالك رمضان','Benabdelmalek Ramdane','Benabdelmalek Ramdane',328),</v>
      </c>
    </row>
    <row r="951" spans="1:8" ht="20.100000000000001" customHeight="1" x14ac:dyDescent="0.25">
      <c r="A951" s="3">
        <v>949</v>
      </c>
      <c r="B951" s="8">
        <v>971</v>
      </c>
      <c r="C951" s="4" t="s">
        <v>3351</v>
      </c>
      <c r="D951" s="4" t="s">
        <v>3352</v>
      </c>
      <c r="E951" s="4" t="s">
        <v>3352</v>
      </c>
      <c r="F951" s="7">
        <v>328</v>
      </c>
      <c r="G951" s="7">
        <v>27</v>
      </c>
      <c r="H951" s="16" t="str">
        <f t="shared" si="14"/>
        <v>(949,'971','حجاج','Hadjadj','Hadjadj',328),</v>
      </c>
    </row>
    <row r="952" spans="1:8" ht="20.100000000000001" customHeight="1" x14ac:dyDescent="0.25">
      <c r="A952" s="3">
        <v>950</v>
      </c>
      <c r="B952" s="8">
        <v>988</v>
      </c>
      <c r="C952" s="4" t="s">
        <v>1736</v>
      </c>
      <c r="D952" s="4" t="s">
        <v>3353</v>
      </c>
      <c r="E952" s="4" t="s">
        <v>3353</v>
      </c>
      <c r="F952" s="7">
        <v>328</v>
      </c>
      <c r="G952" s="7">
        <v>27</v>
      </c>
      <c r="H952" s="16" t="str">
        <f t="shared" si="14"/>
        <v>(950,'988','سيدي لخضر','Sidi-Lakhdar','Sidi-Lakhdar',328),</v>
      </c>
    </row>
    <row r="953" spans="1:8" ht="20.100000000000001" customHeight="1" x14ac:dyDescent="0.25">
      <c r="A953" s="3">
        <v>951</v>
      </c>
      <c r="B953" s="8">
        <v>963</v>
      </c>
      <c r="C953" s="4" t="s">
        <v>1726</v>
      </c>
      <c r="D953" s="4" t="s">
        <v>1725</v>
      </c>
      <c r="E953" s="4" t="s">
        <v>1725</v>
      </c>
      <c r="F953" s="7">
        <v>329</v>
      </c>
      <c r="G953" s="7">
        <v>27</v>
      </c>
      <c r="H953" s="16" t="str">
        <f t="shared" si="14"/>
        <v>(951,'963','عشعاشة','Achaacha','Achaacha',329),</v>
      </c>
    </row>
    <row r="954" spans="1:8" ht="20.100000000000001" customHeight="1" x14ac:dyDescent="0.25">
      <c r="A954" s="3">
        <v>952</v>
      </c>
      <c r="B954" s="8">
        <v>974</v>
      </c>
      <c r="C954" s="4" t="s">
        <v>3354</v>
      </c>
      <c r="D954" s="4" t="s">
        <v>3355</v>
      </c>
      <c r="E954" s="4" t="s">
        <v>3355</v>
      </c>
      <c r="F954" s="7">
        <v>329</v>
      </c>
      <c r="G954" s="7">
        <v>27</v>
      </c>
      <c r="H954" s="16" t="str">
        <f t="shared" si="14"/>
        <v>(952,'974','خضرة','Khadra','Khadra',329),</v>
      </c>
    </row>
    <row r="955" spans="1:8" ht="20.100000000000001" customHeight="1" x14ac:dyDescent="0.25">
      <c r="A955" s="3">
        <v>953</v>
      </c>
      <c r="B955" s="8">
        <v>980</v>
      </c>
      <c r="C955" s="4" t="s">
        <v>3356</v>
      </c>
      <c r="D955" s="4" t="s">
        <v>3357</v>
      </c>
      <c r="E955" s="4" t="s">
        <v>3357</v>
      </c>
      <c r="F955" s="7">
        <v>329</v>
      </c>
      <c r="G955" s="7">
        <v>27</v>
      </c>
      <c r="H955" s="16" t="str">
        <f t="shared" si="14"/>
        <v>(953,'980','نكمارية','Nekmaria','Nekmaria',329),</v>
      </c>
    </row>
    <row r="956" spans="1:8" ht="20.100000000000001" customHeight="1" x14ac:dyDescent="0.25">
      <c r="A956" s="3">
        <v>954</v>
      </c>
      <c r="B956" s="8">
        <v>982</v>
      </c>
      <c r="C956" s="4" t="s">
        <v>3358</v>
      </c>
      <c r="D956" s="4" t="s">
        <v>3359</v>
      </c>
      <c r="E956" s="4" t="s">
        <v>3359</v>
      </c>
      <c r="F956" s="7">
        <v>329</v>
      </c>
      <c r="G956" s="7">
        <v>27</v>
      </c>
      <c r="H956" s="16" t="str">
        <f t="shared" si="14"/>
        <v>(954,'982','أولاد بوغالم','Ouled Boughalem','Ouled Boughalem',329),</v>
      </c>
    </row>
    <row r="957" spans="1:8" ht="20.100000000000001" customHeight="1" x14ac:dyDescent="0.25">
      <c r="A957" s="3">
        <v>955</v>
      </c>
      <c r="B957" s="8">
        <v>969</v>
      </c>
      <c r="C957" s="4" t="s">
        <v>1738</v>
      </c>
      <c r="D957" s="4" t="s">
        <v>1737</v>
      </c>
      <c r="E957" s="4" t="s">
        <v>1737</v>
      </c>
      <c r="F957" s="7">
        <v>330</v>
      </c>
      <c r="G957" s="7">
        <v>27</v>
      </c>
      <c r="H957" s="16" t="str">
        <f t="shared" si="14"/>
        <v>(955,'969','بوقيراط','Bouguirat','Bouguirat',330),</v>
      </c>
    </row>
    <row r="958" spans="1:8" ht="20.100000000000001" customHeight="1" x14ac:dyDescent="0.25">
      <c r="A958" s="3">
        <v>956</v>
      </c>
      <c r="B958" s="8">
        <v>984</v>
      </c>
      <c r="C958" s="4" t="s">
        <v>3360</v>
      </c>
      <c r="D958" s="4" t="s">
        <v>3361</v>
      </c>
      <c r="E958" s="4" t="s">
        <v>3361</v>
      </c>
      <c r="F958" s="7">
        <v>330</v>
      </c>
      <c r="G958" s="7">
        <v>27</v>
      </c>
      <c r="H958" s="16" t="str">
        <f t="shared" si="14"/>
        <v>(956,'984','صفصاف','Safsaf','Safsaf',330),</v>
      </c>
    </row>
    <row r="959" spans="1:8" ht="20.100000000000001" customHeight="1" x14ac:dyDescent="0.25">
      <c r="A959" s="3">
        <v>957</v>
      </c>
      <c r="B959" s="8">
        <v>989</v>
      </c>
      <c r="C959" s="4" t="s">
        <v>3362</v>
      </c>
      <c r="D959" s="4" t="s">
        <v>3363</v>
      </c>
      <c r="E959" s="4" t="s">
        <v>3363</v>
      </c>
      <c r="F959" s="7">
        <v>330</v>
      </c>
      <c r="G959" s="7">
        <v>27</v>
      </c>
      <c r="H959" s="16" t="str">
        <f t="shared" si="14"/>
        <v>(957,'989','سيرات','Sirat','Sirat',330),</v>
      </c>
    </row>
    <row r="960" spans="1:8" ht="20.100000000000001" customHeight="1" x14ac:dyDescent="0.25">
      <c r="A960" s="3">
        <v>958</v>
      </c>
      <c r="B960" s="8">
        <v>990</v>
      </c>
      <c r="C960" s="4" t="s">
        <v>3364</v>
      </c>
      <c r="D960" s="4" t="s">
        <v>3365</v>
      </c>
      <c r="E960" s="4" t="s">
        <v>3365</v>
      </c>
      <c r="F960" s="7">
        <v>330</v>
      </c>
      <c r="G960" s="7">
        <v>27</v>
      </c>
      <c r="H960" s="16" t="str">
        <f t="shared" si="14"/>
        <v>(958,'990','السوافلية','Souaflia','Souaflia',330),</v>
      </c>
    </row>
    <row r="961" spans="1:8" ht="20.100000000000001" customHeight="1" x14ac:dyDescent="0.25">
      <c r="A961" s="3">
        <v>959</v>
      </c>
      <c r="B961" s="8">
        <v>966</v>
      </c>
      <c r="C961" s="4" t="s">
        <v>3366</v>
      </c>
      <c r="D961" s="4" t="s">
        <v>3367</v>
      </c>
      <c r="E961" s="4" t="s">
        <v>3367</v>
      </c>
      <c r="F961" s="7">
        <v>331</v>
      </c>
      <c r="G961" s="7">
        <v>27</v>
      </c>
      <c r="H961" s="16" t="str">
        <f t="shared" si="14"/>
        <v>(959,'966','عين سيدي الشريف','Ain-Sidi Cherif','Ain-Sidi Cherif',331),</v>
      </c>
    </row>
    <row r="962" spans="1:8" ht="20.100000000000001" customHeight="1" x14ac:dyDescent="0.25">
      <c r="A962" s="3">
        <v>960</v>
      </c>
      <c r="B962" s="8">
        <v>976</v>
      </c>
      <c r="C962" s="4" t="s">
        <v>1384</v>
      </c>
      <c r="D962" s="4" t="s">
        <v>1383</v>
      </c>
      <c r="E962" s="4" t="s">
        <v>1383</v>
      </c>
      <c r="F962" s="7">
        <v>331</v>
      </c>
      <c r="G962" s="7">
        <v>27</v>
      </c>
      <c r="H962" s="16" t="str">
        <f t="shared" si="14"/>
        <v>(960,'976','منصورة','Mansourah','Mansourah',331),</v>
      </c>
    </row>
    <row r="963" spans="1:8" ht="20.100000000000001" customHeight="1" x14ac:dyDescent="0.25">
      <c r="A963" s="3">
        <v>961</v>
      </c>
      <c r="B963" s="8">
        <v>978</v>
      </c>
      <c r="C963" s="4" t="s">
        <v>1732</v>
      </c>
      <c r="D963" s="4" t="s">
        <v>1731</v>
      </c>
      <c r="E963" s="4" t="s">
        <v>1731</v>
      </c>
      <c r="F963" s="7">
        <v>331</v>
      </c>
      <c r="G963" s="7">
        <v>27</v>
      </c>
      <c r="H963" s="16" t="str">
        <f t="shared" si="14"/>
        <v>(961,'978','ماسرة','Mesra','Mesra',331),</v>
      </c>
    </row>
    <row r="964" spans="1:8" ht="20.100000000000001" customHeight="1" x14ac:dyDescent="0.25">
      <c r="A964" s="3">
        <v>962</v>
      </c>
      <c r="B964" s="8">
        <v>994</v>
      </c>
      <c r="C964" s="4" t="s">
        <v>3368</v>
      </c>
      <c r="D964" s="4" t="s">
        <v>3369</v>
      </c>
      <c r="E964" s="4" t="s">
        <v>3369</v>
      </c>
      <c r="F964" s="7">
        <v>331</v>
      </c>
      <c r="G964" s="7">
        <v>27</v>
      </c>
      <c r="H964" s="16" t="str">
        <f t="shared" ref="H964:H1027" si="15">CONCATENATE("(",A964,",'",B964,"','",C964,"','",D964,"','",E964,"',",F964,"),")</f>
        <v>(962,'994','الطواهرية','Touahria','Touahria',331),</v>
      </c>
    </row>
    <row r="965" spans="1:8" ht="20.100000000000001" customHeight="1" x14ac:dyDescent="0.25">
      <c r="A965" s="3">
        <v>963</v>
      </c>
      <c r="B965" s="8">
        <v>1023</v>
      </c>
      <c r="C965" s="4" t="s">
        <v>1025</v>
      </c>
      <c r="D965" s="4" t="s">
        <v>5867</v>
      </c>
      <c r="E965" s="4" t="s">
        <v>5867</v>
      </c>
      <c r="F965" s="7">
        <v>332</v>
      </c>
      <c r="G965" s="7">
        <v>28</v>
      </c>
      <c r="H965" s="16" t="str">
        <f t="shared" si="15"/>
        <v>(963,'1023','المسيلة','M\'sila','M\'sila',332),</v>
      </c>
    </row>
    <row r="966" spans="1:8" ht="20.100000000000001" customHeight="1" x14ac:dyDescent="0.25">
      <c r="A966" s="3">
        <v>964</v>
      </c>
      <c r="B966" s="8">
        <v>1013</v>
      </c>
      <c r="C966" s="4" t="s">
        <v>1764</v>
      </c>
      <c r="D966" s="4" t="s">
        <v>1763</v>
      </c>
      <c r="E966" s="4" t="s">
        <v>1763</v>
      </c>
      <c r="F966" s="7">
        <v>333</v>
      </c>
      <c r="G966" s="7">
        <v>28</v>
      </c>
      <c r="H966" s="16" t="str">
        <f t="shared" si="15"/>
        <v>(964,'1013','حمام الضلعة','Hammam Dalaa','Hammam Dalaa',333),</v>
      </c>
    </row>
    <row r="967" spans="1:8" ht="20.100000000000001" customHeight="1" x14ac:dyDescent="0.25">
      <c r="A967" s="3">
        <v>965</v>
      </c>
      <c r="B967" s="8">
        <v>1025</v>
      </c>
      <c r="C967" s="4" t="s">
        <v>3370</v>
      </c>
      <c r="D967" s="4" t="s">
        <v>3371</v>
      </c>
      <c r="E967" s="4" t="s">
        <v>3371</v>
      </c>
      <c r="F967" s="7">
        <v>333</v>
      </c>
      <c r="G967" s="7">
        <v>28</v>
      </c>
      <c r="H967" s="16" t="str">
        <f t="shared" si="15"/>
        <v>(965,'1025','ونوغة','Ouanougha','Ouanougha',333),</v>
      </c>
    </row>
    <row r="968" spans="1:8" ht="20.100000000000001" customHeight="1" x14ac:dyDescent="0.25">
      <c r="A968" s="3">
        <v>966</v>
      </c>
      <c r="B968" s="8">
        <v>1029</v>
      </c>
      <c r="C968" s="4" t="s">
        <v>3372</v>
      </c>
      <c r="D968" s="4" t="s">
        <v>3373</v>
      </c>
      <c r="E968" s="4" t="s">
        <v>3373</v>
      </c>
      <c r="F968" s="7">
        <v>333</v>
      </c>
      <c r="G968" s="7">
        <v>28</v>
      </c>
      <c r="H968" s="16" t="str">
        <f t="shared" si="15"/>
        <v>(966,'1029','أولاد منصور','Ouled Mansour','Ouled Mansour',333),</v>
      </c>
    </row>
    <row r="969" spans="1:8" ht="20.100000000000001" customHeight="1" x14ac:dyDescent="0.25">
      <c r="A969" s="3">
        <v>967</v>
      </c>
      <c r="B969" s="8">
        <v>1040</v>
      </c>
      <c r="C969" s="4" t="s">
        <v>3374</v>
      </c>
      <c r="D969" s="4" t="s">
        <v>3375</v>
      </c>
      <c r="E969" s="4" t="s">
        <v>3375</v>
      </c>
      <c r="F969" s="7">
        <v>333</v>
      </c>
      <c r="G969" s="7">
        <v>28</v>
      </c>
      <c r="H969" s="16" t="str">
        <f t="shared" si="15"/>
        <v>(967,'1040','تارمونت','Tarmount','Tarmount',333),</v>
      </c>
    </row>
    <row r="970" spans="1:8" ht="20.100000000000001" customHeight="1" x14ac:dyDescent="0.25">
      <c r="A970" s="3">
        <v>968</v>
      </c>
      <c r="B970" s="8">
        <v>1016</v>
      </c>
      <c r="C970" s="4" t="s">
        <v>3376</v>
      </c>
      <c r="D970" s="4" t="s">
        <v>3377</v>
      </c>
      <c r="E970" s="4" t="s">
        <v>3377</v>
      </c>
      <c r="F970" s="7">
        <v>334</v>
      </c>
      <c r="G970" s="7">
        <v>28</v>
      </c>
      <c r="H970" s="16" t="str">
        <f t="shared" si="15"/>
        <v>(968,'1016','المعاضيد','Maadid','Maadid',334),</v>
      </c>
    </row>
    <row r="971" spans="1:8" ht="20.100000000000001" customHeight="1" x14ac:dyDescent="0.25">
      <c r="A971" s="3">
        <v>969</v>
      </c>
      <c r="B971" s="8">
        <v>1024</v>
      </c>
      <c r="C971" s="4" t="s">
        <v>3378</v>
      </c>
      <c r="D971" s="4" t="s">
        <v>5868</v>
      </c>
      <c r="E971" s="4" t="s">
        <v>5868</v>
      </c>
      <c r="F971" s="7">
        <v>334</v>
      </c>
      <c r="G971" s="7">
        <v>28</v>
      </c>
      <c r="H971" s="16" t="str">
        <f t="shared" si="15"/>
        <v>(969,'1024','المطارفة','M\'tarfa','M\'tarfa',334),</v>
      </c>
    </row>
    <row r="972" spans="1:8" ht="20.100000000000001" customHeight="1" x14ac:dyDescent="0.25">
      <c r="A972" s="3">
        <v>970</v>
      </c>
      <c r="B972" s="8">
        <v>1026</v>
      </c>
      <c r="C972" s="4" t="s">
        <v>3379</v>
      </c>
      <c r="D972" s="4" t="s">
        <v>3380</v>
      </c>
      <c r="E972" s="4" t="s">
        <v>3380</v>
      </c>
      <c r="F972" s="7">
        <v>334</v>
      </c>
      <c r="G972" s="7">
        <v>28</v>
      </c>
      <c r="H972" s="16" t="str">
        <f t="shared" si="15"/>
        <v>(970,'1026','أولاد عدي لقبالة','Ouled Addi Guebala','Ouled Addi Guebala',334),</v>
      </c>
    </row>
    <row r="973" spans="1:8" ht="20.100000000000001" customHeight="1" x14ac:dyDescent="0.25">
      <c r="A973" s="3">
        <v>971</v>
      </c>
      <c r="B973" s="8">
        <v>1027</v>
      </c>
      <c r="C973" s="4" t="s">
        <v>1766</v>
      </c>
      <c r="D973" s="4" t="s">
        <v>1765</v>
      </c>
      <c r="E973" s="4" t="s">
        <v>1765</v>
      </c>
      <c r="F973" s="7">
        <v>334</v>
      </c>
      <c r="G973" s="7">
        <v>28</v>
      </c>
      <c r="H973" s="16" t="str">
        <f t="shared" si="15"/>
        <v>(971,'1027','أولاد دراج','Ouled Derradj','Ouled Derradj',334),</v>
      </c>
    </row>
    <row r="974" spans="1:8" ht="20.100000000000001" customHeight="1" x14ac:dyDescent="0.25">
      <c r="A974" s="3">
        <v>972</v>
      </c>
      <c r="B974" s="8">
        <v>1038</v>
      </c>
      <c r="C974" s="4" t="s">
        <v>3381</v>
      </c>
      <c r="D974" s="4" t="s">
        <v>3382</v>
      </c>
      <c r="E974" s="4" t="s">
        <v>3382</v>
      </c>
      <c r="F974" s="7">
        <v>334</v>
      </c>
      <c r="G974" s="7">
        <v>28</v>
      </c>
      <c r="H974" s="16" t="str">
        <f t="shared" si="15"/>
        <v>(972,'1038','السوامع','Souamaa','Souamaa',334),</v>
      </c>
    </row>
    <row r="975" spans="1:8" ht="20.100000000000001" customHeight="1" x14ac:dyDescent="0.25">
      <c r="A975" s="3">
        <v>973</v>
      </c>
      <c r="B975" s="8">
        <v>1012</v>
      </c>
      <c r="C975" s="4" t="s">
        <v>3383</v>
      </c>
      <c r="D975" s="4" t="s">
        <v>3384</v>
      </c>
      <c r="E975" s="4" t="s">
        <v>3384</v>
      </c>
      <c r="F975" s="7">
        <v>335</v>
      </c>
      <c r="G975" s="7">
        <v>28</v>
      </c>
      <c r="H975" s="16" t="str">
        <f t="shared" si="15"/>
        <v>(973,'1012','الحوامد','El Houamed','El Houamed',335),</v>
      </c>
    </row>
    <row r="976" spans="1:8" ht="20.100000000000001" customHeight="1" x14ac:dyDescent="0.25">
      <c r="A976" s="3">
        <v>974</v>
      </c>
      <c r="B976" s="8">
        <v>1015</v>
      </c>
      <c r="C976" s="4" t="s">
        <v>1762</v>
      </c>
      <c r="D976" s="4" t="s">
        <v>1761</v>
      </c>
      <c r="E976" s="4" t="s">
        <v>1761</v>
      </c>
      <c r="F976" s="7">
        <v>335</v>
      </c>
      <c r="G976" s="7">
        <v>28</v>
      </c>
      <c r="H976" s="16" t="str">
        <f t="shared" si="15"/>
        <v>(974,'1015','خبانة','Khoubana','Khoubana',335),</v>
      </c>
    </row>
    <row r="977" spans="1:8" ht="20.100000000000001" customHeight="1" x14ac:dyDescent="0.25">
      <c r="A977" s="3">
        <v>975</v>
      </c>
      <c r="B977" s="8">
        <v>1019</v>
      </c>
      <c r="C977" s="4" t="s">
        <v>3385</v>
      </c>
      <c r="D977" s="4" t="s">
        <v>5869</v>
      </c>
      <c r="E977" s="4" t="s">
        <v>5869</v>
      </c>
      <c r="F977" s="7">
        <v>335</v>
      </c>
      <c r="G977" s="7">
        <v>28</v>
      </c>
      <c r="H977" s="16" t="str">
        <f t="shared" si="15"/>
        <v>(975,'1019','مسيف','M\'cif','M\'cif',335),</v>
      </c>
    </row>
    <row r="978" spans="1:8" ht="20.100000000000001" customHeight="1" x14ac:dyDescent="0.25">
      <c r="A978" s="3">
        <v>976</v>
      </c>
      <c r="B978" s="8">
        <v>1008</v>
      </c>
      <c r="C978" s="4" t="s">
        <v>1758</v>
      </c>
      <c r="D978" s="4" t="s">
        <v>1757</v>
      </c>
      <c r="E978" s="4" t="s">
        <v>1757</v>
      </c>
      <c r="F978" s="7">
        <v>336</v>
      </c>
      <c r="G978" s="7">
        <v>28</v>
      </c>
      <c r="H978" s="16" t="str">
        <f t="shared" si="15"/>
        <v>(976,'1008','شلال','Chellal','Chellal',336),</v>
      </c>
    </row>
    <row r="979" spans="1:8" ht="20.100000000000001" customHeight="1" x14ac:dyDescent="0.25">
      <c r="A979" s="3">
        <v>977</v>
      </c>
      <c r="B979" s="8">
        <v>1014</v>
      </c>
      <c r="C979" s="4" t="s">
        <v>3386</v>
      </c>
      <c r="D979" s="4" t="s">
        <v>3387</v>
      </c>
      <c r="E979" s="4" t="s">
        <v>3387</v>
      </c>
      <c r="F979" s="7">
        <v>336</v>
      </c>
      <c r="G979" s="7">
        <v>28</v>
      </c>
      <c r="H979" s="16" t="str">
        <f t="shared" si="15"/>
        <v>(977,'1014','خطوطي سد الجير','Khettouti Sed-El-Jir','Khettouti Sed-El-Jir',336),</v>
      </c>
    </row>
    <row r="980" spans="1:8" ht="20.100000000000001" customHeight="1" x14ac:dyDescent="0.25">
      <c r="A980" s="3">
        <v>978</v>
      </c>
      <c r="B980" s="8">
        <v>1017</v>
      </c>
      <c r="C980" s="4" t="s">
        <v>3388</v>
      </c>
      <c r="D980" s="4" t="s">
        <v>3389</v>
      </c>
      <c r="E980" s="4" t="s">
        <v>3389</v>
      </c>
      <c r="F980" s="7">
        <v>336</v>
      </c>
      <c r="G980" s="7">
        <v>28</v>
      </c>
      <c r="H980" s="16" t="str">
        <f t="shared" si="15"/>
        <v>(978,'1017','معاريف','Maarif','Maarif',336),</v>
      </c>
    </row>
    <row r="981" spans="1:8" ht="20.100000000000001" customHeight="1" x14ac:dyDescent="0.25">
      <c r="A981" s="3">
        <v>979</v>
      </c>
      <c r="B981" s="8">
        <v>1028</v>
      </c>
      <c r="C981" s="4" t="s">
        <v>3390</v>
      </c>
      <c r="D981" s="4" t="s">
        <v>3391</v>
      </c>
      <c r="E981" s="4" t="s">
        <v>3391</v>
      </c>
      <c r="F981" s="7">
        <v>336</v>
      </c>
      <c r="G981" s="7">
        <v>28</v>
      </c>
      <c r="H981" s="16" t="str">
        <f t="shared" si="15"/>
        <v>(979,'1028','أولاد ماضي','Ouled Madhi','Ouled Madhi',336),</v>
      </c>
    </row>
    <row r="982" spans="1:8" ht="20.100000000000001" customHeight="1" x14ac:dyDescent="0.25">
      <c r="A982" s="3">
        <v>980</v>
      </c>
      <c r="B982" s="8">
        <v>998</v>
      </c>
      <c r="C982" s="4" t="s">
        <v>3392</v>
      </c>
      <c r="D982" s="4" t="s">
        <v>3393</v>
      </c>
      <c r="E982" s="4" t="s">
        <v>3393</v>
      </c>
      <c r="F982" s="7">
        <v>337</v>
      </c>
      <c r="G982" s="7">
        <v>28</v>
      </c>
      <c r="H982" s="16" t="str">
        <f t="shared" si="15"/>
        <v>(980,'998','عين الخضراء','Ain Khadra','Ain Khadra',337),</v>
      </c>
    </row>
    <row r="983" spans="1:8" ht="20.100000000000001" customHeight="1" x14ac:dyDescent="0.25">
      <c r="A983" s="3">
        <v>981</v>
      </c>
      <c r="B983" s="8">
        <v>1000</v>
      </c>
      <c r="C983" s="4" t="s">
        <v>3394</v>
      </c>
      <c r="D983" s="4" t="s">
        <v>3395</v>
      </c>
      <c r="E983" s="4" t="s">
        <v>3395</v>
      </c>
      <c r="F983" s="7">
        <v>337</v>
      </c>
      <c r="G983" s="7">
        <v>28</v>
      </c>
      <c r="H983" s="16" t="str">
        <f t="shared" si="15"/>
        <v>(981,'1000','بلعايبة','Belaiba','Belaiba',337),</v>
      </c>
    </row>
    <row r="984" spans="1:8" ht="20.100000000000001" customHeight="1" x14ac:dyDescent="0.25">
      <c r="A984" s="3">
        <v>982</v>
      </c>
      <c r="B984" s="8">
        <v>1004</v>
      </c>
      <c r="C984" s="4" t="s">
        <v>3396</v>
      </c>
      <c r="D984" s="4" t="s">
        <v>3397</v>
      </c>
      <c r="E984" s="4" t="s">
        <v>3397</v>
      </c>
      <c r="F984" s="7">
        <v>337</v>
      </c>
      <c r="G984" s="7">
        <v>28</v>
      </c>
      <c r="H984" s="16" t="str">
        <f t="shared" si="15"/>
        <v>(982,'1004','برهوم','Berhoum','Berhoum',337),</v>
      </c>
    </row>
    <row r="985" spans="1:8" ht="20.100000000000001" customHeight="1" x14ac:dyDescent="0.25">
      <c r="A985" s="3">
        <v>983</v>
      </c>
      <c r="B985" s="8">
        <v>1009</v>
      </c>
      <c r="C985" s="4" t="s">
        <v>3398</v>
      </c>
      <c r="D985" s="4" t="s">
        <v>3399</v>
      </c>
      <c r="E985" s="4" t="s">
        <v>3399</v>
      </c>
      <c r="F985" s="7">
        <v>337</v>
      </c>
      <c r="G985" s="7">
        <v>28</v>
      </c>
      <c r="H985" s="16" t="str">
        <f t="shared" si="15"/>
        <v>(983,'1009','دهاهنة','Dehahna','Dehahna',337),</v>
      </c>
    </row>
    <row r="986" spans="1:8" ht="20.100000000000001" customHeight="1" x14ac:dyDescent="0.25">
      <c r="A986" s="3">
        <v>984</v>
      </c>
      <c r="B986" s="8">
        <v>1018</v>
      </c>
      <c r="C986" s="4" t="s">
        <v>1748</v>
      </c>
      <c r="D986" s="4" t="s">
        <v>1747</v>
      </c>
      <c r="E986" s="4" t="s">
        <v>1747</v>
      </c>
      <c r="F986" s="7">
        <v>337</v>
      </c>
      <c r="G986" s="7">
        <v>28</v>
      </c>
      <c r="H986" s="16" t="str">
        <f t="shared" si="15"/>
        <v>(984,'1018','مقرة','Magra','Magra',337),</v>
      </c>
    </row>
    <row r="987" spans="1:8" ht="20.100000000000001" customHeight="1" x14ac:dyDescent="0.25">
      <c r="A987" s="3">
        <v>985</v>
      </c>
      <c r="B987" s="8">
        <v>1002</v>
      </c>
      <c r="C987" s="4" t="s">
        <v>3400</v>
      </c>
      <c r="D987" s="4" t="s">
        <v>3401</v>
      </c>
      <c r="E987" s="4" t="s">
        <v>3401</v>
      </c>
      <c r="F987" s="7">
        <v>338</v>
      </c>
      <c r="G987" s="7">
        <v>28</v>
      </c>
      <c r="H987" s="16" t="str">
        <f t="shared" si="15"/>
        <v>(985,'1002','بني يلمان','Beni Ilmane','Beni Ilmane',338),</v>
      </c>
    </row>
    <row r="988" spans="1:8" ht="20.100000000000001" customHeight="1" x14ac:dyDescent="0.25">
      <c r="A988" s="3">
        <v>986</v>
      </c>
      <c r="B988" s="8">
        <v>1007</v>
      </c>
      <c r="C988" s="4" t="s">
        <v>3402</v>
      </c>
      <c r="D988" s="4" t="s">
        <v>3403</v>
      </c>
      <c r="E988" s="4" t="s">
        <v>3403</v>
      </c>
      <c r="F988" s="7">
        <v>338</v>
      </c>
      <c r="G988" s="7">
        <v>28</v>
      </c>
      <c r="H988" s="16" t="str">
        <f t="shared" si="15"/>
        <v>(986,'1007','بوطي السايح','Bouti Sayeh','Bouti Sayeh',338),</v>
      </c>
    </row>
    <row r="989" spans="1:8" ht="20.100000000000001" customHeight="1" x14ac:dyDescent="0.25">
      <c r="A989" s="3">
        <v>987</v>
      </c>
      <c r="B989" s="8">
        <v>1033</v>
      </c>
      <c r="C989" s="4" t="s">
        <v>1752</v>
      </c>
      <c r="D989" s="4" t="s">
        <v>1751</v>
      </c>
      <c r="E989" s="4" t="s">
        <v>1751</v>
      </c>
      <c r="F989" s="7">
        <v>338</v>
      </c>
      <c r="G989" s="7">
        <v>28</v>
      </c>
      <c r="H989" s="16" t="str">
        <f t="shared" si="15"/>
        <v>(987,'1033','سيدي عيسى','Sidi Aissa','Sidi Aissa',338),</v>
      </c>
    </row>
    <row r="990" spans="1:8" ht="20.100000000000001" customHeight="1" x14ac:dyDescent="0.25">
      <c r="A990" s="3">
        <v>988</v>
      </c>
      <c r="B990" s="8">
        <v>995</v>
      </c>
      <c r="C990" s="4" t="s">
        <v>1744</v>
      </c>
      <c r="D990" s="4" t="s">
        <v>1743</v>
      </c>
      <c r="E990" s="4" t="s">
        <v>1743</v>
      </c>
      <c r="F990" s="7">
        <v>339</v>
      </c>
      <c r="G990" s="7">
        <v>28</v>
      </c>
      <c r="H990" s="16" t="str">
        <f t="shared" si="15"/>
        <v>(988,'995','عين الحجل','Ain El Hadjel','Ain El Hadjel',339),</v>
      </c>
    </row>
    <row r="991" spans="1:8" ht="20.100000000000001" customHeight="1" x14ac:dyDescent="0.25">
      <c r="A991" s="3">
        <v>989</v>
      </c>
      <c r="B991" s="8">
        <v>1035</v>
      </c>
      <c r="C991" s="4" t="s">
        <v>3404</v>
      </c>
      <c r="D991" s="4" t="s">
        <v>3405</v>
      </c>
      <c r="E991" s="4" t="s">
        <v>3405</v>
      </c>
      <c r="F991" s="7">
        <v>339</v>
      </c>
      <c r="G991" s="7">
        <v>28</v>
      </c>
      <c r="H991" s="16" t="str">
        <f t="shared" si="15"/>
        <v>(989,'1035','سيدي هجرس','Sidi Hadjeres','Sidi Hadjeres',339),</v>
      </c>
    </row>
    <row r="992" spans="1:8" ht="20.100000000000001" customHeight="1" x14ac:dyDescent="0.25">
      <c r="A992" s="3">
        <v>990</v>
      </c>
      <c r="B992" s="8">
        <v>1006</v>
      </c>
      <c r="C992" s="4" t="s">
        <v>1756</v>
      </c>
      <c r="D992" s="4" t="s">
        <v>3406</v>
      </c>
      <c r="E992" s="4" t="s">
        <v>3406</v>
      </c>
      <c r="F992" s="7">
        <v>340</v>
      </c>
      <c r="G992" s="7">
        <v>28</v>
      </c>
      <c r="H992" s="16" t="str">
        <f t="shared" si="15"/>
        <v>(990,'1006','بوسعادة','Bou Saada','Bou Saada',340),</v>
      </c>
    </row>
    <row r="993" spans="1:8" ht="20.100000000000001" customHeight="1" x14ac:dyDescent="0.25">
      <c r="A993" s="3">
        <v>991</v>
      </c>
      <c r="B993" s="8">
        <v>1011</v>
      </c>
      <c r="C993" s="4" t="s">
        <v>3407</v>
      </c>
      <c r="D993" s="4" t="s">
        <v>3408</v>
      </c>
      <c r="E993" s="4" t="s">
        <v>3408</v>
      </c>
      <c r="F993" s="7">
        <v>340</v>
      </c>
      <c r="G993" s="7">
        <v>28</v>
      </c>
      <c r="H993" s="16" t="str">
        <f t="shared" si="15"/>
        <v>(991,'1011','الهامل','El Hamel','El Hamel',340),</v>
      </c>
    </row>
    <row r="994" spans="1:8" ht="20.100000000000001" customHeight="1" x14ac:dyDescent="0.25">
      <c r="A994" s="3">
        <v>992</v>
      </c>
      <c r="B994" s="8">
        <v>1032</v>
      </c>
      <c r="C994" s="4" t="s">
        <v>3409</v>
      </c>
      <c r="D994" s="4" t="s">
        <v>3410</v>
      </c>
      <c r="E994" s="4" t="s">
        <v>3410</v>
      </c>
      <c r="F994" s="7">
        <v>340</v>
      </c>
      <c r="G994" s="7">
        <v>28</v>
      </c>
      <c r="H994" s="16" t="str">
        <f t="shared" si="15"/>
        <v>(992,'1032','ولتام','Oulteme','Oulteme',340),</v>
      </c>
    </row>
    <row r="995" spans="1:8" ht="20.100000000000001" customHeight="1" x14ac:dyDescent="0.25">
      <c r="A995" s="3">
        <v>993</v>
      </c>
      <c r="B995" s="8">
        <v>1003</v>
      </c>
      <c r="C995" s="4" t="s">
        <v>3411</v>
      </c>
      <c r="D995" s="4" t="s">
        <v>3412</v>
      </c>
      <c r="E995" s="4" t="s">
        <v>3412</v>
      </c>
      <c r="F995" s="7">
        <v>341</v>
      </c>
      <c r="G995" s="7">
        <v>28</v>
      </c>
      <c r="H995" s="16" t="str">
        <f t="shared" si="15"/>
        <v>(993,'1003','بن زوه','Benzouh','Benzouh',341),</v>
      </c>
    </row>
    <row r="996" spans="1:8" ht="20.100000000000001" customHeight="1" x14ac:dyDescent="0.25">
      <c r="A996" s="3">
        <v>994</v>
      </c>
      <c r="B996" s="8">
        <v>1030</v>
      </c>
      <c r="C996" s="4" t="s">
        <v>1754</v>
      </c>
      <c r="D996" s="4" t="s">
        <v>1753</v>
      </c>
      <c r="E996" s="4" t="s">
        <v>1753</v>
      </c>
      <c r="F996" s="7">
        <v>341</v>
      </c>
      <c r="G996" s="7">
        <v>28</v>
      </c>
      <c r="H996" s="16" t="str">
        <f t="shared" si="15"/>
        <v>(994,'1030','أولاد سيدي ابراهيم','Ouled Sidi Brahim','Ouled Sidi Brahim',341),</v>
      </c>
    </row>
    <row r="997" spans="1:8" ht="20.100000000000001" customHeight="1" x14ac:dyDescent="0.25">
      <c r="A997" s="3">
        <v>995</v>
      </c>
      <c r="B997" s="8">
        <v>1034</v>
      </c>
      <c r="C997" s="4" t="s">
        <v>1771</v>
      </c>
      <c r="D997" s="4" t="s">
        <v>1770</v>
      </c>
      <c r="E997" s="4" t="s">
        <v>1770</v>
      </c>
      <c r="F997" s="7">
        <v>342</v>
      </c>
      <c r="G997" s="7">
        <v>28</v>
      </c>
      <c r="H997" s="16" t="str">
        <f t="shared" si="15"/>
        <v>(995,'1034','سيدي عامر','Sidi Ameur','Sidi Ameur',342),</v>
      </c>
    </row>
    <row r="998" spans="1:8" ht="20.100000000000001" customHeight="1" x14ac:dyDescent="0.25">
      <c r="A998" s="3">
        <v>996</v>
      </c>
      <c r="B998" s="8">
        <v>1039</v>
      </c>
      <c r="C998" s="4" t="s">
        <v>3413</v>
      </c>
      <c r="D998" s="4" t="s">
        <v>3414</v>
      </c>
      <c r="E998" s="4" t="s">
        <v>3414</v>
      </c>
      <c r="F998" s="7">
        <v>342</v>
      </c>
      <c r="G998" s="7">
        <v>28</v>
      </c>
      <c r="H998" s="16" t="str">
        <f t="shared" si="15"/>
        <v>(996,'1039','تامسة','Tamsa','Tamsa',342),</v>
      </c>
    </row>
    <row r="999" spans="1:8" ht="20.100000000000001" customHeight="1" x14ac:dyDescent="0.25">
      <c r="A999" s="3">
        <v>997</v>
      </c>
      <c r="B999" s="8">
        <v>1001</v>
      </c>
      <c r="C999" s="4" t="s">
        <v>1750</v>
      </c>
      <c r="D999" s="4" t="s">
        <v>1749</v>
      </c>
      <c r="E999" s="4" t="s">
        <v>1749</v>
      </c>
      <c r="F999" s="7">
        <v>343</v>
      </c>
      <c r="G999" s="7">
        <v>28</v>
      </c>
      <c r="H999" s="16" t="str">
        <f t="shared" si="15"/>
        <v>(997,'1001','بن سرور','Ben Srour','Ben Srour',343),</v>
      </c>
    </row>
    <row r="1000" spans="1:8" ht="20.100000000000001" customHeight="1" x14ac:dyDescent="0.25">
      <c r="A1000" s="3">
        <v>998</v>
      </c>
      <c r="B1000" s="8">
        <v>1022</v>
      </c>
      <c r="C1000" s="4" t="s">
        <v>3415</v>
      </c>
      <c r="D1000" s="4" t="s">
        <v>3416</v>
      </c>
      <c r="E1000" s="4" t="s">
        <v>3416</v>
      </c>
      <c r="F1000" s="7">
        <v>343</v>
      </c>
      <c r="G1000" s="7">
        <v>28</v>
      </c>
      <c r="H1000" s="16" t="str">
        <f t="shared" si="15"/>
        <v>(998,'1022','محمد بوضياف','Mohamed Boudiaf','Mohamed Boudiaf',343),</v>
      </c>
    </row>
    <row r="1001" spans="1:8" ht="20.100000000000001" customHeight="1" x14ac:dyDescent="0.25">
      <c r="A1001" s="3">
        <v>999</v>
      </c>
      <c r="B1001" s="8">
        <v>1031</v>
      </c>
      <c r="C1001" s="4" t="s">
        <v>3417</v>
      </c>
      <c r="D1001" s="4" t="s">
        <v>3418</v>
      </c>
      <c r="E1001" s="4" t="s">
        <v>3418</v>
      </c>
      <c r="F1001" s="7">
        <v>343</v>
      </c>
      <c r="G1001" s="7">
        <v>28</v>
      </c>
      <c r="H1001" s="16" t="str">
        <f t="shared" si="15"/>
        <v>(999,'1031','أولاد سليمان','Ouled Slimane','Ouled Slimane',343),</v>
      </c>
    </row>
    <row r="1002" spans="1:8" ht="20.100000000000001" customHeight="1" x14ac:dyDescent="0.25">
      <c r="A1002" s="3">
        <v>1000</v>
      </c>
      <c r="B1002" s="8">
        <v>1041</v>
      </c>
      <c r="C1002" s="4" t="s">
        <v>3419</v>
      </c>
      <c r="D1002" s="4" t="s">
        <v>3420</v>
      </c>
      <c r="E1002" s="4" t="s">
        <v>3420</v>
      </c>
      <c r="F1002" s="7">
        <v>343</v>
      </c>
      <c r="G1002" s="7">
        <v>28</v>
      </c>
      <c r="H1002" s="16" t="str">
        <f t="shared" si="15"/>
        <v>(1000,'1041','زرزور','Zarzour','Zarzour',343),</v>
      </c>
    </row>
    <row r="1003" spans="1:8" ht="20.100000000000001" customHeight="1" x14ac:dyDescent="0.25">
      <c r="A1003" s="3">
        <v>1001</v>
      </c>
      <c r="B1003" s="8">
        <v>996</v>
      </c>
      <c r="C1003" s="4" t="s">
        <v>1746</v>
      </c>
      <c r="D1003" s="4" t="s">
        <v>1745</v>
      </c>
      <c r="E1003" s="4" t="s">
        <v>1745</v>
      </c>
      <c r="F1003" s="7">
        <v>344</v>
      </c>
      <c r="G1003" s="7">
        <v>28</v>
      </c>
      <c r="H1003" s="16" t="str">
        <f t="shared" si="15"/>
        <v>(1001,'996','عين الملح','Ain El Melh','Ain El Melh',344),</v>
      </c>
    </row>
    <row r="1004" spans="1:8" ht="20.100000000000001" customHeight="1" x14ac:dyDescent="0.25">
      <c r="A1004" s="3">
        <v>1002</v>
      </c>
      <c r="B1004" s="8">
        <v>997</v>
      </c>
      <c r="C1004" s="4" t="s">
        <v>1773</v>
      </c>
      <c r="D1004" s="4" t="s">
        <v>1772</v>
      </c>
      <c r="E1004" s="4" t="s">
        <v>1772</v>
      </c>
      <c r="F1004" s="7">
        <v>344</v>
      </c>
      <c r="G1004" s="7">
        <v>28</v>
      </c>
      <c r="H1004" s="16" t="str">
        <f t="shared" si="15"/>
        <v>(1002,'997','عين فارس','Ain Fares','Ain Fares',344),</v>
      </c>
    </row>
    <row r="1005" spans="1:8" ht="20.100000000000001" customHeight="1" x14ac:dyDescent="0.25">
      <c r="A1005" s="3">
        <v>1003</v>
      </c>
      <c r="B1005" s="8">
        <v>999</v>
      </c>
      <c r="C1005" s="4" t="s">
        <v>3421</v>
      </c>
      <c r="D1005" s="4" t="s">
        <v>3422</v>
      </c>
      <c r="E1005" s="4" t="s">
        <v>3422</v>
      </c>
      <c r="F1005" s="7">
        <v>344</v>
      </c>
      <c r="G1005" s="7">
        <v>28</v>
      </c>
      <c r="H1005" s="16" t="str">
        <f t="shared" si="15"/>
        <v>(1003,'999','عين الريش','Ain Rich','Ain Rich',344),</v>
      </c>
    </row>
    <row r="1006" spans="1:8" ht="20.100000000000001" customHeight="1" x14ac:dyDescent="0.25">
      <c r="A1006" s="3">
        <v>1004</v>
      </c>
      <c r="B1006" s="8">
        <v>1005</v>
      </c>
      <c r="C1006" s="4" t="s">
        <v>3423</v>
      </c>
      <c r="D1006" s="4" t="s">
        <v>3424</v>
      </c>
      <c r="E1006" s="4" t="s">
        <v>3424</v>
      </c>
      <c r="F1006" s="7">
        <v>344</v>
      </c>
      <c r="G1006" s="7">
        <v>28</v>
      </c>
      <c r="H1006" s="16" t="str">
        <f t="shared" si="15"/>
        <v>(1004,'1005','بئر فضة','Bir Foda','Bir Foda',344),</v>
      </c>
    </row>
    <row r="1007" spans="1:8" ht="20.100000000000001" customHeight="1" x14ac:dyDescent="0.25">
      <c r="A1007" s="3">
        <v>1005</v>
      </c>
      <c r="B1007" s="8">
        <v>1036</v>
      </c>
      <c r="C1007" s="4" t="s">
        <v>1488</v>
      </c>
      <c r="D1007" s="4" t="s">
        <v>5860</v>
      </c>
      <c r="E1007" s="4" t="s">
        <v>5860</v>
      </c>
      <c r="F1007" s="7">
        <v>344</v>
      </c>
      <c r="G1007" s="7">
        <v>28</v>
      </c>
      <c r="H1007" s="16" t="str">
        <f t="shared" si="15"/>
        <v>(1005,'1036','سيدي امحمد','Sidi M\'hamed','Sidi M\'hamed',344),</v>
      </c>
    </row>
    <row r="1008" spans="1:8" ht="20.100000000000001" customHeight="1" x14ac:dyDescent="0.25">
      <c r="A1008" s="3">
        <v>1006</v>
      </c>
      <c r="B1008" s="8">
        <v>1020</v>
      </c>
      <c r="C1008" s="4" t="s">
        <v>1768</v>
      </c>
      <c r="D1008" s="4" t="s">
        <v>1767</v>
      </c>
      <c r="E1008" s="4" t="s">
        <v>1767</v>
      </c>
      <c r="F1008" s="7">
        <v>345</v>
      </c>
      <c r="G1008" s="7">
        <v>28</v>
      </c>
      <c r="H1008" s="16" t="str">
        <f t="shared" si="15"/>
        <v>(1006,'1020','امجدل','Medjedel','Medjedel',345),</v>
      </c>
    </row>
    <row r="1009" spans="1:8" ht="20.100000000000001" customHeight="1" x14ac:dyDescent="0.25">
      <c r="A1009" s="3">
        <v>1007</v>
      </c>
      <c r="B1009" s="8">
        <v>1021</v>
      </c>
      <c r="C1009" s="4" t="s">
        <v>3425</v>
      </c>
      <c r="D1009" s="4" t="s">
        <v>1223</v>
      </c>
      <c r="E1009" s="4" t="s">
        <v>1223</v>
      </c>
      <c r="F1009" s="7">
        <v>345</v>
      </c>
      <c r="G1009" s="7">
        <v>28</v>
      </c>
      <c r="H1009" s="16" t="str">
        <f t="shared" si="15"/>
        <v>(1007,'1021','مناعة','Menaa','Menaa',345),</v>
      </c>
    </row>
    <row r="1010" spans="1:8" ht="20.100000000000001" customHeight="1" x14ac:dyDescent="0.25">
      <c r="A1010" s="3">
        <v>1008</v>
      </c>
      <c r="B1010" s="8">
        <v>1010</v>
      </c>
      <c r="C1010" s="4" t="s">
        <v>1760</v>
      </c>
      <c r="D1010" s="4" t="s">
        <v>1759</v>
      </c>
      <c r="E1010" s="4" t="s">
        <v>1759</v>
      </c>
      <c r="F1010" s="7">
        <v>346</v>
      </c>
      <c r="G1010" s="7">
        <v>28</v>
      </c>
      <c r="H1010" s="16" t="str">
        <f t="shared" si="15"/>
        <v>(1008,'1010','جبل مساعد','Djebel Messaad','Djebel Messaad',346),</v>
      </c>
    </row>
    <row r="1011" spans="1:8" ht="20.100000000000001" customHeight="1" x14ac:dyDescent="0.25">
      <c r="A1011" s="3">
        <v>1009</v>
      </c>
      <c r="B1011" s="8">
        <v>1037</v>
      </c>
      <c r="C1011" s="4" t="s">
        <v>3426</v>
      </c>
      <c r="D1011" s="4" t="s">
        <v>3427</v>
      </c>
      <c r="E1011" s="4" t="s">
        <v>3427</v>
      </c>
      <c r="F1011" s="7">
        <v>346</v>
      </c>
      <c r="G1011" s="7">
        <v>28</v>
      </c>
      <c r="H1011" s="16" t="str">
        <f t="shared" si="15"/>
        <v>(1009,'1037','سليم','Slim','Slim',346),</v>
      </c>
    </row>
    <row r="1012" spans="1:8" ht="20.100000000000001" customHeight="1" x14ac:dyDescent="0.25">
      <c r="A1012" s="3">
        <v>1010</v>
      </c>
      <c r="B1012" s="8">
        <v>1069</v>
      </c>
      <c r="C1012" s="4" t="s">
        <v>1027</v>
      </c>
      <c r="D1012" s="4" t="s">
        <v>1028</v>
      </c>
      <c r="E1012" s="4" t="s">
        <v>1028</v>
      </c>
      <c r="F1012" s="7">
        <v>347</v>
      </c>
      <c r="G1012" s="7">
        <v>29</v>
      </c>
      <c r="H1012" s="16" t="str">
        <f t="shared" si="15"/>
        <v>(1010,'1069','معسكر','Mascara','Mascara',347),</v>
      </c>
    </row>
    <row r="1013" spans="1:8" ht="20.100000000000001" customHeight="1" x14ac:dyDescent="0.25">
      <c r="A1013" s="3">
        <v>1011</v>
      </c>
      <c r="B1013" s="8">
        <v>1050</v>
      </c>
      <c r="C1013" s="4" t="s">
        <v>1785</v>
      </c>
      <c r="D1013" s="4" t="s">
        <v>1784</v>
      </c>
      <c r="E1013" s="4" t="s">
        <v>1784</v>
      </c>
      <c r="F1013" s="7">
        <v>348</v>
      </c>
      <c r="G1013" s="7">
        <v>29</v>
      </c>
      <c r="H1013" s="16" t="str">
        <f t="shared" si="15"/>
        <v>(1011,'1050','بوحنيفية','Bouhanifia','Bouhanifia',348),</v>
      </c>
    </row>
    <row r="1014" spans="1:8" ht="20.100000000000001" customHeight="1" x14ac:dyDescent="0.25">
      <c r="A1014" s="3">
        <v>1012</v>
      </c>
      <c r="B1014" s="8">
        <v>1055</v>
      </c>
      <c r="C1014" s="4" t="s">
        <v>3428</v>
      </c>
      <c r="D1014" s="4" t="s">
        <v>3429</v>
      </c>
      <c r="E1014" s="4" t="s">
        <v>3429</v>
      </c>
      <c r="F1014" s="7">
        <v>348</v>
      </c>
      <c r="G1014" s="7">
        <v>29</v>
      </c>
      <c r="H1014" s="16" t="str">
        <f t="shared" si="15"/>
        <v>(1012,'1055','القطنة','El Gueitena','El Gueitena',348),</v>
      </c>
    </row>
    <row r="1015" spans="1:8" ht="20.100000000000001" customHeight="1" x14ac:dyDescent="0.25">
      <c r="A1015" s="3">
        <v>1013</v>
      </c>
      <c r="B1015" s="8">
        <v>1065</v>
      </c>
      <c r="C1015" s="4" t="s">
        <v>3430</v>
      </c>
      <c r="D1015" s="4" t="s">
        <v>3431</v>
      </c>
      <c r="E1015" s="4" t="s">
        <v>3431</v>
      </c>
      <c r="F1015" s="7">
        <v>348</v>
      </c>
      <c r="G1015" s="7">
        <v>29</v>
      </c>
      <c r="H1015" s="16" t="str">
        <f t="shared" si="15"/>
        <v>(1013,'1065','حسين','Hacine','Hacine',348),</v>
      </c>
    </row>
    <row r="1016" spans="1:8" ht="20.100000000000001" customHeight="1" x14ac:dyDescent="0.25">
      <c r="A1016" s="3">
        <v>1014</v>
      </c>
      <c r="B1016" s="8">
        <v>1057</v>
      </c>
      <c r="C1016" s="4" t="s">
        <v>3432</v>
      </c>
      <c r="D1016" s="4" t="s">
        <v>3433</v>
      </c>
      <c r="E1016" s="4" t="s">
        <v>3433</v>
      </c>
      <c r="F1016" s="7">
        <v>349</v>
      </c>
      <c r="G1016" s="7">
        <v>29</v>
      </c>
      <c r="H1016" s="16" t="str">
        <f t="shared" si="15"/>
        <v>(1014,'1057','القرط','El Keurt','El Keurt',349),</v>
      </c>
    </row>
    <row r="1017" spans="1:8" ht="20.100000000000001" customHeight="1" x14ac:dyDescent="0.25">
      <c r="A1017" s="3">
        <v>1015</v>
      </c>
      <c r="B1017" s="8">
        <v>1061</v>
      </c>
      <c r="C1017" s="4" t="s">
        <v>3434</v>
      </c>
      <c r="D1017" s="4" t="s">
        <v>3435</v>
      </c>
      <c r="E1017" s="4" t="s">
        <v>3435</v>
      </c>
      <c r="F1017" s="7">
        <v>349</v>
      </c>
      <c r="G1017" s="7">
        <v>29</v>
      </c>
      <c r="H1017" s="16" t="str">
        <f t="shared" si="15"/>
        <v>(1015,'1061','فروحة','Froha','Froha',349),</v>
      </c>
    </row>
    <row r="1018" spans="1:8" ht="20.100000000000001" customHeight="1" x14ac:dyDescent="0.25">
      <c r="A1018" s="3">
        <v>1016</v>
      </c>
      <c r="B1018" s="8">
        <v>1086</v>
      </c>
      <c r="C1018" s="4" t="s">
        <v>1795</v>
      </c>
      <c r="D1018" s="4" t="s">
        <v>1794</v>
      </c>
      <c r="E1018" s="4" t="s">
        <v>1794</v>
      </c>
      <c r="F1018" s="7">
        <v>349</v>
      </c>
      <c r="G1018" s="7">
        <v>29</v>
      </c>
      <c r="H1018" s="16" t="str">
        <f t="shared" si="15"/>
        <v>(1016,'1086','تيزي','Tizi','Tizi',349),</v>
      </c>
    </row>
    <row r="1019" spans="1:8" ht="20.100000000000001" customHeight="1" x14ac:dyDescent="0.25">
      <c r="A1019" s="3">
        <v>1017</v>
      </c>
      <c r="B1019" s="8">
        <v>1079</v>
      </c>
      <c r="C1019" s="4" t="s">
        <v>3436</v>
      </c>
      <c r="D1019" s="4" t="s">
        <v>3437</v>
      </c>
      <c r="E1019" s="4" t="s">
        <v>3437</v>
      </c>
      <c r="F1019" s="7">
        <v>350</v>
      </c>
      <c r="G1019" s="7">
        <v>29</v>
      </c>
      <c r="H1019" s="16" t="str">
        <f t="shared" si="15"/>
        <v>(1017,'1079','السهايلية','Sehailia','Sehailia',350),</v>
      </c>
    </row>
    <row r="1020" spans="1:8" ht="20.100000000000001" customHeight="1" x14ac:dyDescent="0.25">
      <c r="A1020" s="3">
        <v>1018</v>
      </c>
      <c r="B1020" s="8">
        <v>1083</v>
      </c>
      <c r="C1020" s="4" t="s">
        <v>3438</v>
      </c>
      <c r="D1020" s="4" t="s">
        <v>3439</v>
      </c>
      <c r="E1020" s="4" t="s">
        <v>3439</v>
      </c>
      <c r="F1020" s="7">
        <v>350</v>
      </c>
      <c r="G1020" s="7">
        <v>29</v>
      </c>
      <c r="H1020" s="16" t="str">
        <f t="shared" si="15"/>
        <v>(1018,'1083','سيدي قادة','Sidi Kada','Sidi Kada',350),</v>
      </c>
    </row>
    <row r="1021" spans="1:8" ht="20.100000000000001" customHeight="1" x14ac:dyDescent="0.25">
      <c r="A1021" s="3">
        <v>1019</v>
      </c>
      <c r="B1021" s="8">
        <v>1085</v>
      </c>
      <c r="C1021" s="4" t="s">
        <v>1801</v>
      </c>
      <c r="D1021" s="4" t="s">
        <v>1800</v>
      </c>
      <c r="E1021" s="4" t="s">
        <v>1800</v>
      </c>
      <c r="F1021" s="7">
        <v>350</v>
      </c>
      <c r="G1021" s="7">
        <v>29</v>
      </c>
      <c r="H1021" s="16" t="str">
        <f t="shared" si="15"/>
        <v>(1019,'1085','تيغنيف','Tighennif','Tighennif',350),</v>
      </c>
    </row>
    <row r="1022" spans="1:8" ht="20.100000000000001" customHeight="1" x14ac:dyDescent="0.25">
      <c r="A1022" s="3">
        <v>1020</v>
      </c>
      <c r="B1022" s="8">
        <v>1056</v>
      </c>
      <c r="C1022" s="4" t="s">
        <v>1793</v>
      </c>
      <c r="D1022" s="4" t="s">
        <v>3440</v>
      </c>
      <c r="E1022" s="4" t="s">
        <v>3440</v>
      </c>
      <c r="F1022" s="7">
        <v>351</v>
      </c>
      <c r="G1022" s="7">
        <v>29</v>
      </c>
      <c r="H1022" s="16" t="str">
        <f t="shared" si="15"/>
        <v>(1020,'1056','الحشم','El Hachem','El Hachem',351),</v>
      </c>
    </row>
    <row r="1023" spans="1:8" ht="20.100000000000001" customHeight="1" x14ac:dyDescent="0.25">
      <c r="A1023" s="3">
        <v>1021</v>
      </c>
      <c r="B1023" s="8">
        <v>1073</v>
      </c>
      <c r="C1023" s="4" t="s">
        <v>3441</v>
      </c>
      <c r="D1023" s="4" t="s">
        <v>3442</v>
      </c>
      <c r="E1023" s="4" t="s">
        <v>3442</v>
      </c>
      <c r="F1023" s="7">
        <v>351</v>
      </c>
      <c r="G1023" s="7">
        <v>29</v>
      </c>
      <c r="H1023" s="16" t="str">
        <f t="shared" si="15"/>
        <v>(1021,'1073','نسمط','Nesmot','Nesmot',351),</v>
      </c>
    </row>
    <row r="1024" spans="1:8" ht="20.100000000000001" customHeight="1" x14ac:dyDescent="0.25">
      <c r="A1024" s="3">
        <v>1022</v>
      </c>
      <c r="B1024" s="8">
        <v>1088</v>
      </c>
      <c r="C1024" s="4" t="s">
        <v>3443</v>
      </c>
      <c r="D1024" s="4" t="s">
        <v>3444</v>
      </c>
      <c r="E1024" s="4" t="s">
        <v>3444</v>
      </c>
      <c r="F1024" s="7">
        <v>351</v>
      </c>
      <c r="G1024" s="7">
        <v>29</v>
      </c>
      <c r="H1024" s="16" t="str">
        <f t="shared" si="15"/>
        <v>(1022,'1088','زلامطة','Zelamta','Zelamta',351),</v>
      </c>
    </row>
    <row r="1025" spans="1:8" ht="20.100000000000001" customHeight="1" x14ac:dyDescent="0.25">
      <c r="A1025" s="3">
        <v>1023</v>
      </c>
      <c r="B1025" s="8">
        <v>1044</v>
      </c>
      <c r="C1025" s="4" t="s">
        <v>3445</v>
      </c>
      <c r="D1025" s="4" t="s">
        <v>3446</v>
      </c>
      <c r="E1025" s="4" t="s">
        <v>3446</v>
      </c>
      <c r="F1025" s="7">
        <v>352</v>
      </c>
      <c r="G1025" s="7">
        <v>29</v>
      </c>
      <c r="H1025" s="16" t="str">
        <f t="shared" si="15"/>
        <v>(1023,'1044','عين فراح','Ain Ferah','Ain Ferah',352),</v>
      </c>
    </row>
    <row r="1026" spans="1:8" ht="20.100000000000001" customHeight="1" x14ac:dyDescent="0.25">
      <c r="A1026" s="3">
        <v>1024</v>
      </c>
      <c r="B1026" s="8">
        <v>1075</v>
      </c>
      <c r="C1026" s="4" t="s">
        <v>1777</v>
      </c>
      <c r="D1026" s="4" t="s">
        <v>1776</v>
      </c>
      <c r="E1026" s="4" t="s">
        <v>1776</v>
      </c>
      <c r="F1026" s="7">
        <v>352</v>
      </c>
      <c r="G1026" s="7">
        <v>29</v>
      </c>
      <c r="H1026" s="16" t="str">
        <f t="shared" si="15"/>
        <v>(1024,'1075','وادي الأبطال','Oued El Abtal','Oued El Abtal',352),</v>
      </c>
    </row>
    <row r="1027" spans="1:8" ht="20.100000000000001" customHeight="1" x14ac:dyDescent="0.25">
      <c r="A1027" s="3">
        <v>1025</v>
      </c>
      <c r="B1027" s="8">
        <v>1080</v>
      </c>
      <c r="C1027" s="4" t="s">
        <v>3447</v>
      </c>
      <c r="D1027" s="4" t="s">
        <v>3448</v>
      </c>
      <c r="E1027" s="4" t="s">
        <v>3448</v>
      </c>
      <c r="F1027" s="7">
        <v>352</v>
      </c>
      <c r="G1027" s="7">
        <v>29</v>
      </c>
      <c r="H1027" s="16" t="str">
        <f t="shared" si="15"/>
        <v>(1025,'1080','سيدي عبد الجبار','Sidi Abdeldjebar','Sidi Abdeldjebar',352),</v>
      </c>
    </row>
    <row r="1028" spans="1:8" ht="20.100000000000001" customHeight="1" x14ac:dyDescent="0.25">
      <c r="A1028" s="3">
        <v>1026</v>
      </c>
      <c r="B1028" s="8">
        <v>1063</v>
      </c>
      <c r="C1028" s="4" t="s">
        <v>1797</v>
      </c>
      <c r="D1028" s="4" t="s">
        <v>1796</v>
      </c>
      <c r="E1028" s="4" t="s">
        <v>1796</v>
      </c>
      <c r="F1028" s="7">
        <v>353</v>
      </c>
      <c r="G1028" s="7">
        <v>29</v>
      </c>
      <c r="H1028" s="16" t="str">
        <f t="shared" ref="H1028:H1091" si="16">CONCATENATE("(",A1028,",'",B1028,"','",C1028,"','",D1028,"','",E1028,"',",F1028,"),")</f>
        <v>(1026,'1063','غريس','Ghriss','Ghriss',353),</v>
      </c>
    </row>
    <row r="1029" spans="1:8" ht="20.100000000000001" customHeight="1" x14ac:dyDescent="0.25">
      <c r="A1029" s="3">
        <v>1027</v>
      </c>
      <c r="B1029" s="8">
        <v>1067</v>
      </c>
      <c r="C1029" s="4" t="s">
        <v>3449</v>
      </c>
      <c r="D1029" s="4" t="s">
        <v>3450</v>
      </c>
      <c r="E1029" s="4" t="s">
        <v>3450</v>
      </c>
      <c r="F1029" s="7">
        <v>353</v>
      </c>
      <c r="G1029" s="7">
        <v>29</v>
      </c>
      <c r="H1029" s="16" t="str">
        <f t="shared" si="16"/>
        <v>(1027,'1067','ماقضة','Makhda','Makhda',353),</v>
      </c>
    </row>
    <row r="1030" spans="1:8" ht="20.100000000000001" customHeight="1" x14ac:dyDescent="0.25">
      <c r="A1030" s="3">
        <v>1028</v>
      </c>
      <c r="B1030" s="8">
        <v>1068</v>
      </c>
      <c r="C1030" s="4" t="s">
        <v>3451</v>
      </c>
      <c r="D1030" s="4" t="s">
        <v>3452</v>
      </c>
      <c r="E1030" s="4" t="s">
        <v>3452</v>
      </c>
      <c r="F1030" s="7">
        <v>353</v>
      </c>
      <c r="G1030" s="7">
        <v>29</v>
      </c>
      <c r="H1030" s="16" t="str">
        <f t="shared" si="16"/>
        <v>(1028,'1068','ماوسة','Maoussa','Maoussa',353),</v>
      </c>
    </row>
    <row r="1031" spans="1:8" ht="20.100000000000001" customHeight="1" x14ac:dyDescent="0.25">
      <c r="A1031" s="3">
        <v>1029</v>
      </c>
      <c r="B1031" s="8">
        <v>1070</v>
      </c>
      <c r="C1031" s="4" t="s">
        <v>3453</v>
      </c>
      <c r="D1031" s="4" t="s">
        <v>3454</v>
      </c>
      <c r="E1031" s="4" t="s">
        <v>3454</v>
      </c>
      <c r="F1031" s="7">
        <v>353</v>
      </c>
      <c r="G1031" s="7">
        <v>29</v>
      </c>
      <c r="H1031" s="16" t="str">
        <f t="shared" si="16"/>
        <v>(1029,'1070','المطمور','Matemore','Matemore',353),</v>
      </c>
    </row>
    <row r="1032" spans="1:8" ht="20.100000000000001" customHeight="1" x14ac:dyDescent="0.25">
      <c r="A1032" s="3">
        <v>1030</v>
      </c>
      <c r="B1032" s="8">
        <v>1082</v>
      </c>
      <c r="C1032" s="4" t="s">
        <v>3455</v>
      </c>
      <c r="D1032" s="4" t="s">
        <v>3456</v>
      </c>
      <c r="E1032" s="4" t="s">
        <v>3456</v>
      </c>
      <c r="F1032" s="7">
        <v>353</v>
      </c>
      <c r="G1032" s="7">
        <v>29</v>
      </c>
      <c r="H1032" s="16" t="str">
        <f t="shared" si="16"/>
        <v>(1030,'1082','سيدي بوسعيد','Sidi Boussaid','Sidi Boussaid',353),</v>
      </c>
    </row>
    <row r="1033" spans="1:8" ht="20.100000000000001" customHeight="1" x14ac:dyDescent="0.25">
      <c r="A1033" s="3">
        <v>1031</v>
      </c>
      <c r="B1033" s="8">
        <v>1052</v>
      </c>
      <c r="C1033" s="4" t="s">
        <v>1787</v>
      </c>
      <c r="D1033" s="4" t="s">
        <v>1786</v>
      </c>
      <c r="E1033" s="4" t="s">
        <v>1786</v>
      </c>
      <c r="F1033" s="7">
        <v>354</v>
      </c>
      <c r="G1033" s="7">
        <v>29</v>
      </c>
      <c r="H1033" s="16" t="str">
        <f t="shared" si="16"/>
        <v>(1031,'1052','البرج','El Bordj','El Bordj',354),</v>
      </c>
    </row>
    <row r="1034" spans="1:8" ht="20.100000000000001" customHeight="1" x14ac:dyDescent="0.25">
      <c r="A1034" s="3">
        <v>1032</v>
      </c>
      <c r="B1034" s="8">
        <v>1059</v>
      </c>
      <c r="C1034" s="4" t="s">
        <v>3457</v>
      </c>
      <c r="D1034" s="4" t="s">
        <v>3458</v>
      </c>
      <c r="E1034" s="4" t="s">
        <v>3458</v>
      </c>
      <c r="F1034" s="7">
        <v>354</v>
      </c>
      <c r="G1034" s="7">
        <v>29</v>
      </c>
      <c r="H1034" s="16" t="str">
        <f t="shared" si="16"/>
        <v>(1032,'1059','المنور','El Menaouer','El Menaouer',354),</v>
      </c>
    </row>
    <row r="1035" spans="1:8" ht="20.100000000000001" customHeight="1" x14ac:dyDescent="0.25">
      <c r="A1035" s="3">
        <v>1033</v>
      </c>
      <c r="B1035" s="8">
        <v>1066</v>
      </c>
      <c r="C1035" s="4" t="s">
        <v>3459</v>
      </c>
      <c r="D1035" s="4" t="s">
        <v>3460</v>
      </c>
      <c r="E1035" s="4" t="s">
        <v>3460</v>
      </c>
      <c r="F1035" s="7">
        <v>354</v>
      </c>
      <c r="G1035" s="7">
        <v>29</v>
      </c>
      <c r="H1035" s="16" t="str">
        <f t="shared" si="16"/>
        <v>(1033,'1066','خلوية','Khalouia','Khalouia',354),</v>
      </c>
    </row>
    <row r="1036" spans="1:8" ht="20.100000000000001" customHeight="1" x14ac:dyDescent="0.25">
      <c r="A1036" s="3">
        <v>1034</v>
      </c>
      <c r="B1036" s="8">
        <v>1043</v>
      </c>
      <c r="C1036" s="4" t="s">
        <v>1775</v>
      </c>
      <c r="D1036" s="4" t="s">
        <v>1774</v>
      </c>
      <c r="E1036" s="4" t="s">
        <v>1774</v>
      </c>
      <c r="F1036" s="7">
        <v>355</v>
      </c>
      <c r="G1036" s="7">
        <v>29</v>
      </c>
      <c r="H1036" s="16" t="str">
        <f t="shared" si="16"/>
        <v>(1034,'1043','عين فكان','Ain Fekan','Ain Fekan',355),</v>
      </c>
    </row>
    <row r="1037" spans="1:8" ht="20.100000000000001" customHeight="1" x14ac:dyDescent="0.25">
      <c r="A1037" s="3">
        <v>1035</v>
      </c>
      <c r="B1037" s="8">
        <v>1045</v>
      </c>
      <c r="C1037" s="4" t="s">
        <v>3461</v>
      </c>
      <c r="D1037" s="4" t="s">
        <v>3462</v>
      </c>
      <c r="E1037" s="4" t="s">
        <v>3462</v>
      </c>
      <c r="F1037" s="7">
        <v>355</v>
      </c>
      <c r="G1037" s="7">
        <v>29</v>
      </c>
      <c r="H1037" s="16" t="str">
        <f t="shared" si="16"/>
        <v>(1035,'1045','عين أفرص','Ain Frass','Ain Frass',355),</v>
      </c>
    </row>
    <row r="1038" spans="1:8" ht="20.100000000000001" customHeight="1" x14ac:dyDescent="0.25">
      <c r="A1038" s="3">
        <v>1036</v>
      </c>
      <c r="B1038" s="8">
        <v>1064</v>
      </c>
      <c r="C1038" s="4" t="s">
        <v>3463</v>
      </c>
      <c r="D1038" s="4" t="s">
        <v>3464</v>
      </c>
      <c r="E1038" s="4" t="s">
        <v>3464</v>
      </c>
      <c r="F1038" s="7">
        <v>356</v>
      </c>
      <c r="G1038" s="7">
        <v>29</v>
      </c>
      <c r="H1038" s="16" t="str">
        <f t="shared" si="16"/>
        <v>(1036,'1064','قرجوم','Guerdjoum','Guerdjoum',356),</v>
      </c>
    </row>
    <row r="1039" spans="1:8" ht="20.100000000000001" customHeight="1" x14ac:dyDescent="0.25">
      <c r="A1039" s="3">
        <v>1037</v>
      </c>
      <c r="B1039" s="8">
        <v>1076</v>
      </c>
      <c r="C1039" s="4" t="s">
        <v>1799</v>
      </c>
      <c r="D1039" s="4" t="s">
        <v>1798</v>
      </c>
      <c r="E1039" s="4" t="s">
        <v>1798</v>
      </c>
      <c r="F1039" s="7">
        <v>356</v>
      </c>
      <c r="G1039" s="7">
        <v>29</v>
      </c>
      <c r="H1039" s="16" t="str">
        <f t="shared" si="16"/>
        <v>(1037,'1076','وادي التاغية','Oued Taria','Oued Taria',356),</v>
      </c>
    </row>
    <row r="1040" spans="1:8" ht="20.100000000000001" customHeight="1" x14ac:dyDescent="0.25">
      <c r="A1040" s="3">
        <v>1038</v>
      </c>
      <c r="B1040" s="8">
        <v>1047</v>
      </c>
      <c r="C1040" s="4" t="s">
        <v>1781</v>
      </c>
      <c r="D1040" s="4" t="s">
        <v>1780</v>
      </c>
      <c r="E1040" s="4" t="s">
        <v>1780</v>
      </c>
      <c r="F1040" s="7">
        <v>357</v>
      </c>
      <c r="G1040" s="7">
        <v>29</v>
      </c>
      <c r="H1040" s="16" t="str">
        <f t="shared" si="16"/>
        <v>(1038,'1047','عوف','Aouf','Aouf',357),</v>
      </c>
    </row>
    <row r="1041" spans="1:8" ht="20.100000000000001" customHeight="1" x14ac:dyDescent="0.25">
      <c r="A1041" s="3">
        <v>1039</v>
      </c>
      <c r="B1041" s="8">
        <v>1048</v>
      </c>
      <c r="C1041" s="4" t="s">
        <v>3465</v>
      </c>
      <c r="D1041" s="4" t="s">
        <v>3466</v>
      </c>
      <c r="E1041" s="4" t="s">
        <v>3466</v>
      </c>
      <c r="F1041" s="7">
        <v>357</v>
      </c>
      <c r="G1041" s="7">
        <v>29</v>
      </c>
      <c r="H1041" s="16" t="str">
        <f t="shared" si="16"/>
        <v>(1039,'1048','بنيان','Benian','Benian',357),</v>
      </c>
    </row>
    <row r="1042" spans="1:8" ht="20.100000000000001" customHeight="1" x14ac:dyDescent="0.25">
      <c r="A1042" s="3">
        <v>1040</v>
      </c>
      <c r="B1042" s="8">
        <v>1062</v>
      </c>
      <c r="C1042" s="4" t="s">
        <v>3467</v>
      </c>
      <c r="D1042" s="4" t="s">
        <v>3468</v>
      </c>
      <c r="E1042" s="4" t="s">
        <v>3468</v>
      </c>
      <c r="F1042" s="7">
        <v>357</v>
      </c>
      <c r="G1042" s="7">
        <v>29</v>
      </c>
      <c r="H1042" s="16" t="str">
        <f t="shared" si="16"/>
        <v>(1040,'1062','غروس','Gharrous','Gharrous',357),</v>
      </c>
    </row>
    <row r="1043" spans="1:8" ht="20.100000000000001" customHeight="1" x14ac:dyDescent="0.25">
      <c r="A1043" s="3">
        <v>1041</v>
      </c>
      <c r="B1043" s="8">
        <v>1042</v>
      </c>
      <c r="C1043" s="4" t="s">
        <v>1773</v>
      </c>
      <c r="D1043" s="4" t="s">
        <v>1772</v>
      </c>
      <c r="E1043" s="4" t="s">
        <v>1772</v>
      </c>
      <c r="F1043" s="7">
        <v>358</v>
      </c>
      <c r="G1043" s="7">
        <v>29</v>
      </c>
      <c r="H1043" s="16" t="str">
        <f t="shared" si="16"/>
        <v>(1041,'1042','عين فارس','Ain Fares','Ain Fares',358),</v>
      </c>
    </row>
    <row r="1044" spans="1:8" ht="20.100000000000001" customHeight="1" x14ac:dyDescent="0.25">
      <c r="A1044" s="3">
        <v>1042</v>
      </c>
      <c r="B1044" s="8">
        <v>1058</v>
      </c>
      <c r="C1044" s="4" t="s">
        <v>3469</v>
      </c>
      <c r="D1044" s="4" t="s">
        <v>3470</v>
      </c>
      <c r="E1044" s="4" t="s">
        <v>3470</v>
      </c>
      <c r="F1044" s="7">
        <v>358</v>
      </c>
      <c r="G1044" s="7">
        <v>29</v>
      </c>
      <c r="H1044" s="16" t="str">
        <f t="shared" si="16"/>
        <v>(1042,'1058','المأمونية','El Mamounia','El Mamounia',358),</v>
      </c>
    </row>
    <row r="1045" spans="1:8" ht="20.100000000000001" customHeight="1" x14ac:dyDescent="0.25">
      <c r="A1045" s="3">
        <v>1043</v>
      </c>
      <c r="B1045" s="8">
        <v>1049</v>
      </c>
      <c r="C1045" s="4" t="s">
        <v>3471</v>
      </c>
      <c r="D1045" s="4" t="s">
        <v>3472</v>
      </c>
      <c r="E1045" s="4" t="s">
        <v>3472</v>
      </c>
      <c r="F1045" s="7">
        <v>359</v>
      </c>
      <c r="G1045" s="7">
        <v>29</v>
      </c>
      <c r="H1045" s="16" t="str">
        <f t="shared" si="16"/>
        <v>(1043,'1049','بوهني','Bou Henni','Bou Henni',359),</v>
      </c>
    </row>
    <row r="1046" spans="1:8" ht="20.100000000000001" customHeight="1" x14ac:dyDescent="0.25">
      <c r="A1046" s="3">
        <v>1044</v>
      </c>
      <c r="B1046" s="8">
        <v>1051</v>
      </c>
      <c r="C1046" s="4" t="s">
        <v>3473</v>
      </c>
      <c r="D1046" s="4" t="s">
        <v>2495</v>
      </c>
      <c r="E1046" s="4" t="s">
        <v>2495</v>
      </c>
      <c r="F1046" s="7">
        <v>359</v>
      </c>
      <c r="G1046" s="7">
        <v>29</v>
      </c>
      <c r="H1046" s="16" t="str">
        <f t="shared" si="16"/>
        <v>(1044,'1051','الشرفاء','Chorfa','Chorfa',359),</v>
      </c>
    </row>
    <row r="1047" spans="1:8" ht="20.100000000000001" customHeight="1" x14ac:dyDescent="0.25">
      <c r="A1047" s="3">
        <v>1045</v>
      </c>
      <c r="B1047" s="8">
        <v>1084</v>
      </c>
      <c r="C1047" s="4" t="s">
        <v>1783</v>
      </c>
      <c r="D1047" s="4" t="s">
        <v>1782</v>
      </c>
      <c r="E1047" s="4" t="s">
        <v>1782</v>
      </c>
      <c r="F1047" s="7">
        <v>359</v>
      </c>
      <c r="G1047" s="7">
        <v>29</v>
      </c>
      <c r="H1047" s="16" t="str">
        <f t="shared" si="16"/>
        <v>(1045,'1084','سيق','Sig','Sig',359),</v>
      </c>
    </row>
    <row r="1048" spans="1:8" ht="20.100000000000001" customHeight="1" x14ac:dyDescent="0.25">
      <c r="A1048" s="3">
        <v>1046</v>
      </c>
      <c r="B1048" s="8">
        <v>1046</v>
      </c>
      <c r="C1048" s="4" t="s">
        <v>3474</v>
      </c>
      <c r="D1048" s="4" t="s">
        <v>3475</v>
      </c>
      <c r="E1048" s="4" t="s">
        <v>3475</v>
      </c>
      <c r="F1048" s="7">
        <v>360</v>
      </c>
      <c r="G1048" s="7">
        <v>29</v>
      </c>
      <c r="H1048" s="16" t="str">
        <f t="shared" si="16"/>
        <v>(1046,'1046','العلايمية','Alaimia','Alaimia',360),</v>
      </c>
    </row>
    <row r="1049" spans="1:8" ht="20.100000000000001" customHeight="1" x14ac:dyDescent="0.25">
      <c r="A1049" s="3">
        <v>1047</v>
      </c>
      <c r="B1049" s="8">
        <v>1074</v>
      </c>
      <c r="C1049" s="4" t="s">
        <v>1779</v>
      </c>
      <c r="D1049" s="4" t="s">
        <v>1778</v>
      </c>
      <c r="E1049" s="4" t="s">
        <v>1778</v>
      </c>
      <c r="F1049" s="7">
        <v>360</v>
      </c>
      <c r="G1049" s="7">
        <v>29</v>
      </c>
      <c r="H1049" s="16" t="str">
        <f t="shared" si="16"/>
        <v>(1047,'1074','عقاز','Oggaz','Oggaz',360),</v>
      </c>
    </row>
    <row r="1050" spans="1:8" ht="20.100000000000001" customHeight="1" x14ac:dyDescent="0.25">
      <c r="A1050" s="3">
        <v>1048</v>
      </c>
      <c r="B1050" s="8">
        <v>1077</v>
      </c>
      <c r="C1050" s="4" t="s">
        <v>3476</v>
      </c>
      <c r="D1050" s="4" t="s">
        <v>3477</v>
      </c>
      <c r="E1050" s="4" t="s">
        <v>3477</v>
      </c>
      <c r="F1050" s="7">
        <v>360</v>
      </c>
      <c r="G1050" s="7">
        <v>29</v>
      </c>
      <c r="H1050" s="16" t="str">
        <f t="shared" si="16"/>
        <v>(1048,'1077','رأس عين عميروش','Ras El Ain Amirouche','Ras El Ain Amirouche',360),</v>
      </c>
    </row>
    <row r="1051" spans="1:8" ht="20.100000000000001" customHeight="1" x14ac:dyDescent="0.25">
      <c r="A1051" s="3">
        <v>1049</v>
      </c>
      <c r="B1051" s="8">
        <v>1053</v>
      </c>
      <c r="C1051" s="4" t="s">
        <v>3478</v>
      </c>
      <c r="D1051" s="4" t="s">
        <v>3479</v>
      </c>
      <c r="E1051" s="4" t="s">
        <v>3479</v>
      </c>
      <c r="F1051" s="7">
        <v>361</v>
      </c>
      <c r="G1051" s="7">
        <v>29</v>
      </c>
      <c r="H1051" s="16" t="str">
        <f t="shared" si="16"/>
        <v>(1049,'1053','القعدة','El Gaada','El Gaada',361),</v>
      </c>
    </row>
    <row r="1052" spans="1:8" ht="20.100000000000001" customHeight="1" x14ac:dyDescent="0.25">
      <c r="A1052" s="3">
        <v>1050</v>
      </c>
      <c r="B1052" s="8">
        <v>1087</v>
      </c>
      <c r="C1052" s="4" t="s">
        <v>1789</v>
      </c>
      <c r="D1052" s="4" t="s">
        <v>1788</v>
      </c>
      <c r="E1052" s="4" t="s">
        <v>1788</v>
      </c>
      <c r="F1052" s="7">
        <v>361</v>
      </c>
      <c r="G1052" s="7">
        <v>29</v>
      </c>
      <c r="H1052" s="16" t="str">
        <f t="shared" si="16"/>
        <v>(1050,'1087','زهانة','Zahana','Zahana',361),</v>
      </c>
    </row>
    <row r="1053" spans="1:8" ht="20.100000000000001" customHeight="1" x14ac:dyDescent="0.25">
      <c r="A1053" s="3">
        <v>1051</v>
      </c>
      <c r="B1053" s="8">
        <v>1054</v>
      </c>
      <c r="C1053" s="4" t="s">
        <v>3480</v>
      </c>
      <c r="D1053" s="4" t="s">
        <v>3481</v>
      </c>
      <c r="E1053" s="4" t="s">
        <v>3481</v>
      </c>
      <c r="F1053" s="7">
        <v>362</v>
      </c>
      <c r="G1053" s="7">
        <v>29</v>
      </c>
      <c r="H1053" s="16" t="str">
        <f t="shared" si="16"/>
        <v>(1051,'1054','الغمري','El Ghomri','El Ghomri',362),</v>
      </c>
    </row>
    <row r="1054" spans="1:8" ht="20.100000000000001" customHeight="1" x14ac:dyDescent="0.25">
      <c r="A1054" s="3">
        <v>1052</v>
      </c>
      <c r="B1054" s="8">
        <v>1060</v>
      </c>
      <c r="C1054" s="4" t="s">
        <v>3482</v>
      </c>
      <c r="D1054" s="4" t="s">
        <v>3483</v>
      </c>
      <c r="E1054" s="4" t="s">
        <v>3483</v>
      </c>
      <c r="F1054" s="7">
        <v>362</v>
      </c>
      <c r="G1054" s="7">
        <v>29</v>
      </c>
      <c r="H1054" s="16" t="str">
        <f t="shared" si="16"/>
        <v>(1052,'1060','فراقيق','Ferraguig','Ferraguig',362),</v>
      </c>
    </row>
    <row r="1055" spans="1:8" ht="20.100000000000001" customHeight="1" x14ac:dyDescent="0.25">
      <c r="A1055" s="3">
        <v>1053</v>
      </c>
      <c r="B1055" s="8">
        <v>1071</v>
      </c>
      <c r="C1055" s="4" t="s">
        <v>3484</v>
      </c>
      <c r="D1055" s="4" t="s">
        <v>3485</v>
      </c>
      <c r="E1055" s="4" t="s">
        <v>3485</v>
      </c>
      <c r="F1055" s="7">
        <v>362</v>
      </c>
      <c r="G1055" s="7">
        <v>29</v>
      </c>
      <c r="H1055" s="16" t="str">
        <f t="shared" si="16"/>
        <v>(1053,'1071','مقطع الدوز','Mocta-Douz','Mocta-Douz',362),</v>
      </c>
    </row>
    <row r="1056" spans="1:8" ht="20.100000000000001" customHeight="1" x14ac:dyDescent="0.25">
      <c r="A1056" s="3">
        <v>1054</v>
      </c>
      <c r="B1056" s="8">
        <v>1072</v>
      </c>
      <c r="C1056" s="4" t="s">
        <v>1791</v>
      </c>
      <c r="D1056" s="4" t="s">
        <v>1790</v>
      </c>
      <c r="E1056" s="4" t="s">
        <v>1790</v>
      </c>
      <c r="F1056" s="7">
        <v>362</v>
      </c>
      <c r="G1056" s="7">
        <v>29</v>
      </c>
      <c r="H1056" s="16" t="str">
        <f t="shared" si="16"/>
        <v>(1054,'1072','المحمدية','Mohammadia','Mohammadia',362),</v>
      </c>
    </row>
    <row r="1057" spans="1:8" ht="20.100000000000001" customHeight="1" x14ac:dyDescent="0.25">
      <c r="A1057" s="3">
        <v>1055</v>
      </c>
      <c r="B1057" s="8">
        <v>1078</v>
      </c>
      <c r="C1057" s="4" t="s">
        <v>3486</v>
      </c>
      <c r="D1057" s="4" t="s">
        <v>3487</v>
      </c>
      <c r="E1057" s="4" t="s">
        <v>3487</v>
      </c>
      <c r="F1057" s="7">
        <v>362</v>
      </c>
      <c r="G1057" s="7">
        <v>29</v>
      </c>
      <c r="H1057" s="16" t="str">
        <f t="shared" si="16"/>
        <v>(1055,'1078','سجرارة','Sedjerara','Sedjerara',362),</v>
      </c>
    </row>
    <row r="1058" spans="1:8" ht="20.100000000000001" customHeight="1" x14ac:dyDescent="0.25">
      <c r="A1058" s="3">
        <v>1056</v>
      </c>
      <c r="B1058" s="8">
        <v>1081</v>
      </c>
      <c r="C1058" s="4" t="s">
        <v>3488</v>
      </c>
      <c r="D1058" s="4" t="s">
        <v>3489</v>
      </c>
      <c r="E1058" s="4" t="s">
        <v>3489</v>
      </c>
      <c r="F1058" s="7">
        <v>362</v>
      </c>
      <c r="G1058" s="7">
        <v>29</v>
      </c>
      <c r="H1058" s="16" t="str">
        <f t="shared" si="16"/>
        <v>(1056,'1081','سيدي عبد المومن','Sidi Abdelmoumene','Sidi Abdelmoumene',362),</v>
      </c>
    </row>
    <row r="1059" spans="1:8" ht="20.100000000000001" customHeight="1" x14ac:dyDescent="0.25">
      <c r="A1059" s="3">
        <v>1057</v>
      </c>
      <c r="B1059" s="8">
        <v>1101</v>
      </c>
      <c r="C1059" s="4" t="s">
        <v>1029</v>
      </c>
      <c r="D1059" s="4" t="s">
        <v>1030</v>
      </c>
      <c r="E1059" s="4" t="s">
        <v>1030</v>
      </c>
      <c r="F1059" s="7">
        <v>363</v>
      </c>
      <c r="G1059" s="7">
        <v>30</v>
      </c>
      <c r="H1059" s="16" t="str">
        <f t="shared" si="16"/>
        <v>(1057,'1101','ورقلة','Ouargla','Ouargla',363),</v>
      </c>
    </row>
    <row r="1060" spans="1:8" ht="20.100000000000001" customHeight="1" x14ac:dyDescent="0.25">
      <c r="A1060" s="3">
        <v>1058</v>
      </c>
      <c r="B1060" s="8">
        <v>1102</v>
      </c>
      <c r="C1060" s="4" t="s">
        <v>3490</v>
      </c>
      <c r="D1060" s="4" t="s">
        <v>3491</v>
      </c>
      <c r="E1060" s="4" t="s">
        <v>3491</v>
      </c>
      <c r="F1060" s="7">
        <v>363</v>
      </c>
      <c r="G1060" s="7">
        <v>30</v>
      </c>
      <c r="H1060" s="16" t="str">
        <f t="shared" si="16"/>
        <v>(1058,'1102','الرويسات','Rouissat','Rouissat',363),</v>
      </c>
    </row>
    <row r="1061" spans="1:8" ht="20.100000000000001" customHeight="1" x14ac:dyDescent="0.25">
      <c r="A1061" s="3">
        <v>1059</v>
      </c>
      <c r="B1061" s="8">
        <v>1100</v>
      </c>
      <c r="C1061" s="4" t="s">
        <v>1817</v>
      </c>
      <c r="D1061" s="4" t="s">
        <v>5870</v>
      </c>
      <c r="E1061" s="4" t="s">
        <v>5870</v>
      </c>
      <c r="F1061" s="7">
        <v>364</v>
      </c>
      <c r="G1061" s="7">
        <v>30</v>
      </c>
      <c r="H1061" s="16" t="str">
        <f t="shared" si="16"/>
        <v>(1059,'1100','انقوسة','N\'goussa','N\'goussa',364),</v>
      </c>
    </row>
    <row r="1062" spans="1:8" ht="20.100000000000001" customHeight="1" x14ac:dyDescent="0.25">
      <c r="A1062" s="3">
        <v>1060</v>
      </c>
      <c r="B1062" s="8">
        <v>1096</v>
      </c>
      <c r="C1062" s="4" t="s">
        <v>1813</v>
      </c>
      <c r="D1062" s="4" t="s">
        <v>1812</v>
      </c>
      <c r="E1062" s="4" t="s">
        <v>1812</v>
      </c>
      <c r="F1062" s="7">
        <v>365</v>
      </c>
      <c r="G1062" s="7">
        <v>30</v>
      </c>
      <c r="H1062" s="16" t="str">
        <f t="shared" si="16"/>
        <v>(1060,'1096','حاسي مسعود','Hassi Messaoud','Hassi Messaoud',365),</v>
      </c>
    </row>
    <row r="1063" spans="1:8" ht="20.100000000000001" customHeight="1" x14ac:dyDescent="0.25">
      <c r="A1063" s="3">
        <v>1061</v>
      </c>
      <c r="B1063" s="8">
        <v>1089</v>
      </c>
      <c r="C1063" s="4" t="s">
        <v>1172</v>
      </c>
      <c r="D1063" s="4" t="s">
        <v>1171</v>
      </c>
      <c r="E1063" s="4" t="s">
        <v>1171</v>
      </c>
      <c r="F1063" s="7">
        <v>366</v>
      </c>
      <c r="G1063" s="7">
        <v>30</v>
      </c>
      <c r="H1063" s="16" t="str">
        <f t="shared" si="16"/>
        <v>(1061,'1089','عين البيضاء','Ain Beida','Ain Beida',366),</v>
      </c>
    </row>
    <row r="1064" spans="1:8" ht="20.100000000000001" customHeight="1" x14ac:dyDescent="0.25">
      <c r="A1064" s="3">
        <v>1062</v>
      </c>
      <c r="B1064" s="8">
        <v>1095</v>
      </c>
      <c r="C1064" s="4" t="s">
        <v>3492</v>
      </c>
      <c r="D1064" s="4" t="s">
        <v>3493</v>
      </c>
      <c r="E1064" s="4" t="s">
        <v>3493</v>
      </c>
      <c r="F1064" s="7">
        <v>366</v>
      </c>
      <c r="G1064" s="7">
        <v>30</v>
      </c>
      <c r="H1064" s="16" t="str">
        <f t="shared" si="16"/>
        <v>(1062,'1095','حاسي بن عبد الله','Hassi Ben Abdellah','Hassi Ben Abdellah',366),</v>
      </c>
    </row>
    <row r="1065" spans="1:8" ht="20.100000000000001" customHeight="1" x14ac:dyDescent="0.25">
      <c r="A1065" s="3">
        <v>1063</v>
      </c>
      <c r="B1065" s="8">
        <v>1103</v>
      </c>
      <c r="C1065" s="4" t="s">
        <v>1803</v>
      </c>
      <c r="D1065" s="4" t="s">
        <v>1802</v>
      </c>
      <c r="E1065" s="4" t="s">
        <v>1802</v>
      </c>
      <c r="F1065" s="7">
        <v>366</v>
      </c>
      <c r="G1065" s="7">
        <v>30</v>
      </c>
      <c r="H1065" s="16" t="str">
        <f t="shared" si="16"/>
        <v>(1063,'1103','سيدي خويلد','Sidi Khouiled','Sidi Khouiled',366),</v>
      </c>
    </row>
    <row r="1066" spans="1:8" ht="20.100000000000001" customHeight="1" x14ac:dyDescent="0.25">
      <c r="A1066" s="3">
        <v>1064</v>
      </c>
      <c r="B1066" s="8">
        <v>1093</v>
      </c>
      <c r="C1066" s="4" t="s">
        <v>1811</v>
      </c>
      <c r="D1066" s="4" t="s">
        <v>1810</v>
      </c>
      <c r="E1066" s="4" t="s">
        <v>1810</v>
      </c>
      <c r="F1066" s="7">
        <v>367</v>
      </c>
      <c r="G1066" s="7">
        <v>30</v>
      </c>
      <c r="H1066" s="16" t="str">
        <f t="shared" si="16"/>
        <v>(1064,'1093','البرمة','El Borma','El Borma',367),</v>
      </c>
    </row>
    <row r="1067" spans="1:8" ht="20.100000000000001" customHeight="1" x14ac:dyDescent="0.25">
      <c r="A1067" s="3">
        <v>1065</v>
      </c>
      <c r="B1067" s="8">
        <v>1131</v>
      </c>
      <c r="C1067" s="4" t="s">
        <v>1031</v>
      </c>
      <c r="D1067" s="4" t="s">
        <v>1032</v>
      </c>
      <c r="E1067" s="4" t="s">
        <v>1032</v>
      </c>
      <c r="F1067" s="7">
        <v>368</v>
      </c>
      <c r="G1067" s="7">
        <v>31</v>
      </c>
      <c r="H1067" s="16" t="str">
        <f t="shared" si="16"/>
        <v>(1065,'1131','وهران','Oran','Oran',368),</v>
      </c>
    </row>
    <row r="1068" spans="1:8" ht="20.100000000000001" customHeight="1" x14ac:dyDescent="0.25">
      <c r="A1068" s="3">
        <v>1066</v>
      </c>
      <c r="B1068" s="8">
        <v>1114</v>
      </c>
      <c r="C1068" s="4" t="s">
        <v>3494</v>
      </c>
      <c r="D1068" s="4" t="s">
        <v>3495</v>
      </c>
      <c r="E1068" s="4" t="s">
        <v>3495</v>
      </c>
      <c r="F1068" s="7">
        <v>369</v>
      </c>
      <c r="G1068" s="7">
        <v>31</v>
      </c>
      <c r="H1068" s="16" t="str">
        <f t="shared" si="16"/>
        <v>(1066,'1114','بن فريحة','Ben Freha','Ben Freha',369),</v>
      </c>
    </row>
    <row r="1069" spans="1:8" ht="20.100000000000001" customHeight="1" x14ac:dyDescent="0.25">
      <c r="A1069" s="3">
        <v>1067</v>
      </c>
      <c r="B1069" s="8">
        <v>1124</v>
      </c>
      <c r="C1069" s="4" t="s">
        <v>1827</v>
      </c>
      <c r="D1069" s="4" t="s">
        <v>1826</v>
      </c>
      <c r="E1069" s="4" t="s">
        <v>1826</v>
      </c>
      <c r="F1069" s="7">
        <v>369</v>
      </c>
      <c r="G1069" s="7">
        <v>31</v>
      </c>
      <c r="H1069" s="16" t="str">
        <f t="shared" si="16"/>
        <v>(1067,'1124','قديل','Gdyel','Gdyel',369),</v>
      </c>
    </row>
    <row r="1070" spans="1:8" ht="20.100000000000001" customHeight="1" x14ac:dyDescent="0.25">
      <c r="A1070" s="3">
        <v>1068</v>
      </c>
      <c r="B1070" s="8">
        <v>1127</v>
      </c>
      <c r="C1070" s="4" t="s">
        <v>3496</v>
      </c>
      <c r="D1070" s="4" t="s">
        <v>3497</v>
      </c>
      <c r="E1070" s="4" t="s">
        <v>3497</v>
      </c>
      <c r="F1070" s="7">
        <v>369</v>
      </c>
      <c r="G1070" s="7">
        <v>31</v>
      </c>
      <c r="H1070" s="16" t="str">
        <f t="shared" si="16"/>
        <v>(1068,'1127','حاسي مفسوخ','Hassi Mefsoukh','Hassi Mefsoukh',369),</v>
      </c>
    </row>
    <row r="1071" spans="1:8" ht="20.100000000000001" customHeight="1" x14ac:dyDescent="0.25">
      <c r="A1071" s="3">
        <v>1069</v>
      </c>
      <c r="B1071" s="8">
        <v>1116</v>
      </c>
      <c r="C1071" s="4" t="s">
        <v>1829</v>
      </c>
      <c r="D1071" s="4" t="s">
        <v>1828</v>
      </c>
      <c r="E1071" s="4" t="s">
        <v>1828</v>
      </c>
      <c r="F1071" s="7">
        <v>370</v>
      </c>
      <c r="G1071" s="7">
        <v>31</v>
      </c>
      <c r="H1071" s="16" t="str">
        <f t="shared" si="16"/>
        <v>(1069,'1116','بئر الجير','Bir El Djir','Bir El Djir',370),</v>
      </c>
    </row>
    <row r="1072" spans="1:8" ht="20.100000000000001" customHeight="1" x14ac:dyDescent="0.25">
      <c r="A1072" s="3">
        <v>1070</v>
      </c>
      <c r="B1072" s="8">
        <v>1125</v>
      </c>
      <c r="C1072" s="4" t="s">
        <v>3498</v>
      </c>
      <c r="D1072" s="4" t="s">
        <v>3499</v>
      </c>
      <c r="E1072" s="4" t="s">
        <v>3499</v>
      </c>
      <c r="F1072" s="7">
        <v>370</v>
      </c>
      <c r="G1072" s="7">
        <v>31</v>
      </c>
      <c r="H1072" s="16" t="str">
        <f t="shared" si="16"/>
        <v>(1070,'1125','حاسي بن عقبة','Hassi Ben Okba','Hassi Ben Okba',370),</v>
      </c>
    </row>
    <row r="1073" spans="1:8" ht="20.100000000000001" customHeight="1" x14ac:dyDescent="0.25">
      <c r="A1073" s="3">
        <v>1071</v>
      </c>
      <c r="B1073" s="8">
        <v>1126</v>
      </c>
      <c r="C1073" s="4" t="s">
        <v>3500</v>
      </c>
      <c r="D1073" s="4" t="s">
        <v>3501</v>
      </c>
      <c r="E1073" s="4" t="s">
        <v>3501</v>
      </c>
      <c r="F1073" s="7">
        <v>370</v>
      </c>
      <c r="G1073" s="7">
        <v>31</v>
      </c>
      <c r="H1073" s="16" t="str">
        <f t="shared" si="16"/>
        <v>(1071,'1126','حاسي بونيف','Hassi Bounif','Hassi Bounif',370),</v>
      </c>
    </row>
    <row r="1074" spans="1:8" ht="20.100000000000001" customHeight="1" x14ac:dyDescent="0.25">
      <c r="A1074" s="3">
        <v>1072</v>
      </c>
      <c r="B1074" s="8">
        <v>1122</v>
      </c>
      <c r="C1074" s="4" t="s">
        <v>3502</v>
      </c>
      <c r="D1074" s="4" t="s">
        <v>3503</v>
      </c>
      <c r="E1074" s="4" t="s">
        <v>3503</v>
      </c>
      <c r="F1074" s="7">
        <v>371</v>
      </c>
      <c r="G1074" s="7">
        <v>31</v>
      </c>
      <c r="H1074" s="16" t="str">
        <f t="shared" si="16"/>
        <v>(1072,'1122','الكرمة','El Kerma','El Kerma',371),</v>
      </c>
    </row>
    <row r="1075" spans="1:8" ht="20.100000000000001" customHeight="1" x14ac:dyDescent="0.25">
      <c r="A1075" s="3">
        <v>1073</v>
      </c>
      <c r="B1075" s="8">
        <v>1123</v>
      </c>
      <c r="C1075" s="4" t="s">
        <v>1833</v>
      </c>
      <c r="D1075" s="4" t="s">
        <v>1832</v>
      </c>
      <c r="E1075" s="4" t="s">
        <v>1832</v>
      </c>
      <c r="F1075" s="7">
        <v>371</v>
      </c>
      <c r="G1075" s="7">
        <v>31</v>
      </c>
      <c r="H1075" s="16" t="str">
        <f t="shared" si="16"/>
        <v>(1073,'1123','السانية','Es Senia','Es Senia',371),</v>
      </c>
    </row>
    <row r="1076" spans="1:8" ht="20.100000000000001" customHeight="1" x14ac:dyDescent="0.25">
      <c r="A1076" s="3">
        <v>1074</v>
      </c>
      <c r="B1076" s="8">
        <v>1134</v>
      </c>
      <c r="C1076" s="4" t="s">
        <v>3504</v>
      </c>
      <c r="D1076" s="4" t="s">
        <v>3505</v>
      </c>
      <c r="E1076" s="4" t="s">
        <v>3505</v>
      </c>
      <c r="F1076" s="7">
        <v>371</v>
      </c>
      <c r="G1076" s="7">
        <v>31</v>
      </c>
      <c r="H1076" s="16" t="str">
        <f t="shared" si="16"/>
        <v>(1074,'1134','سيدي الشحمي','Sidi Chami','Sidi Chami',371),</v>
      </c>
    </row>
    <row r="1077" spans="1:8" ht="20.100000000000001" customHeight="1" x14ac:dyDescent="0.25">
      <c r="A1077" s="3">
        <v>1075</v>
      </c>
      <c r="B1077" s="8">
        <v>1113</v>
      </c>
      <c r="C1077" s="4" t="s">
        <v>1825</v>
      </c>
      <c r="D1077" s="4" t="s">
        <v>1824</v>
      </c>
      <c r="E1077" s="4" t="s">
        <v>1824</v>
      </c>
      <c r="F1077" s="7">
        <v>372</v>
      </c>
      <c r="G1077" s="7">
        <v>31</v>
      </c>
      <c r="H1077" s="16" t="str">
        <f t="shared" si="16"/>
        <v>(1075,'1113','أرزيو','Arzew','Arzew',372),</v>
      </c>
    </row>
    <row r="1078" spans="1:8" ht="20.100000000000001" customHeight="1" x14ac:dyDescent="0.25">
      <c r="A1078" s="3">
        <v>1076</v>
      </c>
      <c r="B1078" s="8">
        <v>1133</v>
      </c>
      <c r="C1078" s="4" t="s">
        <v>3506</v>
      </c>
      <c r="D1078" s="4" t="s">
        <v>3507</v>
      </c>
      <c r="E1078" s="4" t="s">
        <v>3507</v>
      </c>
      <c r="F1078" s="7">
        <v>372</v>
      </c>
      <c r="G1078" s="7">
        <v>31</v>
      </c>
      <c r="H1078" s="16" t="str">
        <f t="shared" si="16"/>
        <v>(1076,'1133','سيدي بن يبقى','Sidi Ben Yebka','Sidi Ben Yebka',372),</v>
      </c>
    </row>
    <row r="1079" spans="1:8" ht="20.100000000000001" customHeight="1" x14ac:dyDescent="0.25">
      <c r="A1079" s="3">
        <v>1077</v>
      </c>
      <c r="B1079" s="8">
        <v>1110</v>
      </c>
      <c r="C1079" s="4" t="s">
        <v>3508</v>
      </c>
      <c r="D1079" s="4" t="s">
        <v>3509</v>
      </c>
      <c r="E1079" s="4" t="s">
        <v>3509</v>
      </c>
      <c r="F1079" s="7">
        <v>373</v>
      </c>
      <c r="G1079" s="7">
        <v>31</v>
      </c>
      <c r="H1079" s="16" t="str">
        <f t="shared" si="16"/>
        <v>(1077,'1110','عين البية','Ain Biya','Ain Biya',373),</v>
      </c>
    </row>
    <row r="1080" spans="1:8" ht="20.100000000000001" customHeight="1" x14ac:dyDescent="0.25">
      <c r="A1080" s="3">
        <v>1078</v>
      </c>
      <c r="B1080" s="8">
        <v>1115</v>
      </c>
      <c r="C1080" s="4" t="s">
        <v>1819</v>
      </c>
      <c r="D1080" s="4" t="s">
        <v>1818</v>
      </c>
      <c r="E1080" s="4" t="s">
        <v>1818</v>
      </c>
      <c r="F1080" s="7">
        <v>373</v>
      </c>
      <c r="G1080" s="7">
        <v>31</v>
      </c>
      <c r="H1080" s="16" t="str">
        <f t="shared" si="16"/>
        <v>(1078,'1115','بطيوة','Bethioua','Bethioua',373),</v>
      </c>
    </row>
    <row r="1081" spans="1:8" ht="20.100000000000001" customHeight="1" x14ac:dyDescent="0.25">
      <c r="A1081" s="3">
        <v>1079</v>
      </c>
      <c r="B1081" s="8">
        <v>1128</v>
      </c>
      <c r="C1081" s="4" t="s">
        <v>3510</v>
      </c>
      <c r="D1081" s="4" t="s">
        <v>3511</v>
      </c>
      <c r="E1081" s="4" t="s">
        <v>3511</v>
      </c>
      <c r="F1081" s="7">
        <v>373</v>
      </c>
      <c r="G1081" s="7">
        <v>31</v>
      </c>
      <c r="H1081" s="16" t="str">
        <f t="shared" si="16"/>
        <v>(1079,'1128','مرسى الحجاج','Marsat El Hadjadj','Marsat El Hadjadj',373),</v>
      </c>
    </row>
    <row r="1082" spans="1:8" ht="20.100000000000001" customHeight="1" x14ac:dyDescent="0.25">
      <c r="A1082" s="3">
        <v>1080</v>
      </c>
      <c r="B1082" s="8">
        <v>1112</v>
      </c>
      <c r="C1082" s="4" t="s">
        <v>1823</v>
      </c>
      <c r="D1082" s="4" t="s">
        <v>1822</v>
      </c>
      <c r="E1082" s="4" t="s">
        <v>1822</v>
      </c>
      <c r="F1082" s="7">
        <v>374</v>
      </c>
      <c r="G1082" s="7">
        <v>31</v>
      </c>
      <c r="H1082" s="16" t="str">
        <f t="shared" si="16"/>
        <v>(1080,'1112','عين الترك','Ain Turk','Ain Turk',374),</v>
      </c>
    </row>
    <row r="1083" spans="1:8" ht="20.100000000000001" customHeight="1" x14ac:dyDescent="0.25">
      <c r="A1083" s="3">
        <v>1081</v>
      </c>
      <c r="B1083" s="8">
        <v>1118</v>
      </c>
      <c r="C1083" s="4" t="s">
        <v>3512</v>
      </c>
      <c r="D1083" s="4" t="s">
        <v>3513</v>
      </c>
      <c r="E1083" s="4" t="s">
        <v>3513</v>
      </c>
      <c r="F1083" s="7">
        <v>374</v>
      </c>
      <c r="G1083" s="7">
        <v>31</v>
      </c>
      <c r="H1083" s="16" t="str">
        <f t="shared" si="16"/>
        <v>(1081,'1118','بوسفر','Bousfer','Bousfer',374),</v>
      </c>
    </row>
    <row r="1084" spans="1:8" ht="20.100000000000001" customHeight="1" x14ac:dyDescent="0.25">
      <c r="A1084" s="3">
        <v>1082</v>
      </c>
      <c r="B1084" s="8">
        <v>1120</v>
      </c>
      <c r="C1084" s="4" t="s">
        <v>1536</v>
      </c>
      <c r="D1084" s="4" t="s">
        <v>3514</v>
      </c>
      <c r="E1084" s="4" t="s">
        <v>3514</v>
      </c>
      <c r="F1084" s="7">
        <v>374</v>
      </c>
      <c r="G1084" s="7">
        <v>31</v>
      </c>
      <c r="H1084" s="16" t="str">
        <f t="shared" si="16"/>
        <v>(1082,'1120','العنصر','El Ancor','El Ancor',374),</v>
      </c>
    </row>
    <row r="1085" spans="1:8" ht="20.100000000000001" customHeight="1" x14ac:dyDescent="0.25">
      <c r="A1085" s="3">
        <v>1083</v>
      </c>
      <c r="B1085" s="8">
        <v>1129</v>
      </c>
      <c r="C1085" s="4" t="s">
        <v>3515</v>
      </c>
      <c r="D1085" s="4" t="s">
        <v>3516</v>
      </c>
      <c r="E1085" s="4" t="s">
        <v>3516</v>
      </c>
      <c r="F1085" s="7">
        <v>374</v>
      </c>
      <c r="G1085" s="7">
        <v>31</v>
      </c>
      <c r="H1085" s="16" t="str">
        <f t="shared" si="16"/>
        <v>(1083,'1129','المرسى الكبير','Mers El Kebir','Mers El Kebir',374),</v>
      </c>
    </row>
    <row r="1086" spans="1:8" ht="20.100000000000001" customHeight="1" x14ac:dyDescent="0.25">
      <c r="A1086" s="3">
        <v>1084</v>
      </c>
      <c r="B1086" s="8">
        <v>1117</v>
      </c>
      <c r="C1086" s="4" t="s">
        <v>3517</v>
      </c>
      <c r="D1086" s="4" t="s">
        <v>3518</v>
      </c>
      <c r="E1086" s="4" t="s">
        <v>3518</v>
      </c>
      <c r="F1086" s="7">
        <v>375</v>
      </c>
      <c r="G1086" s="7">
        <v>31</v>
      </c>
      <c r="H1086" s="16" t="str">
        <f t="shared" si="16"/>
        <v>(1084,'1117','بوفاتيس','Boufatis','Boufatis',375),</v>
      </c>
    </row>
    <row r="1087" spans="1:8" ht="20.100000000000001" customHeight="1" x14ac:dyDescent="0.25">
      <c r="A1087" s="3">
        <v>1085</v>
      </c>
      <c r="B1087" s="8">
        <v>1121</v>
      </c>
      <c r="C1087" s="4" t="s">
        <v>3519</v>
      </c>
      <c r="D1087" s="4" t="s">
        <v>3520</v>
      </c>
      <c r="E1087" s="4" t="s">
        <v>3520</v>
      </c>
      <c r="F1087" s="7">
        <v>375</v>
      </c>
      <c r="G1087" s="7">
        <v>31</v>
      </c>
      <c r="H1087" s="16" t="str">
        <f t="shared" si="16"/>
        <v>(1085,'1121','البراية','El Braya','El Braya',375),</v>
      </c>
    </row>
    <row r="1088" spans="1:8" ht="20.100000000000001" customHeight="1" x14ac:dyDescent="0.25">
      <c r="A1088" s="3">
        <v>1086</v>
      </c>
      <c r="B1088" s="8">
        <v>1132</v>
      </c>
      <c r="C1088" s="4" t="s">
        <v>1831</v>
      </c>
      <c r="D1088" s="4" t="s">
        <v>1830</v>
      </c>
      <c r="E1088" s="4" t="s">
        <v>1830</v>
      </c>
      <c r="F1088" s="7">
        <v>375</v>
      </c>
      <c r="G1088" s="7">
        <v>31</v>
      </c>
      <c r="H1088" s="16" t="str">
        <f t="shared" si="16"/>
        <v>(1086,'1132','وادي تليلات','Oued Tlelat','Oued Tlelat',375),</v>
      </c>
    </row>
    <row r="1089" spans="1:8" ht="20.100000000000001" customHeight="1" x14ac:dyDescent="0.25">
      <c r="A1089" s="3">
        <v>1087</v>
      </c>
      <c r="B1089" s="8">
        <v>1135</v>
      </c>
      <c r="C1089" s="4" t="s">
        <v>3521</v>
      </c>
      <c r="D1089" s="4" t="s">
        <v>3522</v>
      </c>
      <c r="E1089" s="4" t="s">
        <v>3522</v>
      </c>
      <c r="F1089" s="7">
        <v>375</v>
      </c>
      <c r="G1089" s="7">
        <v>31</v>
      </c>
      <c r="H1089" s="16" t="str">
        <f t="shared" si="16"/>
        <v>(1087,'1135','طفراوي','Tafraoui','Tafraoui',375),</v>
      </c>
    </row>
    <row r="1090" spans="1:8" ht="20.100000000000001" customHeight="1" x14ac:dyDescent="0.25">
      <c r="A1090" s="3">
        <v>1088</v>
      </c>
      <c r="B1090" s="8">
        <v>1111</v>
      </c>
      <c r="C1090" s="4" t="s">
        <v>3523</v>
      </c>
      <c r="D1090" s="4" t="s">
        <v>3524</v>
      </c>
      <c r="E1090" s="4" t="s">
        <v>3524</v>
      </c>
      <c r="F1090" s="7">
        <v>376</v>
      </c>
      <c r="G1090" s="7">
        <v>31</v>
      </c>
      <c r="H1090" s="16" t="str">
        <f t="shared" si="16"/>
        <v>(1088,'1111','عين الكرمة','Ain Kerma','Ain Kerma',376),</v>
      </c>
    </row>
    <row r="1091" spans="1:8" ht="20.100000000000001" customHeight="1" x14ac:dyDescent="0.25">
      <c r="A1091" s="3">
        <v>1089</v>
      </c>
      <c r="B1091" s="8">
        <v>1119</v>
      </c>
      <c r="C1091" s="4" t="s">
        <v>1821</v>
      </c>
      <c r="D1091" s="4" t="s">
        <v>1820</v>
      </c>
      <c r="E1091" s="4" t="s">
        <v>1820</v>
      </c>
      <c r="F1091" s="7">
        <v>376</v>
      </c>
      <c r="G1091" s="7">
        <v>31</v>
      </c>
      <c r="H1091" s="16" t="str">
        <f t="shared" si="16"/>
        <v>(1089,'1119','بوتليليس','Boutlelis','Boutlelis',376),</v>
      </c>
    </row>
    <row r="1092" spans="1:8" ht="20.100000000000001" customHeight="1" x14ac:dyDescent="0.25">
      <c r="A1092" s="3">
        <v>1090</v>
      </c>
      <c r="B1092" s="8">
        <v>1130</v>
      </c>
      <c r="C1092" s="4" t="s">
        <v>3525</v>
      </c>
      <c r="D1092" s="4" t="s">
        <v>3526</v>
      </c>
      <c r="E1092" s="4" t="s">
        <v>3526</v>
      </c>
      <c r="F1092" s="7">
        <v>376</v>
      </c>
      <c r="G1092" s="7">
        <v>31</v>
      </c>
      <c r="H1092" s="16" t="str">
        <f t="shared" ref="H1092:H1155" si="17">CONCATENATE("(",A1092,",'",B1092,"','",C1092,"','",D1092,"','",E1092,"',",F1092,"),")</f>
        <v>(1090,'1130','مسرغين','Messerghin','Messerghin',376),</v>
      </c>
    </row>
    <row r="1093" spans="1:8" ht="20.100000000000001" customHeight="1" x14ac:dyDescent="0.25">
      <c r="A1093" s="3">
        <v>1091</v>
      </c>
      <c r="B1093" s="8">
        <v>1144</v>
      </c>
      <c r="C1093" s="4" t="s">
        <v>1033</v>
      </c>
      <c r="D1093" s="4" t="s">
        <v>1034</v>
      </c>
      <c r="E1093" s="4" t="s">
        <v>1034</v>
      </c>
      <c r="F1093" s="7">
        <v>377</v>
      </c>
      <c r="G1093" s="7">
        <v>32</v>
      </c>
      <c r="H1093" s="16" t="str">
        <f t="shared" si="17"/>
        <v>(1091,'1144','البيض','El Bayadh','El Bayadh',377),</v>
      </c>
    </row>
    <row r="1094" spans="1:8" ht="20.100000000000001" customHeight="1" x14ac:dyDescent="0.25">
      <c r="A1094" s="3">
        <v>1092</v>
      </c>
      <c r="B1094" s="8">
        <v>1142</v>
      </c>
      <c r="C1094" s="4" t="s">
        <v>3527</v>
      </c>
      <c r="D1094" s="4" t="s">
        <v>3528</v>
      </c>
      <c r="E1094" s="4" t="s">
        <v>3528</v>
      </c>
      <c r="F1094" s="7">
        <v>378</v>
      </c>
      <c r="G1094" s="7">
        <v>32</v>
      </c>
      <c r="H1094" s="16" t="str">
        <f t="shared" si="17"/>
        <v>(1092,'1142','الشقيق','Cheguig','Cheguig',378),</v>
      </c>
    </row>
    <row r="1095" spans="1:8" ht="20.100000000000001" customHeight="1" x14ac:dyDescent="0.25">
      <c r="A1095" s="3">
        <v>1093</v>
      </c>
      <c r="B1095" s="8">
        <v>1150</v>
      </c>
      <c r="C1095" s="4" t="s">
        <v>3529</v>
      </c>
      <c r="D1095" s="4" t="s">
        <v>3530</v>
      </c>
      <c r="E1095" s="4" t="s">
        <v>3530</v>
      </c>
      <c r="F1095" s="7">
        <v>378</v>
      </c>
      <c r="G1095" s="7">
        <v>32</v>
      </c>
      <c r="H1095" s="16" t="str">
        <f t="shared" si="17"/>
        <v>(1093,'1150','الكاف الأحمر','Kef El Ahmar','Kef El Ahmar',378),</v>
      </c>
    </row>
    <row r="1096" spans="1:8" ht="20.100000000000001" customHeight="1" x14ac:dyDescent="0.25">
      <c r="A1096" s="3">
        <v>1094</v>
      </c>
      <c r="B1096" s="8">
        <v>1152</v>
      </c>
      <c r="C1096" s="4" t="s">
        <v>1845</v>
      </c>
      <c r="D1096" s="4" t="s">
        <v>1844</v>
      </c>
      <c r="E1096" s="4" t="s">
        <v>1844</v>
      </c>
      <c r="F1096" s="7">
        <v>378</v>
      </c>
      <c r="G1096" s="7">
        <v>32</v>
      </c>
      <c r="H1096" s="16" t="str">
        <f t="shared" si="17"/>
        <v>(1094,'1152','رقاصة','Rogassa','Rogassa',378),</v>
      </c>
    </row>
    <row r="1097" spans="1:8" ht="20.100000000000001" customHeight="1" x14ac:dyDescent="0.25">
      <c r="A1097" s="3">
        <v>1095</v>
      </c>
      <c r="B1097" s="8">
        <v>1141</v>
      </c>
      <c r="C1097" s="4" t="s">
        <v>1843</v>
      </c>
      <c r="D1097" s="4" t="s">
        <v>1842</v>
      </c>
      <c r="E1097" s="4" t="s">
        <v>1842</v>
      </c>
      <c r="F1097" s="7">
        <v>379</v>
      </c>
      <c r="G1097" s="7">
        <v>32</v>
      </c>
      <c r="H1097" s="16" t="str">
        <f t="shared" si="17"/>
        <v>(1095,'1141','بريزينة','Brezina','Brezina',379),</v>
      </c>
    </row>
    <row r="1098" spans="1:8" ht="20.100000000000001" customHeight="1" x14ac:dyDescent="0.25">
      <c r="A1098" s="3">
        <v>1096</v>
      </c>
      <c r="B1098" s="8">
        <v>1149</v>
      </c>
      <c r="C1098" s="4" t="s">
        <v>3531</v>
      </c>
      <c r="D1098" s="4" t="s">
        <v>3532</v>
      </c>
      <c r="E1098" s="4" t="s">
        <v>3532</v>
      </c>
      <c r="F1098" s="7">
        <v>379</v>
      </c>
      <c r="G1098" s="7">
        <v>32</v>
      </c>
      <c r="H1098" s="16" t="str">
        <f t="shared" si="17"/>
        <v>(1096,'1149','الغاسول','Ghassoul','Ghassoul',379),</v>
      </c>
    </row>
    <row r="1099" spans="1:8" ht="20.100000000000001" customHeight="1" x14ac:dyDescent="0.25">
      <c r="A1099" s="3">
        <v>1097</v>
      </c>
      <c r="B1099" s="8">
        <v>1151</v>
      </c>
      <c r="C1099" s="4" t="s">
        <v>3533</v>
      </c>
      <c r="D1099" s="4" t="s">
        <v>3534</v>
      </c>
      <c r="E1099" s="4" t="s">
        <v>3534</v>
      </c>
      <c r="F1099" s="7">
        <v>379</v>
      </c>
      <c r="G1099" s="7">
        <v>32</v>
      </c>
      <c r="H1099" s="16" t="str">
        <f t="shared" si="17"/>
        <v>(1097,'1151','كراكدة','Krakda','Krakda',379),</v>
      </c>
    </row>
    <row r="1100" spans="1:8" ht="20.100000000000001" customHeight="1" x14ac:dyDescent="0.25">
      <c r="A1100" s="3">
        <v>1098</v>
      </c>
      <c r="B1100" s="8">
        <v>1138</v>
      </c>
      <c r="C1100" s="4" t="s">
        <v>1837</v>
      </c>
      <c r="D1100" s="4" t="s">
        <v>1836</v>
      </c>
      <c r="E1100" s="4" t="s">
        <v>1836</v>
      </c>
      <c r="F1100" s="7">
        <v>380</v>
      </c>
      <c r="G1100" s="7">
        <v>32</v>
      </c>
      <c r="H1100" s="16" t="str">
        <f t="shared" si="17"/>
        <v>(1098,'1138','بوعلام','Boualem','Boualem',380),</v>
      </c>
    </row>
    <row r="1101" spans="1:8" ht="20.100000000000001" customHeight="1" x14ac:dyDescent="0.25">
      <c r="A1101" s="3">
        <v>1099</v>
      </c>
      <c r="B1101" s="8">
        <v>1153</v>
      </c>
      <c r="C1101" s="4" t="s">
        <v>1771</v>
      </c>
      <c r="D1101" s="4" t="s">
        <v>1770</v>
      </c>
      <c r="E1101" s="4" t="s">
        <v>1770</v>
      </c>
      <c r="F1101" s="7">
        <v>380</v>
      </c>
      <c r="G1101" s="7">
        <v>32</v>
      </c>
      <c r="H1101" s="16" t="str">
        <f t="shared" si="17"/>
        <v>(1099,'1153','سيدي عامر','Sidi Ameur','Sidi Ameur',380),</v>
      </c>
    </row>
    <row r="1102" spans="1:8" ht="20.100000000000001" customHeight="1" x14ac:dyDescent="0.25">
      <c r="A1102" s="3">
        <v>1100</v>
      </c>
      <c r="B1102" s="8">
        <v>1154</v>
      </c>
      <c r="C1102" s="4" t="s">
        <v>3535</v>
      </c>
      <c r="D1102" s="4" t="s">
        <v>3536</v>
      </c>
      <c r="E1102" s="4" t="s">
        <v>3536</v>
      </c>
      <c r="F1102" s="7">
        <v>380</v>
      </c>
      <c r="G1102" s="7">
        <v>32</v>
      </c>
      <c r="H1102" s="16" t="str">
        <f t="shared" si="17"/>
        <v>(1100,'1154','سيدي سليمان','Sidi Slimane','Sidi Slimane',380),</v>
      </c>
    </row>
    <row r="1103" spans="1:8" ht="20.100000000000001" customHeight="1" x14ac:dyDescent="0.25">
      <c r="A1103" s="3">
        <v>1101</v>
      </c>
      <c r="B1103" s="8">
        <v>1155</v>
      </c>
      <c r="C1103" s="4" t="s">
        <v>3537</v>
      </c>
      <c r="D1103" s="4" t="s">
        <v>3538</v>
      </c>
      <c r="E1103" s="4" t="s">
        <v>3538</v>
      </c>
      <c r="F1103" s="7">
        <v>380</v>
      </c>
      <c r="G1103" s="7">
        <v>32</v>
      </c>
      <c r="H1103" s="16" t="str">
        <f t="shared" si="17"/>
        <v>(1101,'1155','سيدي طيفور','Sidi Tiffour','Sidi Tiffour',380),</v>
      </c>
    </row>
    <row r="1104" spans="1:8" ht="20.100000000000001" customHeight="1" x14ac:dyDescent="0.25">
      <c r="A1104" s="3">
        <v>1102</v>
      </c>
      <c r="B1104" s="8">
        <v>1156</v>
      </c>
      <c r="C1104" s="4" t="s">
        <v>3539</v>
      </c>
      <c r="D1104" s="4" t="s">
        <v>3540</v>
      </c>
      <c r="E1104" s="4" t="s">
        <v>3540</v>
      </c>
      <c r="F1104" s="7">
        <v>380</v>
      </c>
      <c r="G1104" s="7">
        <v>32</v>
      </c>
      <c r="H1104" s="16" t="str">
        <f t="shared" si="17"/>
        <v>(1102,'1156','ستيتن','Stitten','Stitten',380),</v>
      </c>
    </row>
    <row r="1105" spans="1:8" ht="20.100000000000001" customHeight="1" x14ac:dyDescent="0.25">
      <c r="A1105" s="3">
        <v>1103</v>
      </c>
      <c r="B1105" s="8">
        <v>1136</v>
      </c>
      <c r="C1105" s="4" t="s">
        <v>3541</v>
      </c>
      <c r="D1105" s="4" t="s">
        <v>3542</v>
      </c>
      <c r="E1105" s="4" t="s">
        <v>3542</v>
      </c>
      <c r="F1105" s="7">
        <v>381</v>
      </c>
      <c r="G1105" s="7">
        <v>32</v>
      </c>
      <c r="H1105" s="16" t="str">
        <f t="shared" si="17"/>
        <v>(1103,'1136','عين العراك','Ain El Orak','Ain El Orak',381),</v>
      </c>
    </row>
    <row r="1106" spans="1:8" ht="20.100000000000001" customHeight="1" x14ac:dyDescent="0.25">
      <c r="A1106" s="3">
        <v>1104</v>
      </c>
      <c r="B1106" s="8">
        <v>1137</v>
      </c>
      <c r="C1106" s="4" t="s">
        <v>3543</v>
      </c>
      <c r="D1106" s="4" t="s">
        <v>3544</v>
      </c>
      <c r="E1106" s="4" t="s">
        <v>3544</v>
      </c>
      <c r="F1106" s="7">
        <v>381</v>
      </c>
      <c r="G1106" s="7">
        <v>32</v>
      </c>
      <c r="H1106" s="16" t="str">
        <f t="shared" si="17"/>
        <v>(1104,'1137','اربوات','Arbaouat','Arbaouat',381),</v>
      </c>
    </row>
    <row r="1107" spans="1:8" ht="20.100000000000001" customHeight="1" x14ac:dyDescent="0.25">
      <c r="A1107" s="3">
        <v>1105</v>
      </c>
      <c r="B1107" s="8">
        <v>1145</v>
      </c>
      <c r="C1107" s="4" t="s">
        <v>1835</v>
      </c>
      <c r="D1107" s="4" t="s">
        <v>1834</v>
      </c>
      <c r="E1107" s="4" t="s">
        <v>1834</v>
      </c>
      <c r="F1107" s="7">
        <v>381</v>
      </c>
      <c r="G1107" s="7">
        <v>32</v>
      </c>
      <c r="H1107" s="16" t="str">
        <f t="shared" si="17"/>
        <v>(1105,'1145','الأبيض سيدي الشيخ','Labiodh Sidi Cheikh','Labiodh Sidi Cheikh',381),</v>
      </c>
    </row>
    <row r="1108" spans="1:8" ht="20.100000000000001" customHeight="1" x14ac:dyDescent="0.25">
      <c r="A1108" s="3">
        <v>1106</v>
      </c>
      <c r="B1108" s="8">
        <v>1146</v>
      </c>
      <c r="C1108" s="4" t="s">
        <v>3545</v>
      </c>
      <c r="D1108" s="4" t="s">
        <v>3546</v>
      </c>
      <c r="E1108" s="4" t="s">
        <v>3546</v>
      </c>
      <c r="F1108" s="7">
        <v>381</v>
      </c>
      <c r="G1108" s="7">
        <v>32</v>
      </c>
      <c r="H1108" s="16" t="str">
        <f t="shared" si="17"/>
        <v>(1106,'1146','البنود','El Bnoud','El Bnoud',381),</v>
      </c>
    </row>
    <row r="1109" spans="1:8" ht="20.100000000000001" customHeight="1" x14ac:dyDescent="0.25">
      <c r="A1109" s="3">
        <v>1107</v>
      </c>
      <c r="B1109" s="8">
        <v>1139</v>
      </c>
      <c r="C1109" s="4" t="s">
        <v>1839</v>
      </c>
      <c r="D1109" s="4" t="s">
        <v>1838</v>
      </c>
      <c r="E1109" s="4" t="s">
        <v>1838</v>
      </c>
      <c r="F1109" s="7">
        <v>382</v>
      </c>
      <c r="G1109" s="7">
        <v>32</v>
      </c>
      <c r="H1109" s="16" t="str">
        <f t="shared" si="17"/>
        <v>(1107,'1139','بوقطب','Bougtoub','Bougtoub',382),</v>
      </c>
    </row>
    <row r="1110" spans="1:8" ht="20.100000000000001" customHeight="1" x14ac:dyDescent="0.25">
      <c r="A1110" s="3">
        <v>1108</v>
      </c>
      <c r="B1110" s="8">
        <v>1147</v>
      </c>
      <c r="C1110" s="4" t="s">
        <v>3547</v>
      </c>
      <c r="D1110" s="4" t="s">
        <v>3548</v>
      </c>
      <c r="E1110" s="4" t="s">
        <v>3548</v>
      </c>
      <c r="F1110" s="7">
        <v>382</v>
      </c>
      <c r="G1110" s="7">
        <v>32</v>
      </c>
      <c r="H1110" s="16" t="str">
        <f t="shared" si="17"/>
        <v>(1108,'1147','الخيثر','El Kheiter','El Kheiter',382),</v>
      </c>
    </row>
    <row r="1111" spans="1:8" ht="20.100000000000001" customHeight="1" x14ac:dyDescent="0.25">
      <c r="A1111" s="3">
        <v>1109</v>
      </c>
      <c r="B1111" s="8">
        <v>1157</v>
      </c>
      <c r="C1111" s="4" t="s">
        <v>3549</v>
      </c>
      <c r="D1111" s="4" t="s">
        <v>3550</v>
      </c>
      <c r="E1111" s="4" t="s">
        <v>3550</v>
      </c>
      <c r="F1111" s="7">
        <v>382</v>
      </c>
      <c r="G1111" s="7">
        <v>32</v>
      </c>
      <c r="H1111" s="16" t="str">
        <f t="shared" si="17"/>
        <v>(1109,'1157','توسمولين','Tousmouline','Tousmouline',382),</v>
      </c>
    </row>
    <row r="1112" spans="1:8" ht="20.100000000000001" customHeight="1" x14ac:dyDescent="0.25">
      <c r="A1112" s="3">
        <v>1110</v>
      </c>
      <c r="B1112" s="8">
        <v>1140</v>
      </c>
      <c r="C1112" s="4" t="s">
        <v>1841</v>
      </c>
      <c r="D1112" s="4" t="s">
        <v>1840</v>
      </c>
      <c r="E1112" s="4" t="s">
        <v>1840</v>
      </c>
      <c r="F1112" s="7">
        <v>383</v>
      </c>
      <c r="G1112" s="7">
        <v>32</v>
      </c>
      <c r="H1112" s="16" t="str">
        <f t="shared" si="17"/>
        <v>(1110,'1140','بوسمغون','Boussemghoun','Boussemghoun',383),</v>
      </c>
    </row>
    <row r="1113" spans="1:8" ht="20.100000000000001" customHeight="1" x14ac:dyDescent="0.25">
      <c r="A1113" s="3">
        <v>1111</v>
      </c>
      <c r="B1113" s="8">
        <v>1143</v>
      </c>
      <c r="C1113" s="4" t="s">
        <v>1847</v>
      </c>
      <c r="D1113" s="4" t="s">
        <v>1846</v>
      </c>
      <c r="E1113" s="4" t="s">
        <v>1846</v>
      </c>
      <c r="F1113" s="7">
        <v>384</v>
      </c>
      <c r="G1113" s="7">
        <v>32</v>
      </c>
      <c r="H1113" s="16" t="str">
        <f t="shared" si="17"/>
        <v>(1111,'1143','شلالة','Chellala','Chellala',384),</v>
      </c>
    </row>
    <row r="1114" spans="1:8" ht="20.100000000000001" customHeight="1" x14ac:dyDescent="0.25">
      <c r="A1114" s="3">
        <v>1112</v>
      </c>
      <c r="B1114" s="8">
        <v>1148</v>
      </c>
      <c r="C1114" s="4" t="s">
        <v>3551</v>
      </c>
      <c r="D1114" s="4" t="s">
        <v>3552</v>
      </c>
      <c r="E1114" s="4" t="s">
        <v>3552</v>
      </c>
      <c r="F1114" s="7">
        <v>384</v>
      </c>
      <c r="G1114" s="7">
        <v>32</v>
      </c>
      <c r="H1114" s="16" t="str">
        <f t="shared" si="17"/>
        <v>(1112,'1148','المحرة','El Mehara','El Mehara',384),</v>
      </c>
    </row>
    <row r="1115" spans="1:8" ht="20.100000000000001" customHeight="1" x14ac:dyDescent="0.25">
      <c r="A1115" s="3">
        <v>1113</v>
      </c>
      <c r="B1115" s="8">
        <v>1162</v>
      </c>
      <c r="C1115" s="4" t="s">
        <v>1850</v>
      </c>
      <c r="D1115" s="4" t="s">
        <v>1036</v>
      </c>
      <c r="E1115" s="4" t="s">
        <v>1036</v>
      </c>
      <c r="F1115" s="7">
        <v>385</v>
      </c>
      <c r="G1115" s="7">
        <v>33</v>
      </c>
      <c r="H1115" s="16" t="str">
        <f t="shared" si="17"/>
        <v>(1113,'1162','إيليزي','Illizi','Illizi',385),</v>
      </c>
    </row>
    <row r="1116" spans="1:8" ht="20.100000000000001" customHeight="1" x14ac:dyDescent="0.25">
      <c r="A1116" s="3">
        <v>1114</v>
      </c>
      <c r="B1116" s="8">
        <v>1159</v>
      </c>
      <c r="C1116" s="4" t="s">
        <v>3553</v>
      </c>
      <c r="D1116" s="4" t="s">
        <v>3554</v>
      </c>
      <c r="E1116" s="4" t="s">
        <v>3554</v>
      </c>
      <c r="F1116" s="7">
        <v>386</v>
      </c>
      <c r="G1116" s="7">
        <v>33</v>
      </c>
      <c r="H1116" s="16" t="str">
        <f t="shared" si="17"/>
        <v>(1114,'1159','برج عمر إدريس','Bordj Omar Driss','Bordj Omar Driss',386),</v>
      </c>
    </row>
    <row r="1117" spans="1:8" ht="20.100000000000001" customHeight="1" x14ac:dyDescent="0.25">
      <c r="A1117" s="3">
        <v>1115</v>
      </c>
      <c r="B1117" s="8">
        <v>1160</v>
      </c>
      <c r="C1117" s="4" t="s">
        <v>3555</v>
      </c>
      <c r="D1117" s="4" t="s">
        <v>3556</v>
      </c>
      <c r="E1117" s="4" t="s">
        <v>3556</v>
      </c>
      <c r="F1117" s="7">
        <v>386</v>
      </c>
      <c r="G1117" s="7">
        <v>33</v>
      </c>
      <c r="H1117" s="16" t="str">
        <f t="shared" si="17"/>
        <v>(1115,'1160','دبداب','Debdeb','Debdeb',386),</v>
      </c>
    </row>
    <row r="1118" spans="1:8" ht="20.100000000000001" customHeight="1" x14ac:dyDescent="0.25">
      <c r="A1118" s="3">
        <v>1116</v>
      </c>
      <c r="B1118" s="8">
        <v>1163</v>
      </c>
      <c r="C1118" s="4" t="s">
        <v>1849</v>
      </c>
      <c r="D1118" s="4" t="s">
        <v>1848</v>
      </c>
      <c r="E1118" s="4" t="s">
        <v>1848</v>
      </c>
      <c r="F1118" s="7">
        <v>386</v>
      </c>
      <c r="G1118" s="7">
        <v>33</v>
      </c>
      <c r="H1118" s="16" t="str">
        <f t="shared" si="17"/>
        <v>(1116,'1163','إن أمناس','In Amenas','In Amenas',386),</v>
      </c>
    </row>
    <row r="1119" spans="1:8" ht="20.100000000000001" customHeight="1" x14ac:dyDescent="0.25">
      <c r="A1119" s="3">
        <v>1117</v>
      </c>
      <c r="B1119" s="8">
        <v>1166</v>
      </c>
      <c r="C1119" s="4" t="s">
        <v>3557</v>
      </c>
      <c r="D1119" s="4" t="s">
        <v>3558</v>
      </c>
      <c r="E1119" s="4" t="s">
        <v>3558</v>
      </c>
      <c r="F1119" s="7">
        <v>387</v>
      </c>
      <c r="G1119" s="7">
        <v>34</v>
      </c>
      <c r="H1119" s="16" t="str">
        <f t="shared" si="17"/>
        <v>(1117,'1166','برج بوعريرج','B. B. Arreridj','B. B. Arreridj',387),</v>
      </c>
    </row>
    <row r="1120" spans="1:8" ht="20.100000000000001" customHeight="1" x14ac:dyDescent="0.25">
      <c r="A1120" s="3">
        <v>1118</v>
      </c>
      <c r="B1120" s="8">
        <v>1165</v>
      </c>
      <c r="C1120" s="4" t="s">
        <v>3559</v>
      </c>
      <c r="D1120" s="4" t="s">
        <v>3560</v>
      </c>
      <c r="E1120" s="4" t="s">
        <v>3560</v>
      </c>
      <c r="F1120" s="7">
        <v>388</v>
      </c>
      <c r="G1120" s="7">
        <v>34</v>
      </c>
      <c r="H1120" s="16" t="str">
        <f t="shared" si="17"/>
        <v>(1118,'1165','عين تسرة','Ain Tesra','Ain Tesra',388),</v>
      </c>
    </row>
    <row r="1121" spans="1:8" ht="20.100000000000001" customHeight="1" x14ac:dyDescent="0.25">
      <c r="A1121" s="3">
        <v>1119</v>
      </c>
      <c r="B1121" s="8">
        <v>1187</v>
      </c>
      <c r="C1121" s="4" t="s">
        <v>3561</v>
      </c>
      <c r="D1121" s="4" t="s">
        <v>3562</v>
      </c>
      <c r="E1121" s="4" t="s">
        <v>3562</v>
      </c>
      <c r="F1121" s="7">
        <v>388</v>
      </c>
      <c r="G1121" s="7">
        <v>34</v>
      </c>
      <c r="H1121" s="16" t="str">
        <f t="shared" si="17"/>
        <v>(1119,'1187','أولاد أبراهم','Ouled Brahem','Ouled Brahem',388),</v>
      </c>
    </row>
    <row r="1122" spans="1:8" ht="20.100000000000001" customHeight="1" x14ac:dyDescent="0.25">
      <c r="A1122" s="3">
        <v>1120</v>
      </c>
      <c r="B1122" s="8">
        <v>1191</v>
      </c>
      <c r="C1122" s="4" t="s">
        <v>1854</v>
      </c>
      <c r="D1122" s="4" t="s">
        <v>1853</v>
      </c>
      <c r="E1122" s="4" t="s">
        <v>1853</v>
      </c>
      <c r="F1122" s="7">
        <v>388</v>
      </c>
      <c r="G1122" s="7">
        <v>34</v>
      </c>
      <c r="H1122" s="16" t="str">
        <f t="shared" si="17"/>
        <v>(1120,'1191','رأس الوادي','Ras El Oued','Ras El Oued',388),</v>
      </c>
    </row>
    <row r="1123" spans="1:8" ht="20.100000000000001" customHeight="1" x14ac:dyDescent="0.25">
      <c r="A1123" s="3">
        <v>1121</v>
      </c>
      <c r="B1123" s="8">
        <v>1171</v>
      </c>
      <c r="C1123" s="4" t="s">
        <v>1861</v>
      </c>
      <c r="D1123" s="4" t="s">
        <v>1860</v>
      </c>
      <c r="E1123" s="4" t="s">
        <v>1860</v>
      </c>
      <c r="F1123" s="7">
        <v>389</v>
      </c>
      <c r="G1123" s="7">
        <v>34</v>
      </c>
      <c r="H1123" s="16" t="str">
        <f t="shared" si="17"/>
        <v>(1121,'1171','برج زمورة','Bordj Zemmoura','Bordj Zemmoura',389),</v>
      </c>
    </row>
    <row r="1124" spans="1:8" ht="20.100000000000001" customHeight="1" x14ac:dyDescent="0.25">
      <c r="A1124" s="3">
        <v>1122</v>
      </c>
      <c r="B1124" s="8">
        <v>1188</v>
      </c>
      <c r="C1124" s="4" t="s">
        <v>3563</v>
      </c>
      <c r="D1124" s="4" t="s">
        <v>3564</v>
      </c>
      <c r="E1124" s="4" t="s">
        <v>3564</v>
      </c>
      <c r="F1124" s="7">
        <v>389</v>
      </c>
      <c r="G1124" s="7">
        <v>34</v>
      </c>
      <c r="H1124" s="16" t="str">
        <f t="shared" si="17"/>
        <v>(1122,'1188','أولاد دحمان','Ouled Dahmane','Ouled Dahmane',389),</v>
      </c>
    </row>
    <row r="1125" spans="1:8" ht="20.100000000000001" customHeight="1" x14ac:dyDescent="0.25">
      <c r="A1125" s="3">
        <v>1123</v>
      </c>
      <c r="B1125" s="8">
        <v>1195</v>
      </c>
      <c r="C1125" s="4" t="s">
        <v>3565</v>
      </c>
      <c r="D1125" s="4" t="s">
        <v>3566</v>
      </c>
      <c r="E1125" s="4" t="s">
        <v>3566</v>
      </c>
      <c r="F1125" s="7">
        <v>389</v>
      </c>
      <c r="G1125" s="7">
        <v>34</v>
      </c>
      <c r="H1125" s="16" t="str">
        <f t="shared" si="17"/>
        <v>(1123,'1195','تسامرت','Tassamert','Tassamert',389),</v>
      </c>
    </row>
    <row r="1126" spans="1:8" ht="20.100000000000001" customHeight="1" x14ac:dyDescent="0.25">
      <c r="A1126" s="3">
        <v>1124</v>
      </c>
      <c r="B1126" s="8">
        <v>1168</v>
      </c>
      <c r="C1126" s="4" t="s">
        <v>3567</v>
      </c>
      <c r="D1126" s="4" t="s">
        <v>3568</v>
      </c>
      <c r="E1126" s="4" t="s">
        <v>3568</v>
      </c>
      <c r="F1126" s="7">
        <v>390</v>
      </c>
      <c r="G1126" s="7">
        <v>34</v>
      </c>
      <c r="H1126" s="16" t="str">
        <f t="shared" si="17"/>
        <v>(1124,'1168','بن داود','Ben Daoud','Ben Daoud',390),</v>
      </c>
    </row>
    <row r="1127" spans="1:8" ht="20.100000000000001" customHeight="1" x14ac:dyDescent="0.25">
      <c r="A1127" s="3">
        <v>1125</v>
      </c>
      <c r="B1127" s="8">
        <v>1179</v>
      </c>
      <c r="C1127" s="4" t="s">
        <v>3569</v>
      </c>
      <c r="D1127" s="4" t="s">
        <v>5871</v>
      </c>
      <c r="E1127" s="4" t="s">
        <v>5871</v>
      </c>
      <c r="F1127" s="7">
        <v>390</v>
      </c>
      <c r="G1127" s="7">
        <v>34</v>
      </c>
      <c r="H1127" s="16" t="str">
        <f t="shared" si="17"/>
        <v>(1125,'1179','المهير','El M\'hir','El M\'hir',390),</v>
      </c>
    </row>
    <row r="1128" spans="1:8" ht="20.100000000000001" customHeight="1" x14ac:dyDescent="0.25">
      <c r="A1128" s="3">
        <v>1126</v>
      </c>
      <c r="B1128" s="8">
        <v>1181</v>
      </c>
      <c r="C1128" s="4" t="s">
        <v>3570</v>
      </c>
      <c r="D1128" s="4" t="s">
        <v>3571</v>
      </c>
      <c r="E1128" s="4" t="s">
        <v>3571</v>
      </c>
      <c r="F1128" s="7">
        <v>390</v>
      </c>
      <c r="G1128" s="7">
        <v>34</v>
      </c>
      <c r="H1128" s="16" t="str">
        <f t="shared" si="17"/>
        <v>(1126,'1181','حرازة','Haraza','Haraza',390),</v>
      </c>
    </row>
    <row r="1129" spans="1:8" ht="20.100000000000001" customHeight="1" x14ac:dyDescent="0.25">
      <c r="A1129" s="3">
        <v>1127</v>
      </c>
      <c r="B1129" s="8">
        <v>1185</v>
      </c>
      <c r="C1129" s="4" t="s">
        <v>1857</v>
      </c>
      <c r="D1129" s="4" t="s">
        <v>3572</v>
      </c>
      <c r="E1129" s="4" t="s">
        <v>3572</v>
      </c>
      <c r="F1129" s="7">
        <v>390</v>
      </c>
      <c r="G1129" s="7">
        <v>34</v>
      </c>
      <c r="H1129" s="16" t="str">
        <f t="shared" si="17"/>
        <v>(1127,'1185','المنصورة','Mansoura','Mansoura',390),</v>
      </c>
    </row>
    <row r="1130" spans="1:8" ht="20.100000000000001" customHeight="1" x14ac:dyDescent="0.25">
      <c r="A1130" s="3">
        <v>1128</v>
      </c>
      <c r="B1130" s="8">
        <v>1189</v>
      </c>
      <c r="C1130" s="4" t="s">
        <v>1754</v>
      </c>
      <c r="D1130" s="4" t="s">
        <v>3573</v>
      </c>
      <c r="E1130" s="4" t="s">
        <v>3573</v>
      </c>
      <c r="F1130" s="7">
        <v>390</v>
      </c>
      <c r="G1130" s="7">
        <v>34</v>
      </c>
      <c r="H1130" s="16" t="str">
        <f t="shared" si="17"/>
        <v>(1128,'1189','أولاد سيدي ابراهيم','Ouled Sidi-Brahim','Ouled Sidi-Brahim',390),</v>
      </c>
    </row>
    <row r="1131" spans="1:8" ht="20.100000000000001" customHeight="1" x14ac:dyDescent="0.25">
      <c r="A1131" s="3">
        <v>1129</v>
      </c>
      <c r="B1131" s="8">
        <v>1164</v>
      </c>
      <c r="C1131" s="4" t="s">
        <v>1852</v>
      </c>
      <c r="D1131" s="4" t="s">
        <v>1851</v>
      </c>
      <c r="E1131" s="4" t="s">
        <v>1851</v>
      </c>
      <c r="F1131" s="7">
        <v>391</v>
      </c>
      <c r="G1131" s="7">
        <v>34</v>
      </c>
      <c r="H1131" s="16" t="str">
        <f t="shared" si="17"/>
        <v>(1129,'1164','عين تاغروت','Ain Taghrout','Ain Taghrout',391),</v>
      </c>
    </row>
    <row r="1132" spans="1:8" ht="20.100000000000001" customHeight="1" x14ac:dyDescent="0.25">
      <c r="A1132" s="3">
        <v>1130</v>
      </c>
      <c r="B1132" s="8">
        <v>1197</v>
      </c>
      <c r="C1132" s="4" t="s">
        <v>3574</v>
      </c>
      <c r="D1132" s="4" t="s">
        <v>3575</v>
      </c>
      <c r="E1132" s="4" t="s">
        <v>3575</v>
      </c>
      <c r="F1132" s="7">
        <v>391</v>
      </c>
      <c r="G1132" s="7">
        <v>34</v>
      </c>
      <c r="H1132" s="16" t="str">
        <f t="shared" si="17"/>
        <v>(1130,'1197','تيكستار','Tixter','Tixter',391),</v>
      </c>
    </row>
    <row r="1133" spans="1:8" ht="20.100000000000001" customHeight="1" x14ac:dyDescent="0.25">
      <c r="A1133" s="3">
        <v>1131</v>
      </c>
      <c r="B1133" s="8">
        <v>1167</v>
      </c>
      <c r="C1133" s="4" t="s">
        <v>3576</v>
      </c>
      <c r="D1133" s="4" t="s">
        <v>3577</v>
      </c>
      <c r="E1133" s="4" t="s">
        <v>3577</v>
      </c>
      <c r="F1133" s="7">
        <v>392</v>
      </c>
      <c r="G1133" s="7">
        <v>34</v>
      </c>
      <c r="H1133" s="16" t="str">
        <f t="shared" si="17"/>
        <v>(1131,'1167','بليمور','Belimour','Belimour',392),</v>
      </c>
    </row>
    <row r="1134" spans="1:8" ht="20.100000000000001" customHeight="1" x14ac:dyDescent="0.25">
      <c r="A1134" s="3">
        <v>1132</v>
      </c>
      <c r="B1134" s="8">
        <v>1170</v>
      </c>
      <c r="C1134" s="4" t="s">
        <v>1856</v>
      </c>
      <c r="D1134" s="4" t="s">
        <v>1855</v>
      </c>
      <c r="E1134" s="4" t="s">
        <v>1855</v>
      </c>
      <c r="F1134" s="7">
        <v>392</v>
      </c>
      <c r="G1134" s="7">
        <v>34</v>
      </c>
      <c r="H1134" s="16" t="str">
        <f t="shared" si="17"/>
        <v>(1132,'1170','برج الغدير','Bordj Ghedir','Bordj Ghedir',392),</v>
      </c>
    </row>
    <row r="1135" spans="1:8" ht="20.100000000000001" customHeight="1" x14ac:dyDescent="0.25">
      <c r="A1135" s="3">
        <v>1133</v>
      </c>
      <c r="B1135" s="8">
        <v>1176</v>
      </c>
      <c r="C1135" s="4" t="s">
        <v>3578</v>
      </c>
      <c r="D1135" s="4" t="s">
        <v>3579</v>
      </c>
      <c r="E1135" s="4" t="s">
        <v>3579</v>
      </c>
      <c r="F1135" s="7">
        <v>392</v>
      </c>
      <c r="G1135" s="7">
        <v>34</v>
      </c>
      <c r="H1135" s="16" t="str">
        <f t="shared" si="17"/>
        <v>(1133,'1176','العناصر','El Annasseur','El Annasseur',392),</v>
      </c>
    </row>
    <row r="1136" spans="1:8" ht="20.100000000000001" customHeight="1" x14ac:dyDescent="0.25">
      <c r="A1136" s="3">
        <v>1134</v>
      </c>
      <c r="B1136" s="8">
        <v>1180</v>
      </c>
      <c r="C1136" s="4" t="s">
        <v>3580</v>
      </c>
      <c r="D1136" s="4" t="s">
        <v>3581</v>
      </c>
      <c r="E1136" s="4" t="s">
        <v>3581</v>
      </c>
      <c r="F1136" s="7">
        <v>392</v>
      </c>
      <c r="G1136" s="7">
        <v>34</v>
      </c>
      <c r="H1136" s="16" t="str">
        <f t="shared" si="17"/>
        <v>(1134,'1180','غيلاسة','Ghailasa','Ghailasa',392),</v>
      </c>
    </row>
    <row r="1137" spans="1:8" ht="20.100000000000001" customHeight="1" x14ac:dyDescent="0.25">
      <c r="A1137" s="3">
        <v>1135</v>
      </c>
      <c r="B1137" s="8">
        <v>1194</v>
      </c>
      <c r="C1137" s="4" t="s">
        <v>3582</v>
      </c>
      <c r="D1137" s="4" t="s">
        <v>3583</v>
      </c>
      <c r="E1137" s="4" t="s">
        <v>3583</v>
      </c>
      <c r="F1137" s="7">
        <v>392</v>
      </c>
      <c r="G1137" s="7">
        <v>34</v>
      </c>
      <c r="H1137" s="16" t="str">
        <f t="shared" si="17"/>
        <v>(1135,'1194','تقلعيت','Taglait','Taglait',392),</v>
      </c>
    </row>
    <row r="1138" spans="1:8" ht="20.100000000000001" customHeight="1" x14ac:dyDescent="0.25">
      <c r="A1138" s="3">
        <v>1136</v>
      </c>
      <c r="B1138" s="8">
        <v>1174</v>
      </c>
      <c r="C1138" s="4" t="s">
        <v>3584</v>
      </c>
      <c r="D1138" s="4" t="s">
        <v>3585</v>
      </c>
      <c r="E1138" s="4" t="s">
        <v>3585</v>
      </c>
      <c r="F1138" s="7">
        <v>393</v>
      </c>
      <c r="G1138" s="7">
        <v>34</v>
      </c>
      <c r="H1138" s="16" t="str">
        <f t="shared" si="17"/>
        <v>(1136,'1174','العش','El Euch','El Euch',393),</v>
      </c>
    </row>
    <row r="1139" spans="1:8" ht="20.100000000000001" customHeight="1" x14ac:dyDescent="0.25">
      <c r="A1139" s="3">
        <v>1137</v>
      </c>
      <c r="B1139" s="8">
        <v>1177</v>
      </c>
      <c r="C1139" s="4" t="s">
        <v>1865</v>
      </c>
      <c r="D1139" s="4" t="s">
        <v>3586</v>
      </c>
      <c r="E1139" s="4" t="s">
        <v>3586</v>
      </c>
      <c r="F1139" s="7">
        <v>393</v>
      </c>
      <c r="G1139" s="7">
        <v>34</v>
      </c>
      <c r="H1139" s="16" t="str">
        <f t="shared" si="17"/>
        <v>(1137,'1177','الحمادية','Elhammadia','Elhammadia',393),</v>
      </c>
    </row>
    <row r="1140" spans="1:8" ht="20.100000000000001" customHeight="1" x14ac:dyDescent="0.25">
      <c r="A1140" s="3">
        <v>1138</v>
      </c>
      <c r="B1140" s="8">
        <v>1184</v>
      </c>
      <c r="C1140" s="4" t="s">
        <v>3587</v>
      </c>
      <c r="D1140" s="4" t="s">
        <v>3588</v>
      </c>
      <c r="E1140" s="4" t="s">
        <v>3588</v>
      </c>
      <c r="F1140" s="7">
        <v>393</v>
      </c>
      <c r="G1140" s="7">
        <v>34</v>
      </c>
      <c r="H1140" s="16" t="str">
        <f t="shared" si="17"/>
        <v>(1138,'1184','القصور','Ksour','Ksour',393),</v>
      </c>
    </row>
    <row r="1141" spans="1:8" ht="20.100000000000001" customHeight="1" x14ac:dyDescent="0.25">
      <c r="A1141" s="3">
        <v>1139</v>
      </c>
      <c r="B1141" s="8">
        <v>1190</v>
      </c>
      <c r="C1141" s="4" t="s">
        <v>3589</v>
      </c>
      <c r="D1141" s="4" t="s">
        <v>3590</v>
      </c>
      <c r="E1141" s="4" t="s">
        <v>3590</v>
      </c>
      <c r="F1141" s="7">
        <v>393</v>
      </c>
      <c r="G1141" s="7">
        <v>34</v>
      </c>
      <c r="H1141" s="16" t="str">
        <f t="shared" si="17"/>
        <v>(1139,'1190','الرابطة','Rabta','Rabta',393),</v>
      </c>
    </row>
    <row r="1142" spans="1:8" ht="20.100000000000001" customHeight="1" x14ac:dyDescent="0.25">
      <c r="A1142" s="3">
        <v>1140</v>
      </c>
      <c r="B1142" s="8">
        <v>1175</v>
      </c>
      <c r="C1142" s="4" t="s">
        <v>3591</v>
      </c>
      <c r="D1142" s="4" t="s">
        <v>3592</v>
      </c>
      <c r="E1142" s="4" t="s">
        <v>3592</v>
      </c>
      <c r="F1142" s="7">
        <v>394</v>
      </c>
      <c r="G1142" s="7">
        <v>34</v>
      </c>
      <c r="H1142" s="16" t="str">
        <f t="shared" si="17"/>
        <v>(1140,'1175','الياشير','El Achir','El Achir',394),</v>
      </c>
    </row>
    <row r="1143" spans="1:8" ht="20.100000000000001" customHeight="1" x14ac:dyDescent="0.25">
      <c r="A1143" s="3">
        <v>1141</v>
      </c>
      <c r="B1143" s="8">
        <v>1182</v>
      </c>
      <c r="C1143" s="4" t="s">
        <v>3593</v>
      </c>
      <c r="D1143" s="4" t="s">
        <v>3594</v>
      </c>
      <c r="E1143" s="4" t="s">
        <v>3594</v>
      </c>
      <c r="F1143" s="7">
        <v>394</v>
      </c>
      <c r="G1143" s="7">
        <v>34</v>
      </c>
      <c r="H1143" s="16" t="str">
        <f t="shared" si="17"/>
        <v>(1141,'1182','حسناوة','Hasnaoua','Hasnaoua',394),</v>
      </c>
    </row>
    <row r="1144" spans="1:8" ht="20.100000000000001" customHeight="1" x14ac:dyDescent="0.25">
      <c r="A1144" s="3">
        <v>1142</v>
      </c>
      <c r="B1144" s="8">
        <v>1186</v>
      </c>
      <c r="C1144" s="4" t="s">
        <v>1867</v>
      </c>
      <c r="D1144" s="4" t="s">
        <v>1866</v>
      </c>
      <c r="E1144" s="4" t="s">
        <v>1866</v>
      </c>
      <c r="F1144" s="7">
        <v>394</v>
      </c>
      <c r="G1144" s="7">
        <v>34</v>
      </c>
      <c r="H1144" s="16" t="str">
        <f t="shared" si="17"/>
        <v>(1142,'1186','مجانة','Medjana','Medjana',394),</v>
      </c>
    </row>
    <row r="1145" spans="1:8" ht="20.100000000000001" customHeight="1" x14ac:dyDescent="0.25">
      <c r="A1145" s="3">
        <v>1143</v>
      </c>
      <c r="B1145" s="8">
        <v>1196</v>
      </c>
      <c r="C1145" s="4" t="s">
        <v>3595</v>
      </c>
      <c r="D1145" s="4" t="s">
        <v>3596</v>
      </c>
      <c r="E1145" s="4" t="s">
        <v>3596</v>
      </c>
      <c r="F1145" s="7">
        <v>394</v>
      </c>
      <c r="G1145" s="7">
        <v>34</v>
      </c>
      <c r="H1145" s="16" t="str">
        <f t="shared" si="17"/>
        <v>(1143,'1196','ثنية النصر','Teniet En Nasr','Teniet En Nasr',394),</v>
      </c>
    </row>
    <row r="1146" spans="1:8" ht="20.100000000000001" customHeight="1" x14ac:dyDescent="0.25">
      <c r="A1146" s="3">
        <v>1144</v>
      </c>
      <c r="B1146" s="8">
        <v>1172</v>
      </c>
      <c r="C1146" s="4" t="s">
        <v>3597</v>
      </c>
      <c r="D1146" s="4" t="s">
        <v>3598</v>
      </c>
      <c r="E1146" s="4" t="s">
        <v>3598</v>
      </c>
      <c r="F1146" s="7">
        <v>395</v>
      </c>
      <c r="G1146" s="7">
        <v>34</v>
      </c>
      <c r="H1146" s="16" t="str">
        <f t="shared" si="17"/>
        <v>(1144,'1172','القلة','Colla','Colla',395),</v>
      </c>
    </row>
    <row r="1147" spans="1:8" ht="20.100000000000001" customHeight="1" x14ac:dyDescent="0.25">
      <c r="A1147" s="3">
        <v>1145</v>
      </c>
      <c r="B1147" s="8">
        <v>1173</v>
      </c>
      <c r="C1147" s="4" t="s">
        <v>1863</v>
      </c>
      <c r="D1147" s="4" t="s">
        <v>1862</v>
      </c>
      <c r="E1147" s="4" t="s">
        <v>1862</v>
      </c>
      <c r="F1147" s="7">
        <v>395</v>
      </c>
      <c r="G1147" s="7">
        <v>34</v>
      </c>
      <c r="H1147" s="16" t="str">
        <f t="shared" si="17"/>
        <v>(1145,'1173','جعافرة','Djaafra','Djaafra',395),</v>
      </c>
    </row>
    <row r="1148" spans="1:8" ht="20.100000000000001" customHeight="1" x14ac:dyDescent="0.25">
      <c r="A1148" s="3">
        <v>1146</v>
      </c>
      <c r="B1148" s="8">
        <v>1178</v>
      </c>
      <c r="C1148" s="4" t="s">
        <v>3599</v>
      </c>
      <c r="D1148" s="4" t="s">
        <v>3600</v>
      </c>
      <c r="E1148" s="4" t="s">
        <v>3600</v>
      </c>
      <c r="F1148" s="7">
        <v>395</v>
      </c>
      <c r="G1148" s="7">
        <v>34</v>
      </c>
      <c r="H1148" s="16" t="str">
        <f t="shared" si="17"/>
        <v>(1146,'1178','الماين','El Main','El Main',395),</v>
      </c>
    </row>
    <row r="1149" spans="1:8" ht="20.100000000000001" customHeight="1" x14ac:dyDescent="0.25">
      <c r="A1149" s="3">
        <v>1147</v>
      </c>
      <c r="B1149" s="8">
        <v>1193</v>
      </c>
      <c r="C1149" s="4" t="s">
        <v>3601</v>
      </c>
      <c r="D1149" s="4" t="s">
        <v>3602</v>
      </c>
      <c r="E1149" s="4" t="s">
        <v>3602</v>
      </c>
      <c r="F1149" s="7">
        <v>395</v>
      </c>
      <c r="G1149" s="7">
        <v>34</v>
      </c>
      <c r="H1149" s="16" t="str">
        <f t="shared" si="17"/>
        <v>(1147,'1193','تفرق','Tefreg','Tefreg',395),</v>
      </c>
    </row>
    <row r="1150" spans="1:8" ht="20.100000000000001" customHeight="1" x14ac:dyDescent="0.25">
      <c r="A1150" s="3">
        <v>1148</v>
      </c>
      <c r="B1150" s="8">
        <v>1169</v>
      </c>
      <c r="C1150" s="4" t="s">
        <v>1859</v>
      </c>
      <c r="D1150" s="4" t="s">
        <v>1858</v>
      </c>
      <c r="E1150" s="4" t="s">
        <v>1858</v>
      </c>
      <c r="F1150" s="7">
        <v>396</v>
      </c>
      <c r="G1150" s="7">
        <v>34</v>
      </c>
      <c r="H1150" s="16" t="str">
        <f t="shared" si="17"/>
        <v>(1148,'1169','بئر قاصد علي','Bir Kasdali','Bir Kasdali',396),</v>
      </c>
    </row>
    <row r="1151" spans="1:8" ht="20.100000000000001" customHeight="1" x14ac:dyDescent="0.25">
      <c r="A1151" s="3">
        <v>1149</v>
      </c>
      <c r="B1151" s="8">
        <v>1183</v>
      </c>
      <c r="C1151" s="4" t="s">
        <v>3603</v>
      </c>
      <c r="D1151" s="4" t="s">
        <v>3604</v>
      </c>
      <c r="E1151" s="4" t="s">
        <v>3604</v>
      </c>
      <c r="F1151" s="7">
        <v>396</v>
      </c>
      <c r="G1151" s="7">
        <v>34</v>
      </c>
      <c r="H1151" s="16" t="str">
        <f t="shared" si="17"/>
        <v>(1149,'1183','خليل','Khelil','Khelil',396),</v>
      </c>
    </row>
    <row r="1152" spans="1:8" ht="20.100000000000001" customHeight="1" x14ac:dyDescent="0.25">
      <c r="A1152" s="3">
        <v>1150</v>
      </c>
      <c r="B1152" s="8">
        <v>1192</v>
      </c>
      <c r="C1152" s="4" t="s">
        <v>3605</v>
      </c>
      <c r="D1152" s="4" t="s">
        <v>3606</v>
      </c>
      <c r="E1152" s="4" t="s">
        <v>3606</v>
      </c>
      <c r="F1152" s="7">
        <v>396</v>
      </c>
      <c r="G1152" s="7">
        <v>34</v>
      </c>
      <c r="H1152" s="16" t="str">
        <f t="shared" si="17"/>
        <v>(1150,'1192','سيدي أمبارك','Sidi-Embarek','Sidi-Embarek',396),</v>
      </c>
    </row>
    <row r="1153" spans="1:8" ht="20.100000000000001" customHeight="1" x14ac:dyDescent="0.25">
      <c r="A1153" s="3">
        <v>1151</v>
      </c>
      <c r="B1153" s="8">
        <v>1206</v>
      </c>
      <c r="C1153" s="4" t="s">
        <v>1039</v>
      </c>
      <c r="D1153" s="4" t="s">
        <v>1100</v>
      </c>
      <c r="E1153" s="4" t="s">
        <v>1100</v>
      </c>
      <c r="F1153" s="7">
        <v>397</v>
      </c>
      <c r="G1153" s="7">
        <v>35</v>
      </c>
      <c r="H1153" s="16" t="str">
        <f t="shared" si="17"/>
        <v>(1151,'1206','بومرداس','Boumerdes','Boumerdes',397),</v>
      </c>
    </row>
    <row r="1154" spans="1:8" ht="20.100000000000001" customHeight="1" x14ac:dyDescent="0.25">
      <c r="A1154" s="3">
        <v>1152</v>
      </c>
      <c r="B1154" s="8">
        <v>1209</v>
      </c>
      <c r="C1154" s="4" t="s">
        <v>3607</v>
      </c>
      <c r="D1154" s="4" t="s">
        <v>3608</v>
      </c>
      <c r="E1154" s="4" t="s">
        <v>3608</v>
      </c>
      <c r="F1154" s="7">
        <v>397</v>
      </c>
      <c r="G1154" s="7">
        <v>35</v>
      </c>
      <c r="H1154" s="16" t="str">
        <f t="shared" si="17"/>
        <v>(1152,'1209','قورصو','Corso','Corso',397),</v>
      </c>
    </row>
    <row r="1155" spans="1:8" ht="20.100000000000001" customHeight="1" x14ac:dyDescent="0.25">
      <c r="A1155" s="3">
        <v>1153</v>
      </c>
      <c r="B1155" s="8">
        <v>1227</v>
      </c>
      <c r="C1155" s="4" t="s">
        <v>3609</v>
      </c>
      <c r="D1155" s="4" t="s">
        <v>3610</v>
      </c>
      <c r="E1155" s="4" t="s">
        <v>3610</v>
      </c>
      <c r="F1155" s="7">
        <v>397</v>
      </c>
      <c r="G1155" s="7">
        <v>35</v>
      </c>
      <c r="H1155" s="16" t="str">
        <f t="shared" si="17"/>
        <v>(1153,'1227','تيجلابين','Tidjelabine','Tidjelabine',397),</v>
      </c>
    </row>
    <row r="1156" spans="1:8" ht="20.100000000000001" customHeight="1" x14ac:dyDescent="0.25">
      <c r="A1156" s="3">
        <v>1154</v>
      </c>
      <c r="B1156" s="8">
        <v>1204</v>
      </c>
      <c r="C1156" s="4" t="s">
        <v>1877</v>
      </c>
      <c r="D1156" s="4" t="s">
        <v>1876</v>
      </c>
      <c r="E1156" s="4" t="s">
        <v>1876</v>
      </c>
      <c r="F1156" s="7">
        <v>398</v>
      </c>
      <c r="G1156" s="7">
        <v>35</v>
      </c>
      <c r="H1156" s="16" t="str">
        <f t="shared" ref="H1156:H1219" si="18">CONCATENATE("(",A1156,",'",B1156,"','",C1156,"','",D1156,"','",E1156,"',",F1156,"),")</f>
        <v>(1154,'1204','بودواو','Boudouaou','Boudouaou',398),</v>
      </c>
    </row>
    <row r="1157" spans="1:8" ht="20.100000000000001" customHeight="1" x14ac:dyDescent="0.25">
      <c r="A1157" s="3">
        <v>1155</v>
      </c>
      <c r="B1157" s="8">
        <v>1205</v>
      </c>
      <c r="C1157" s="4" t="s">
        <v>3611</v>
      </c>
      <c r="D1157" s="4" t="s">
        <v>3612</v>
      </c>
      <c r="E1157" s="4" t="s">
        <v>3612</v>
      </c>
      <c r="F1157" s="7">
        <v>398</v>
      </c>
      <c r="G1157" s="7">
        <v>35</v>
      </c>
      <c r="H1157" s="16" t="str">
        <f t="shared" si="18"/>
        <v>(1155,'1205','بودواو البحري','Boudouaou El Bahri','Boudouaou El Bahri',398),</v>
      </c>
    </row>
    <row r="1158" spans="1:8" ht="20.100000000000001" customHeight="1" x14ac:dyDescent="0.25">
      <c r="A1158" s="3">
        <v>1156</v>
      </c>
      <c r="B1158" s="8">
        <v>1207</v>
      </c>
      <c r="C1158" s="4" t="s">
        <v>3613</v>
      </c>
      <c r="D1158" s="4" t="s">
        <v>3614</v>
      </c>
      <c r="E1158" s="4" t="s">
        <v>3614</v>
      </c>
      <c r="F1158" s="7">
        <v>398</v>
      </c>
      <c r="G1158" s="7">
        <v>35</v>
      </c>
      <c r="H1158" s="16" t="str">
        <f t="shared" si="18"/>
        <v>(1156,'1207','بوزقزة قدارة','Bouzegza Keddara','Bouzegza Keddara',398),</v>
      </c>
    </row>
    <row r="1159" spans="1:8" ht="20.100000000000001" customHeight="1" x14ac:dyDescent="0.25">
      <c r="A1159" s="3">
        <v>1157</v>
      </c>
      <c r="B1159" s="8">
        <v>1212</v>
      </c>
      <c r="C1159" s="4" t="s">
        <v>3615</v>
      </c>
      <c r="D1159" s="4" t="s">
        <v>3616</v>
      </c>
      <c r="E1159" s="4" t="s">
        <v>3616</v>
      </c>
      <c r="F1159" s="7">
        <v>398</v>
      </c>
      <c r="G1159" s="7">
        <v>35</v>
      </c>
      <c r="H1159" s="16" t="str">
        <f t="shared" si="18"/>
        <v>(1157,'1212','الخروبة','El Kharrouba','El Kharrouba',398),</v>
      </c>
    </row>
    <row r="1160" spans="1:8" ht="20.100000000000001" customHeight="1" x14ac:dyDescent="0.25">
      <c r="A1160" s="3">
        <v>1158</v>
      </c>
      <c r="B1160" s="8">
        <v>1220</v>
      </c>
      <c r="C1160" s="4" t="s">
        <v>3617</v>
      </c>
      <c r="D1160" s="4" t="s">
        <v>3618</v>
      </c>
      <c r="E1160" s="4" t="s">
        <v>3618</v>
      </c>
      <c r="F1160" s="7">
        <v>398</v>
      </c>
      <c r="G1160" s="7">
        <v>35</v>
      </c>
      <c r="H1160" s="16" t="str">
        <f t="shared" si="18"/>
        <v>(1158,'1220','أولاد هداج','Ouled Hedadj','Ouled Hedadj',398),</v>
      </c>
    </row>
    <row r="1161" spans="1:8" ht="20.100000000000001" customHeight="1" x14ac:dyDescent="0.25">
      <c r="A1161" s="3">
        <v>1159</v>
      </c>
      <c r="B1161" s="8">
        <v>1203</v>
      </c>
      <c r="C1161" s="4" t="s">
        <v>1875</v>
      </c>
      <c r="D1161" s="4" t="s">
        <v>1874</v>
      </c>
      <c r="E1161" s="4" t="s">
        <v>1874</v>
      </c>
      <c r="F1161" s="7">
        <v>399</v>
      </c>
      <c r="G1161" s="7">
        <v>35</v>
      </c>
      <c r="H1161" s="16" t="str">
        <f t="shared" si="18"/>
        <v>(1159,'1203','برج منايل','Bordj Menaiel','Bordj Menaiel',399),</v>
      </c>
    </row>
    <row r="1162" spans="1:8" ht="20.100000000000001" customHeight="1" x14ac:dyDescent="0.25">
      <c r="A1162" s="3">
        <v>1160</v>
      </c>
      <c r="B1162" s="8">
        <v>1211</v>
      </c>
      <c r="C1162" s="4" t="s">
        <v>3619</v>
      </c>
      <c r="D1162" s="4" t="s">
        <v>3620</v>
      </c>
      <c r="E1162" s="4" t="s">
        <v>3620</v>
      </c>
      <c r="F1162" s="7">
        <v>399</v>
      </c>
      <c r="G1162" s="7">
        <v>35</v>
      </c>
      <c r="H1162" s="16" t="str">
        <f t="shared" si="18"/>
        <v>(1160,'1211','جنات','Djinet','Djinet',399),</v>
      </c>
    </row>
    <row r="1163" spans="1:8" ht="20.100000000000001" customHeight="1" x14ac:dyDescent="0.25">
      <c r="A1163" s="3">
        <v>1161</v>
      </c>
      <c r="B1163" s="8">
        <v>1217</v>
      </c>
      <c r="C1163" s="4" t="s">
        <v>3621</v>
      </c>
      <c r="D1163" s="4" t="s">
        <v>3622</v>
      </c>
      <c r="E1163" s="4" t="s">
        <v>3622</v>
      </c>
      <c r="F1163" s="7">
        <v>399</v>
      </c>
      <c r="G1163" s="7">
        <v>35</v>
      </c>
      <c r="H1163" s="16" t="str">
        <f t="shared" si="18"/>
        <v>(1161,'1217','لقاطة','Leghata','Leghata',399),</v>
      </c>
    </row>
    <row r="1164" spans="1:8" ht="20.100000000000001" customHeight="1" x14ac:dyDescent="0.25">
      <c r="A1164" s="3">
        <v>1162</v>
      </c>
      <c r="B1164" s="8">
        <v>1229</v>
      </c>
      <c r="C1164" s="4" t="s">
        <v>3623</v>
      </c>
      <c r="D1164" s="4" t="s">
        <v>3624</v>
      </c>
      <c r="E1164" s="4" t="s">
        <v>3624</v>
      </c>
      <c r="F1164" s="7">
        <v>399</v>
      </c>
      <c r="G1164" s="7">
        <v>35</v>
      </c>
      <c r="H1164" s="16" t="str">
        <f t="shared" si="18"/>
        <v>(1162,'1229','زموري','Zemmouri','Zemmouri',399),</v>
      </c>
    </row>
    <row r="1165" spans="1:8" ht="20.100000000000001" customHeight="1" x14ac:dyDescent="0.25">
      <c r="A1165" s="3">
        <v>1163</v>
      </c>
      <c r="B1165" s="8">
        <v>1200</v>
      </c>
      <c r="C1165" s="4" t="s">
        <v>1873</v>
      </c>
      <c r="D1165" s="4" t="s">
        <v>1872</v>
      </c>
      <c r="E1165" s="4" t="s">
        <v>1872</v>
      </c>
      <c r="F1165" s="7">
        <v>400</v>
      </c>
      <c r="G1165" s="7">
        <v>35</v>
      </c>
      <c r="H1165" s="16" t="str">
        <f t="shared" si="18"/>
        <v>(1163,'1200','بغلية','Baghlia','Baghlia',400),</v>
      </c>
    </row>
    <row r="1166" spans="1:8" ht="20.100000000000001" customHeight="1" x14ac:dyDescent="0.25">
      <c r="A1166" s="3">
        <v>1164</v>
      </c>
      <c r="B1166" s="8">
        <v>1223</v>
      </c>
      <c r="C1166" s="4" t="s">
        <v>3625</v>
      </c>
      <c r="D1166" s="4" t="s">
        <v>3626</v>
      </c>
      <c r="E1166" s="4" t="s">
        <v>3626</v>
      </c>
      <c r="F1166" s="7">
        <v>400</v>
      </c>
      <c r="G1166" s="7">
        <v>35</v>
      </c>
      <c r="H1166" s="16" t="str">
        <f t="shared" si="18"/>
        <v>(1164,'1223','سيدي داود','Sidi Daoud','Sidi Daoud',400),</v>
      </c>
    </row>
    <row r="1167" spans="1:8" ht="20.100000000000001" customHeight="1" x14ac:dyDescent="0.25">
      <c r="A1167" s="3">
        <v>1165</v>
      </c>
      <c r="B1167" s="8">
        <v>1225</v>
      </c>
      <c r="C1167" s="4" t="s">
        <v>3627</v>
      </c>
      <c r="D1167" s="4" t="s">
        <v>3628</v>
      </c>
      <c r="E1167" s="4" t="s">
        <v>3628</v>
      </c>
      <c r="F1167" s="7">
        <v>400</v>
      </c>
      <c r="G1167" s="7">
        <v>35</v>
      </c>
      <c r="H1167" s="16" t="str">
        <f t="shared" si="18"/>
        <v>(1165,'1225','تاورقة','Taourga','Taourga',400),</v>
      </c>
    </row>
    <row r="1168" spans="1:8" ht="20.100000000000001" customHeight="1" x14ac:dyDescent="0.25">
      <c r="A1168" s="3">
        <v>1166</v>
      </c>
      <c r="B1168" s="8">
        <v>1218</v>
      </c>
      <c r="C1168" s="4" t="s">
        <v>1883</v>
      </c>
      <c r="D1168" s="4" t="s">
        <v>1882</v>
      </c>
      <c r="E1168" s="4" t="s">
        <v>1882</v>
      </c>
      <c r="F1168" s="7">
        <v>401</v>
      </c>
      <c r="G1168" s="7">
        <v>35</v>
      </c>
      <c r="H1168" s="16" t="str">
        <f t="shared" si="18"/>
        <v>(1166,'1218','الناصرية','Naciria','Naciria',401),</v>
      </c>
    </row>
    <row r="1169" spans="1:8" ht="20.100000000000001" customHeight="1" x14ac:dyDescent="0.25">
      <c r="A1169" s="3">
        <v>1167</v>
      </c>
      <c r="B1169" s="8">
        <v>1219</v>
      </c>
      <c r="C1169" s="4" t="s">
        <v>3629</v>
      </c>
      <c r="D1169" s="4" t="s">
        <v>3630</v>
      </c>
      <c r="E1169" s="4" t="s">
        <v>3630</v>
      </c>
      <c r="F1169" s="7">
        <v>401</v>
      </c>
      <c r="G1169" s="7">
        <v>35</v>
      </c>
      <c r="H1169" s="16" t="str">
        <f t="shared" si="18"/>
        <v>(1167,'1219','أولاد عيسى','Ouled Aissa','Ouled Aissa',401),</v>
      </c>
    </row>
    <row r="1170" spans="1:8" ht="20.100000000000001" customHeight="1" x14ac:dyDescent="0.25">
      <c r="A1170" s="3">
        <v>1168</v>
      </c>
      <c r="B1170" s="8">
        <v>1208</v>
      </c>
      <c r="C1170" s="4" t="s">
        <v>3631</v>
      </c>
      <c r="D1170" s="4" t="s">
        <v>3632</v>
      </c>
      <c r="E1170" s="4" t="s">
        <v>3632</v>
      </c>
      <c r="F1170" s="7">
        <v>402</v>
      </c>
      <c r="G1170" s="7">
        <v>35</v>
      </c>
      <c r="H1170" s="16" t="str">
        <f t="shared" si="18"/>
        <v>(1168,'1208','شعبة العامر','Chabet El Ameur','Chabet El Ameur',402),</v>
      </c>
    </row>
    <row r="1171" spans="1:8" ht="20.100000000000001" customHeight="1" x14ac:dyDescent="0.25">
      <c r="A1171" s="3">
        <v>1169</v>
      </c>
      <c r="B1171" s="8">
        <v>1214</v>
      </c>
      <c r="C1171" s="4" t="s">
        <v>1879</v>
      </c>
      <c r="D1171" s="4" t="s">
        <v>1878</v>
      </c>
      <c r="E1171" s="4" t="s">
        <v>1878</v>
      </c>
      <c r="F1171" s="7">
        <v>402</v>
      </c>
      <c r="G1171" s="7">
        <v>35</v>
      </c>
      <c r="H1171" s="16" t="str">
        <f t="shared" si="18"/>
        <v>(1169,'1214','يسر','Isser','Isser',402),</v>
      </c>
    </row>
    <row r="1172" spans="1:8" ht="20.100000000000001" customHeight="1" x14ac:dyDescent="0.25">
      <c r="A1172" s="3">
        <v>1170</v>
      </c>
      <c r="B1172" s="8">
        <v>1222</v>
      </c>
      <c r="C1172" s="4" t="s">
        <v>3633</v>
      </c>
      <c r="D1172" s="4" t="s">
        <v>3634</v>
      </c>
      <c r="E1172" s="4" t="s">
        <v>3634</v>
      </c>
      <c r="F1172" s="7">
        <v>402</v>
      </c>
      <c r="G1172" s="7">
        <v>35</v>
      </c>
      <c r="H1172" s="16" t="str">
        <f t="shared" si="18"/>
        <v>(1170,'1222','سي مصطفى','Si Mustapha','Si Mustapha',402),</v>
      </c>
    </row>
    <row r="1173" spans="1:8" ht="20.100000000000001" customHeight="1" x14ac:dyDescent="0.25">
      <c r="A1173" s="3">
        <v>1171</v>
      </c>
      <c r="B1173" s="8">
        <v>1228</v>
      </c>
      <c r="C1173" s="4" t="s">
        <v>1266</v>
      </c>
      <c r="D1173" s="4" t="s">
        <v>1265</v>
      </c>
      <c r="E1173" s="4" t="s">
        <v>1265</v>
      </c>
      <c r="F1173" s="7">
        <v>402</v>
      </c>
      <c r="G1173" s="7">
        <v>35</v>
      </c>
      <c r="H1173" s="16" t="str">
        <f t="shared" si="18"/>
        <v>(1171,'1228','تيمزريت','Timezrit','Timezrit',402),</v>
      </c>
    </row>
    <row r="1174" spans="1:8" ht="20.100000000000001" customHeight="1" x14ac:dyDescent="0.25">
      <c r="A1174" s="3">
        <v>1172</v>
      </c>
      <c r="B1174" s="8">
        <v>1199</v>
      </c>
      <c r="C1174" s="4" t="s">
        <v>3635</v>
      </c>
      <c r="D1174" s="4" t="s">
        <v>3636</v>
      </c>
      <c r="E1174" s="4" t="s">
        <v>3636</v>
      </c>
      <c r="F1174" s="7">
        <v>403</v>
      </c>
      <c r="G1174" s="7">
        <v>35</v>
      </c>
      <c r="H1174" s="16" t="str">
        <f t="shared" si="18"/>
        <v>(1172,'1199','عمال','Ammal','Ammal',403),</v>
      </c>
    </row>
    <row r="1175" spans="1:8" ht="20.100000000000001" customHeight="1" x14ac:dyDescent="0.25">
      <c r="A1175" s="3">
        <v>1173</v>
      </c>
      <c r="B1175" s="8">
        <v>1202</v>
      </c>
      <c r="C1175" s="4" t="s">
        <v>3637</v>
      </c>
      <c r="D1175" s="4" t="s">
        <v>3638</v>
      </c>
      <c r="E1175" s="4" t="s">
        <v>3638</v>
      </c>
      <c r="F1175" s="7">
        <v>403</v>
      </c>
      <c r="G1175" s="7">
        <v>35</v>
      </c>
      <c r="H1175" s="16" t="str">
        <f t="shared" si="18"/>
        <v>(1173,'1202','بني عمران','Beni Amrane','Beni Amrane',403),</v>
      </c>
    </row>
    <row r="1176" spans="1:8" ht="20.100000000000001" customHeight="1" x14ac:dyDescent="0.25">
      <c r="A1176" s="3">
        <v>1174</v>
      </c>
      <c r="B1176" s="8">
        <v>1224</v>
      </c>
      <c r="C1176" s="4" t="s">
        <v>3639</v>
      </c>
      <c r="D1176" s="4" t="s">
        <v>3640</v>
      </c>
      <c r="E1176" s="4" t="s">
        <v>3640</v>
      </c>
      <c r="F1176" s="7">
        <v>403</v>
      </c>
      <c r="G1176" s="7">
        <v>35</v>
      </c>
      <c r="H1176" s="16" t="str">
        <f t="shared" si="18"/>
        <v>(1174,'1224','سوق الحد','Souk El Had','Souk El Had',403),</v>
      </c>
    </row>
    <row r="1177" spans="1:8" ht="20.100000000000001" customHeight="1" x14ac:dyDescent="0.25">
      <c r="A1177" s="3">
        <v>1175</v>
      </c>
      <c r="B1177" s="8">
        <v>1226</v>
      </c>
      <c r="C1177" s="4" t="s">
        <v>1871</v>
      </c>
      <c r="D1177" s="4" t="s">
        <v>1870</v>
      </c>
      <c r="E1177" s="4" t="s">
        <v>1870</v>
      </c>
      <c r="F1177" s="7">
        <v>403</v>
      </c>
      <c r="G1177" s="7">
        <v>35</v>
      </c>
      <c r="H1177" s="16" t="str">
        <f t="shared" si="18"/>
        <v>(1175,'1226','الثنية','Thenia','Thenia',403),</v>
      </c>
    </row>
    <row r="1178" spans="1:8" ht="20.100000000000001" customHeight="1" x14ac:dyDescent="0.25">
      <c r="A1178" s="3">
        <v>1176</v>
      </c>
      <c r="B1178" s="8">
        <v>1198</v>
      </c>
      <c r="C1178" s="4" t="s">
        <v>3641</v>
      </c>
      <c r="D1178" s="4" t="s">
        <v>3642</v>
      </c>
      <c r="E1178" s="4" t="s">
        <v>3642</v>
      </c>
      <c r="F1178" s="7">
        <v>404</v>
      </c>
      <c r="G1178" s="7">
        <v>35</v>
      </c>
      <c r="H1178" s="16" t="str">
        <f t="shared" si="18"/>
        <v>(1176,'1198','أعفير','Afir','Afir',404),</v>
      </c>
    </row>
    <row r="1179" spans="1:8" ht="20.100000000000001" customHeight="1" x14ac:dyDescent="0.25">
      <c r="A1179" s="3">
        <v>1177</v>
      </c>
      <c r="B1179" s="8">
        <v>1201</v>
      </c>
      <c r="C1179" s="4" t="s">
        <v>3643</v>
      </c>
      <c r="D1179" s="4" t="s">
        <v>3644</v>
      </c>
      <c r="E1179" s="4" t="s">
        <v>3644</v>
      </c>
      <c r="F1179" s="7">
        <v>404</v>
      </c>
      <c r="G1179" s="7">
        <v>35</v>
      </c>
      <c r="H1179" s="16" t="str">
        <f t="shared" si="18"/>
        <v>(1177,'1201','بن شود','Ben Choud','Ben Choud',404),</v>
      </c>
    </row>
    <row r="1180" spans="1:8" ht="20.100000000000001" customHeight="1" x14ac:dyDescent="0.25">
      <c r="A1180" s="3">
        <v>1178</v>
      </c>
      <c r="B1180" s="8">
        <v>1210</v>
      </c>
      <c r="C1180" s="4" t="s">
        <v>1869</v>
      </c>
      <c r="D1180" s="4" t="s">
        <v>1868</v>
      </c>
      <c r="E1180" s="4" t="s">
        <v>1868</v>
      </c>
      <c r="F1180" s="7">
        <v>404</v>
      </c>
      <c r="G1180" s="7">
        <v>35</v>
      </c>
      <c r="H1180" s="16" t="str">
        <f t="shared" si="18"/>
        <v>(1178,'1210','دلس','Dellys','Dellys',404),</v>
      </c>
    </row>
    <row r="1181" spans="1:8" ht="20.100000000000001" customHeight="1" x14ac:dyDescent="0.25">
      <c r="A1181" s="3">
        <v>1179</v>
      </c>
      <c r="B1181" s="8">
        <v>1213</v>
      </c>
      <c r="C1181" s="4" t="s">
        <v>3645</v>
      </c>
      <c r="D1181" s="4" t="s">
        <v>3646</v>
      </c>
      <c r="E1181" s="4" t="s">
        <v>3646</v>
      </c>
      <c r="F1181" s="7">
        <v>405</v>
      </c>
      <c r="G1181" s="7">
        <v>35</v>
      </c>
      <c r="H1181" s="16" t="str">
        <f t="shared" si="18"/>
        <v>(1179,'1213','حمادي','Hammedi','Hammedi',405),</v>
      </c>
    </row>
    <row r="1182" spans="1:8" ht="20.100000000000001" customHeight="1" x14ac:dyDescent="0.25">
      <c r="A1182" s="3">
        <v>1180</v>
      </c>
      <c r="B1182" s="8">
        <v>1215</v>
      </c>
      <c r="C1182" s="4" t="s">
        <v>1881</v>
      </c>
      <c r="D1182" s="4" t="s">
        <v>1880</v>
      </c>
      <c r="E1182" s="4" t="s">
        <v>1880</v>
      </c>
      <c r="F1182" s="7">
        <v>405</v>
      </c>
      <c r="G1182" s="7">
        <v>35</v>
      </c>
      <c r="H1182" s="16" t="str">
        <f t="shared" si="18"/>
        <v>(1180,'1215','خميس الخشنة','Khemis El Khechna','Khemis El Khechna',405),</v>
      </c>
    </row>
    <row r="1183" spans="1:8" ht="20.100000000000001" customHeight="1" x14ac:dyDescent="0.25">
      <c r="A1183" s="3">
        <v>1181</v>
      </c>
      <c r="B1183" s="8">
        <v>1216</v>
      </c>
      <c r="C1183" s="4" t="s">
        <v>3647</v>
      </c>
      <c r="D1183" s="4" t="s">
        <v>3648</v>
      </c>
      <c r="E1183" s="4" t="s">
        <v>3648</v>
      </c>
      <c r="F1183" s="7">
        <v>405</v>
      </c>
      <c r="G1183" s="7">
        <v>35</v>
      </c>
      <c r="H1183" s="16" t="str">
        <f t="shared" si="18"/>
        <v>(1181,'1216','الاربعطاش','Larbatache','Larbatache',405),</v>
      </c>
    </row>
    <row r="1184" spans="1:8" ht="20.100000000000001" customHeight="1" x14ac:dyDescent="0.25">
      <c r="A1184" s="3">
        <v>1182</v>
      </c>
      <c r="B1184" s="8">
        <v>1221</v>
      </c>
      <c r="C1184" s="4" t="s">
        <v>3649</v>
      </c>
      <c r="D1184" s="4" t="s">
        <v>3650</v>
      </c>
      <c r="E1184" s="4" t="s">
        <v>3650</v>
      </c>
      <c r="F1184" s="7">
        <v>405</v>
      </c>
      <c r="G1184" s="7">
        <v>35</v>
      </c>
      <c r="H1184" s="16" t="str">
        <f t="shared" si="18"/>
        <v>(1182,'1221','أولاد موسى','Ouled Moussa','Ouled Moussa',405),</v>
      </c>
    </row>
    <row r="1185" spans="1:8" ht="20.100000000000001" customHeight="1" x14ac:dyDescent="0.25">
      <c r="A1185" s="3">
        <v>1183</v>
      </c>
      <c r="B1185" s="8">
        <v>1230</v>
      </c>
      <c r="C1185" s="4" t="s">
        <v>3651</v>
      </c>
      <c r="D1185" s="4" t="s">
        <v>3652</v>
      </c>
      <c r="E1185" s="4" t="s">
        <v>3652</v>
      </c>
      <c r="F1185" s="7">
        <v>406</v>
      </c>
      <c r="G1185" s="7">
        <v>36</v>
      </c>
      <c r="H1185" s="16" t="str">
        <f t="shared" si="18"/>
        <v>(1183,'1230','عين العسل','Ain El Assel','Ain El Assel',406),</v>
      </c>
    </row>
    <row r="1186" spans="1:8" ht="20.100000000000001" customHeight="1" x14ac:dyDescent="0.25">
      <c r="A1186" s="3">
        <v>1184</v>
      </c>
      <c r="B1186" s="8">
        <v>1236</v>
      </c>
      <c r="C1186" s="4" t="s">
        <v>3653</v>
      </c>
      <c r="D1186" s="4" t="s">
        <v>3654</v>
      </c>
      <c r="E1186" s="4" t="s">
        <v>3654</v>
      </c>
      <c r="F1186" s="7">
        <v>406</v>
      </c>
      <c r="G1186" s="7">
        <v>36</v>
      </c>
      <c r="H1186" s="16" t="str">
        <f t="shared" si="18"/>
        <v>(1184,'1236','بوقوس','Bougous','Bougous',406),</v>
      </c>
    </row>
    <row r="1187" spans="1:8" ht="20.100000000000001" customHeight="1" x14ac:dyDescent="0.25">
      <c r="A1187" s="3">
        <v>1185</v>
      </c>
      <c r="B1187" s="8">
        <v>1246</v>
      </c>
      <c r="C1187" s="4" t="s">
        <v>1041</v>
      </c>
      <c r="D1187" s="4" t="s">
        <v>1042</v>
      </c>
      <c r="E1187" s="4" t="s">
        <v>1042</v>
      </c>
      <c r="F1187" s="7">
        <v>406</v>
      </c>
      <c r="G1187" s="7">
        <v>36</v>
      </c>
      <c r="H1187" s="16" t="str">
        <f t="shared" si="18"/>
        <v>(1185,'1246','الطارف','El Tarf','El Tarf',406),</v>
      </c>
    </row>
    <row r="1188" spans="1:8" ht="20.100000000000001" customHeight="1" x14ac:dyDescent="0.25">
      <c r="A1188" s="3">
        <v>1186</v>
      </c>
      <c r="B1188" s="8">
        <v>1253</v>
      </c>
      <c r="C1188" s="4" t="s">
        <v>1618</v>
      </c>
      <c r="D1188" s="4" t="s">
        <v>1617</v>
      </c>
      <c r="E1188" s="4" t="s">
        <v>1617</v>
      </c>
      <c r="F1188" s="7">
        <v>406</v>
      </c>
      <c r="G1188" s="7">
        <v>36</v>
      </c>
      <c r="H1188" s="16" t="str">
        <f t="shared" si="18"/>
        <v>(1186,'1253','الزيتونة','Zitouna','Zitouna',406),</v>
      </c>
    </row>
    <row r="1189" spans="1:8" ht="20.100000000000001" customHeight="1" x14ac:dyDescent="0.25">
      <c r="A1189" s="3">
        <v>1187</v>
      </c>
      <c r="B1189" s="8">
        <v>1231</v>
      </c>
      <c r="C1189" s="4" t="s">
        <v>3523</v>
      </c>
      <c r="D1189" s="4" t="s">
        <v>3524</v>
      </c>
      <c r="E1189" s="4" t="s">
        <v>3524</v>
      </c>
      <c r="F1189" s="7">
        <v>407</v>
      </c>
      <c r="G1189" s="7">
        <v>36</v>
      </c>
      <c r="H1189" s="16" t="str">
        <f t="shared" si="18"/>
        <v>(1187,'1231','عين الكرمة','Ain Kerma','Ain Kerma',407),</v>
      </c>
    </row>
    <row r="1190" spans="1:8" ht="20.100000000000001" customHeight="1" x14ac:dyDescent="0.25">
      <c r="A1190" s="3">
        <v>1188</v>
      </c>
      <c r="B1190" s="8">
        <v>1237</v>
      </c>
      <c r="C1190" s="4" t="s">
        <v>1885</v>
      </c>
      <c r="D1190" s="4" t="s">
        <v>1884</v>
      </c>
      <c r="E1190" s="4" t="s">
        <v>1884</v>
      </c>
      <c r="F1190" s="7">
        <v>407</v>
      </c>
      <c r="G1190" s="7">
        <v>36</v>
      </c>
      <c r="H1190" s="16" t="str">
        <f t="shared" si="18"/>
        <v>(1188,'1237','بوحجار','Bouhadjar','Bouhadjar',407),</v>
      </c>
    </row>
    <row r="1191" spans="1:8" ht="20.100000000000001" customHeight="1" x14ac:dyDescent="0.25">
      <c r="A1191" s="3">
        <v>1189</v>
      </c>
      <c r="B1191" s="8">
        <v>1247</v>
      </c>
      <c r="C1191" s="4" t="s">
        <v>3655</v>
      </c>
      <c r="D1191" s="4" t="s">
        <v>3656</v>
      </c>
      <c r="E1191" s="4" t="s">
        <v>3656</v>
      </c>
      <c r="F1191" s="7">
        <v>407</v>
      </c>
      <c r="G1191" s="7">
        <v>36</v>
      </c>
      <c r="H1191" s="16" t="str">
        <f t="shared" si="18"/>
        <v>(1189,'1247','حمام بني صالح','Hammam Beni Salah','Hammam Beni Salah',407),</v>
      </c>
    </row>
    <row r="1192" spans="1:8" ht="20.100000000000001" customHeight="1" x14ac:dyDescent="0.25">
      <c r="A1192" s="3">
        <v>1190</v>
      </c>
      <c r="B1192" s="8">
        <v>1249</v>
      </c>
      <c r="C1192" s="4" t="s">
        <v>3657</v>
      </c>
      <c r="D1192" s="4" t="s">
        <v>3658</v>
      </c>
      <c r="E1192" s="4" t="s">
        <v>3658</v>
      </c>
      <c r="F1192" s="7">
        <v>407</v>
      </c>
      <c r="G1192" s="7">
        <v>36</v>
      </c>
      <c r="H1192" s="16" t="str">
        <f t="shared" si="18"/>
        <v>(1190,'1249','وادي الزيتون','Oued Zitoun','Oued Zitoun',407),</v>
      </c>
    </row>
    <row r="1193" spans="1:8" ht="20.100000000000001" customHeight="1" x14ac:dyDescent="0.25">
      <c r="A1193" s="3">
        <v>1191</v>
      </c>
      <c r="B1193" s="8">
        <v>1233</v>
      </c>
      <c r="C1193" s="4" t="s">
        <v>1889</v>
      </c>
      <c r="D1193" s="4" t="s">
        <v>3659</v>
      </c>
      <c r="E1193" s="4" t="s">
        <v>3659</v>
      </c>
      <c r="F1193" s="7">
        <v>408</v>
      </c>
      <c r="G1193" s="7">
        <v>36</v>
      </c>
      <c r="H1193" s="16" t="str">
        <f t="shared" si="18"/>
        <v>(1191,'1233','بن مهيدي','Ben M Hidi','Ben M Hidi',408),</v>
      </c>
    </row>
    <row r="1194" spans="1:8" ht="20.100000000000001" customHeight="1" x14ac:dyDescent="0.25">
      <c r="A1194" s="3">
        <v>1192</v>
      </c>
      <c r="B1194" s="8">
        <v>1234</v>
      </c>
      <c r="C1194" s="4" t="s">
        <v>3660</v>
      </c>
      <c r="D1194" s="4" t="s">
        <v>3661</v>
      </c>
      <c r="E1194" s="4" t="s">
        <v>3661</v>
      </c>
      <c r="F1194" s="7">
        <v>408</v>
      </c>
      <c r="G1194" s="7">
        <v>36</v>
      </c>
      <c r="H1194" s="16" t="str">
        <f t="shared" si="18"/>
        <v>(1192,'1234','بريحان','Berrihane','Berrihane',408),</v>
      </c>
    </row>
    <row r="1195" spans="1:8" ht="20.100000000000001" customHeight="1" x14ac:dyDescent="0.25">
      <c r="A1195" s="3">
        <v>1193</v>
      </c>
      <c r="B1195" s="8">
        <v>1243</v>
      </c>
      <c r="C1195" s="4" t="s">
        <v>3662</v>
      </c>
      <c r="D1195" s="4" t="s">
        <v>3663</v>
      </c>
      <c r="E1195" s="4" t="s">
        <v>3663</v>
      </c>
      <c r="F1195" s="7">
        <v>408</v>
      </c>
      <c r="G1195" s="7">
        <v>36</v>
      </c>
      <c r="H1195" s="16" t="str">
        <f t="shared" si="18"/>
        <v>(1193,'1243','الشط','Echatt','Echatt',408),</v>
      </c>
    </row>
    <row r="1196" spans="1:8" ht="20.100000000000001" customHeight="1" x14ac:dyDescent="0.25">
      <c r="A1196" s="3">
        <v>1194</v>
      </c>
      <c r="B1196" s="8">
        <v>1244</v>
      </c>
      <c r="C1196" s="4" t="s">
        <v>3664</v>
      </c>
      <c r="D1196" s="4" t="s">
        <v>3665</v>
      </c>
      <c r="E1196" s="4" t="s">
        <v>3665</v>
      </c>
      <c r="F1196" s="7">
        <v>409</v>
      </c>
      <c r="G1196" s="7">
        <v>36</v>
      </c>
      <c r="H1196" s="16" t="str">
        <f t="shared" si="18"/>
        <v>(1194,'1244','العيون','El Aioun','El Aioun',409),</v>
      </c>
    </row>
    <row r="1197" spans="1:8" ht="20.100000000000001" customHeight="1" x14ac:dyDescent="0.25">
      <c r="A1197" s="3">
        <v>1195</v>
      </c>
      <c r="B1197" s="8">
        <v>1245</v>
      </c>
      <c r="C1197" s="4" t="s">
        <v>1895</v>
      </c>
      <c r="D1197" s="4" t="s">
        <v>1894</v>
      </c>
      <c r="E1197" s="4" t="s">
        <v>1894</v>
      </c>
      <c r="F1197" s="7">
        <v>409</v>
      </c>
      <c r="G1197" s="7">
        <v>36</v>
      </c>
      <c r="H1197" s="16" t="str">
        <f t="shared" si="18"/>
        <v>(1195,'1245','القالة','El Kala','El Kala',409),</v>
      </c>
    </row>
    <row r="1198" spans="1:8" ht="20.100000000000001" customHeight="1" x14ac:dyDescent="0.25">
      <c r="A1198" s="3">
        <v>1196</v>
      </c>
      <c r="B1198" s="8">
        <v>1250</v>
      </c>
      <c r="C1198" s="4" t="s">
        <v>3666</v>
      </c>
      <c r="D1198" s="4" t="s">
        <v>3667</v>
      </c>
      <c r="E1198" s="4" t="s">
        <v>3667</v>
      </c>
      <c r="F1198" s="7">
        <v>409</v>
      </c>
      <c r="G1198" s="7">
        <v>36</v>
      </c>
      <c r="H1198" s="16" t="str">
        <f t="shared" si="18"/>
        <v>(1196,'1250','رمل السوق','Raml Souk','Raml Souk',409),</v>
      </c>
    </row>
    <row r="1199" spans="1:8" ht="20.100000000000001" customHeight="1" x14ac:dyDescent="0.25">
      <c r="A1199" s="3">
        <v>1197</v>
      </c>
      <c r="B1199" s="8">
        <v>1251</v>
      </c>
      <c r="C1199" s="4" t="s">
        <v>3668</v>
      </c>
      <c r="D1199" s="4" t="s">
        <v>3669</v>
      </c>
      <c r="E1199" s="4" t="s">
        <v>3669</v>
      </c>
      <c r="F1199" s="7">
        <v>409</v>
      </c>
      <c r="G1199" s="7">
        <v>36</v>
      </c>
      <c r="H1199" s="16" t="str">
        <f t="shared" si="18"/>
        <v>(1197,'1251','السوارخ','Souarekh','Souarekh',409),</v>
      </c>
    </row>
    <row r="1200" spans="1:8" ht="20.100000000000001" customHeight="1" x14ac:dyDescent="0.25">
      <c r="A1200" s="3">
        <v>1198</v>
      </c>
      <c r="B1200" s="8">
        <v>1238</v>
      </c>
      <c r="C1200" s="4" t="s">
        <v>1891</v>
      </c>
      <c r="D1200" s="4" t="s">
        <v>1890</v>
      </c>
      <c r="E1200" s="4" t="s">
        <v>1890</v>
      </c>
      <c r="F1200" s="7">
        <v>410</v>
      </c>
      <c r="G1200" s="7">
        <v>36</v>
      </c>
      <c r="H1200" s="16" t="str">
        <f t="shared" si="18"/>
        <v>(1198,'1238','بوثلجة','Bouteldja','Bouteldja',410),</v>
      </c>
    </row>
    <row r="1201" spans="1:8" ht="20.100000000000001" customHeight="1" x14ac:dyDescent="0.25">
      <c r="A1201" s="3">
        <v>1199</v>
      </c>
      <c r="B1201" s="8">
        <v>1240</v>
      </c>
      <c r="C1201" s="4" t="s">
        <v>3670</v>
      </c>
      <c r="D1201" s="4" t="s">
        <v>3671</v>
      </c>
      <c r="E1201" s="4" t="s">
        <v>3671</v>
      </c>
      <c r="F1201" s="7">
        <v>410</v>
      </c>
      <c r="G1201" s="7">
        <v>36</v>
      </c>
      <c r="H1201" s="16" t="str">
        <f t="shared" si="18"/>
        <v>(1199,'1240','الشافية','Chefia','Chefia',410),</v>
      </c>
    </row>
    <row r="1202" spans="1:8" ht="20.100000000000001" customHeight="1" x14ac:dyDescent="0.25">
      <c r="A1202" s="3">
        <v>1200</v>
      </c>
      <c r="B1202" s="8">
        <v>1248</v>
      </c>
      <c r="C1202" s="4" t="s">
        <v>3672</v>
      </c>
      <c r="D1202" s="4" t="s">
        <v>3673</v>
      </c>
      <c r="E1202" s="4" t="s">
        <v>3673</v>
      </c>
      <c r="F1202" s="7">
        <v>410</v>
      </c>
      <c r="G1202" s="7">
        <v>36</v>
      </c>
      <c r="H1202" s="16" t="str">
        <f t="shared" si="18"/>
        <v>(1200,'1248','بحيرة الطيور','Lac Des Oiseaux','Lac Des Oiseaux',410),</v>
      </c>
    </row>
    <row r="1203" spans="1:8" ht="20.100000000000001" customHeight="1" x14ac:dyDescent="0.25">
      <c r="A1203" s="3">
        <v>1201</v>
      </c>
      <c r="B1203" s="8">
        <v>1239</v>
      </c>
      <c r="C1203" s="4" t="s">
        <v>3674</v>
      </c>
      <c r="D1203" s="4" t="s">
        <v>3675</v>
      </c>
      <c r="E1203" s="4" t="s">
        <v>3675</v>
      </c>
      <c r="F1203" s="7">
        <v>411</v>
      </c>
      <c r="G1203" s="7">
        <v>36</v>
      </c>
      <c r="H1203" s="16" t="str">
        <f t="shared" si="18"/>
        <v>(1201,'1239','شبيطة مختار','Chebaita Mokhtar','Chebaita Mokhtar',411),</v>
      </c>
    </row>
    <row r="1204" spans="1:8" ht="20.100000000000001" customHeight="1" x14ac:dyDescent="0.25">
      <c r="A1204" s="3">
        <v>1202</v>
      </c>
      <c r="B1204" s="8">
        <v>1241</v>
      </c>
      <c r="C1204" s="4" t="s">
        <v>3676</v>
      </c>
      <c r="D1204" s="4" t="s">
        <v>3677</v>
      </c>
      <c r="E1204" s="4" t="s">
        <v>3677</v>
      </c>
      <c r="F1204" s="7">
        <v>411</v>
      </c>
      <c r="G1204" s="7">
        <v>36</v>
      </c>
      <c r="H1204" s="16" t="str">
        <f t="shared" si="18"/>
        <v>(1202,'1241','شحاني','Chihani','Chihani',411),</v>
      </c>
    </row>
    <row r="1205" spans="1:8" ht="20.100000000000001" customHeight="1" x14ac:dyDescent="0.25">
      <c r="A1205" s="3">
        <v>1203</v>
      </c>
      <c r="B1205" s="8">
        <v>1242</v>
      </c>
      <c r="C1205" s="4" t="s">
        <v>3678</v>
      </c>
      <c r="D1205" s="4" t="s">
        <v>1892</v>
      </c>
      <c r="E1205" s="4" t="s">
        <v>1892</v>
      </c>
      <c r="F1205" s="7">
        <v>411</v>
      </c>
      <c r="G1205" s="7">
        <v>36</v>
      </c>
      <c r="H1205" s="16" t="str">
        <f t="shared" si="18"/>
        <v>(1203,'1242','الذرعـان','Drean','Drean',411),</v>
      </c>
    </row>
    <row r="1206" spans="1:8" ht="20.100000000000001" customHeight="1" x14ac:dyDescent="0.25">
      <c r="A1206" s="3">
        <v>1204</v>
      </c>
      <c r="B1206" s="8">
        <v>1232</v>
      </c>
      <c r="C1206" s="4" t="s">
        <v>3679</v>
      </c>
      <c r="D1206" s="4" t="s">
        <v>3680</v>
      </c>
      <c r="E1206" s="4" t="s">
        <v>3680</v>
      </c>
      <c r="F1206" s="7">
        <v>412</v>
      </c>
      <c r="G1206" s="7">
        <v>36</v>
      </c>
      <c r="H1206" s="16" t="str">
        <f t="shared" si="18"/>
        <v>(1204,'1232','عصفور','Asfour','Asfour',412),</v>
      </c>
    </row>
    <row r="1207" spans="1:8" ht="20.100000000000001" customHeight="1" x14ac:dyDescent="0.25">
      <c r="A1207" s="3">
        <v>1205</v>
      </c>
      <c r="B1207" s="8">
        <v>1235</v>
      </c>
      <c r="C1207" s="4" t="s">
        <v>1887</v>
      </c>
      <c r="D1207" s="4" t="s">
        <v>1886</v>
      </c>
      <c r="E1207" s="4" t="s">
        <v>1886</v>
      </c>
      <c r="F1207" s="7">
        <v>412</v>
      </c>
      <c r="G1207" s="7">
        <v>36</v>
      </c>
      <c r="H1207" s="16" t="str">
        <f t="shared" si="18"/>
        <v>(1205,'1235','البسباس','Besbes','Besbes',412),</v>
      </c>
    </row>
    <row r="1208" spans="1:8" ht="20.100000000000001" customHeight="1" x14ac:dyDescent="0.25">
      <c r="A1208" s="3">
        <v>1206</v>
      </c>
      <c r="B1208" s="8">
        <v>1252</v>
      </c>
      <c r="C1208" s="4" t="s">
        <v>3681</v>
      </c>
      <c r="D1208" s="4" t="s">
        <v>3682</v>
      </c>
      <c r="E1208" s="4" t="s">
        <v>3682</v>
      </c>
      <c r="F1208" s="7">
        <v>412</v>
      </c>
      <c r="G1208" s="7">
        <v>36</v>
      </c>
      <c r="H1208" s="16" t="str">
        <f t="shared" si="18"/>
        <v>(1206,'1252','زريزر','Zerizer','Zerizer',412),</v>
      </c>
    </row>
    <row r="1209" spans="1:8" ht="20.100000000000001" customHeight="1" x14ac:dyDescent="0.25">
      <c r="A1209" s="3">
        <v>1207</v>
      </c>
      <c r="B1209" s="8">
        <v>1254</v>
      </c>
      <c r="C1209" s="4" t="s">
        <v>3683</v>
      </c>
      <c r="D1209" s="4" t="s">
        <v>3684</v>
      </c>
      <c r="E1209" s="4" t="s">
        <v>3684</v>
      </c>
      <c r="F1209" s="7">
        <v>413</v>
      </c>
      <c r="G1209" s="7">
        <v>37</v>
      </c>
      <c r="H1209" s="16" t="str">
        <f t="shared" si="18"/>
        <v>(1207,'1254','أم العسل','Oum El Assel','Oum El Assel',413),</v>
      </c>
    </row>
    <row r="1210" spans="1:8" ht="20.100000000000001" customHeight="1" x14ac:dyDescent="0.25">
      <c r="A1210" s="3">
        <v>1208</v>
      </c>
      <c r="B1210" s="8">
        <v>1255</v>
      </c>
      <c r="C1210" s="4" t="s">
        <v>1043</v>
      </c>
      <c r="D1210" s="4" t="s">
        <v>1044</v>
      </c>
      <c r="E1210" s="4" t="s">
        <v>1044</v>
      </c>
      <c r="F1210" s="7">
        <v>413</v>
      </c>
      <c r="G1210" s="7">
        <v>37</v>
      </c>
      <c r="H1210" s="16" t="str">
        <f t="shared" si="18"/>
        <v>(1208,'1255','تندوف','Tindouf','Tindouf',413),</v>
      </c>
    </row>
    <row r="1211" spans="1:8" ht="20.100000000000001" customHeight="1" x14ac:dyDescent="0.25">
      <c r="A1211" s="3">
        <v>1209</v>
      </c>
      <c r="B1211" s="8">
        <v>1269</v>
      </c>
      <c r="C1211" s="4" t="s">
        <v>3685</v>
      </c>
      <c r="D1211" s="4" t="s">
        <v>3686</v>
      </c>
      <c r="E1211" s="4" t="s">
        <v>3686</v>
      </c>
      <c r="F1211" s="7">
        <v>414</v>
      </c>
      <c r="G1211" s="7">
        <v>38</v>
      </c>
      <c r="H1211" s="16" t="str">
        <f t="shared" si="18"/>
        <v>(1209,'1269','أولاد بسام','Ouled Bessam','Ouled Bessam',414),</v>
      </c>
    </row>
    <row r="1212" spans="1:8" ht="20.100000000000001" customHeight="1" x14ac:dyDescent="0.25">
      <c r="A1212" s="3">
        <v>1210</v>
      </c>
      <c r="B1212" s="8">
        <v>1276</v>
      </c>
      <c r="C1212" s="4" t="s">
        <v>1045</v>
      </c>
      <c r="D1212" s="4" t="s">
        <v>1046</v>
      </c>
      <c r="E1212" s="4" t="s">
        <v>1046</v>
      </c>
      <c r="F1212" s="7">
        <v>414</v>
      </c>
      <c r="G1212" s="7">
        <v>38</v>
      </c>
      <c r="H1212" s="16" t="str">
        <f t="shared" si="18"/>
        <v>(1210,'1276','تيسمسيلت','Tissemsilt','Tissemsilt',414),</v>
      </c>
    </row>
    <row r="1213" spans="1:8" ht="20.100000000000001" customHeight="1" x14ac:dyDescent="0.25">
      <c r="A1213" s="3">
        <v>1211</v>
      </c>
      <c r="B1213" s="8">
        <v>1257</v>
      </c>
      <c r="C1213" s="4" t="s">
        <v>3687</v>
      </c>
      <c r="D1213" s="4" t="s">
        <v>3688</v>
      </c>
      <c r="E1213" s="4" t="s">
        <v>3688</v>
      </c>
      <c r="F1213" s="7">
        <v>415</v>
      </c>
      <c r="G1213" s="7">
        <v>38</v>
      </c>
      <c r="H1213" s="16" t="str">
        <f t="shared" si="18"/>
        <v>(1211,'1257','بني شعيب','Beni Chaib','Beni Chaib',415),</v>
      </c>
    </row>
    <row r="1214" spans="1:8" ht="20.100000000000001" customHeight="1" x14ac:dyDescent="0.25">
      <c r="A1214" s="3">
        <v>1212</v>
      </c>
      <c r="B1214" s="8">
        <v>1258</v>
      </c>
      <c r="C1214" s="4" t="s">
        <v>3689</v>
      </c>
      <c r="D1214" s="4" t="s">
        <v>3690</v>
      </c>
      <c r="E1214" s="4" t="s">
        <v>3690</v>
      </c>
      <c r="F1214" s="7">
        <v>415</v>
      </c>
      <c r="G1214" s="7">
        <v>38</v>
      </c>
      <c r="H1214" s="16" t="str">
        <f t="shared" si="18"/>
        <v>(1212,'1258','بني لحسن','Beni Lahcene','Beni Lahcene',415),</v>
      </c>
    </row>
    <row r="1215" spans="1:8" ht="20.100000000000001" customHeight="1" x14ac:dyDescent="0.25">
      <c r="A1215" s="3">
        <v>1213</v>
      </c>
      <c r="B1215" s="8">
        <v>1259</v>
      </c>
      <c r="C1215" s="4" t="s">
        <v>1899</v>
      </c>
      <c r="D1215" s="4" t="s">
        <v>1898</v>
      </c>
      <c r="E1215" s="4" t="s">
        <v>1898</v>
      </c>
      <c r="F1215" s="7">
        <v>415</v>
      </c>
      <c r="G1215" s="7">
        <v>38</v>
      </c>
      <c r="H1215" s="16" t="str">
        <f t="shared" si="18"/>
        <v>(1213,'1259','برج بونعامة','Bordj Bounaama','Bordj Bounaama',415),</v>
      </c>
    </row>
    <row r="1216" spans="1:8" ht="20.100000000000001" customHeight="1" x14ac:dyDescent="0.25">
      <c r="A1216" s="3">
        <v>1214</v>
      </c>
      <c r="B1216" s="8">
        <v>1273</v>
      </c>
      <c r="C1216" s="4" t="s">
        <v>3535</v>
      </c>
      <c r="D1216" s="4" t="s">
        <v>3536</v>
      </c>
      <c r="E1216" s="4" t="s">
        <v>3536</v>
      </c>
      <c r="F1216" s="7">
        <v>415</v>
      </c>
      <c r="G1216" s="7">
        <v>38</v>
      </c>
      <c r="H1216" s="16" t="str">
        <f t="shared" si="18"/>
        <v>(1214,'1273','سيدي سليمان','Sidi Slimane','Sidi Slimane',415),</v>
      </c>
    </row>
    <row r="1217" spans="1:8" ht="20.100000000000001" customHeight="1" x14ac:dyDescent="0.25">
      <c r="A1217" s="3">
        <v>1215</v>
      </c>
      <c r="B1217" s="8">
        <v>1271</v>
      </c>
      <c r="C1217" s="4" t="s">
        <v>3691</v>
      </c>
      <c r="D1217" s="4" t="s">
        <v>3692</v>
      </c>
      <c r="E1217" s="4" t="s">
        <v>3692</v>
      </c>
      <c r="F1217" s="7">
        <v>416</v>
      </c>
      <c r="G1217" s="7">
        <v>38</v>
      </c>
      <c r="H1217" s="16" t="str">
        <f t="shared" si="18"/>
        <v>(1215,'1271','سيدي بوتوشنت','Sidi Boutouchent','Sidi Boutouchent',416),</v>
      </c>
    </row>
    <row r="1218" spans="1:8" ht="20.100000000000001" customHeight="1" x14ac:dyDescent="0.25">
      <c r="A1218" s="3">
        <v>1216</v>
      </c>
      <c r="B1218" s="8">
        <v>1275</v>
      </c>
      <c r="C1218" s="4" t="s">
        <v>1909</v>
      </c>
      <c r="D1218" s="4" t="s">
        <v>1908</v>
      </c>
      <c r="E1218" s="4" t="s">
        <v>1908</v>
      </c>
      <c r="F1218" s="7">
        <v>416</v>
      </c>
      <c r="G1218" s="7">
        <v>38</v>
      </c>
      <c r="H1218" s="16" t="str">
        <f t="shared" si="18"/>
        <v>(1216,'1275','ثنية الاحد','Theniet El Had','Theniet El Had',416),</v>
      </c>
    </row>
    <row r="1219" spans="1:8" ht="20.100000000000001" customHeight="1" x14ac:dyDescent="0.25">
      <c r="A1219" s="3">
        <v>1217</v>
      </c>
      <c r="B1219" s="8">
        <v>1261</v>
      </c>
      <c r="C1219" s="4" t="s">
        <v>3693</v>
      </c>
      <c r="D1219" s="4" t="s">
        <v>3694</v>
      </c>
      <c r="E1219" s="4" t="s">
        <v>3694</v>
      </c>
      <c r="F1219" s="7">
        <v>417</v>
      </c>
      <c r="G1219" s="7">
        <v>38</v>
      </c>
      <c r="H1219" s="16" t="str">
        <f t="shared" si="18"/>
        <v>(1217,'1261','بوقائد','Boucaid','Boucaid',417),</v>
      </c>
    </row>
    <row r="1220" spans="1:8" ht="20.100000000000001" customHeight="1" x14ac:dyDescent="0.25">
      <c r="A1220" s="3">
        <v>1218</v>
      </c>
      <c r="B1220" s="8">
        <v>1263</v>
      </c>
      <c r="C1220" s="4" t="s">
        <v>1324</v>
      </c>
      <c r="D1220" s="4" t="s">
        <v>1323</v>
      </c>
      <c r="E1220" s="4" t="s">
        <v>1323</v>
      </c>
      <c r="F1220" s="7">
        <v>417</v>
      </c>
      <c r="G1220" s="7">
        <v>38</v>
      </c>
      <c r="H1220" s="16" t="str">
        <f t="shared" ref="H1220:H1283" si="19">CONCATENATE("(",A1220,",'",B1220,"','",C1220,"','",D1220,"','",E1220,"',",F1220,"),")</f>
        <v>(1218,'1263','الأربعاء','Larbaa','Larbaa',417),</v>
      </c>
    </row>
    <row r="1221" spans="1:8" ht="20.100000000000001" customHeight="1" x14ac:dyDescent="0.25">
      <c r="A1221" s="3">
        <v>1219</v>
      </c>
      <c r="B1221" s="8">
        <v>1266</v>
      </c>
      <c r="C1221" s="4" t="s">
        <v>1903</v>
      </c>
      <c r="D1221" s="4" t="s">
        <v>1902</v>
      </c>
      <c r="E1221" s="4" t="s">
        <v>1902</v>
      </c>
      <c r="F1221" s="7">
        <v>417</v>
      </c>
      <c r="G1221" s="7">
        <v>38</v>
      </c>
      <c r="H1221" s="16" t="str">
        <f t="shared" si="19"/>
        <v>(1219,'1266','الأزهرية','Lazharia','Lazharia',417),</v>
      </c>
    </row>
    <row r="1222" spans="1:8" ht="20.100000000000001" customHeight="1" x14ac:dyDescent="0.25">
      <c r="A1222" s="3">
        <v>1220</v>
      </c>
      <c r="B1222" s="8">
        <v>1264</v>
      </c>
      <c r="C1222" s="4" t="s">
        <v>1907</v>
      </c>
      <c r="D1222" s="4" t="s">
        <v>1906</v>
      </c>
      <c r="E1222" s="4" t="s">
        <v>1906</v>
      </c>
      <c r="F1222" s="7">
        <v>418</v>
      </c>
      <c r="G1222" s="7">
        <v>38</v>
      </c>
      <c r="H1222" s="16" t="str">
        <f t="shared" si="19"/>
        <v>(1220,'1264','لرجام','Lardjem','Lardjem',418),</v>
      </c>
    </row>
    <row r="1223" spans="1:8" ht="20.100000000000001" customHeight="1" x14ac:dyDescent="0.25">
      <c r="A1223" s="3">
        <v>1221</v>
      </c>
      <c r="B1223" s="8">
        <v>1268</v>
      </c>
      <c r="C1223" s="4" t="s">
        <v>3695</v>
      </c>
      <c r="D1223" s="4" t="s">
        <v>3696</v>
      </c>
      <c r="E1223" s="4" t="s">
        <v>3696</v>
      </c>
      <c r="F1223" s="7">
        <v>418</v>
      </c>
      <c r="G1223" s="7">
        <v>38</v>
      </c>
      <c r="H1223" s="16" t="str">
        <f t="shared" si="19"/>
        <v>(1221,'1268','الملعب','Melaab','Melaab',418),</v>
      </c>
    </row>
    <row r="1224" spans="1:8" ht="20.100000000000001" customHeight="1" x14ac:dyDescent="0.25">
      <c r="A1224" s="3">
        <v>1222</v>
      </c>
      <c r="B1224" s="8">
        <v>1272</v>
      </c>
      <c r="C1224" s="4" t="s">
        <v>3697</v>
      </c>
      <c r="D1224" s="4" t="s">
        <v>3698</v>
      </c>
      <c r="E1224" s="4" t="s">
        <v>3698</v>
      </c>
      <c r="F1224" s="7">
        <v>418</v>
      </c>
      <c r="G1224" s="7">
        <v>38</v>
      </c>
      <c r="H1224" s="16" t="str">
        <f t="shared" si="19"/>
        <v>(1222,'1272','سيدي العنتري','Sidi Lantri','Sidi Lantri',418),</v>
      </c>
    </row>
    <row r="1225" spans="1:8" ht="20.100000000000001" customHeight="1" x14ac:dyDescent="0.25">
      <c r="A1225" s="3">
        <v>1223</v>
      </c>
      <c r="B1225" s="8">
        <v>1274</v>
      </c>
      <c r="C1225" s="4" t="s">
        <v>3699</v>
      </c>
      <c r="D1225" s="4" t="s">
        <v>3700</v>
      </c>
      <c r="E1225" s="4" t="s">
        <v>3700</v>
      </c>
      <c r="F1225" s="7">
        <v>418</v>
      </c>
      <c r="G1225" s="7">
        <v>38</v>
      </c>
      <c r="H1225" s="16" t="str">
        <f t="shared" si="19"/>
        <v>(1223,'1274','تملاحت','Tamellahet','Tamellahet',418),</v>
      </c>
    </row>
    <row r="1226" spans="1:8" ht="20.100000000000001" customHeight="1" x14ac:dyDescent="0.25">
      <c r="A1226" s="3">
        <v>1224</v>
      </c>
      <c r="B1226" s="8">
        <v>1260</v>
      </c>
      <c r="C1226" s="4" t="s">
        <v>1901</v>
      </c>
      <c r="D1226" s="4" t="s">
        <v>3701</v>
      </c>
      <c r="E1226" s="4" t="s">
        <v>3701</v>
      </c>
      <c r="F1226" s="7">
        <v>419</v>
      </c>
      <c r="G1226" s="7">
        <v>38</v>
      </c>
      <c r="H1226" s="16" t="str">
        <f t="shared" si="19"/>
        <v>(1224,'1260','برج الأمير عبد القادر','Bordj El Emir Abdelkader','Bordj El Emir Abdelkader',419),</v>
      </c>
    </row>
    <row r="1227" spans="1:8" ht="20.100000000000001" customHeight="1" x14ac:dyDescent="0.25">
      <c r="A1227" s="3">
        <v>1225</v>
      </c>
      <c r="B1227" s="8">
        <v>1277</v>
      </c>
      <c r="C1227" s="4" t="s">
        <v>3702</v>
      </c>
      <c r="D1227" s="4" t="s">
        <v>3703</v>
      </c>
      <c r="E1227" s="4" t="s">
        <v>3703</v>
      </c>
      <c r="F1227" s="7">
        <v>419</v>
      </c>
      <c r="G1227" s="7">
        <v>38</v>
      </c>
      <c r="H1227" s="16" t="str">
        <f t="shared" si="19"/>
        <v>(1225,'1277','اليوسفية','Youssoufia','Youssoufia',419),</v>
      </c>
    </row>
    <row r="1228" spans="1:8" ht="20.100000000000001" customHeight="1" x14ac:dyDescent="0.25">
      <c r="A1228" s="3">
        <v>1226</v>
      </c>
      <c r="B1228" s="8">
        <v>1262</v>
      </c>
      <c r="C1228" s="4" t="s">
        <v>1905</v>
      </c>
      <c r="D1228" s="4" t="s">
        <v>1904</v>
      </c>
      <c r="E1228" s="4" t="s">
        <v>1904</v>
      </c>
      <c r="F1228" s="7">
        <v>420</v>
      </c>
      <c r="G1228" s="7">
        <v>38</v>
      </c>
      <c r="H1228" s="16" t="str">
        <f t="shared" si="19"/>
        <v>(1226,'1262','خميستي','Khemisti','Khemisti',420),</v>
      </c>
    </row>
    <row r="1229" spans="1:8" ht="20.100000000000001" customHeight="1" x14ac:dyDescent="0.25">
      <c r="A1229" s="3">
        <v>1227</v>
      </c>
      <c r="B1229" s="8">
        <v>1265</v>
      </c>
      <c r="C1229" s="4" t="s">
        <v>3664</v>
      </c>
      <c r="D1229" s="4" t="s">
        <v>3704</v>
      </c>
      <c r="E1229" s="4" t="s">
        <v>3704</v>
      </c>
      <c r="F1229" s="7">
        <v>420</v>
      </c>
      <c r="G1229" s="7">
        <v>38</v>
      </c>
      <c r="H1229" s="16" t="str">
        <f t="shared" si="19"/>
        <v>(1227,'1265','العيون','Layoune','Layoune',420),</v>
      </c>
    </row>
    <row r="1230" spans="1:8" ht="20.100000000000001" customHeight="1" x14ac:dyDescent="0.25">
      <c r="A1230" s="3">
        <v>1228</v>
      </c>
      <c r="B1230" s="8">
        <v>1256</v>
      </c>
      <c r="C1230" s="4" t="s">
        <v>1897</v>
      </c>
      <c r="D1230" s="4" t="s">
        <v>1896</v>
      </c>
      <c r="E1230" s="4" t="s">
        <v>1896</v>
      </c>
      <c r="F1230" s="7">
        <v>421</v>
      </c>
      <c r="G1230" s="7">
        <v>38</v>
      </c>
      <c r="H1230" s="16" t="str">
        <f t="shared" si="19"/>
        <v>(1228,'1256','عماري','Ammari','Ammari',421),</v>
      </c>
    </row>
    <row r="1231" spans="1:8" ht="20.100000000000001" customHeight="1" x14ac:dyDescent="0.25">
      <c r="A1231" s="3">
        <v>1229</v>
      </c>
      <c r="B1231" s="8">
        <v>1267</v>
      </c>
      <c r="C1231" s="4" t="s">
        <v>3705</v>
      </c>
      <c r="D1231" s="4" t="s">
        <v>3706</v>
      </c>
      <c r="E1231" s="4" t="s">
        <v>3706</v>
      </c>
      <c r="F1231" s="7">
        <v>421</v>
      </c>
      <c r="G1231" s="7">
        <v>38</v>
      </c>
      <c r="H1231" s="16" t="str">
        <f t="shared" si="19"/>
        <v>(1229,'1267','المعاصم','Maacem','Maacem',421),</v>
      </c>
    </row>
    <row r="1232" spans="1:8" ht="20.100000000000001" customHeight="1" x14ac:dyDescent="0.25">
      <c r="A1232" s="3">
        <v>1230</v>
      </c>
      <c r="B1232" s="8">
        <v>1270</v>
      </c>
      <c r="C1232" s="4" t="s">
        <v>3707</v>
      </c>
      <c r="D1232" s="4" t="s">
        <v>3708</v>
      </c>
      <c r="E1232" s="4" t="s">
        <v>3708</v>
      </c>
      <c r="F1232" s="7">
        <v>421</v>
      </c>
      <c r="G1232" s="7">
        <v>38</v>
      </c>
      <c r="H1232" s="16" t="str">
        <f t="shared" si="19"/>
        <v>(1230,'1270','سيدي عابد','Sidi Abed','Sidi Abed',421),</v>
      </c>
    </row>
    <row r="1233" spans="1:8" ht="20.100000000000001" customHeight="1" x14ac:dyDescent="0.25">
      <c r="A1233" s="3">
        <v>1231</v>
      </c>
      <c r="B1233" s="8">
        <v>1285</v>
      </c>
      <c r="C1233" s="4" t="s">
        <v>1047</v>
      </c>
      <c r="D1233" s="4" t="s">
        <v>3709</v>
      </c>
      <c r="E1233" s="4" t="s">
        <v>3709</v>
      </c>
      <c r="F1233" s="7">
        <v>422</v>
      </c>
      <c r="G1233" s="7">
        <v>39</v>
      </c>
      <c r="H1233" s="16" t="str">
        <f t="shared" si="19"/>
        <v>(1231,'1285','الوادي','El-Oued','El-Oued',422),</v>
      </c>
    </row>
    <row r="1234" spans="1:8" ht="20.100000000000001" customHeight="1" x14ac:dyDescent="0.25">
      <c r="A1234" s="3">
        <v>1232</v>
      </c>
      <c r="B1234" s="8">
        <v>1290</v>
      </c>
      <c r="C1234" s="4" t="s">
        <v>3710</v>
      </c>
      <c r="D1234" s="4" t="s">
        <v>3711</v>
      </c>
      <c r="E1234" s="4" t="s">
        <v>3711</v>
      </c>
      <c r="F1234" s="7">
        <v>422</v>
      </c>
      <c r="G1234" s="7">
        <v>39</v>
      </c>
      <c r="H1234" s="16" t="str">
        <f t="shared" si="19"/>
        <v>(1232,'1290','كوينين','Kouinine','Kouinine',422),</v>
      </c>
    </row>
    <row r="1235" spans="1:8" ht="20.100000000000001" customHeight="1" x14ac:dyDescent="0.25">
      <c r="A1235" s="3">
        <v>1233</v>
      </c>
      <c r="B1235" s="8">
        <v>1283</v>
      </c>
      <c r="C1235" s="4" t="s">
        <v>1360</v>
      </c>
      <c r="D1235" s="4" t="s">
        <v>1359</v>
      </c>
      <c r="E1235" s="4" t="s">
        <v>1359</v>
      </c>
      <c r="F1235" s="7">
        <v>423</v>
      </c>
      <c r="G1235" s="7">
        <v>39</v>
      </c>
      <c r="H1235" s="16" t="str">
        <f t="shared" si="19"/>
        <v>(1233,'1283','العقلة','El Ogla','El Ogla',423),</v>
      </c>
    </row>
    <row r="1236" spans="1:8" ht="20.100000000000001" customHeight="1" x14ac:dyDescent="0.25">
      <c r="A1236" s="3">
        <v>1234</v>
      </c>
      <c r="B1236" s="8">
        <v>1294</v>
      </c>
      <c r="C1236" s="4" t="s">
        <v>3712</v>
      </c>
      <c r="D1236" s="4" t="s">
        <v>3713</v>
      </c>
      <c r="E1236" s="4" t="s">
        <v>3713</v>
      </c>
      <c r="F1236" s="7">
        <v>423</v>
      </c>
      <c r="G1236" s="7">
        <v>39</v>
      </c>
      <c r="H1236" s="16" t="str">
        <f t="shared" si="19"/>
        <v>(1234,'1294','النخلة','Nakhla','Nakhla',423),</v>
      </c>
    </row>
    <row r="1237" spans="1:8" ht="20.100000000000001" customHeight="1" x14ac:dyDescent="0.25">
      <c r="A1237" s="3">
        <v>1235</v>
      </c>
      <c r="B1237" s="8">
        <v>1299</v>
      </c>
      <c r="C1237" s="4" t="s">
        <v>1919</v>
      </c>
      <c r="D1237" s="4" t="s">
        <v>1918</v>
      </c>
      <c r="E1237" s="4" t="s">
        <v>1918</v>
      </c>
      <c r="F1237" s="7">
        <v>423</v>
      </c>
      <c r="G1237" s="7">
        <v>39</v>
      </c>
      <c r="H1237" s="16" t="str">
        <f t="shared" si="19"/>
        <v>(1235,'1299','الرباح','Robbah','Robbah',423),</v>
      </c>
    </row>
    <row r="1238" spans="1:8" ht="20.100000000000001" customHeight="1" x14ac:dyDescent="0.25">
      <c r="A1238" s="3">
        <v>1236</v>
      </c>
      <c r="B1238" s="8">
        <v>1278</v>
      </c>
      <c r="C1238" s="4" t="s">
        <v>1911</v>
      </c>
      <c r="D1238" s="4" t="s">
        <v>1910</v>
      </c>
      <c r="E1238" s="4" t="s">
        <v>1910</v>
      </c>
      <c r="F1238" s="7">
        <v>424</v>
      </c>
      <c r="G1238" s="7">
        <v>39</v>
      </c>
      <c r="H1238" s="16" t="str">
        <f t="shared" si="19"/>
        <v>(1236,'1278','البياضة','Bayadha','Bayadha',424),</v>
      </c>
    </row>
    <row r="1239" spans="1:8" ht="20.100000000000001" customHeight="1" x14ac:dyDescent="0.25">
      <c r="A1239" s="3">
        <v>1237</v>
      </c>
      <c r="B1239" s="8">
        <v>1286</v>
      </c>
      <c r="C1239" s="4" t="s">
        <v>1922</v>
      </c>
      <c r="D1239" s="4" t="s">
        <v>1921</v>
      </c>
      <c r="E1239" s="4" t="s">
        <v>1921</v>
      </c>
      <c r="F1239" s="7">
        <v>425</v>
      </c>
      <c r="G1239" s="7">
        <v>39</v>
      </c>
      <c r="H1239" s="16" t="str">
        <f t="shared" si="19"/>
        <v>(1237,'1286','قمار','Guemar','Guemar',425),</v>
      </c>
    </row>
    <row r="1240" spans="1:8" ht="20.100000000000001" customHeight="1" x14ac:dyDescent="0.25">
      <c r="A1240" s="3">
        <v>1238</v>
      </c>
      <c r="B1240" s="8">
        <v>1297</v>
      </c>
      <c r="C1240" s="4" t="s">
        <v>3714</v>
      </c>
      <c r="D1240" s="4" t="s">
        <v>3715</v>
      </c>
      <c r="E1240" s="4" t="s">
        <v>3715</v>
      </c>
      <c r="F1240" s="7">
        <v>425</v>
      </c>
      <c r="G1240" s="7">
        <v>39</v>
      </c>
      <c r="H1240" s="16" t="str">
        <f t="shared" si="19"/>
        <v>(1238,'1297','ورماس','Ourmes','Ourmes',425),</v>
      </c>
    </row>
    <row r="1241" spans="1:8" ht="20.100000000000001" customHeight="1" x14ac:dyDescent="0.25">
      <c r="A1241" s="3">
        <v>1239</v>
      </c>
      <c r="B1241" s="8">
        <v>1304</v>
      </c>
      <c r="C1241" s="4" t="s">
        <v>3716</v>
      </c>
      <c r="D1241" s="4" t="s">
        <v>2459</v>
      </c>
      <c r="E1241" s="4" t="s">
        <v>2459</v>
      </c>
      <c r="F1241" s="7">
        <v>425</v>
      </c>
      <c r="G1241" s="7">
        <v>39</v>
      </c>
      <c r="H1241" s="16" t="str">
        <f t="shared" si="19"/>
        <v>(1239,'1304','تغزوت','Taghzout','Taghzout',425),</v>
      </c>
    </row>
    <row r="1242" spans="1:8" ht="20.100000000000001" customHeight="1" x14ac:dyDescent="0.25">
      <c r="A1242" s="3">
        <v>1240</v>
      </c>
      <c r="B1242" s="8">
        <v>1287</v>
      </c>
      <c r="C1242" s="4" t="s">
        <v>3717</v>
      </c>
      <c r="D1242" s="4" t="s">
        <v>3718</v>
      </c>
      <c r="E1242" s="4" t="s">
        <v>3718</v>
      </c>
      <c r="F1242" s="7">
        <v>426</v>
      </c>
      <c r="G1242" s="7">
        <v>39</v>
      </c>
      <c r="H1242" s="16" t="str">
        <f t="shared" si="19"/>
        <v>(1240,'1287','الحمراية','Hamraia','Hamraia',426),</v>
      </c>
    </row>
    <row r="1243" spans="1:8" ht="20.100000000000001" customHeight="1" x14ac:dyDescent="0.25">
      <c r="A1243" s="3">
        <v>1241</v>
      </c>
      <c r="B1243" s="8">
        <v>1298</v>
      </c>
      <c r="C1243" s="4" t="s">
        <v>1924</v>
      </c>
      <c r="D1243" s="4" t="s">
        <v>1923</v>
      </c>
      <c r="E1243" s="4" t="s">
        <v>1923</v>
      </c>
      <c r="F1243" s="7">
        <v>426</v>
      </c>
      <c r="G1243" s="7">
        <v>39</v>
      </c>
      <c r="H1243" s="16" t="str">
        <f t="shared" si="19"/>
        <v>(1241,'1298','الرقيبة','Reguiba','Reguiba',426),</v>
      </c>
    </row>
    <row r="1244" spans="1:8" ht="20.100000000000001" customHeight="1" x14ac:dyDescent="0.25">
      <c r="A1244" s="3">
        <v>1242</v>
      </c>
      <c r="B1244" s="8">
        <v>1280</v>
      </c>
      <c r="C1244" s="4" t="s">
        <v>1915</v>
      </c>
      <c r="D1244" s="4" t="s">
        <v>1914</v>
      </c>
      <c r="E1244" s="4" t="s">
        <v>1914</v>
      </c>
      <c r="F1244" s="7">
        <v>427</v>
      </c>
      <c r="G1244" s="7">
        <v>39</v>
      </c>
      <c r="H1244" s="16" t="str">
        <f t="shared" si="19"/>
        <v>(1242,'1280','الدبيلة','Debila','Debila',427),</v>
      </c>
    </row>
    <row r="1245" spans="1:8" ht="20.100000000000001" customHeight="1" x14ac:dyDescent="0.25">
      <c r="A1245" s="3">
        <v>1243</v>
      </c>
      <c r="B1245" s="8">
        <v>1288</v>
      </c>
      <c r="C1245" s="4" t="s">
        <v>3719</v>
      </c>
      <c r="D1245" s="4" t="s">
        <v>3720</v>
      </c>
      <c r="E1245" s="4" t="s">
        <v>3720</v>
      </c>
      <c r="F1245" s="7">
        <v>427</v>
      </c>
      <c r="G1245" s="7">
        <v>39</v>
      </c>
      <c r="H1245" s="16" t="str">
        <f t="shared" si="19"/>
        <v>(1243,'1288','حساني عبد الكريم','Hassani Abdelkrim','Hassani Abdelkrim',427),</v>
      </c>
    </row>
    <row r="1246" spans="1:8" ht="20.100000000000001" customHeight="1" x14ac:dyDescent="0.25">
      <c r="A1246" s="3">
        <v>1244</v>
      </c>
      <c r="B1246" s="8">
        <v>1289</v>
      </c>
      <c r="C1246" s="4" t="s">
        <v>1926</v>
      </c>
      <c r="D1246" s="4" t="s">
        <v>1925</v>
      </c>
      <c r="E1246" s="4" t="s">
        <v>1925</v>
      </c>
      <c r="F1246" s="7">
        <v>428</v>
      </c>
      <c r="G1246" s="7">
        <v>39</v>
      </c>
      <c r="H1246" s="16" t="str">
        <f t="shared" si="19"/>
        <v>(1244,'1289','حاسي خليفة','Hassi Khalifa','Hassi Khalifa',428),</v>
      </c>
    </row>
    <row r="1247" spans="1:8" ht="20.100000000000001" customHeight="1" x14ac:dyDescent="0.25">
      <c r="A1247" s="3">
        <v>1245</v>
      </c>
      <c r="B1247" s="8">
        <v>1307</v>
      </c>
      <c r="C1247" s="4" t="s">
        <v>3721</v>
      </c>
      <c r="D1247" s="4" t="s">
        <v>3722</v>
      </c>
      <c r="E1247" s="4" t="s">
        <v>3722</v>
      </c>
      <c r="F1247" s="7">
        <v>428</v>
      </c>
      <c r="G1247" s="7">
        <v>39</v>
      </c>
      <c r="H1247" s="16" t="str">
        <f t="shared" si="19"/>
        <v>(1245,'1307','الطريفاوي','Trifaoui','Trifaoui',428),</v>
      </c>
    </row>
    <row r="1248" spans="1:8" ht="20.100000000000001" customHeight="1" x14ac:dyDescent="0.25">
      <c r="A1248" s="3">
        <v>1246</v>
      </c>
      <c r="B1248" s="8">
        <v>1279</v>
      </c>
      <c r="C1248" s="4" t="s">
        <v>3723</v>
      </c>
      <c r="D1248" s="4" t="s">
        <v>3724</v>
      </c>
      <c r="E1248" s="4" t="s">
        <v>3724</v>
      </c>
      <c r="F1248" s="7">
        <v>429</v>
      </c>
      <c r="G1248" s="7">
        <v>39</v>
      </c>
      <c r="H1248" s="16" t="str">
        <f t="shared" si="19"/>
        <v>(1246,'1279','بن  قشة','Ben Guecha','Ben Guecha',429),</v>
      </c>
    </row>
    <row r="1249" spans="1:8" ht="20.100000000000001" customHeight="1" x14ac:dyDescent="0.25">
      <c r="A1249" s="3">
        <v>1247</v>
      </c>
      <c r="B1249" s="8">
        <v>1282</v>
      </c>
      <c r="C1249" s="4" t="s">
        <v>3725</v>
      </c>
      <c r="D1249" s="4" t="s">
        <v>3726</v>
      </c>
      <c r="E1249" s="4" t="s">
        <v>3726</v>
      </c>
      <c r="F1249" s="7">
        <v>429</v>
      </c>
      <c r="G1249" s="7">
        <v>39</v>
      </c>
      <c r="H1249" s="16" t="str">
        <f t="shared" si="19"/>
        <v>(1247,'1282','دوار الماء','Douar El Maa','Douar El Maa',429),</v>
      </c>
    </row>
    <row r="1250" spans="1:8" ht="20.100000000000001" customHeight="1" x14ac:dyDescent="0.25">
      <c r="A1250" s="3">
        <v>1248</v>
      </c>
      <c r="B1250" s="8">
        <v>1305</v>
      </c>
      <c r="C1250" s="4" t="s">
        <v>1913</v>
      </c>
      <c r="D1250" s="4" t="s">
        <v>1912</v>
      </c>
      <c r="E1250" s="4" t="s">
        <v>1912</v>
      </c>
      <c r="F1250" s="7">
        <v>429</v>
      </c>
      <c r="G1250" s="7">
        <v>39</v>
      </c>
      <c r="H1250" s="16" t="str">
        <f t="shared" si="19"/>
        <v>(1248,'1305','الطالب العربي','Taleb Larbi','Taleb Larbi',429),</v>
      </c>
    </row>
    <row r="1251" spans="1:8" ht="20.100000000000001" customHeight="1" x14ac:dyDescent="0.25">
      <c r="A1251" s="3">
        <v>1249</v>
      </c>
      <c r="B1251" s="8">
        <v>1291</v>
      </c>
      <c r="C1251" s="4" t="s">
        <v>1928</v>
      </c>
      <c r="D1251" s="4" t="s">
        <v>1927</v>
      </c>
      <c r="E1251" s="4" t="s">
        <v>1927</v>
      </c>
      <c r="F1251" s="7">
        <v>430</v>
      </c>
      <c r="G1251" s="7">
        <v>39</v>
      </c>
      <c r="H1251" s="16" t="str">
        <f t="shared" si="19"/>
        <v>(1249,'1291','المقرن','Magrane','Magrane',430),</v>
      </c>
    </row>
    <row r="1252" spans="1:8" ht="20.100000000000001" customHeight="1" x14ac:dyDescent="0.25">
      <c r="A1252" s="3">
        <v>1250</v>
      </c>
      <c r="B1252" s="8">
        <v>1301</v>
      </c>
      <c r="C1252" s="4" t="s">
        <v>3727</v>
      </c>
      <c r="D1252" s="4" t="s">
        <v>3728</v>
      </c>
      <c r="E1252" s="4" t="s">
        <v>3728</v>
      </c>
      <c r="F1252" s="7">
        <v>430</v>
      </c>
      <c r="G1252" s="7">
        <v>39</v>
      </c>
      <c r="H1252" s="16" t="str">
        <f t="shared" si="19"/>
        <v>(1250,'1301','سيدي عون','Sidi Aoun','Sidi Aoun',430),</v>
      </c>
    </row>
    <row r="1253" spans="1:8" ht="20.100000000000001" customHeight="1" x14ac:dyDescent="0.25">
      <c r="A1253" s="3">
        <v>1251</v>
      </c>
      <c r="B1253" s="8">
        <v>1292</v>
      </c>
      <c r="C1253" s="4" t="s">
        <v>1930</v>
      </c>
      <c r="D1253" s="4" t="s">
        <v>3729</v>
      </c>
      <c r="E1253" s="4" t="s">
        <v>3729</v>
      </c>
      <c r="F1253" s="7">
        <v>431</v>
      </c>
      <c r="G1253" s="7">
        <v>39</v>
      </c>
      <c r="H1253" s="16" t="str">
        <f t="shared" si="19"/>
        <v>(1251,'1292','اميه وانسة','Mih Ouansa','Mih Ouansa',431),</v>
      </c>
    </row>
    <row r="1254" spans="1:8" ht="20.100000000000001" customHeight="1" x14ac:dyDescent="0.25">
      <c r="A1254" s="3">
        <v>1252</v>
      </c>
      <c r="B1254" s="8">
        <v>1295</v>
      </c>
      <c r="C1254" s="4" t="s">
        <v>3730</v>
      </c>
      <c r="D1254" s="4" t="s">
        <v>3731</v>
      </c>
      <c r="E1254" s="4" t="s">
        <v>3731</v>
      </c>
      <c r="F1254" s="7">
        <v>431</v>
      </c>
      <c r="G1254" s="7">
        <v>39</v>
      </c>
      <c r="H1254" s="16" t="str">
        <f t="shared" si="19"/>
        <v>(1252,'1295','وادي العلندة','Oued El Alenda','Oued El Alenda',431),</v>
      </c>
    </row>
    <row r="1255" spans="1:8" ht="20.100000000000001" customHeight="1" x14ac:dyDescent="0.25">
      <c r="A1255" s="3">
        <v>1253</v>
      </c>
      <c r="B1255" s="8">
        <v>1320</v>
      </c>
      <c r="C1255" s="4" t="s">
        <v>1049</v>
      </c>
      <c r="D1255" s="4" t="s">
        <v>1050</v>
      </c>
      <c r="E1255" s="4" t="s">
        <v>1050</v>
      </c>
      <c r="F1255" s="7">
        <v>432</v>
      </c>
      <c r="G1255" s="7">
        <v>40</v>
      </c>
      <c r="H1255" s="16" t="str">
        <f t="shared" si="19"/>
        <v>(1253,'1320','خنشلة','Khenchela','Khenchela',432),</v>
      </c>
    </row>
    <row r="1256" spans="1:8" ht="20.100000000000001" customHeight="1" x14ac:dyDescent="0.25">
      <c r="A1256" s="3">
        <v>1254</v>
      </c>
      <c r="B1256" s="8">
        <v>1319</v>
      </c>
      <c r="C1256" s="4" t="s">
        <v>1944</v>
      </c>
      <c r="D1256" s="4" t="s">
        <v>1943</v>
      </c>
      <c r="E1256" s="4" t="s">
        <v>1943</v>
      </c>
      <c r="F1256" s="7">
        <v>433</v>
      </c>
      <c r="G1256" s="7">
        <v>40</v>
      </c>
      <c r="H1256" s="16" t="str">
        <f t="shared" si="19"/>
        <v>(1254,'1319','قايس','Kais','Kais',433),</v>
      </c>
    </row>
    <row r="1257" spans="1:8" ht="20.100000000000001" customHeight="1" x14ac:dyDescent="0.25">
      <c r="A1257" s="3">
        <v>1255</v>
      </c>
      <c r="B1257" s="8">
        <v>1325</v>
      </c>
      <c r="C1257" s="4" t="s">
        <v>3732</v>
      </c>
      <c r="D1257" s="4" t="s">
        <v>3733</v>
      </c>
      <c r="E1257" s="4" t="s">
        <v>3733</v>
      </c>
      <c r="F1257" s="7">
        <v>433</v>
      </c>
      <c r="G1257" s="7">
        <v>40</v>
      </c>
      <c r="H1257" s="16" t="str">
        <f t="shared" si="19"/>
        <v>(1255,'1325','الرميلة','Remila','Remila',433),</v>
      </c>
    </row>
    <row r="1258" spans="1:8" ht="20.100000000000001" customHeight="1" x14ac:dyDescent="0.25">
      <c r="A1258" s="3">
        <v>1256</v>
      </c>
      <c r="B1258" s="8">
        <v>1327</v>
      </c>
      <c r="C1258" s="4" t="s">
        <v>3734</v>
      </c>
      <c r="D1258" s="4" t="s">
        <v>3735</v>
      </c>
      <c r="E1258" s="4" t="s">
        <v>3735</v>
      </c>
      <c r="F1258" s="7">
        <v>433</v>
      </c>
      <c r="G1258" s="7">
        <v>40</v>
      </c>
      <c r="H1258" s="16" t="str">
        <f t="shared" si="19"/>
        <v>(1256,'1327','تاوزيانت','Taouzianat','Taouzianat',433),</v>
      </c>
    </row>
    <row r="1259" spans="1:8" ht="20.100000000000001" customHeight="1" x14ac:dyDescent="0.25">
      <c r="A1259" s="3">
        <v>1257</v>
      </c>
      <c r="B1259" s="8">
        <v>1310</v>
      </c>
      <c r="C1259" s="4" t="s">
        <v>3736</v>
      </c>
      <c r="D1259" s="4" t="s">
        <v>3737</v>
      </c>
      <c r="E1259" s="4" t="s">
        <v>3737</v>
      </c>
      <c r="F1259" s="7">
        <v>434</v>
      </c>
      <c r="G1259" s="7">
        <v>40</v>
      </c>
      <c r="H1259" s="16" t="str">
        <f t="shared" si="19"/>
        <v>(1257,'1310','بغاي','Baghai','Baghai',434),</v>
      </c>
    </row>
    <row r="1260" spans="1:8" ht="20.100000000000001" customHeight="1" x14ac:dyDescent="0.25">
      <c r="A1260" s="3">
        <v>1258</v>
      </c>
      <c r="B1260" s="8">
        <v>1315</v>
      </c>
      <c r="C1260" s="4" t="s">
        <v>1936</v>
      </c>
      <c r="D1260" s="4" t="s">
        <v>1935</v>
      </c>
      <c r="E1260" s="4" t="s">
        <v>1935</v>
      </c>
      <c r="F1260" s="7">
        <v>434</v>
      </c>
      <c r="G1260" s="7">
        <v>40</v>
      </c>
      <c r="H1260" s="16" t="str">
        <f t="shared" si="19"/>
        <v>(1258,'1315','الحامة','El Hamma','El Hamma',434),</v>
      </c>
    </row>
    <row r="1261" spans="1:8" ht="20.100000000000001" customHeight="1" x14ac:dyDescent="0.25">
      <c r="A1261" s="3">
        <v>1259</v>
      </c>
      <c r="B1261" s="8">
        <v>1318</v>
      </c>
      <c r="C1261" s="4" t="s">
        <v>3738</v>
      </c>
      <c r="D1261" s="4" t="s">
        <v>3739</v>
      </c>
      <c r="E1261" s="4" t="s">
        <v>3739</v>
      </c>
      <c r="F1261" s="7">
        <v>434</v>
      </c>
      <c r="G1261" s="7">
        <v>40</v>
      </c>
      <c r="H1261" s="16" t="str">
        <f t="shared" si="19"/>
        <v>(1259,'1318','انسيغة','Ensigha','Ensigha',434),</v>
      </c>
    </row>
    <row r="1262" spans="1:8" ht="20.100000000000001" customHeight="1" x14ac:dyDescent="0.25">
      <c r="A1262" s="3">
        <v>1260</v>
      </c>
      <c r="B1262" s="8">
        <v>1326</v>
      </c>
      <c r="C1262" s="4" t="s">
        <v>3740</v>
      </c>
      <c r="D1262" s="4" t="s">
        <v>3741</v>
      </c>
      <c r="E1262" s="4" t="s">
        <v>3741</v>
      </c>
      <c r="F1262" s="7">
        <v>434</v>
      </c>
      <c r="G1262" s="7">
        <v>40</v>
      </c>
      <c r="H1262" s="16" t="str">
        <f t="shared" si="19"/>
        <v>(1260,'1326','طامزة','Tamza','Tamza',434),</v>
      </c>
    </row>
    <row r="1263" spans="1:8" ht="20.100000000000001" customHeight="1" x14ac:dyDescent="0.25">
      <c r="A1263" s="3">
        <v>1261</v>
      </c>
      <c r="B1263" s="8">
        <v>1308</v>
      </c>
      <c r="C1263" s="4" t="s">
        <v>1932</v>
      </c>
      <c r="D1263" s="4" t="s">
        <v>1931</v>
      </c>
      <c r="E1263" s="4" t="s">
        <v>1931</v>
      </c>
      <c r="F1263" s="7">
        <v>435</v>
      </c>
      <c r="G1263" s="7">
        <v>40</v>
      </c>
      <c r="H1263" s="16" t="str">
        <f t="shared" si="19"/>
        <v>(1261,'1308','عين الطويلة','Ain Touila','Ain Touila',435),</v>
      </c>
    </row>
    <row r="1264" spans="1:8" ht="20.100000000000001" customHeight="1" x14ac:dyDescent="0.25">
      <c r="A1264" s="3">
        <v>1262</v>
      </c>
      <c r="B1264" s="8">
        <v>1323</v>
      </c>
      <c r="C1264" s="4" t="s">
        <v>3742</v>
      </c>
      <c r="D1264" s="4" t="s">
        <v>5872</v>
      </c>
      <c r="E1264" s="4" t="s">
        <v>5872</v>
      </c>
      <c r="F1264" s="7">
        <v>435</v>
      </c>
      <c r="G1264" s="7">
        <v>40</v>
      </c>
      <c r="H1264" s="16" t="str">
        <f t="shared" si="19"/>
        <v>(1262,'1323','متوسة','M\'toussa','M\'toussa',435),</v>
      </c>
    </row>
    <row r="1265" spans="1:8" ht="20.100000000000001" customHeight="1" x14ac:dyDescent="0.25">
      <c r="A1265" s="3">
        <v>1263</v>
      </c>
      <c r="B1265" s="8">
        <v>1311</v>
      </c>
      <c r="C1265" s="4" t="s">
        <v>1938</v>
      </c>
      <c r="D1265" s="4" t="s">
        <v>1937</v>
      </c>
      <c r="E1265" s="4" t="s">
        <v>1937</v>
      </c>
      <c r="F1265" s="7">
        <v>436</v>
      </c>
      <c r="G1265" s="7">
        <v>40</v>
      </c>
      <c r="H1265" s="16" t="str">
        <f t="shared" si="19"/>
        <v>(1263,'1311','بوحمامة','Bouhmama','Bouhmama',436),</v>
      </c>
    </row>
    <row r="1266" spans="1:8" ht="20.100000000000001" customHeight="1" x14ac:dyDescent="0.25">
      <c r="A1266" s="3">
        <v>1264</v>
      </c>
      <c r="B1266" s="8">
        <v>1313</v>
      </c>
      <c r="C1266" s="4" t="s">
        <v>3743</v>
      </c>
      <c r="D1266" s="4" t="s">
        <v>3744</v>
      </c>
      <c r="E1266" s="4" t="s">
        <v>3744</v>
      </c>
      <c r="F1266" s="7">
        <v>436</v>
      </c>
      <c r="G1266" s="7">
        <v>40</v>
      </c>
      <c r="H1266" s="16" t="str">
        <f t="shared" si="19"/>
        <v>(1264,'1313','شلية','Chelia','Chelia',436),</v>
      </c>
    </row>
    <row r="1267" spans="1:8" ht="20.100000000000001" customHeight="1" x14ac:dyDescent="0.25">
      <c r="A1267" s="3">
        <v>1265</v>
      </c>
      <c r="B1267" s="8">
        <v>1322</v>
      </c>
      <c r="C1267" s="4" t="s">
        <v>3745</v>
      </c>
      <c r="D1267" s="4" t="s">
        <v>5873</v>
      </c>
      <c r="E1267" s="4" t="s">
        <v>5873</v>
      </c>
      <c r="F1267" s="7">
        <v>436</v>
      </c>
      <c r="G1267" s="7">
        <v>40</v>
      </c>
      <c r="H1267" s="16" t="str">
        <f t="shared" si="19"/>
        <v>(1265,'1322','مصارة','M\'sara','M\'sara',436),</v>
      </c>
    </row>
    <row r="1268" spans="1:8" ht="20.100000000000001" customHeight="1" x14ac:dyDescent="0.25">
      <c r="A1268" s="3">
        <v>1266</v>
      </c>
      <c r="B1268" s="8">
        <v>1328</v>
      </c>
      <c r="C1268" s="4" t="s">
        <v>3746</v>
      </c>
      <c r="D1268" s="4" t="s">
        <v>3747</v>
      </c>
      <c r="E1268" s="4" t="s">
        <v>3747</v>
      </c>
      <c r="F1268" s="7">
        <v>436</v>
      </c>
      <c r="G1268" s="7">
        <v>40</v>
      </c>
      <c r="H1268" s="16" t="str">
        <f t="shared" si="19"/>
        <v>(1266,'1328','يابوس','Yabous','Yabous',436),</v>
      </c>
    </row>
    <row r="1269" spans="1:8" ht="20.100000000000001" customHeight="1" x14ac:dyDescent="0.25">
      <c r="A1269" s="3">
        <v>1267</v>
      </c>
      <c r="B1269" s="8">
        <v>1312</v>
      </c>
      <c r="C1269" s="4" t="s">
        <v>1940</v>
      </c>
      <c r="D1269" s="4" t="s">
        <v>1939</v>
      </c>
      <c r="E1269" s="4" t="s">
        <v>1939</v>
      </c>
      <c r="F1269" s="7">
        <v>437</v>
      </c>
      <c r="G1269" s="7">
        <v>40</v>
      </c>
      <c r="H1269" s="16" t="str">
        <f t="shared" si="19"/>
        <v>(1267,'1312','ششار','Chechar','Chechar',437),</v>
      </c>
    </row>
    <row r="1270" spans="1:8" ht="20.100000000000001" customHeight="1" x14ac:dyDescent="0.25">
      <c r="A1270" s="3">
        <v>1268</v>
      </c>
      <c r="B1270" s="8">
        <v>1314</v>
      </c>
      <c r="C1270" s="4" t="s">
        <v>3748</v>
      </c>
      <c r="D1270" s="4" t="s">
        <v>3749</v>
      </c>
      <c r="E1270" s="4" t="s">
        <v>3749</v>
      </c>
      <c r="F1270" s="7">
        <v>437</v>
      </c>
      <c r="G1270" s="7">
        <v>40</v>
      </c>
      <c r="H1270" s="16" t="str">
        <f t="shared" si="19"/>
        <v>(1268,'1314','جلال','Djellal','Djellal',437),</v>
      </c>
    </row>
    <row r="1271" spans="1:8" ht="20.100000000000001" customHeight="1" x14ac:dyDescent="0.25">
      <c r="A1271" s="3">
        <v>1269</v>
      </c>
      <c r="B1271" s="8">
        <v>1317</v>
      </c>
      <c r="C1271" s="4" t="s">
        <v>2953</v>
      </c>
      <c r="D1271" s="4" t="s">
        <v>3750</v>
      </c>
      <c r="E1271" s="4" t="s">
        <v>3750</v>
      </c>
      <c r="F1271" s="7">
        <v>437</v>
      </c>
      <c r="G1271" s="7">
        <v>40</v>
      </c>
      <c r="H1271" s="16" t="str">
        <f t="shared" si="19"/>
        <v>(1269,'1317','الولجة','El Oueldja','El Oueldja',437),</v>
      </c>
    </row>
    <row r="1272" spans="1:8" ht="20.100000000000001" customHeight="1" x14ac:dyDescent="0.25">
      <c r="A1272" s="3">
        <v>1270</v>
      </c>
      <c r="B1272" s="8">
        <v>1321</v>
      </c>
      <c r="C1272" s="4" t="s">
        <v>3751</v>
      </c>
      <c r="D1272" s="4" t="s">
        <v>3752</v>
      </c>
      <c r="E1272" s="4" t="s">
        <v>3752</v>
      </c>
      <c r="F1272" s="7">
        <v>437</v>
      </c>
      <c r="G1272" s="7">
        <v>40</v>
      </c>
      <c r="H1272" s="16" t="str">
        <f t="shared" si="19"/>
        <v>(1270,'1321','خيران','Khirane','Khirane',437),</v>
      </c>
    </row>
    <row r="1273" spans="1:8" ht="20.100000000000001" customHeight="1" x14ac:dyDescent="0.25">
      <c r="A1273" s="3">
        <v>1271</v>
      </c>
      <c r="B1273" s="8">
        <v>1309</v>
      </c>
      <c r="C1273" s="4" t="s">
        <v>1934</v>
      </c>
      <c r="D1273" s="4" t="s">
        <v>1933</v>
      </c>
      <c r="E1273" s="4" t="s">
        <v>1933</v>
      </c>
      <c r="F1273" s="7">
        <v>438</v>
      </c>
      <c r="G1273" s="7">
        <v>40</v>
      </c>
      <c r="H1273" s="16" t="str">
        <f t="shared" si="19"/>
        <v>(1271,'1309','بابار','Babar','Babar',438),</v>
      </c>
    </row>
    <row r="1274" spans="1:8" ht="20.100000000000001" customHeight="1" x14ac:dyDescent="0.25">
      <c r="A1274" s="3">
        <v>1272</v>
      </c>
      <c r="B1274" s="8">
        <v>1316</v>
      </c>
      <c r="C1274" s="4" t="s">
        <v>3753</v>
      </c>
      <c r="D1274" s="4" t="s">
        <v>3754</v>
      </c>
      <c r="E1274" s="4" t="s">
        <v>3754</v>
      </c>
      <c r="F1274" s="7">
        <v>439</v>
      </c>
      <c r="G1274" s="7">
        <v>40</v>
      </c>
      <c r="H1274" s="16" t="str">
        <f t="shared" si="19"/>
        <v>(1272,'1316','المحمل','El Mahmal','El Mahmal',439),</v>
      </c>
    </row>
    <row r="1275" spans="1:8" ht="20.100000000000001" customHeight="1" x14ac:dyDescent="0.25">
      <c r="A1275" s="3">
        <v>1273</v>
      </c>
      <c r="B1275" s="8">
        <v>1324</v>
      </c>
      <c r="C1275" s="4" t="s">
        <v>1942</v>
      </c>
      <c r="D1275" s="4" t="s">
        <v>1941</v>
      </c>
      <c r="E1275" s="4" t="s">
        <v>1941</v>
      </c>
      <c r="F1275" s="7">
        <v>439</v>
      </c>
      <c r="G1275" s="7">
        <v>40</v>
      </c>
      <c r="H1275" s="16" t="str">
        <f t="shared" si="19"/>
        <v>(1273,'1324','أولاد رشاش','Ouled Rechache','Ouled Rechache',439),</v>
      </c>
    </row>
    <row r="1276" spans="1:8" ht="20.100000000000001" customHeight="1" x14ac:dyDescent="0.25">
      <c r="A1276" s="3">
        <v>1274</v>
      </c>
      <c r="B1276" s="8">
        <v>1349</v>
      </c>
      <c r="C1276" s="4" t="s">
        <v>1051</v>
      </c>
      <c r="D1276" s="4" t="s">
        <v>1052</v>
      </c>
      <c r="E1276" s="4" t="s">
        <v>1052</v>
      </c>
      <c r="F1276" s="7">
        <v>440</v>
      </c>
      <c r="G1276" s="7">
        <v>41</v>
      </c>
      <c r="H1276" s="16" t="str">
        <f t="shared" si="19"/>
        <v>(1274,'1349','سوق أهراس','Souk Ahras','Souk Ahras',440),</v>
      </c>
    </row>
    <row r="1277" spans="1:8" ht="20.100000000000001" customHeight="1" x14ac:dyDescent="0.25">
      <c r="A1277" s="3">
        <v>1275</v>
      </c>
      <c r="B1277" s="8">
        <v>1329</v>
      </c>
      <c r="C1277" s="4" t="s">
        <v>3755</v>
      </c>
      <c r="D1277" s="4" t="s">
        <v>3036</v>
      </c>
      <c r="E1277" s="4" t="s">
        <v>3036</v>
      </c>
      <c r="F1277" s="7">
        <v>441</v>
      </c>
      <c r="G1277" s="7">
        <v>41</v>
      </c>
      <c r="H1277" s="16" t="str">
        <f t="shared" si="19"/>
        <v>(1275,'1329','عين سلطان','Ain Soltane','Ain Soltane',441),</v>
      </c>
    </row>
    <row r="1278" spans="1:8" ht="20.100000000000001" customHeight="1" x14ac:dyDescent="0.25">
      <c r="A1278" s="3">
        <v>1276</v>
      </c>
      <c r="B1278" s="8">
        <v>1336</v>
      </c>
      <c r="C1278" s="4" t="s">
        <v>3756</v>
      </c>
      <c r="D1278" s="4" t="s">
        <v>3757</v>
      </c>
      <c r="E1278" s="4" t="s">
        <v>3757</v>
      </c>
      <c r="F1278" s="7">
        <v>441</v>
      </c>
      <c r="G1278" s="7">
        <v>41</v>
      </c>
      <c r="H1278" s="16" t="str">
        <f t="shared" si="19"/>
        <v>(1276,'1336','خميسة','Khemissa','Khemissa',441),</v>
      </c>
    </row>
    <row r="1279" spans="1:8" ht="20.100000000000001" customHeight="1" x14ac:dyDescent="0.25">
      <c r="A1279" s="3">
        <v>1277</v>
      </c>
      <c r="B1279" s="8">
        <v>1347</v>
      </c>
      <c r="C1279" s="4" t="s">
        <v>1946</v>
      </c>
      <c r="D1279" s="4" t="s">
        <v>1945</v>
      </c>
      <c r="E1279" s="4" t="s">
        <v>1945</v>
      </c>
      <c r="F1279" s="7">
        <v>441</v>
      </c>
      <c r="G1279" s="7">
        <v>41</v>
      </c>
      <c r="H1279" s="16" t="str">
        <f t="shared" si="19"/>
        <v>(1277,'1347','سدراتة','Sedrata','Sedrata',441),</v>
      </c>
    </row>
    <row r="1280" spans="1:8" ht="20.100000000000001" customHeight="1" x14ac:dyDescent="0.25">
      <c r="A1280" s="3">
        <v>1278</v>
      </c>
      <c r="B1280" s="8">
        <v>1334</v>
      </c>
      <c r="C1280" s="4" t="s">
        <v>3758</v>
      </c>
      <c r="D1280" s="4" t="s">
        <v>3759</v>
      </c>
      <c r="E1280" s="4" t="s">
        <v>3759</v>
      </c>
      <c r="F1280" s="7">
        <v>442</v>
      </c>
      <c r="G1280" s="7">
        <v>41</v>
      </c>
      <c r="H1280" s="16" t="str">
        <f t="shared" si="19"/>
        <v>(1278,'1334','الحنانشة','Hanencha','Hanencha',442),</v>
      </c>
    </row>
    <row r="1281" spans="1:8" ht="20.100000000000001" customHeight="1" x14ac:dyDescent="0.25">
      <c r="A1281" s="3">
        <v>1279</v>
      </c>
      <c r="B1281" s="8">
        <v>1337</v>
      </c>
      <c r="C1281" s="4" t="s">
        <v>1956</v>
      </c>
      <c r="D1281" s="4" t="s">
        <v>3760</v>
      </c>
      <c r="E1281" s="4" t="s">
        <v>3760</v>
      </c>
      <c r="F1281" s="7">
        <v>442</v>
      </c>
      <c r="G1281" s="7">
        <v>41</v>
      </c>
      <c r="H1281" s="16" t="str">
        <f t="shared" si="19"/>
        <v>(1279,'1337','المشروحة','Machroha','Machroha',442),</v>
      </c>
    </row>
    <row r="1282" spans="1:8" ht="20.100000000000001" customHeight="1" x14ac:dyDescent="0.25">
      <c r="A1282" s="3">
        <v>1280</v>
      </c>
      <c r="B1282" s="8">
        <v>1330</v>
      </c>
      <c r="C1282" s="4" t="s">
        <v>3761</v>
      </c>
      <c r="D1282" s="4" t="s">
        <v>3762</v>
      </c>
      <c r="E1282" s="4" t="s">
        <v>3762</v>
      </c>
      <c r="F1282" s="7">
        <v>443</v>
      </c>
      <c r="G1282" s="7">
        <v>41</v>
      </c>
      <c r="H1282" s="16" t="str">
        <f t="shared" si="19"/>
        <v>(1280,'1330','عين الزانة','Ain Zana','Ain Zana',443),</v>
      </c>
    </row>
    <row r="1283" spans="1:8" ht="20.100000000000001" customHeight="1" x14ac:dyDescent="0.25">
      <c r="A1283" s="3">
        <v>1281</v>
      </c>
      <c r="B1283" s="8">
        <v>1341</v>
      </c>
      <c r="C1283" s="4" t="s">
        <v>1948</v>
      </c>
      <c r="D1283" s="4" t="s">
        <v>1947</v>
      </c>
      <c r="E1283" s="4" t="s">
        <v>1947</v>
      </c>
      <c r="F1283" s="7">
        <v>443</v>
      </c>
      <c r="G1283" s="7">
        <v>41</v>
      </c>
      <c r="H1283" s="16" t="str">
        <f t="shared" si="19"/>
        <v>(1281,'1341','أولاد إدريس','Ouled Driss','Ouled Driss',443),</v>
      </c>
    </row>
    <row r="1284" spans="1:8" ht="20.100000000000001" customHeight="1" x14ac:dyDescent="0.25">
      <c r="A1284" s="3">
        <v>1282</v>
      </c>
      <c r="B1284" s="8">
        <v>1332</v>
      </c>
      <c r="C1284" s="4" t="s">
        <v>3763</v>
      </c>
      <c r="D1284" s="4" t="s">
        <v>3764</v>
      </c>
      <c r="E1284" s="4" t="s">
        <v>3764</v>
      </c>
      <c r="F1284" s="7">
        <v>444</v>
      </c>
      <c r="G1284" s="7">
        <v>41</v>
      </c>
      <c r="H1284" s="16" t="str">
        <f t="shared" ref="H1284:H1347" si="20">CONCATENATE("(",A1284,",'",B1284,"','",C1284,"','",D1284,"','",E1284,"',",F1284,"),")</f>
        <v>(1282,'1332','الدريعة','Drea','Drea',444),</v>
      </c>
    </row>
    <row r="1285" spans="1:8" ht="20.100000000000001" customHeight="1" x14ac:dyDescent="0.25">
      <c r="A1285" s="3">
        <v>1283</v>
      </c>
      <c r="B1285" s="8">
        <v>1350</v>
      </c>
      <c r="C1285" s="4" t="s">
        <v>1952</v>
      </c>
      <c r="D1285" s="4" t="s">
        <v>1951</v>
      </c>
      <c r="E1285" s="4" t="s">
        <v>1951</v>
      </c>
      <c r="F1285" s="7">
        <v>444</v>
      </c>
      <c r="G1285" s="7">
        <v>41</v>
      </c>
      <c r="H1285" s="16" t="str">
        <f t="shared" si="20"/>
        <v>(1283,'1350','تاورة','Taoura','Taoura',444),</v>
      </c>
    </row>
    <row r="1286" spans="1:8" ht="20.100000000000001" customHeight="1" x14ac:dyDescent="0.25">
      <c r="A1286" s="3">
        <v>1284</v>
      </c>
      <c r="B1286" s="8">
        <v>1353</v>
      </c>
      <c r="C1286" s="4" t="s">
        <v>3765</v>
      </c>
      <c r="D1286" s="4" t="s">
        <v>3766</v>
      </c>
      <c r="E1286" s="4" t="s">
        <v>3766</v>
      </c>
      <c r="F1286" s="7">
        <v>444</v>
      </c>
      <c r="G1286" s="7">
        <v>41</v>
      </c>
      <c r="H1286" s="16" t="str">
        <f t="shared" si="20"/>
        <v>(1284,'1353','الزعرورية','Zaarouria','Zaarouria',444),</v>
      </c>
    </row>
    <row r="1287" spans="1:8" ht="20.100000000000001" customHeight="1" x14ac:dyDescent="0.25">
      <c r="A1287" s="3">
        <v>1285</v>
      </c>
      <c r="B1287" s="8">
        <v>1333</v>
      </c>
      <c r="C1287" s="4" t="s">
        <v>1954</v>
      </c>
      <c r="D1287" s="4" t="s">
        <v>1953</v>
      </c>
      <c r="E1287" s="4" t="s">
        <v>1953</v>
      </c>
      <c r="F1287" s="7">
        <v>445</v>
      </c>
      <c r="G1287" s="7">
        <v>41</v>
      </c>
      <c r="H1287" s="16" t="str">
        <f t="shared" si="20"/>
        <v>(1285,'1333','الحدادة','Haddada','Haddada',445),</v>
      </c>
    </row>
    <row r="1288" spans="1:8" ht="20.100000000000001" customHeight="1" x14ac:dyDescent="0.25">
      <c r="A1288" s="3">
        <v>1286</v>
      </c>
      <c r="B1288" s="8">
        <v>1335</v>
      </c>
      <c r="C1288" s="4" t="s">
        <v>3767</v>
      </c>
      <c r="D1288" s="4" t="s">
        <v>3768</v>
      </c>
      <c r="E1288" s="4" t="s">
        <v>3768</v>
      </c>
      <c r="F1288" s="7">
        <v>445</v>
      </c>
      <c r="G1288" s="7">
        <v>41</v>
      </c>
      <c r="H1288" s="16" t="str">
        <f t="shared" si="20"/>
        <v>(1286,'1335','الخضارة','Khedara','Khedara',445),</v>
      </c>
    </row>
    <row r="1289" spans="1:8" ht="20.100000000000001" customHeight="1" x14ac:dyDescent="0.25">
      <c r="A1289" s="3">
        <v>1287</v>
      </c>
      <c r="B1289" s="8">
        <v>1342</v>
      </c>
      <c r="C1289" s="4" t="s">
        <v>3769</v>
      </c>
      <c r="D1289" s="4" t="s">
        <v>3770</v>
      </c>
      <c r="E1289" s="4" t="s">
        <v>3770</v>
      </c>
      <c r="F1289" s="7">
        <v>445</v>
      </c>
      <c r="G1289" s="7">
        <v>41</v>
      </c>
      <c r="H1289" s="16" t="str">
        <f t="shared" si="20"/>
        <v>(1287,'1342','أولاد مومن','Ouled Moumen','Ouled Moumen',445),</v>
      </c>
    </row>
    <row r="1290" spans="1:8" ht="20.100000000000001" customHeight="1" x14ac:dyDescent="0.25">
      <c r="A1290" s="3">
        <v>1288</v>
      </c>
      <c r="B1290" s="8">
        <v>1339</v>
      </c>
      <c r="C1290" s="4" t="s">
        <v>1960</v>
      </c>
      <c r="D1290" s="4" t="s">
        <v>1959</v>
      </c>
      <c r="E1290" s="4" t="s">
        <v>1959</v>
      </c>
      <c r="F1290" s="7">
        <v>446</v>
      </c>
      <c r="G1290" s="7">
        <v>41</v>
      </c>
      <c r="H1290" s="16" t="str">
        <f t="shared" si="20"/>
        <v>(1288,'1339','المراهنة','Merahna','Merahna',446),</v>
      </c>
    </row>
    <row r="1291" spans="1:8" ht="20.100000000000001" customHeight="1" x14ac:dyDescent="0.25">
      <c r="A1291" s="3">
        <v>1289</v>
      </c>
      <c r="B1291" s="8">
        <v>1344</v>
      </c>
      <c r="C1291" s="4" t="s">
        <v>3771</v>
      </c>
      <c r="D1291" s="4" t="s">
        <v>3772</v>
      </c>
      <c r="E1291" s="4" t="s">
        <v>3772</v>
      </c>
      <c r="F1291" s="7">
        <v>446</v>
      </c>
      <c r="G1291" s="7">
        <v>41</v>
      </c>
      <c r="H1291" s="16" t="str">
        <f t="shared" si="20"/>
        <v>(1289,'1344','ويلان','Ouillen','Ouillen',446),</v>
      </c>
    </row>
    <row r="1292" spans="1:8" ht="20.100000000000001" customHeight="1" x14ac:dyDescent="0.25">
      <c r="A1292" s="3">
        <v>1290</v>
      </c>
      <c r="B1292" s="8">
        <v>1348</v>
      </c>
      <c r="C1292" s="4" t="s">
        <v>3773</v>
      </c>
      <c r="D1292" s="4" t="s">
        <v>3774</v>
      </c>
      <c r="E1292" s="4" t="s">
        <v>3774</v>
      </c>
      <c r="F1292" s="7">
        <v>446</v>
      </c>
      <c r="G1292" s="7">
        <v>41</v>
      </c>
      <c r="H1292" s="16" t="str">
        <f t="shared" si="20"/>
        <v>(1290,'1348','سيدي فرج','Sidi Fredj','Sidi Fredj',446),</v>
      </c>
    </row>
    <row r="1293" spans="1:8" ht="20.100000000000001" customHeight="1" x14ac:dyDescent="0.25">
      <c r="A1293" s="3">
        <v>1291</v>
      </c>
      <c r="B1293" s="8">
        <v>1331</v>
      </c>
      <c r="C1293" s="4" t="s">
        <v>1950</v>
      </c>
      <c r="D1293" s="4" t="s">
        <v>1949</v>
      </c>
      <c r="E1293" s="4" t="s">
        <v>1949</v>
      </c>
      <c r="F1293" s="7">
        <v>447</v>
      </c>
      <c r="G1293" s="7">
        <v>41</v>
      </c>
      <c r="H1293" s="16" t="str">
        <f t="shared" si="20"/>
        <v>(1291,'1331','بئر بوحوش','Bir Bouhouche','Bir Bouhouche',447),</v>
      </c>
    </row>
    <row r="1294" spans="1:8" ht="20.100000000000001" customHeight="1" x14ac:dyDescent="0.25">
      <c r="A1294" s="3">
        <v>1292</v>
      </c>
      <c r="B1294" s="8">
        <v>1346</v>
      </c>
      <c r="C1294" s="4" t="s">
        <v>3775</v>
      </c>
      <c r="D1294" s="4" t="s">
        <v>3776</v>
      </c>
      <c r="E1294" s="4" t="s">
        <v>3776</v>
      </c>
      <c r="F1294" s="7">
        <v>447</v>
      </c>
      <c r="G1294" s="7">
        <v>41</v>
      </c>
      <c r="H1294" s="16" t="str">
        <f t="shared" si="20"/>
        <v>(1292,'1346','سافل الويدان','Safel El Ouiden','Safel El Ouiden',447),</v>
      </c>
    </row>
    <row r="1295" spans="1:8" ht="20.100000000000001" customHeight="1" x14ac:dyDescent="0.25">
      <c r="A1295" s="3">
        <v>1293</v>
      </c>
      <c r="B1295" s="8">
        <v>1354</v>
      </c>
      <c r="C1295" s="4" t="s">
        <v>3777</v>
      </c>
      <c r="D1295" s="4" t="s">
        <v>3778</v>
      </c>
      <c r="E1295" s="4" t="s">
        <v>3778</v>
      </c>
      <c r="F1295" s="7">
        <v>447</v>
      </c>
      <c r="G1295" s="7">
        <v>41</v>
      </c>
      <c r="H1295" s="16" t="str">
        <f t="shared" si="20"/>
        <v>(1293,'1354','الزوابي','Zouabi','Zouabi',447),</v>
      </c>
    </row>
    <row r="1296" spans="1:8" ht="20.100000000000001" customHeight="1" x14ac:dyDescent="0.25">
      <c r="A1296" s="3">
        <v>1294</v>
      </c>
      <c r="B1296" s="8">
        <v>1338</v>
      </c>
      <c r="C1296" s="4" t="s">
        <v>1958</v>
      </c>
      <c r="D1296" s="4" t="s">
        <v>5874</v>
      </c>
      <c r="E1296" s="4" t="s">
        <v>5874</v>
      </c>
      <c r="F1296" s="7">
        <v>448</v>
      </c>
      <c r="G1296" s="7">
        <v>41</v>
      </c>
      <c r="H1296" s="16" t="str">
        <f t="shared" si="20"/>
        <v>(1294,'1338','مداوروش','M\'daourouche','M\'daourouche',448),</v>
      </c>
    </row>
    <row r="1297" spans="1:8" ht="20.100000000000001" customHeight="1" x14ac:dyDescent="0.25">
      <c r="A1297" s="3">
        <v>1295</v>
      </c>
      <c r="B1297" s="8">
        <v>1345</v>
      </c>
      <c r="C1297" s="4" t="s">
        <v>3779</v>
      </c>
      <c r="D1297" s="4" t="s">
        <v>3780</v>
      </c>
      <c r="E1297" s="4" t="s">
        <v>3780</v>
      </c>
      <c r="F1297" s="7">
        <v>448</v>
      </c>
      <c r="G1297" s="7">
        <v>41</v>
      </c>
      <c r="H1297" s="16" t="str">
        <f t="shared" si="20"/>
        <v>(1295,'1345','الراقوبة','Ragouba','Ragouba',448),</v>
      </c>
    </row>
    <row r="1298" spans="1:8" ht="20.100000000000001" customHeight="1" x14ac:dyDescent="0.25">
      <c r="A1298" s="3">
        <v>1296</v>
      </c>
      <c r="B1298" s="8">
        <v>1352</v>
      </c>
      <c r="C1298" s="4" t="s">
        <v>3781</v>
      </c>
      <c r="D1298" s="4" t="s">
        <v>3782</v>
      </c>
      <c r="E1298" s="4" t="s">
        <v>3782</v>
      </c>
      <c r="F1298" s="7">
        <v>448</v>
      </c>
      <c r="G1298" s="7">
        <v>41</v>
      </c>
      <c r="H1298" s="16" t="str">
        <f t="shared" si="20"/>
        <v>(1296,'1352','تيفاش','Tiffech','Tiffech',448),</v>
      </c>
    </row>
    <row r="1299" spans="1:8" ht="20.100000000000001" customHeight="1" x14ac:dyDescent="0.25">
      <c r="A1299" s="3">
        <v>1297</v>
      </c>
      <c r="B1299" s="8">
        <v>1340</v>
      </c>
      <c r="C1299" s="4" t="s">
        <v>3783</v>
      </c>
      <c r="D1299" s="4" t="s">
        <v>3784</v>
      </c>
      <c r="E1299" s="4" t="s">
        <v>3784</v>
      </c>
      <c r="F1299" s="7">
        <v>449</v>
      </c>
      <c r="G1299" s="7">
        <v>41</v>
      </c>
      <c r="H1299" s="16" t="str">
        <f t="shared" si="20"/>
        <v>(1297,'1340','وادي الكبريت','Oued Kebrit','Oued Kebrit',449),</v>
      </c>
    </row>
    <row r="1300" spans="1:8" ht="20.100000000000001" customHeight="1" x14ac:dyDescent="0.25">
      <c r="A1300" s="3">
        <v>1298</v>
      </c>
      <c r="B1300" s="8">
        <v>1343</v>
      </c>
      <c r="C1300" s="4" t="s">
        <v>1962</v>
      </c>
      <c r="D1300" s="4" t="s">
        <v>1961</v>
      </c>
      <c r="E1300" s="4" t="s">
        <v>1961</v>
      </c>
      <c r="F1300" s="7">
        <v>449</v>
      </c>
      <c r="G1300" s="7">
        <v>41</v>
      </c>
      <c r="H1300" s="16" t="str">
        <f t="shared" si="20"/>
        <v>(1298,'1343','أم العظايم','Oum El Adhaim','Oum El Adhaim',449),</v>
      </c>
    </row>
    <row r="1301" spans="1:8" ht="20.100000000000001" customHeight="1" x14ac:dyDescent="0.25">
      <c r="A1301" s="3">
        <v>1299</v>
      </c>
      <c r="B1301" s="8">
        <v>1351</v>
      </c>
      <c r="C1301" s="4" t="s">
        <v>3785</v>
      </c>
      <c r="D1301" s="4" t="s">
        <v>3786</v>
      </c>
      <c r="E1301" s="4" t="s">
        <v>3786</v>
      </c>
      <c r="F1301" s="7">
        <v>449</v>
      </c>
      <c r="G1301" s="7">
        <v>41</v>
      </c>
      <c r="H1301" s="16" t="str">
        <f t="shared" si="20"/>
        <v>(1299,'1351','ترقالت','Terraguelt','Terraguelt',449),</v>
      </c>
    </row>
    <row r="1302" spans="1:8" ht="20.100000000000001" customHeight="1" x14ac:dyDescent="0.25">
      <c r="A1302" s="3">
        <v>1300</v>
      </c>
      <c r="B1302" s="8">
        <v>1382</v>
      </c>
      <c r="C1302" s="4" t="s">
        <v>1053</v>
      </c>
      <c r="D1302" s="4" t="s">
        <v>1054</v>
      </c>
      <c r="E1302" s="4" t="s">
        <v>1054</v>
      </c>
      <c r="F1302" s="7">
        <v>450</v>
      </c>
      <c r="G1302" s="7">
        <v>42</v>
      </c>
      <c r="H1302" s="16" t="str">
        <f t="shared" si="20"/>
        <v>(1300,'1382','تيبازة','Tipaza','Tipaza',450),</v>
      </c>
    </row>
    <row r="1303" spans="1:8" ht="20.100000000000001" customHeight="1" x14ac:dyDescent="0.25">
      <c r="A1303" s="3">
        <v>1301</v>
      </c>
      <c r="B1303" s="8">
        <v>1369</v>
      </c>
      <c r="C1303" s="4" t="s">
        <v>1978</v>
      </c>
      <c r="D1303" s="4" t="s">
        <v>1977</v>
      </c>
      <c r="E1303" s="4" t="s">
        <v>1977</v>
      </c>
      <c r="F1303" s="7">
        <v>451</v>
      </c>
      <c r="G1303" s="7">
        <v>42</v>
      </c>
      <c r="H1303" s="16" t="str">
        <f t="shared" si="20"/>
        <v>(1301,'1369','حجوط','Hadjout','Hadjout',451),</v>
      </c>
    </row>
    <row r="1304" spans="1:8" ht="20.100000000000001" customHeight="1" x14ac:dyDescent="0.25">
      <c r="A1304" s="3">
        <v>1302</v>
      </c>
      <c r="B1304" s="8">
        <v>1375</v>
      </c>
      <c r="C1304" s="4" t="s">
        <v>3787</v>
      </c>
      <c r="D1304" s="4" t="s">
        <v>3788</v>
      </c>
      <c r="E1304" s="4" t="s">
        <v>3788</v>
      </c>
      <c r="F1304" s="7">
        <v>451</v>
      </c>
      <c r="G1304" s="7">
        <v>42</v>
      </c>
      <c r="H1304" s="16" t="str">
        <f t="shared" si="20"/>
        <v>(1302,'1375','مراد','Merad','Merad',451),</v>
      </c>
    </row>
    <row r="1305" spans="1:8" ht="20.100000000000001" customHeight="1" x14ac:dyDescent="0.25">
      <c r="A1305" s="3">
        <v>1303</v>
      </c>
      <c r="B1305" s="8">
        <v>1374</v>
      </c>
      <c r="C1305" s="4" t="s">
        <v>3789</v>
      </c>
      <c r="D1305" s="4" t="s">
        <v>3790</v>
      </c>
      <c r="E1305" s="4" t="s">
        <v>3790</v>
      </c>
      <c r="F1305" s="7">
        <v>452</v>
      </c>
      <c r="G1305" s="7">
        <v>42</v>
      </c>
      <c r="H1305" s="16" t="str">
        <f t="shared" si="20"/>
        <v>(1303,'1374','مناصر','Menaceur','Menaceur',452),</v>
      </c>
    </row>
    <row r="1306" spans="1:8" ht="20.100000000000001" customHeight="1" x14ac:dyDescent="0.25">
      <c r="A1306" s="3">
        <v>1304</v>
      </c>
      <c r="B1306" s="8">
        <v>1377</v>
      </c>
      <c r="C1306" s="4" t="s">
        <v>3791</v>
      </c>
      <c r="D1306" s="4" t="s">
        <v>3792</v>
      </c>
      <c r="E1306" s="4" t="s">
        <v>3792</v>
      </c>
      <c r="F1306" s="7">
        <v>452</v>
      </c>
      <c r="G1306" s="7">
        <v>42</v>
      </c>
      <c r="H1306" s="16" t="str">
        <f t="shared" si="20"/>
        <v>(1304,'1377','الناظور','Nador','Nador',452),</v>
      </c>
    </row>
    <row r="1307" spans="1:8" ht="20.100000000000001" customHeight="1" x14ac:dyDescent="0.25">
      <c r="A1307" s="3">
        <v>1305</v>
      </c>
      <c r="B1307" s="8">
        <v>1381</v>
      </c>
      <c r="C1307" s="4" t="s">
        <v>1771</v>
      </c>
      <c r="D1307" s="4" t="s">
        <v>3793</v>
      </c>
      <c r="E1307" s="4" t="s">
        <v>3793</v>
      </c>
      <c r="F1307" s="7">
        <v>452</v>
      </c>
      <c r="G1307" s="7">
        <v>42</v>
      </c>
      <c r="H1307" s="16" t="str">
        <f t="shared" si="20"/>
        <v>(1305,'1381','سيدي عامر','Sidi-Amar','Sidi-Amar',452),</v>
      </c>
    </row>
    <row r="1308" spans="1:8" ht="20.100000000000001" customHeight="1" x14ac:dyDescent="0.25">
      <c r="A1308" s="3">
        <v>1306</v>
      </c>
      <c r="B1308" s="8">
        <v>1355</v>
      </c>
      <c r="C1308" s="4" t="s">
        <v>3794</v>
      </c>
      <c r="D1308" s="4" t="s">
        <v>3795</v>
      </c>
      <c r="E1308" s="4" t="s">
        <v>3795</v>
      </c>
      <c r="F1308" s="7">
        <v>453</v>
      </c>
      <c r="G1308" s="7">
        <v>42</v>
      </c>
      <c r="H1308" s="16" t="str">
        <f t="shared" si="20"/>
        <v>(1306,'1355','أغبال','Aghbal','Aghbal',453),</v>
      </c>
    </row>
    <row r="1309" spans="1:8" ht="20.100000000000001" customHeight="1" x14ac:dyDescent="0.25">
      <c r="A1309" s="3">
        <v>1307</v>
      </c>
      <c r="B1309" s="8">
        <v>1368</v>
      </c>
      <c r="C1309" s="4" t="s">
        <v>1964</v>
      </c>
      <c r="D1309" s="4" t="s">
        <v>1963</v>
      </c>
      <c r="E1309" s="4" t="s">
        <v>1963</v>
      </c>
      <c r="F1309" s="7">
        <v>453</v>
      </c>
      <c r="G1309" s="7">
        <v>42</v>
      </c>
      <c r="H1309" s="16" t="str">
        <f t="shared" si="20"/>
        <v>(1307,'1368','قوراية','Gouraya','Gouraya',453),</v>
      </c>
    </row>
    <row r="1310" spans="1:8" ht="20.100000000000001" customHeight="1" x14ac:dyDescent="0.25">
      <c r="A1310" s="3">
        <v>1308</v>
      </c>
      <c r="B1310" s="8">
        <v>1376</v>
      </c>
      <c r="C1310" s="4" t="s">
        <v>3796</v>
      </c>
      <c r="D1310" s="4" t="s">
        <v>3797</v>
      </c>
      <c r="E1310" s="4" t="s">
        <v>3797</v>
      </c>
      <c r="F1310" s="7">
        <v>453</v>
      </c>
      <c r="G1310" s="7">
        <v>42</v>
      </c>
      <c r="H1310" s="16" t="str">
        <f t="shared" si="20"/>
        <v>(1308,'1376','مسلمون','Messelmoun','Messelmoun',453),</v>
      </c>
    </row>
    <row r="1311" spans="1:8" ht="20.100000000000001" customHeight="1" x14ac:dyDescent="0.25">
      <c r="A1311" s="3">
        <v>1309</v>
      </c>
      <c r="B1311" s="8">
        <v>1364</v>
      </c>
      <c r="C1311" s="4" t="s">
        <v>1974</v>
      </c>
      <c r="D1311" s="4" t="s">
        <v>1973</v>
      </c>
      <c r="E1311" s="4" t="s">
        <v>1973</v>
      </c>
      <c r="F1311" s="7">
        <v>454</v>
      </c>
      <c r="G1311" s="7">
        <v>42</v>
      </c>
      <c r="H1311" s="16" t="str">
        <f t="shared" si="20"/>
        <v>(1309,'1364','شرشال','Cherchell','Cherchell',454),</v>
      </c>
    </row>
    <row r="1312" spans="1:8" ht="20.100000000000001" customHeight="1" x14ac:dyDescent="0.25">
      <c r="A1312" s="3">
        <v>1310</v>
      </c>
      <c r="B1312" s="8">
        <v>1370</v>
      </c>
      <c r="C1312" s="4" t="s">
        <v>3798</v>
      </c>
      <c r="D1312" s="4" t="s">
        <v>3799</v>
      </c>
      <c r="E1312" s="4" t="s">
        <v>3799</v>
      </c>
      <c r="F1312" s="7">
        <v>454</v>
      </c>
      <c r="G1312" s="7">
        <v>42</v>
      </c>
      <c r="H1312" s="16" t="str">
        <f t="shared" si="20"/>
        <v>(1310,'1370','حجرة النص','Hadjret Ennous','Hadjret Ennous',454),</v>
      </c>
    </row>
    <row r="1313" spans="1:8" ht="20.100000000000001" customHeight="1" x14ac:dyDescent="0.25">
      <c r="A1313" s="3">
        <v>1311</v>
      </c>
      <c r="B1313" s="8">
        <v>1378</v>
      </c>
      <c r="C1313" s="4" t="s">
        <v>3800</v>
      </c>
      <c r="D1313" s="4" t="s">
        <v>3801</v>
      </c>
      <c r="E1313" s="4" t="s">
        <v>3801</v>
      </c>
      <c r="F1313" s="7">
        <v>454</v>
      </c>
      <c r="G1313" s="7">
        <v>42</v>
      </c>
      <c r="H1313" s="16" t="str">
        <f t="shared" si="20"/>
        <v>(1311,'1378','سيدي غيلاس','Sidi Ghiles','Sidi Ghiles',454),</v>
      </c>
    </row>
    <row r="1314" spans="1:8" ht="20.100000000000001" customHeight="1" x14ac:dyDescent="0.25">
      <c r="A1314" s="3">
        <v>1312</v>
      </c>
      <c r="B1314" s="8">
        <v>1380</v>
      </c>
      <c r="C1314" s="4" t="s">
        <v>3802</v>
      </c>
      <c r="D1314" s="4" t="s">
        <v>3803</v>
      </c>
      <c r="E1314" s="4" t="s">
        <v>3803</v>
      </c>
      <c r="F1314" s="7">
        <v>454</v>
      </c>
      <c r="G1314" s="7">
        <v>42</v>
      </c>
      <c r="H1314" s="16" t="str">
        <f t="shared" si="20"/>
        <v>(1312,'1380','سيدي سميان','Sidi Semiane','Sidi Semiane',454),</v>
      </c>
    </row>
    <row r="1315" spans="1:8" ht="20.100000000000001" customHeight="1" x14ac:dyDescent="0.25">
      <c r="A1315" s="3">
        <v>1313</v>
      </c>
      <c r="B1315" s="8">
        <v>1359</v>
      </c>
      <c r="C1315" s="4" t="s">
        <v>3804</v>
      </c>
      <c r="D1315" s="4" t="s">
        <v>3805</v>
      </c>
      <c r="E1315" s="4" t="s">
        <v>3805</v>
      </c>
      <c r="F1315" s="7">
        <v>455</v>
      </c>
      <c r="G1315" s="7">
        <v>42</v>
      </c>
      <c r="H1315" s="16" t="str">
        <f t="shared" si="20"/>
        <v>(1313,'1359','بني ميلك','Beni Mileuk','Beni Mileuk',455),</v>
      </c>
    </row>
    <row r="1316" spans="1:8" ht="20.100000000000001" customHeight="1" x14ac:dyDescent="0.25">
      <c r="A1316" s="3">
        <v>1314</v>
      </c>
      <c r="B1316" s="8">
        <v>1365</v>
      </c>
      <c r="C1316" s="4" t="s">
        <v>1972</v>
      </c>
      <c r="D1316" s="4" t="s">
        <v>1971</v>
      </c>
      <c r="E1316" s="4" t="s">
        <v>1971</v>
      </c>
      <c r="F1316" s="7">
        <v>455</v>
      </c>
      <c r="G1316" s="7">
        <v>42</v>
      </c>
      <c r="H1316" s="16" t="str">
        <f t="shared" si="20"/>
        <v>(1314,'1365','الداموس','Damous','Damous',455),</v>
      </c>
    </row>
    <row r="1317" spans="1:8" ht="20.100000000000001" customHeight="1" x14ac:dyDescent="0.25">
      <c r="A1317" s="3">
        <v>1315</v>
      </c>
      <c r="B1317" s="8">
        <v>1373</v>
      </c>
      <c r="C1317" s="4" t="s">
        <v>3806</v>
      </c>
      <c r="D1317" s="4" t="s">
        <v>3807</v>
      </c>
      <c r="E1317" s="4" t="s">
        <v>3807</v>
      </c>
      <c r="F1317" s="7">
        <v>455</v>
      </c>
      <c r="G1317" s="7">
        <v>42</v>
      </c>
      <c r="H1317" s="16" t="str">
        <f t="shared" si="20"/>
        <v>(1315,'1373','الأرهاط','Larhat','Larhat',455),</v>
      </c>
    </row>
    <row r="1318" spans="1:8" ht="20.100000000000001" customHeight="1" x14ac:dyDescent="0.25">
      <c r="A1318" s="3">
        <v>1316</v>
      </c>
      <c r="B1318" s="8">
        <v>1366</v>
      </c>
      <c r="C1318" s="4" t="s">
        <v>3808</v>
      </c>
      <c r="D1318" s="4" t="s">
        <v>3809</v>
      </c>
      <c r="E1318" s="4" t="s">
        <v>3809</v>
      </c>
      <c r="F1318" s="7">
        <v>456</v>
      </c>
      <c r="G1318" s="7">
        <v>42</v>
      </c>
      <c r="H1318" s="16" t="str">
        <f t="shared" si="20"/>
        <v>(1316,'1366','دواودة','Douaouda','Douaouda',456),</v>
      </c>
    </row>
    <row r="1319" spans="1:8" ht="20.100000000000001" customHeight="1" x14ac:dyDescent="0.25">
      <c r="A1319" s="3">
        <v>1317</v>
      </c>
      <c r="B1319" s="8">
        <v>1367</v>
      </c>
      <c r="C1319" s="4" t="s">
        <v>1976</v>
      </c>
      <c r="D1319" s="4" t="s">
        <v>1975</v>
      </c>
      <c r="E1319" s="4" t="s">
        <v>1975</v>
      </c>
      <c r="F1319" s="7">
        <v>456</v>
      </c>
      <c r="G1319" s="7">
        <v>42</v>
      </c>
      <c r="H1319" s="16" t="str">
        <f t="shared" si="20"/>
        <v>(1317,'1367','فوكة','Fouka','Fouka',456),</v>
      </c>
    </row>
    <row r="1320" spans="1:8" ht="20.100000000000001" customHeight="1" x14ac:dyDescent="0.25">
      <c r="A1320" s="3">
        <v>1318</v>
      </c>
      <c r="B1320" s="8">
        <v>1357</v>
      </c>
      <c r="C1320" s="4" t="s">
        <v>3810</v>
      </c>
      <c r="D1320" s="4" t="s">
        <v>3811</v>
      </c>
      <c r="E1320" s="4" t="s">
        <v>3811</v>
      </c>
      <c r="F1320" s="7">
        <v>457</v>
      </c>
      <c r="G1320" s="7">
        <v>42</v>
      </c>
      <c r="H1320" s="16" t="str">
        <f t="shared" si="20"/>
        <v>(1318,'1357','عين تاقورايت','Ain Tagourait','Ain Tagourait',457),</v>
      </c>
    </row>
    <row r="1321" spans="1:8" ht="20.100000000000001" customHeight="1" x14ac:dyDescent="0.25">
      <c r="A1321" s="3">
        <v>1319</v>
      </c>
      <c r="B1321" s="8">
        <v>1360</v>
      </c>
      <c r="C1321" s="4" t="s">
        <v>3812</v>
      </c>
      <c r="D1321" s="4" t="s">
        <v>3813</v>
      </c>
      <c r="E1321" s="4" t="s">
        <v>3813</v>
      </c>
      <c r="F1321" s="7">
        <v>457</v>
      </c>
      <c r="G1321" s="7">
        <v>42</v>
      </c>
      <c r="H1321" s="16" t="str">
        <f t="shared" si="20"/>
        <v>(1319,'1360','بوهارون','Bou Haroun','Bou Haroun',457),</v>
      </c>
    </row>
    <row r="1322" spans="1:8" ht="20.100000000000001" customHeight="1" x14ac:dyDescent="0.25">
      <c r="A1322" s="3">
        <v>1320</v>
      </c>
      <c r="B1322" s="8">
        <v>1361</v>
      </c>
      <c r="C1322" s="4" t="s">
        <v>1968</v>
      </c>
      <c r="D1322" s="4" t="s">
        <v>1967</v>
      </c>
      <c r="E1322" s="4" t="s">
        <v>1967</v>
      </c>
      <c r="F1322" s="7">
        <v>457</v>
      </c>
      <c r="G1322" s="7">
        <v>42</v>
      </c>
      <c r="H1322" s="16" t="str">
        <f t="shared" si="20"/>
        <v>(1320,'1361','بواسماعيل','Bou Ismail','Bou Ismail',457),</v>
      </c>
    </row>
    <row r="1323" spans="1:8" ht="20.100000000000001" customHeight="1" x14ac:dyDescent="0.25">
      <c r="A1323" s="3">
        <v>1321</v>
      </c>
      <c r="B1323" s="8">
        <v>1371</v>
      </c>
      <c r="C1323" s="4" t="s">
        <v>1905</v>
      </c>
      <c r="D1323" s="4" t="s">
        <v>1904</v>
      </c>
      <c r="E1323" s="4" t="s">
        <v>1904</v>
      </c>
      <c r="F1323" s="7">
        <v>457</v>
      </c>
      <c r="G1323" s="7">
        <v>42</v>
      </c>
      <c r="H1323" s="16" t="str">
        <f t="shared" si="20"/>
        <v>(1321,'1371','خميستي','Khemisti','Khemisti',457),</v>
      </c>
    </row>
    <row r="1324" spans="1:8" ht="20.100000000000001" customHeight="1" x14ac:dyDescent="0.25">
      <c r="A1324" s="3">
        <v>1322</v>
      </c>
      <c r="B1324" s="8">
        <v>1356</v>
      </c>
      <c r="C1324" s="4" t="s">
        <v>1966</v>
      </c>
      <c r="D1324" s="4" t="s">
        <v>3814</v>
      </c>
      <c r="E1324" s="4" t="s">
        <v>3814</v>
      </c>
      <c r="F1324" s="7">
        <v>458</v>
      </c>
      <c r="G1324" s="7">
        <v>42</v>
      </c>
      <c r="H1324" s="16" t="str">
        <f t="shared" si="20"/>
        <v>(1322,'1356','أحمر العين','Ahmer El Ain','Ahmer El Ain',458),</v>
      </c>
    </row>
    <row r="1325" spans="1:8" ht="20.100000000000001" customHeight="1" x14ac:dyDescent="0.25">
      <c r="A1325" s="3">
        <v>1323</v>
      </c>
      <c r="B1325" s="8">
        <v>1362</v>
      </c>
      <c r="C1325" s="4" t="s">
        <v>3815</v>
      </c>
      <c r="D1325" s="4" t="s">
        <v>3816</v>
      </c>
      <c r="E1325" s="4" t="s">
        <v>3816</v>
      </c>
      <c r="F1325" s="7">
        <v>458</v>
      </c>
      <c r="G1325" s="7">
        <v>42</v>
      </c>
      <c r="H1325" s="16" t="str">
        <f t="shared" si="20"/>
        <v>(1323,'1362','بورقيقة','Bourkika','Bourkika',458),</v>
      </c>
    </row>
    <row r="1326" spans="1:8" ht="20.100000000000001" customHeight="1" x14ac:dyDescent="0.25">
      <c r="A1326" s="3">
        <v>1324</v>
      </c>
      <c r="B1326" s="8">
        <v>1379</v>
      </c>
      <c r="C1326" s="4" t="s">
        <v>3817</v>
      </c>
      <c r="D1326" s="4" t="s">
        <v>3818</v>
      </c>
      <c r="E1326" s="4" t="s">
        <v>3818</v>
      </c>
      <c r="F1326" s="7">
        <v>458</v>
      </c>
      <c r="G1326" s="7">
        <v>42</v>
      </c>
      <c r="H1326" s="16" t="str">
        <f t="shared" si="20"/>
        <v>(1324,'1379','سيدي راشد','Sidi Rached','Sidi Rached',458),</v>
      </c>
    </row>
    <row r="1327" spans="1:8" ht="20.100000000000001" customHeight="1" x14ac:dyDescent="0.25">
      <c r="A1327" s="3">
        <v>1325</v>
      </c>
      <c r="B1327" s="8">
        <v>1358</v>
      </c>
      <c r="C1327" s="4" t="s">
        <v>3819</v>
      </c>
      <c r="D1327" s="4" t="s">
        <v>3820</v>
      </c>
      <c r="E1327" s="4" t="s">
        <v>3820</v>
      </c>
      <c r="F1327" s="7">
        <v>459</v>
      </c>
      <c r="G1327" s="7">
        <v>42</v>
      </c>
      <c r="H1327" s="16" t="str">
        <f t="shared" si="20"/>
        <v>(1325,'1358','الحطاطبة','Attatba','Attatba',459),</v>
      </c>
    </row>
    <row r="1328" spans="1:8" ht="20.100000000000001" customHeight="1" x14ac:dyDescent="0.25">
      <c r="A1328" s="3">
        <v>1326</v>
      </c>
      <c r="B1328" s="8">
        <v>1363</v>
      </c>
      <c r="C1328" s="4" t="s">
        <v>3821</v>
      </c>
      <c r="D1328" s="4" t="s">
        <v>3822</v>
      </c>
      <c r="E1328" s="4" t="s">
        <v>3822</v>
      </c>
      <c r="F1328" s="7">
        <v>459</v>
      </c>
      <c r="G1328" s="7">
        <v>42</v>
      </c>
      <c r="H1328" s="16" t="str">
        <f t="shared" si="20"/>
        <v>(1326,'1363','الشعيبة','Chaiba','Chaiba',459),</v>
      </c>
    </row>
    <row r="1329" spans="1:8" ht="20.100000000000001" customHeight="1" x14ac:dyDescent="0.25">
      <c r="A1329" s="3">
        <v>1327</v>
      </c>
      <c r="B1329" s="8">
        <v>1372</v>
      </c>
      <c r="C1329" s="4" t="s">
        <v>1970</v>
      </c>
      <c r="D1329" s="4" t="s">
        <v>1969</v>
      </c>
      <c r="E1329" s="4" t="s">
        <v>1969</v>
      </c>
      <c r="F1329" s="7">
        <v>459</v>
      </c>
      <c r="G1329" s="7">
        <v>42</v>
      </c>
      <c r="H1329" s="16" t="str">
        <f t="shared" si="20"/>
        <v>(1327,'1372','القليعة','Kolea','Kolea',459),</v>
      </c>
    </row>
    <row r="1330" spans="1:8" ht="20.100000000000001" customHeight="1" x14ac:dyDescent="0.25">
      <c r="A1330" s="3">
        <v>1328</v>
      </c>
      <c r="B1330" s="8">
        <v>1386</v>
      </c>
      <c r="C1330" s="4" t="s">
        <v>3823</v>
      </c>
      <c r="D1330" s="4" t="s">
        <v>3824</v>
      </c>
      <c r="E1330" s="4" t="s">
        <v>3824</v>
      </c>
      <c r="F1330" s="7">
        <v>460</v>
      </c>
      <c r="G1330" s="7">
        <v>43</v>
      </c>
      <c r="H1330" s="16" t="str">
        <f t="shared" si="20"/>
        <v>(1328,'1386','عين التين','Ain Tine','Ain Tine',460),</v>
      </c>
    </row>
    <row r="1331" spans="1:8" ht="20.100000000000001" customHeight="1" x14ac:dyDescent="0.25">
      <c r="A1331" s="3">
        <v>1329</v>
      </c>
      <c r="B1331" s="8">
        <v>1398</v>
      </c>
      <c r="C1331" s="4" t="s">
        <v>1055</v>
      </c>
      <c r="D1331" s="4" t="s">
        <v>1056</v>
      </c>
      <c r="E1331" s="4" t="s">
        <v>1056</v>
      </c>
      <c r="F1331" s="7">
        <v>460</v>
      </c>
      <c r="G1331" s="7">
        <v>43</v>
      </c>
      <c r="H1331" s="16" t="str">
        <f t="shared" si="20"/>
        <v>(1329,'1398','ميلة','Mila','Mila',460),</v>
      </c>
    </row>
    <row r="1332" spans="1:8" ht="20.100000000000001" customHeight="1" x14ac:dyDescent="0.25">
      <c r="A1332" s="3">
        <v>1330</v>
      </c>
      <c r="B1332" s="8">
        <v>1405</v>
      </c>
      <c r="C1332" s="4" t="s">
        <v>3825</v>
      </c>
      <c r="D1332" s="4" t="s">
        <v>3826</v>
      </c>
      <c r="E1332" s="4" t="s">
        <v>3826</v>
      </c>
      <c r="F1332" s="7">
        <v>460</v>
      </c>
      <c r="G1332" s="7">
        <v>43</v>
      </c>
      <c r="H1332" s="16" t="str">
        <f t="shared" si="20"/>
        <v>(1330,'1405','سيدي خليفة','Sidi Khelifa','Sidi Khelifa',460),</v>
      </c>
    </row>
    <row r="1333" spans="1:8" ht="20.100000000000001" customHeight="1" x14ac:dyDescent="0.25">
      <c r="A1333" s="3">
        <v>1331</v>
      </c>
      <c r="B1333" s="8">
        <v>1395</v>
      </c>
      <c r="C1333" s="4" t="s">
        <v>1998</v>
      </c>
      <c r="D1333" s="4" t="s">
        <v>1997</v>
      </c>
      <c r="E1333" s="4" t="s">
        <v>1997</v>
      </c>
      <c r="F1333" s="7">
        <v>461</v>
      </c>
      <c r="G1333" s="7">
        <v>43</v>
      </c>
      <c r="H1333" s="16" t="str">
        <f t="shared" si="20"/>
        <v>(1331,'1395','فرجيوة','Ferdjioua','Ferdjioua',461),</v>
      </c>
    </row>
    <row r="1334" spans="1:8" ht="20.100000000000001" customHeight="1" x14ac:dyDescent="0.25">
      <c r="A1334" s="3">
        <v>1332</v>
      </c>
      <c r="B1334" s="8">
        <v>1413</v>
      </c>
      <c r="C1334" s="4" t="s">
        <v>3827</v>
      </c>
      <c r="D1334" s="4" t="s">
        <v>3828</v>
      </c>
      <c r="E1334" s="4" t="s">
        <v>3828</v>
      </c>
      <c r="F1334" s="7">
        <v>461</v>
      </c>
      <c r="G1334" s="7">
        <v>43</v>
      </c>
      <c r="H1334" s="16" t="str">
        <f t="shared" si="20"/>
        <v>(1332,'1413','يحي بني قشة','Yahia Beniguecha','Yahia Beniguecha',461),</v>
      </c>
    </row>
    <row r="1335" spans="1:8" ht="20.100000000000001" customHeight="1" x14ac:dyDescent="0.25">
      <c r="A1335" s="3">
        <v>1333</v>
      </c>
      <c r="B1335" s="8">
        <v>1385</v>
      </c>
      <c r="C1335" s="4" t="s">
        <v>3829</v>
      </c>
      <c r="D1335" s="4" t="s">
        <v>3830</v>
      </c>
      <c r="E1335" s="4" t="s">
        <v>3830</v>
      </c>
      <c r="F1335" s="7">
        <v>462</v>
      </c>
      <c r="G1335" s="7">
        <v>43</v>
      </c>
      <c r="H1335" s="16" t="str">
        <f t="shared" si="20"/>
        <v>(1333,'1385','عين الملوك','Ain Mellouk','Ain Mellouk',462),</v>
      </c>
    </row>
    <row r="1336" spans="1:8" ht="20.100000000000001" customHeight="1" x14ac:dyDescent="0.25">
      <c r="A1336" s="3">
        <v>1334</v>
      </c>
      <c r="B1336" s="8">
        <v>1390</v>
      </c>
      <c r="C1336" s="4" t="s">
        <v>1986</v>
      </c>
      <c r="D1336" s="4" t="s">
        <v>1985</v>
      </c>
      <c r="E1336" s="4" t="s">
        <v>1985</v>
      </c>
      <c r="F1336" s="7">
        <v>462</v>
      </c>
      <c r="G1336" s="7">
        <v>43</v>
      </c>
      <c r="H1336" s="16" t="str">
        <f t="shared" si="20"/>
        <v>(1334,'1390','شلغوم العيد','Chelghoum Laid','Chelghoum Laid',462),</v>
      </c>
    </row>
    <row r="1337" spans="1:8" ht="20.100000000000001" customHeight="1" x14ac:dyDescent="0.25">
      <c r="A1337" s="3">
        <v>1335</v>
      </c>
      <c r="B1337" s="8">
        <v>1400</v>
      </c>
      <c r="C1337" s="4" t="s">
        <v>3831</v>
      </c>
      <c r="D1337" s="4" t="s">
        <v>3832</v>
      </c>
      <c r="E1337" s="4" t="s">
        <v>3832</v>
      </c>
      <c r="F1337" s="7">
        <v>462</v>
      </c>
      <c r="G1337" s="7">
        <v>43</v>
      </c>
      <c r="H1337" s="16" t="str">
        <f t="shared" si="20"/>
        <v>(1335,'1400','وادي العثمانية','Oued Athmenia','Oued Athmenia',462),</v>
      </c>
    </row>
    <row r="1338" spans="1:8" ht="20.100000000000001" customHeight="1" x14ac:dyDescent="0.25">
      <c r="A1338" s="3">
        <v>1336</v>
      </c>
      <c r="B1338" s="8">
        <v>1394</v>
      </c>
      <c r="C1338" s="4" t="s">
        <v>3833</v>
      </c>
      <c r="D1338" s="4" t="s">
        <v>3834</v>
      </c>
      <c r="E1338" s="4" t="s">
        <v>3834</v>
      </c>
      <c r="F1338" s="7">
        <v>463</v>
      </c>
      <c r="G1338" s="7">
        <v>43</v>
      </c>
      <c r="H1338" s="16" t="str">
        <f t="shared" si="20"/>
        <v>(1336,'1394','مشيرة','El Mechira','El Mechira',463),</v>
      </c>
    </row>
    <row r="1339" spans="1:8" ht="20.100000000000001" customHeight="1" x14ac:dyDescent="0.25">
      <c r="A1339" s="3">
        <v>1337</v>
      </c>
      <c r="B1339" s="8">
        <v>1402</v>
      </c>
      <c r="C1339" s="4" t="s">
        <v>3835</v>
      </c>
      <c r="D1339" s="4" t="s">
        <v>3836</v>
      </c>
      <c r="E1339" s="4" t="s">
        <v>3836</v>
      </c>
      <c r="F1339" s="7">
        <v>463</v>
      </c>
      <c r="G1339" s="7">
        <v>43</v>
      </c>
      <c r="H1339" s="16" t="str">
        <f t="shared" si="20"/>
        <v>(1337,'1402','وادي سقان','Oued Seguen','Oued Seguen',463),</v>
      </c>
    </row>
    <row r="1340" spans="1:8" ht="20.100000000000001" customHeight="1" x14ac:dyDescent="0.25">
      <c r="A1340" s="3">
        <v>1338</v>
      </c>
      <c r="B1340" s="8">
        <v>1409</v>
      </c>
      <c r="C1340" s="4" t="s">
        <v>1996</v>
      </c>
      <c r="D1340" s="4" t="s">
        <v>1995</v>
      </c>
      <c r="E1340" s="4" t="s">
        <v>1995</v>
      </c>
      <c r="F1340" s="7">
        <v>463</v>
      </c>
      <c r="G1340" s="7">
        <v>43</v>
      </c>
      <c r="H1340" s="16" t="str">
        <f t="shared" si="20"/>
        <v>(1338,'1409','التلاغمة','Teleghma','Teleghma',463),</v>
      </c>
    </row>
    <row r="1341" spans="1:8" ht="20.100000000000001" customHeight="1" x14ac:dyDescent="0.25">
      <c r="A1341" s="3">
        <v>1339</v>
      </c>
      <c r="B1341" s="8">
        <v>1388</v>
      </c>
      <c r="C1341" s="4" t="s">
        <v>3837</v>
      </c>
      <c r="D1341" s="4" t="s">
        <v>3838</v>
      </c>
      <c r="E1341" s="4" t="s">
        <v>3838</v>
      </c>
      <c r="F1341" s="7">
        <v>464</v>
      </c>
      <c r="G1341" s="7">
        <v>43</v>
      </c>
      <c r="H1341" s="16" t="str">
        <f t="shared" si="20"/>
        <v>(1339,'1388','بن يحي عبد الرحمن','Benyahia Abderrahmane','Benyahia Abderrahmane',464),</v>
      </c>
    </row>
    <row r="1342" spans="1:8" ht="20.100000000000001" customHeight="1" x14ac:dyDescent="0.25">
      <c r="A1342" s="3">
        <v>1340</v>
      </c>
      <c r="B1342" s="8">
        <v>1403</v>
      </c>
      <c r="C1342" s="4" t="s">
        <v>3839</v>
      </c>
      <c r="D1342" s="4" t="s">
        <v>3840</v>
      </c>
      <c r="E1342" s="4" t="s">
        <v>3840</v>
      </c>
      <c r="F1342" s="7">
        <v>464</v>
      </c>
      <c r="G1342" s="7">
        <v>43</v>
      </c>
      <c r="H1342" s="16" t="str">
        <f t="shared" si="20"/>
        <v>(1340,'1403','أولاد اخلوف','Ouled Khalouf','Ouled Khalouf',464),</v>
      </c>
    </row>
    <row r="1343" spans="1:8" ht="20.100000000000001" customHeight="1" x14ac:dyDescent="0.25">
      <c r="A1343" s="3">
        <v>1341</v>
      </c>
      <c r="B1343" s="8">
        <v>1407</v>
      </c>
      <c r="C1343" s="4" t="s">
        <v>1990</v>
      </c>
      <c r="D1343" s="4" t="s">
        <v>1989</v>
      </c>
      <c r="E1343" s="4" t="s">
        <v>1989</v>
      </c>
      <c r="F1343" s="7">
        <v>464</v>
      </c>
      <c r="G1343" s="7">
        <v>43</v>
      </c>
      <c r="H1343" s="16" t="str">
        <f t="shared" si="20"/>
        <v>(1341,'1407','تاجنانت','Tadjenanet','Tadjenanet',464),</v>
      </c>
    </row>
    <row r="1344" spans="1:8" ht="20.100000000000001" customHeight="1" x14ac:dyDescent="0.25">
      <c r="A1344" s="3">
        <v>1342</v>
      </c>
      <c r="B1344" s="8">
        <v>1383</v>
      </c>
      <c r="C1344" s="4" t="s">
        <v>3841</v>
      </c>
      <c r="D1344" s="4" t="s">
        <v>3842</v>
      </c>
      <c r="E1344" s="4" t="s">
        <v>3842</v>
      </c>
      <c r="F1344" s="7">
        <v>465</v>
      </c>
      <c r="G1344" s="7">
        <v>43</v>
      </c>
      <c r="H1344" s="16" t="str">
        <f t="shared" si="20"/>
        <v>(1342,'1383','أحمد راشدي','Ahmed Rachedi','Ahmed Rachedi',465),</v>
      </c>
    </row>
    <row r="1345" spans="1:8" ht="20.100000000000001" customHeight="1" x14ac:dyDescent="0.25">
      <c r="A1345" s="3">
        <v>1343</v>
      </c>
      <c r="B1345" s="8">
        <v>1401</v>
      </c>
      <c r="C1345" s="4" t="s">
        <v>1982</v>
      </c>
      <c r="D1345" s="4" t="s">
        <v>1981</v>
      </c>
      <c r="E1345" s="4" t="s">
        <v>1981</v>
      </c>
      <c r="F1345" s="7">
        <v>465</v>
      </c>
      <c r="G1345" s="7">
        <v>43</v>
      </c>
      <c r="H1345" s="16" t="str">
        <f t="shared" si="20"/>
        <v>(1343,'1401','وادي النجاء','Oued Endja','Oued Endja',465),</v>
      </c>
    </row>
    <row r="1346" spans="1:8" ht="20.100000000000001" customHeight="1" x14ac:dyDescent="0.25">
      <c r="A1346" s="3">
        <v>1344</v>
      </c>
      <c r="B1346" s="8">
        <v>1414</v>
      </c>
      <c r="C1346" s="4" t="s">
        <v>3843</v>
      </c>
      <c r="D1346" s="4" t="s">
        <v>3844</v>
      </c>
      <c r="E1346" s="4" t="s">
        <v>3844</v>
      </c>
      <c r="F1346" s="7">
        <v>465</v>
      </c>
      <c r="G1346" s="7">
        <v>43</v>
      </c>
      <c r="H1346" s="16" t="str">
        <f t="shared" si="20"/>
        <v>(1344,'1414','زغاية','Zeghaia','Zeghaia',465),</v>
      </c>
    </row>
    <row r="1347" spans="1:8" ht="20.100000000000001" customHeight="1" x14ac:dyDescent="0.25">
      <c r="A1347" s="3">
        <v>1345</v>
      </c>
      <c r="B1347" s="8">
        <v>1389</v>
      </c>
      <c r="C1347" s="4" t="s">
        <v>1992</v>
      </c>
      <c r="D1347" s="4" t="s">
        <v>1991</v>
      </c>
      <c r="E1347" s="4" t="s">
        <v>1991</v>
      </c>
      <c r="F1347" s="7">
        <v>466</v>
      </c>
      <c r="G1347" s="7">
        <v>43</v>
      </c>
      <c r="H1347" s="16" t="str">
        <f t="shared" si="20"/>
        <v>(1345,'1389','بوحاتم','Bouhatem','Bouhatem',466),</v>
      </c>
    </row>
    <row r="1348" spans="1:8" ht="20.100000000000001" customHeight="1" x14ac:dyDescent="0.25">
      <c r="A1348" s="3">
        <v>1346</v>
      </c>
      <c r="B1348" s="8">
        <v>1392</v>
      </c>
      <c r="C1348" s="4" t="s">
        <v>3845</v>
      </c>
      <c r="D1348" s="4" t="s">
        <v>3846</v>
      </c>
      <c r="E1348" s="4" t="s">
        <v>3846</v>
      </c>
      <c r="F1348" s="7">
        <v>466</v>
      </c>
      <c r="G1348" s="7">
        <v>43</v>
      </c>
      <c r="H1348" s="16" t="str">
        <f t="shared" ref="H1348:H1411" si="21">CONCATENATE("(",A1348,",'",B1348,"','",C1348,"','",D1348,"','",E1348,"',",F1348,"),")</f>
        <v>(1346,'1392','دراحي بوصلاح','Derrahi Bousselah','Derrahi Bousselah',466),</v>
      </c>
    </row>
    <row r="1349" spans="1:8" ht="20.100000000000001" customHeight="1" x14ac:dyDescent="0.25">
      <c r="A1349" s="3">
        <v>1347</v>
      </c>
      <c r="B1349" s="8">
        <v>1404</v>
      </c>
      <c r="C1349" s="4" t="s">
        <v>2004</v>
      </c>
      <c r="D1349" s="4" t="s">
        <v>2003</v>
      </c>
      <c r="E1349" s="4" t="s">
        <v>2003</v>
      </c>
      <c r="F1349" s="7">
        <v>467</v>
      </c>
      <c r="G1349" s="7">
        <v>43</v>
      </c>
      <c r="H1349" s="16" t="str">
        <f t="shared" si="21"/>
        <v>(1347,'1404','الرواشد','Rouached','Rouached',467),</v>
      </c>
    </row>
    <row r="1350" spans="1:8" ht="20.100000000000001" customHeight="1" x14ac:dyDescent="0.25">
      <c r="A1350" s="3">
        <v>1348</v>
      </c>
      <c r="B1350" s="8">
        <v>1412</v>
      </c>
      <c r="C1350" s="4" t="s">
        <v>3847</v>
      </c>
      <c r="D1350" s="4" t="s">
        <v>3848</v>
      </c>
      <c r="E1350" s="4" t="s">
        <v>3848</v>
      </c>
      <c r="F1350" s="7">
        <v>467</v>
      </c>
      <c r="G1350" s="7">
        <v>43</v>
      </c>
      <c r="H1350" s="16" t="str">
        <f t="shared" si="21"/>
        <v>(1348,'1412','تيبرقنت','Tiberguent','Tiberguent',467),</v>
      </c>
    </row>
    <row r="1351" spans="1:8" ht="20.100000000000001" customHeight="1" x14ac:dyDescent="0.25">
      <c r="A1351" s="3">
        <v>1349</v>
      </c>
      <c r="B1351" s="8">
        <v>1396</v>
      </c>
      <c r="C1351" s="4" t="s">
        <v>2000</v>
      </c>
      <c r="D1351" s="4" t="s">
        <v>1999</v>
      </c>
      <c r="E1351" s="4" t="s">
        <v>1999</v>
      </c>
      <c r="F1351" s="7">
        <v>468</v>
      </c>
      <c r="G1351" s="7">
        <v>43</v>
      </c>
      <c r="H1351" s="16" t="str">
        <f t="shared" si="21"/>
        <v>(1349,'1396','القرارم قوقة','Grarem Gouga','Grarem Gouga',468),</v>
      </c>
    </row>
    <row r="1352" spans="1:8" ht="20.100000000000001" customHeight="1" x14ac:dyDescent="0.25">
      <c r="A1352" s="3">
        <v>1350</v>
      </c>
      <c r="B1352" s="8">
        <v>1397</v>
      </c>
      <c r="C1352" s="4" t="s">
        <v>3849</v>
      </c>
      <c r="D1352" s="4" t="s">
        <v>3850</v>
      </c>
      <c r="E1352" s="4" t="s">
        <v>3850</v>
      </c>
      <c r="F1352" s="7">
        <v>468</v>
      </c>
      <c r="G1352" s="7">
        <v>43</v>
      </c>
      <c r="H1352" s="16" t="str">
        <f t="shared" si="21"/>
        <v>(1350,'1397','حمالة','Hamala','Hamala',468),</v>
      </c>
    </row>
    <row r="1353" spans="1:8" ht="20.100000000000001" customHeight="1" x14ac:dyDescent="0.25">
      <c r="A1353" s="3">
        <v>1351</v>
      </c>
      <c r="B1353" s="8">
        <v>1391</v>
      </c>
      <c r="C1353" s="4" t="s">
        <v>3851</v>
      </c>
      <c r="D1353" s="4" t="s">
        <v>3852</v>
      </c>
      <c r="E1353" s="4" t="s">
        <v>3852</v>
      </c>
      <c r="F1353" s="7">
        <v>469</v>
      </c>
      <c r="G1353" s="7">
        <v>43</v>
      </c>
      <c r="H1353" s="16" t="str">
        <f t="shared" si="21"/>
        <v>(1351,'1391','الشيقارة','Chigara','Chigara',469),</v>
      </c>
    </row>
    <row r="1354" spans="1:8" ht="20.100000000000001" customHeight="1" x14ac:dyDescent="0.25">
      <c r="A1354" s="3">
        <v>1352</v>
      </c>
      <c r="B1354" s="8">
        <v>1406</v>
      </c>
      <c r="C1354" s="4" t="s">
        <v>1994</v>
      </c>
      <c r="D1354" s="4" t="s">
        <v>1993</v>
      </c>
      <c r="E1354" s="4" t="s">
        <v>1993</v>
      </c>
      <c r="F1354" s="7">
        <v>469</v>
      </c>
      <c r="G1354" s="7">
        <v>43</v>
      </c>
      <c r="H1354" s="16" t="str">
        <f t="shared" si="21"/>
        <v>(1352,'1406','سيدي مروان','Sidi Merouane','Sidi Merouane',469),</v>
      </c>
    </row>
    <row r="1355" spans="1:8" ht="20.100000000000001" customHeight="1" x14ac:dyDescent="0.25">
      <c r="A1355" s="3">
        <v>1353</v>
      </c>
      <c r="B1355" s="8">
        <v>1399</v>
      </c>
      <c r="C1355" s="4" t="s">
        <v>3853</v>
      </c>
      <c r="D1355" s="4" t="s">
        <v>3854</v>
      </c>
      <c r="E1355" s="4" t="s">
        <v>3854</v>
      </c>
      <c r="F1355" s="7">
        <v>470</v>
      </c>
      <c r="G1355" s="7">
        <v>43</v>
      </c>
      <c r="H1355" s="16" t="str">
        <f t="shared" si="21"/>
        <v>(1353,'1399','مينار زارزة','Minar Zarza','Minar Zarza',470),</v>
      </c>
    </row>
    <row r="1356" spans="1:8" ht="20.100000000000001" customHeight="1" x14ac:dyDescent="0.25">
      <c r="A1356" s="3">
        <v>1354</v>
      </c>
      <c r="B1356" s="8">
        <v>1408</v>
      </c>
      <c r="C1356" s="4" t="s">
        <v>2002</v>
      </c>
      <c r="D1356" s="4" t="s">
        <v>2001</v>
      </c>
      <c r="E1356" s="4" t="s">
        <v>2001</v>
      </c>
      <c r="F1356" s="7">
        <v>470</v>
      </c>
      <c r="G1356" s="7">
        <v>43</v>
      </c>
      <c r="H1356" s="16" t="str">
        <f t="shared" si="21"/>
        <v>(1354,'1408','تسدان حدادة','Tassadane Haddada','Tassadane Haddada',470),</v>
      </c>
    </row>
    <row r="1357" spans="1:8" ht="20.100000000000001" customHeight="1" x14ac:dyDescent="0.25">
      <c r="A1357" s="3">
        <v>1355</v>
      </c>
      <c r="B1357" s="8">
        <v>1387</v>
      </c>
      <c r="C1357" s="4" t="s">
        <v>3855</v>
      </c>
      <c r="D1357" s="4" t="s">
        <v>3856</v>
      </c>
      <c r="E1357" s="4" t="s">
        <v>3856</v>
      </c>
      <c r="F1357" s="7">
        <v>471</v>
      </c>
      <c r="G1357" s="7">
        <v>43</v>
      </c>
      <c r="H1357" s="16" t="str">
        <f t="shared" si="21"/>
        <v>(1355,'1387','اعميرة اراس','Amira Arres','Amira Arres',471),</v>
      </c>
    </row>
    <row r="1358" spans="1:8" ht="20.100000000000001" customHeight="1" x14ac:dyDescent="0.25">
      <c r="A1358" s="3">
        <v>1356</v>
      </c>
      <c r="B1358" s="8">
        <v>1410</v>
      </c>
      <c r="C1358" s="4" t="s">
        <v>1988</v>
      </c>
      <c r="D1358" s="4" t="s">
        <v>1987</v>
      </c>
      <c r="E1358" s="4" t="s">
        <v>1987</v>
      </c>
      <c r="F1358" s="7">
        <v>471</v>
      </c>
      <c r="G1358" s="7">
        <v>43</v>
      </c>
      <c r="H1358" s="16" t="str">
        <f t="shared" si="21"/>
        <v>(1356,'1410','ترعي باينان','Terrai Bainen','Terrai Bainen',471),</v>
      </c>
    </row>
    <row r="1359" spans="1:8" ht="20.100000000000001" customHeight="1" x14ac:dyDescent="0.25">
      <c r="A1359" s="3">
        <v>1357</v>
      </c>
      <c r="B1359" s="8">
        <v>1411</v>
      </c>
      <c r="C1359" s="4" t="s">
        <v>3857</v>
      </c>
      <c r="D1359" s="4" t="s">
        <v>3858</v>
      </c>
      <c r="E1359" s="4" t="s">
        <v>3858</v>
      </c>
      <c r="F1359" s="7">
        <v>471</v>
      </c>
      <c r="G1359" s="7">
        <v>43</v>
      </c>
      <c r="H1359" s="16" t="str">
        <f t="shared" si="21"/>
        <v>(1357,'1411','تسالة لمطاعي','Tassala Lematai','Tassala Lematai',471),</v>
      </c>
    </row>
    <row r="1360" spans="1:8" ht="20.100000000000001" customHeight="1" x14ac:dyDescent="0.25">
      <c r="A1360" s="3">
        <v>1358</v>
      </c>
      <c r="B1360" s="8">
        <v>1384</v>
      </c>
      <c r="C1360" s="4" t="s">
        <v>3859</v>
      </c>
      <c r="D1360" s="4" t="s">
        <v>1983</v>
      </c>
      <c r="E1360" s="4" t="s">
        <v>1983</v>
      </c>
      <c r="F1360" s="7">
        <v>472</v>
      </c>
      <c r="G1360" s="7">
        <v>43</v>
      </c>
      <c r="H1360" s="16" t="str">
        <f t="shared" si="21"/>
        <v>(1358,'1384',' عين البيضاء أحريش','Ain Beida Harriche','Ain Beida Harriche',472),</v>
      </c>
    </row>
    <row r="1361" spans="1:8" ht="20.100000000000001" customHeight="1" x14ac:dyDescent="0.25">
      <c r="A1361" s="3">
        <v>1359</v>
      </c>
      <c r="B1361" s="8">
        <v>1393</v>
      </c>
      <c r="C1361" s="4" t="s">
        <v>3860</v>
      </c>
      <c r="D1361" s="4" t="s">
        <v>3861</v>
      </c>
      <c r="E1361" s="4" t="s">
        <v>3861</v>
      </c>
      <c r="F1361" s="7">
        <v>472</v>
      </c>
      <c r="G1361" s="7">
        <v>43</v>
      </c>
      <c r="H1361" s="16" t="str">
        <f t="shared" si="21"/>
        <v>(1359,'1393','العياضي برباس','El Ayadi Barbes','El Ayadi Barbes',472),</v>
      </c>
    </row>
    <row r="1362" spans="1:8" ht="20.100000000000001" customHeight="1" x14ac:dyDescent="0.25">
      <c r="A1362" s="3">
        <v>1360</v>
      </c>
      <c r="B1362" s="8">
        <v>1417</v>
      </c>
      <c r="C1362" s="4" t="s">
        <v>1057</v>
      </c>
      <c r="D1362" s="4" t="s">
        <v>3862</v>
      </c>
      <c r="E1362" s="4" t="s">
        <v>3862</v>
      </c>
      <c r="F1362" s="7">
        <v>473</v>
      </c>
      <c r="G1362" s="7">
        <v>44</v>
      </c>
      <c r="H1362" s="16" t="str">
        <f t="shared" si="21"/>
        <v>(1360,'1417','عين الدفلى','Ain-Defla','Ain-Defla',473),</v>
      </c>
    </row>
    <row r="1363" spans="1:8" ht="20.100000000000001" customHeight="1" x14ac:dyDescent="0.25">
      <c r="A1363" s="3">
        <v>1361</v>
      </c>
      <c r="B1363" s="8">
        <v>1425</v>
      </c>
      <c r="C1363" s="4" t="s">
        <v>3863</v>
      </c>
      <c r="D1363" s="4" t="s">
        <v>3864</v>
      </c>
      <c r="E1363" s="4" t="s">
        <v>3864</v>
      </c>
      <c r="F1363" s="7">
        <v>474</v>
      </c>
      <c r="G1363" s="7">
        <v>44</v>
      </c>
      <c r="H1363" s="16" t="str">
        <f t="shared" si="21"/>
        <v>(1361,'1425','بن علال','Ben Allal','Ben Allal',474),</v>
      </c>
    </row>
    <row r="1364" spans="1:8" ht="20.100000000000001" customHeight="1" x14ac:dyDescent="0.25">
      <c r="A1364" s="3">
        <v>1362</v>
      </c>
      <c r="B1364" s="8">
        <v>1442</v>
      </c>
      <c r="C1364" s="4" t="s">
        <v>2018</v>
      </c>
      <c r="D1364" s="4" t="s">
        <v>2017</v>
      </c>
      <c r="E1364" s="4" t="s">
        <v>2017</v>
      </c>
      <c r="F1364" s="7">
        <v>474</v>
      </c>
      <c r="G1364" s="7">
        <v>44</v>
      </c>
      <c r="H1364" s="16" t="str">
        <f t="shared" si="21"/>
        <v>(1362,'1442','مليانة','Miliana','Miliana',474),</v>
      </c>
    </row>
    <row r="1365" spans="1:8" ht="20.100000000000001" customHeight="1" x14ac:dyDescent="0.25">
      <c r="A1365" s="3">
        <v>1363</v>
      </c>
      <c r="B1365" s="8">
        <v>1428</v>
      </c>
      <c r="C1365" s="4" t="s">
        <v>2022</v>
      </c>
      <c r="D1365" s="4" t="s">
        <v>2021</v>
      </c>
      <c r="E1365" s="4" t="s">
        <v>2021</v>
      </c>
      <c r="F1365" s="7">
        <v>475</v>
      </c>
      <c r="G1365" s="7">
        <v>44</v>
      </c>
      <c r="H1365" s="16" t="str">
        <f t="shared" si="21"/>
        <v>(1363,'1428','بومدفع','Boumedfaa','Boumedfaa',475),</v>
      </c>
    </row>
    <row r="1366" spans="1:8" ht="20.100000000000001" customHeight="1" x14ac:dyDescent="0.25">
      <c r="A1366" s="3">
        <v>1364</v>
      </c>
      <c r="B1366" s="8">
        <v>1439</v>
      </c>
      <c r="C1366" s="4" t="s">
        <v>3865</v>
      </c>
      <c r="D1366" s="4" t="s">
        <v>3866</v>
      </c>
      <c r="E1366" s="4" t="s">
        <v>3866</v>
      </c>
      <c r="F1366" s="7">
        <v>475</v>
      </c>
      <c r="G1366" s="7">
        <v>44</v>
      </c>
      <c r="H1366" s="16" t="str">
        <f t="shared" si="21"/>
        <v>(1364,'1439','الحسينية','Hoceinia','Hoceinia',475),</v>
      </c>
    </row>
    <row r="1367" spans="1:8" ht="20.100000000000001" customHeight="1" x14ac:dyDescent="0.25">
      <c r="A1367" s="3">
        <v>1365</v>
      </c>
      <c r="B1367" s="8">
        <v>1440</v>
      </c>
      <c r="C1367" s="4" t="s">
        <v>3867</v>
      </c>
      <c r="D1367" s="4" t="s">
        <v>3868</v>
      </c>
      <c r="E1367" s="4" t="s">
        <v>3868</v>
      </c>
      <c r="F1367" s="7">
        <v>476</v>
      </c>
      <c r="G1367" s="7">
        <v>44</v>
      </c>
      <c r="H1367" s="16" t="str">
        <f t="shared" si="21"/>
        <v>(1365,'1440','خميس مليانة','Khemis-Miliana','Khemis-Miliana',476),</v>
      </c>
    </row>
    <row r="1368" spans="1:8" ht="20.100000000000001" customHeight="1" x14ac:dyDescent="0.25">
      <c r="A1368" s="3">
        <v>1366</v>
      </c>
      <c r="B1368" s="8">
        <v>1446</v>
      </c>
      <c r="C1368" s="4" t="s">
        <v>3869</v>
      </c>
      <c r="D1368" s="4" t="s">
        <v>3353</v>
      </c>
      <c r="E1368" s="4" t="s">
        <v>3353</v>
      </c>
      <c r="F1368" s="7">
        <v>476</v>
      </c>
      <c r="G1368" s="7">
        <v>44</v>
      </c>
      <c r="H1368" s="16" t="str">
        <f t="shared" si="21"/>
        <v>(1366,'1446','سيدي الأخضر','Sidi-Lakhdar','Sidi-Lakhdar',476),</v>
      </c>
    </row>
    <row r="1369" spans="1:8" ht="20.100000000000001" customHeight="1" x14ac:dyDescent="0.25">
      <c r="A1369" s="3">
        <v>1367</v>
      </c>
      <c r="B1369" s="8">
        <v>1415</v>
      </c>
      <c r="C1369" s="4" t="s">
        <v>3870</v>
      </c>
      <c r="D1369" s="4" t="s">
        <v>3871</v>
      </c>
      <c r="E1369" s="4" t="s">
        <v>3871</v>
      </c>
      <c r="F1369" s="7">
        <v>477</v>
      </c>
      <c r="G1369" s="7">
        <v>44</v>
      </c>
      <c r="H1369" s="16" t="str">
        <f t="shared" si="21"/>
        <v>(1367,'1415','عين البنيان','Ain-Benian','Ain-Benian',477),</v>
      </c>
    </row>
    <row r="1370" spans="1:8" ht="20.100000000000001" customHeight="1" x14ac:dyDescent="0.25">
      <c r="A1370" s="3">
        <v>1368</v>
      </c>
      <c r="B1370" s="8">
        <v>1420</v>
      </c>
      <c r="C1370" s="4" t="s">
        <v>3872</v>
      </c>
      <c r="D1370" s="4" t="s">
        <v>3873</v>
      </c>
      <c r="E1370" s="4" t="s">
        <v>3873</v>
      </c>
      <c r="F1370" s="7">
        <v>477</v>
      </c>
      <c r="G1370" s="7">
        <v>44</v>
      </c>
      <c r="H1370" s="16" t="str">
        <f t="shared" si="21"/>
        <v>(1368,'1420','عين التركي','Ain-Torki','Ain-Torki',477),</v>
      </c>
    </row>
    <row r="1371" spans="1:8" ht="20.100000000000001" customHeight="1" x14ac:dyDescent="0.25">
      <c r="A1371" s="3">
        <v>1369</v>
      </c>
      <c r="B1371" s="8">
        <v>1437</v>
      </c>
      <c r="C1371" s="4" t="s">
        <v>2006</v>
      </c>
      <c r="D1371" s="4" t="s">
        <v>3874</v>
      </c>
      <c r="E1371" s="4" t="s">
        <v>3874</v>
      </c>
      <c r="F1371" s="7">
        <v>477</v>
      </c>
      <c r="G1371" s="7">
        <v>44</v>
      </c>
      <c r="H1371" s="16" t="str">
        <f t="shared" si="21"/>
        <v>(1369,'1437','حمام ريغة','Hammam-Righa','Hammam-Righa',477),</v>
      </c>
    </row>
    <row r="1372" spans="1:8" ht="20.100000000000001" customHeight="1" x14ac:dyDescent="0.25">
      <c r="A1372" s="3">
        <v>1370</v>
      </c>
      <c r="B1372" s="8">
        <v>1429</v>
      </c>
      <c r="C1372" s="4" t="s">
        <v>3875</v>
      </c>
      <c r="D1372" s="4" t="s">
        <v>3876</v>
      </c>
      <c r="E1372" s="4" t="s">
        <v>3876</v>
      </c>
      <c r="F1372" s="7">
        <v>478</v>
      </c>
      <c r="G1372" s="7">
        <v>44</v>
      </c>
      <c r="H1372" s="16" t="str">
        <f t="shared" si="21"/>
        <v>(1370,'1429','بوراشد','Bourached','Bourached',478),</v>
      </c>
    </row>
    <row r="1373" spans="1:8" ht="20.100000000000001" customHeight="1" x14ac:dyDescent="0.25">
      <c r="A1373" s="3">
        <v>1371</v>
      </c>
      <c r="B1373" s="8">
        <v>1430</v>
      </c>
      <c r="C1373" s="4" t="s">
        <v>2024</v>
      </c>
      <c r="D1373" s="4" t="s">
        <v>2023</v>
      </c>
      <c r="E1373" s="4" t="s">
        <v>2023</v>
      </c>
      <c r="F1373" s="7">
        <v>478</v>
      </c>
      <c r="G1373" s="7">
        <v>44</v>
      </c>
      <c r="H1373" s="16" t="str">
        <f t="shared" si="21"/>
        <v>(1371,'1430','جليدة','Djelida','Djelida',478),</v>
      </c>
    </row>
    <row r="1374" spans="1:8" ht="20.100000000000001" customHeight="1" x14ac:dyDescent="0.25">
      <c r="A1374" s="3">
        <v>1372</v>
      </c>
      <c r="B1374" s="8">
        <v>1431</v>
      </c>
      <c r="C1374" s="4" t="s">
        <v>3877</v>
      </c>
      <c r="D1374" s="4" t="s">
        <v>3878</v>
      </c>
      <c r="E1374" s="4" t="s">
        <v>3878</v>
      </c>
      <c r="F1374" s="7">
        <v>478</v>
      </c>
      <c r="G1374" s="7">
        <v>44</v>
      </c>
      <c r="H1374" s="16" t="str">
        <f t="shared" si="21"/>
        <v>(1372,'1431','جمعة أولاد الشيخ','Djemaa Ouled Cheikh','Djemaa Ouled Cheikh',478),</v>
      </c>
    </row>
    <row r="1375" spans="1:8" ht="20.100000000000001" customHeight="1" x14ac:dyDescent="0.25">
      <c r="A1375" s="3">
        <v>1373</v>
      </c>
      <c r="B1375" s="8">
        <v>1421</v>
      </c>
      <c r="C1375" s="4" t="s">
        <v>3879</v>
      </c>
      <c r="D1375" s="4" t="s">
        <v>3880</v>
      </c>
      <c r="E1375" s="4" t="s">
        <v>3880</v>
      </c>
      <c r="F1375" s="7">
        <v>479</v>
      </c>
      <c r="G1375" s="7">
        <v>44</v>
      </c>
      <c r="H1375" s="16" t="str">
        <f t="shared" si="21"/>
        <v>(1373,'1421','عريب','Arib','Arib',479),</v>
      </c>
    </row>
    <row r="1376" spans="1:8" ht="20.100000000000001" customHeight="1" x14ac:dyDescent="0.25">
      <c r="A1376" s="3">
        <v>1374</v>
      </c>
      <c r="B1376" s="8">
        <v>1434</v>
      </c>
      <c r="C1376" s="4" t="s">
        <v>2012</v>
      </c>
      <c r="D1376" s="4" t="s">
        <v>3881</v>
      </c>
      <c r="E1376" s="4" t="s">
        <v>3881</v>
      </c>
      <c r="F1376" s="7">
        <v>479</v>
      </c>
      <c r="G1376" s="7">
        <v>44</v>
      </c>
      <c r="H1376" s="16" t="str">
        <f t="shared" si="21"/>
        <v>(1374,'1434','العامرة','El-Amra','El-Amra',479),</v>
      </c>
    </row>
    <row r="1377" spans="1:8" ht="20.100000000000001" customHeight="1" x14ac:dyDescent="0.25">
      <c r="A1377" s="3">
        <v>1375</v>
      </c>
      <c r="B1377" s="8">
        <v>1441</v>
      </c>
      <c r="C1377" s="4" t="s">
        <v>3882</v>
      </c>
      <c r="D1377" s="4" t="s">
        <v>3883</v>
      </c>
      <c r="E1377" s="4" t="s">
        <v>3883</v>
      </c>
      <c r="F1377" s="7">
        <v>479</v>
      </c>
      <c r="G1377" s="7">
        <v>44</v>
      </c>
      <c r="H1377" s="16" t="str">
        <f t="shared" si="21"/>
        <v>(1375,'1441','المخاطرية','Mekhatria','Mekhatria',479),</v>
      </c>
    </row>
    <row r="1378" spans="1:8" ht="20.100000000000001" customHeight="1" x14ac:dyDescent="0.25">
      <c r="A1378" s="3">
        <v>1376</v>
      </c>
      <c r="B1378" s="8">
        <v>1435</v>
      </c>
      <c r="C1378" s="4" t="s">
        <v>2026</v>
      </c>
      <c r="D1378" s="4" t="s">
        <v>3884</v>
      </c>
      <c r="E1378" s="4" t="s">
        <v>3884</v>
      </c>
      <c r="F1378" s="7">
        <v>480</v>
      </c>
      <c r="G1378" s="7">
        <v>44</v>
      </c>
      <c r="H1378" s="16" t="str">
        <f t="shared" si="21"/>
        <v>(1376,'1435','العطاف','El-Attaf','El-Attaf',480),</v>
      </c>
    </row>
    <row r="1379" spans="1:8" ht="20.100000000000001" customHeight="1" x14ac:dyDescent="0.25">
      <c r="A1379" s="3">
        <v>1377</v>
      </c>
      <c r="B1379" s="8">
        <v>1449</v>
      </c>
      <c r="C1379" s="4" t="s">
        <v>3885</v>
      </c>
      <c r="D1379" s="4" t="s">
        <v>3886</v>
      </c>
      <c r="E1379" s="4" t="s">
        <v>3886</v>
      </c>
      <c r="F1379" s="7">
        <v>480</v>
      </c>
      <c r="G1379" s="7">
        <v>44</v>
      </c>
      <c r="H1379" s="16" t="str">
        <f t="shared" si="21"/>
        <v>(1377,'1449','تبركانين','Tiberkanine','Tiberkanine',480),</v>
      </c>
    </row>
    <row r="1380" spans="1:8" ht="20.100000000000001" customHeight="1" x14ac:dyDescent="0.25">
      <c r="A1380" s="3">
        <v>1378</v>
      </c>
      <c r="B1380" s="8">
        <v>1416</v>
      </c>
      <c r="C1380" s="4" t="s">
        <v>3887</v>
      </c>
      <c r="D1380" s="4" t="s">
        <v>3888</v>
      </c>
      <c r="E1380" s="4" t="s">
        <v>3888</v>
      </c>
      <c r="F1380" s="7">
        <v>481</v>
      </c>
      <c r="G1380" s="7">
        <v>44</v>
      </c>
      <c r="H1380" s="16" t="str">
        <f t="shared" si="21"/>
        <v>(1378,'1416','عين بويحيى','Ain-Bouyahia','Ain-Bouyahia',481),</v>
      </c>
    </row>
    <row r="1381" spans="1:8" ht="20.100000000000001" customHeight="1" x14ac:dyDescent="0.25">
      <c r="A1381" s="3">
        <v>1379</v>
      </c>
      <c r="B1381" s="8">
        <v>1433</v>
      </c>
      <c r="C1381" s="4" t="s">
        <v>2008</v>
      </c>
      <c r="D1381" s="4" t="s">
        <v>3889</v>
      </c>
      <c r="E1381" s="4" t="s">
        <v>3889</v>
      </c>
      <c r="F1381" s="7">
        <v>481</v>
      </c>
      <c r="G1381" s="7">
        <v>44</v>
      </c>
      <c r="H1381" s="16" t="str">
        <f t="shared" si="21"/>
        <v>(1379,'1433','العبادية','El-Abadia','El-Abadia',481),</v>
      </c>
    </row>
    <row r="1382" spans="1:8" ht="20.100000000000001" customHeight="1" x14ac:dyDescent="0.25">
      <c r="A1382" s="3">
        <v>1380</v>
      </c>
      <c r="B1382" s="8">
        <v>1447</v>
      </c>
      <c r="C1382" s="4" t="s">
        <v>3890</v>
      </c>
      <c r="D1382" s="4" t="s">
        <v>3891</v>
      </c>
      <c r="E1382" s="4" t="s">
        <v>3891</v>
      </c>
      <c r="F1382" s="7">
        <v>481</v>
      </c>
      <c r="G1382" s="7">
        <v>44</v>
      </c>
      <c r="H1382" s="16" t="str">
        <f t="shared" si="21"/>
        <v>(1380,'1447','تاشتة زقاغة','Tacheta Zegagha','Tacheta Zegagha',481),</v>
      </c>
    </row>
    <row r="1383" spans="1:8" ht="20.100000000000001" customHeight="1" x14ac:dyDescent="0.25">
      <c r="A1383" s="3">
        <v>1381</v>
      </c>
      <c r="B1383" s="8">
        <v>1422</v>
      </c>
      <c r="C1383" s="4" t="s">
        <v>3892</v>
      </c>
      <c r="D1383" s="4" t="s">
        <v>3893</v>
      </c>
      <c r="E1383" s="4" t="s">
        <v>3893</v>
      </c>
      <c r="F1383" s="7">
        <v>482</v>
      </c>
      <c r="G1383" s="7">
        <v>44</v>
      </c>
      <c r="H1383" s="16" t="str">
        <f t="shared" si="21"/>
        <v>(1381,'1422','بربوش','Birbouche','Birbouche',482),</v>
      </c>
    </row>
    <row r="1384" spans="1:8" ht="20.100000000000001" customHeight="1" x14ac:dyDescent="0.25">
      <c r="A1384" s="3">
        <v>1382</v>
      </c>
      <c r="B1384" s="8">
        <v>1432</v>
      </c>
      <c r="C1384" s="4" t="s">
        <v>2014</v>
      </c>
      <c r="D1384" s="4" t="s">
        <v>2013</v>
      </c>
      <c r="E1384" s="4" t="s">
        <v>2013</v>
      </c>
      <c r="F1384" s="7">
        <v>482</v>
      </c>
      <c r="G1384" s="7">
        <v>44</v>
      </c>
      <c r="H1384" s="16" t="str">
        <f t="shared" si="21"/>
        <v>(1382,'1432','جندل','Djendel','Djendel',482),</v>
      </c>
    </row>
    <row r="1385" spans="1:8" ht="20.100000000000001" customHeight="1" x14ac:dyDescent="0.25">
      <c r="A1385" s="3">
        <v>1383</v>
      </c>
      <c r="B1385" s="8">
        <v>1443</v>
      </c>
      <c r="C1385" s="4" t="s">
        <v>3894</v>
      </c>
      <c r="D1385" s="4" t="s">
        <v>3895</v>
      </c>
      <c r="E1385" s="4" t="s">
        <v>3895</v>
      </c>
      <c r="F1385" s="7">
        <v>482</v>
      </c>
      <c r="G1385" s="7">
        <v>44</v>
      </c>
      <c r="H1385" s="16" t="str">
        <f t="shared" si="21"/>
        <v>(1383,'1443','وادي الشرفاء','Oued Chorfa','Oued Chorfa',482),</v>
      </c>
    </row>
    <row r="1386" spans="1:8" ht="20.100000000000001" customHeight="1" x14ac:dyDescent="0.25">
      <c r="A1386" s="3">
        <v>1384</v>
      </c>
      <c r="B1386" s="8">
        <v>1418</v>
      </c>
      <c r="C1386" s="4" t="s">
        <v>2010</v>
      </c>
      <c r="D1386" s="4" t="s">
        <v>3896</v>
      </c>
      <c r="E1386" s="4" t="s">
        <v>3896</v>
      </c>
      <c r="F1386" s="7">
        <v>483</v>
      </c>
      <c r="G1386" s="7">
        <v>44</v>
      </c>
      <c r="H1386" s="16" t="str">
        <f t="shared" si="21"/>
        <v>(1384,'1418','عين الاشياخ','Ain-Lechiakh','Ain-Lechiakh',483),</v>
      </c>
    </row>
    <row r="1387" spans="1:8" ht="20.100000000000001" customHeight="1" x14ac:dyDescent="0.25">
      <c r="A1387" s="3">
        <v>1385</v>
      </c>
      <c r="B1387" s="8">
        <v>1419</v>
      </c>
      <c r="C1387" s="4" t="s">
        <v>3035</v>
      </c>
      <c r="D1387" s="4" t="s">
        <v>3897</v>
      </c>
      <c r="E1387" s="4" t="s">
        <v>3897</v>
      </c>
      <c r="F1387" s="7">
        <v>483</v>
      </c>
      <c r="G1387" s="7">
        <v>44</v>
      </c>
      <c r="H1387" s="16" t="str">
        <f t="shared" si="21"/>
        <v>(1385,'1419','عين السلطان','Ain-Soltane','Ain-Soltane',483),</v>
      </c>
    </row>
    <row r="1388" spans="1:8" ht="20.100000000000001" customHeight="1" x14ac:dyDescent="0.25">
      <c r="A1388" s="3">
        <v>1386</v>
      </c>
      <c r="B1388" s="8">
        <v>1444</v>
      </c>
      <c r="C1388" s="4" t="s">
        <v>3898</v>
      </c>
      <c r="D1388" s="4" t="s">
        <v>3899</v>
      </c>
      <c r="E1388" s="4" t="s">
        <v>3899</v>
      </c>
      <c r="F1388" s="7">
        <v>483</v>
      </c>
      <c r="G1388" s="7">
        <v>44</v>
      </c>
      <c r="H1388" s="16" t="str">
        <f t="shared" si="21"/>
        <v>(1386,'1444','واد الجمعة','Oued Djemaa','Oued Djemaa',483),</v>
      </c>
    </row>
    <row r="1389" spans="1:8" ht="20.100000000000001" customHeight="1" x14ac:dyDescent="0.25">
      <c r="A1389" s="3">
        <v>1387</v>
      </c>
      <c r="B1389" s="8">
        <v>1436</v>
      </c>
      <c r="C1389" s="4" t="s">
        <v>3599</v>
      </c>
      <c r="D1389" s="4" t="s">
        <v>3900</v>
      </c>
      <c r="E1389" s="4" t="s">
        <v>3900</v>
      </c>
      <c r="F1389" s="7">
        <v>484</v>
      </c>
      <c r="G1389" s="7">
        <v>44</v>
      </c>
      <c r="H1389" s="16" t="str">
        <f t="shared" si="21"/>
        <v>(1387,'1436','الماين','El-Maine','El-Maine',484),</v>
      </c>
    </row>
    <row r="1390" spans="1:8" ht="20.100000000000001" customHeight="1" x14ac:dyDescent="0.25">
      <c r="A1390" s="3">
        <v>1388</v>
      </c>
      <c r="B1390" s="8">
        <v>1445</v>
      </c>
      <c r="C1390" s="4" t="s">
        <v>2028</v>
      </c>
      <c r="D1390" s="4" t="s">
        <v>2027</v>
      </c>
      <c r="E1390" s="4" t="s">
        <v>2027</v>
      </c>
      <c r="F1390" s="7">
        <v>484</v>
      </c>
      <c r="G1390" s="7">
        <v>44</v>
      </c>
      <c r="H1390" s="16" t="str">
        <f t="shared" si="21"/>
        <v>(1388,'1445','الروينة','Rouina','Rouina',484),</v>
      </c>
    </row>
    <row r="1391" spans="1:8" ht="20.100000000000001" customHeight="1" x14ac:dyDescent="0.25">
      <c r="A1391" s="3">
        <v>1389</v>
      </c>
      <c r="B1391" s="8">
        <v>1450</v>
      </c>
      <c r="C1391" s="4" t="s">
        <v>3901</v>
      </c>
      <c r="D1391" s="4" t="s">
        <v>3902</v>
      </c>
      <c r="E1391" s="4" t="s">
        <v>3902</v>
      </c>
      <c r="F1391" s="7">
        <v>484</v>
      </c>
      <c r="G1391" s="7">
        <v>44</v>
      </c>
      <c r="H1391" s="16" t="str">
        <f t="shared" si="21"/>
        <v>(1389,'1450','زدين','Zeddine','Zeddine',484),</v>
      </c>
    </row>
    <row r="1392" spans="1:8" ht="20.100000000000001" customHeight="1" x14ac:dyDescent="0.25">
      <c r="A1392" s="3">
        <v>1390</v>
      </c>
      <c r="B1392" s="8">
        <v>1426</v>
      </c>
      <c r="C1392" s="4" t="s">
        <v>3903</v>
      </c>
      <c r="D1392" s="4" t="s">
        <v>3904</v>
      </c>
      <c r="E1392" s="4" t="s">
        <v>3904</v>
      </c>
      <c r="F1392" s="7">
        <v>485</v>
      </c>
      <c r="G1392" s="7">
        <v>44</v>
      </c>
      <c r="H1392" s="16" t="str">
        <f t="shared" si="21"/>
        <v>(1390,'1426','بئر ولد خليفة','Bir-Ould-Khelifa','Bir-Ould-Khelifa',485),</v>
      </c>
    </row>
    <row r="1393" spans="1:8" ht="20.100000000000001" customHeight="1" x14ac:dyDescent="0.25">
      <c r="A1393" s="3">
        <v>1391</v>
      </c>
      <c r="B1393" s="8">
        <v>1427</v>
      </c>
      <c r="C1393" s="4" t="s">
        <v>2020</v>
      </c>
      <c r="D1393" s="4" t="s">
        <v>3905</v>
      </c>
      <c r="E1393" s="4" t="s">
        <v>3905</v>
      </c>
      <c r="F1393" s="7">
        <v>485</v>
      </c>
      <c r="G1393" s="7">
        <v>44</v>
      </c>
      <c r="H1393" s="16" t="str">
        <f t="shared" si="21"/>
        <v>(1391,'1427','برج الأمير خالد','Bordj-Emir-Khaled','Bordj-Emir-Khaled',485),</v>
      </c>
    </row>
    <row r="1394" spans="1:8" ht="20.100000000000001" customHeight="1" x14ac:dyDescent="0.25">
      <c r="A1394" s="3">
        <v>1392</v>
      </c>
      <c r="B1394" s="8">
        <v>1448</v>
      </c>
      <c r="C1394" s="4" t="s">
        <v>3906</v>
      </c>
      <c r="D1394" s="4" t="s">
        <v>3907</v>
      </c>
      <c r="E1394" s="4" t="s">
        <v>3907</v>
      </c>
      <c r="F1394" s="7">
        <v>485</v>
      </c>
      <c r="G1394" s="7">
        <v>44</v>
      </c>
      <c r="H1394" s="16" t="str">
        <f t="shared" si="21"/>
        <v>(1392,'1448','طارق بن زياد','Tarik-Ibn-Ziad','Tarik-Ibn-Ziad',485),</v>
      </c>
    </row>
    <row r="1395" spans="1:8" ht="20.100000000000001" customHeight="1" x14ac:dyDescent="0.25">
      <c r="A1395" s="3">
        <v>1393</v>
      </c>
      <c r="B1395" s="8">
        <v>1423</v>
      </c>
      <c r="C1395" s="4" t="s">
        <v>2016</v>
      </c>
      <c r="D1395" s="4" t="s">
        <v>2015</v>
      </c>
      <c r="E1395" s="4" t="s">
        <v>2015</v>
      </c>
      <c r="F1395" s="7">
        <v>486</v>
      </c>
      <c r="G1395" s="7">
        <v>44</v>
      </c>
      <c r="H1395" s="16" t="str">
        <f t="shared" si="21"/>
        <v>(1393,'1423','بطحية','Bathia','Bathia',486),</v>
      </c>
    </row>
    <row r="1396" spans="1:8" ht="20.100000000000001" customHeight="1" x14ac:dyDescent="0.25">
      <c r="A1396" s="3">
        <v>1394</v>
      </c>
      <c r="B1396" s="8">
        <v>1424</v>
      </c>
      <c r="C1396" s="4" t="s">
        <v>3908</v>
      </c>
      <c r="D1396" s="4" t="s">
        <v>3909</v>
      </c>
      <c r="E1396" s="4" t="s">
        <v>3909</v>
      </c>
      <c r="F1396" s="7">
        <v>486</v>
      </c>
      <c r="G1396" s="7">
        <v>44</v>
      </c>
      <c r="H1396" s="16" t="str">
        <f t="shared" si="21"/>
        <v>(1394,'1424','بلعاص','Belaas','Belaas',486),</v>
      </c>
    </row>
    <row r="1397" spans="1:8" ht="20.100000000000001" customHeight="1" x14ac:dyDescent="0.25">
      <c r="A1397" s="3">
        <v>1395</v>
      </c>
      <c r="B1397" s="8">
        <v>1438</v>
      </c>
      <c r="C1397" s="4" t="s">
        <v>3910</v>
      </c>
      <c r="D1397" s="4" t="s">
        <v>3911</v>
      </c>
      <c r="E1397" s="4" t="s">
        <v>3911</v>
      </c>
      <c r="F1397" s="7">
        <v>486</v>
      </c>
      <c r="G1397" s="7">
        <v>44</v>
      </c>
      <c r="H1397" s="16" t="str">
        <f t="shared" si="21"/>
        <v>(1395,'1438','الحسانية','Hassania','Hassania',486),</v>
      </c>
    </row>
    <row r="1398" spans="1:8" ht="20.100000000000001" customHeight="1" x14ac:dyDescent="0.25">
      <c r="A1398" s="3">
        <v>1396</v>
      </c>
      <c r="B1398" s="8">
        <v>1460</v>
      </c>
      <c r="C1398" s="4" t="s">
        <v>1059</v>
      </c>
      <c r="D1398" s="4" t="s">
        <v>2041</v>
      </c>
      <c r="E1398" s="4" t="s">
        <v>2041</v>
      </c>
      <c r="F1398" s="7">
        <v>487</v>
      </c>
      <c r="G1398" s="7">
        <v>45</v>
      </c>
      <c r="H1398" s="16" t="str">
        <f t="shared" si="21"/>
        <v>(1396,'1460','النعامة','Naama','Naama',487),</v>
      </c>
    </row>
    <row r="1399" spans="1:8" ht="20.100000000000001" customHeight="1" x14ac:dyDescent="0.25">
      <c r="A1399" s="3">
        <v>1397</v>
      </c>
      <c r="B1399" s="8">
        <v>1451</v>
      </c>
      <c r="C1399" s="4" t="s">
        <v>3912</v>
      </c>
      <c r="D1399" s="4" t="s">
        <v>3913</v>
      </c>
      <c r="E1399" s="4" t="s">
        <v>3913</v>
      </c>
      <c r="F1399" s="7">
        <v>488</v>
      </c>
      <c r="G1399" s="7">
        <v>45</v>
      </c>
      <c r="H1399" s="16" t="str">
        <f t="shared" si="21"/>
        <v>(1397,'1451','عين بن خليل','Ain Ben Khelil','Ain Ben Khelil',488),</v>
      </c>
    </row>
    <row r="1400" spans="1:8" ht="20.100000000000001" customHeight="1" x14ac:dyDescent="0.25">
      <c r="A1400" s="3">
        <v>1398</v>
      </c>
      <c r="B1400" s="8">
        <v>1455</v>
      </c>
      <c r="C1400" s="4" t="s">
        <v>3914</v>
      </c>
      <c r="D1400" s="4" t="s">
        <v>3915</v>
      </c>
      <c r="E1400" s="4" t="s">
        <v>3915</v>
      </c>
      <c r="F1400" s="7">
        <v>488</v>
      </c>
      <c r="G1400" s="7">
        <v>45</v>
      </c>
      <c r="H1400" s="16" t="str">
        <f t="shared" si="21"/>
        <v>(1398,'1455','البيوض','El Biodh','El Biodh',488),</v>
      </c>
    </row>
    <row r="1401" spans="1:8" ht="20.100000000000001" customHeight="1" x14ac:dyDescent="0.25">
      <c r="A1401" s="3">
        <v>1399</v>
      </c>
      <c r="B1401" s="8">
        <v>1458</v>
      </c>
      <c r="C1401" s="4" t="s">
        <v>2032</v>
      </c>
      <c r="D1401" s="4" t="s">
        <v>2031</v>
      </c>
      <c r="E1401" s="4" t="s">
        <v>2031</v>
      </c>
      <c r="F1401" s="7">
        <v>488</v>
      </c>
      <c r="G1401" s="7">
        <v>45</v>
      </c>
      <c r="H1401" s="16" t="str">
        <f t="shared" si="21"/>
        <v>(1399,'1458','المشرية','Mecheria','Mecheria',488),</v>
      </c>
    </row>
    <row r="1402" spans="1:8" ht="20.100000000000001" customHeight="1" x14ac:dyDescent="0.25">
      <c r="A1402" s="3">
        <v>1400</v>
      </c>
      <c r="B1402" s="8">
        <v>1452</v>
      </c>
      <c r="C1402" s="4" t="s">
        <v>2034</v>
      </c>
      <c r="D1402" s="4" t="s">
        <v>2033</v>
      </c>
      <c r="E1402" s="4" t="s">
        <v>2033</v>
      </c>
      <c r="F1402" s="7">
        <v>489</v>
      </c>
      <c r="G1402" s="7">
        <v>45</v>
      </c>
      <c r="H1402" s="16" t="str">
        <f t="shared" si="21"/>
        <v>(1400,'1452','عين الصفراء','Ain Sefra','Ain Sefra',489),</v>
      </c>
    </row>
    <row r="1403" spans="1:8" ht="20.100000000000001" customHeight="1" x14ac:dyDescent="0.25">
      <c r="A1403" s="3">
        <v>1401</v>
      </c>
      <c r="B1403" s="8">
        <v>1462</v>
      </c>
      <c r="C1403" s="4" t="s">
        <v>3916</v>
      </c>
      <c r="D1403" s="4" t="s">
        <v>3917</v>
      </c>
      <c r="E1403" s="4" t="s">
        <v>3917</v>
      </c>
      <c r="F1403" s="7">
        <v>489</v>
      </c>
      <c r="G1403" s="7">
        <v>45</v>
      </c>
      <c r="H1403" s="16" t="str">
        <f t="shared" si="21"/>
        <v>(1401,'1462','تيوت','Tiout','Tiout',489),</v>
      </c>
    </row>
    <row r="1404" spans="1:8" ht="20.100000000000001" customHeight="1" x14ac:dyDescent="0.25">
      <c r="A1404" s="3">
        <v>1402</v>
      </c>
      <c r="B1404" s="8">
        <v>1461</v>
      </c>
      <c r="C1404" s="4" t="s">
        <v>2043</v>
      </c>
      <c r="D1404" s="4" t="s">
        <v>2042</v>
      </c>
      <c r="E1404" s="4" t="s">
        <v>2042</v>
      </c>
      <c r="F1404" s="7">
        <v>490</v>
      </c>
      <c r="G1404" s="7">
        <v>45</v>
      </c>
      <c r="H1404" s="16" t="str">
        <f t="shared" si="21"/>
        <v>(1402,'1461','سفيسيفة','Sfissifa','Sfissifa',490),</v>
      </c>
    </row>
    <row r="1405" spans="1:8" ht="20.100000000000001" customHeight="1" x14ac:dyDescent="0.25">
      <c r="A1405" s="3">
        <v>1403</v>
      </c>
      <c r="B1405" s="8">
        <v>1454</v>
      </c>
      <c r="C1405" s="4" t="s">
        <v>3918</v>
      </c>
      <c r="D1405" s="4" t="s">
        <v>3919</v>
      </c>
      <c r="E1405" s="4" t="s">
        <v>3919</v>
      </c>
      <c r="F1405" s="7">
        <v>491</v>
      </c>
      <c r="G1405" s="7">
        <v>45</v>
      </c>
      <c r="H1405" s="16" t="str">
        <f t="shared" si="21"/>
        <v>(1403,'1454','جنين بورزق','Djenienne Bourezg','Djenienne Bourezg',491),</v>
      </c>
    </row>
    <row r="1406" spans="1:8" ht="20.100000000000001" customHeight="1" x14ac:dyDescent="0.25">
      <c r="A1406" s="3">
        <v>1404</v>
      </c>
      <c r="B1406" s="8">
        <v>1459</v>
      </c>
      <c r="C1406" s="4" t="s">
        <v>2038</v>
      </c>
      <c r="D1406" s="4" t="s">
        <v>2037</v>
      </c>
      <c r="E1406" s="4" t="s">
        <v>2037</v>
      </c>
      <c r="F1406" s="7">
        <v>491</v>
      </c>
      <c r="G1406" s="7">
        <v>45</v>
      </c>
      <c r="H1406" s="16" t="str">
        <f t="shared" si="21"/>
        <v>(1404,'1459','مغرار','Moghrar','Moghrar',491),</v>
      </c>
    </row>
    <row r="1407" spans="1:8" ht="20.100000000000001" customHeight="1" x14ac:dyDescent="0.25">
      <c r="A1407" s="3">
        <v>1405</v>
      </c>
      <c r="B1407" s="8">
        <v>1453</v>
      </c>
      <c r="C1407" s="4" t="s">
        <v>2036</v>
      </c>
      <c r="D1407" s="4" t="s">
        <v>2035</v>
      </c>
      <c r="E1407" s="4" t="s">
        <v>2035</v>
      </c>
      <c r="F1407" s="7">
        <v>492</v>
      </c>
      <c r="G1407" s="7">
        <v>45</v>
      </c>
      <c r="H1407" s="16" t="str">
        <f t="shared" si="21"/>
        <v>(1405,'1453','عسلة','Asla','Asla',492),</v>
      </c>
    </row>
    <row r="1408" spans="1:8" ht="20.100000000000001" customHeight="1" x14ac:dyDescent="0.25">
      <c r="A1408" s="3">
        <v>1406</v>
      </c>
      <c r="B1408" s="8">
        <v>1456</v>
      </c>
      <c r="C1408" s="4" t="s">
        <v>3920</v>
      </c>
      <c r="D1408" s="4" t="s">
        <v>3921</v>
      </c>
      <c r="E1408" s="4" t="s">
        <v>3921</v>
      </c>
      <c r="F1408" s="7">
        <v>493</v>
      </c>
      <c r="G1408" s="7">
        <v>45</v>
      </c>
      <c r="H1408" s="16" t="str">
        <f t="shared" si="21"/>
        <v>(1406,'1456','القصدير','Kasdir','Kasdir',493),</v>
      </c>
    </row>
    <row r="1409" spans="1:8" ht="20.100000000000001" customHeight="1" x14ac:dyDescent="0.25">
      <c r="A1409" s="3">
        <v>1407</v>
      </c>
      <c r="B1409" s="8">
        <v>1457</v>
      </c>
      <c r="C1409" s="4" t="s">
        <v>2040</v>
      </c>
      <c r="D1409" s="4" t="s">
        <v>3922</v>
      </c>
      <c r="E1409" s="4" t="s">
        <v>3922</v>
      </c>
      <c r="F1409" s="7">
        <v>493</v>
      </c>
      <c r="G1409" s="7">
        <v>45</v>
      </c>
      <c r="H1409" s="16" t="str">
        <f t="shared" si="21"/>
        <v>(1407,'1457','مكمن بن عمار','Makmen Ben Amar','Makmen Ben Amar',493),</v>
      </c>
    </row>
    <row r="1410" spans="1:8" ht="20.100000000000001" customHeight="1" x14ac:dyDescent="0.25">
      <c r="A1410" s="3">
        <v>1408</v>
      </c>
      <c r="B1410" s="8">
        <v>1466</v>
      </c>
      <c r="C1410" s="4" t="s">
        <v>1061</v>
      </c>
      <c r="D1410" s="4" t="s">
        <v>1097</v>
      </c>
      <c r="E1410" s="4" t="s">
        <v>1097</v>
      </c>
      <c r="F1410" s="7">
        <v>494</v>
      </c>
      <c r="G1410" s="7">
        <v>46</v>
      </c>
      <c r="H1410" s="16" t="str">
        <f t="shared" si="21"/>
        <v>(1408,'1466','عين تموشنت','Ain Temouchent','Ain Temouchent',494),</v>
      </c>
    </row>
    <row r="1411" spans="1:8" ht="20.100000000000001" customHeight="1" x14ac:dyDescent="0.25">
      <c r="A1411" s="3">
        <v>1409</v>
      </c>
      <c r="B1411" s="8">
        <v>1485</v>
      </c>
      <c r="C1411" s="4" t="s">
        <v>3923</v>
      </c>
      <c r="D1411" s="4" t="s">
        <v>3924</v>
      </c>
      <c r="E1411" s="4" t="s">
        <v>3924</v>
      </c>
      <c r="F1411" s="7">
        <v>494</v>
      </c>
      <c r="G1411" s="7">
        <v>46</v>
      </c>
      <c r="H1411" s="16" t="str">
        <f t="shared" si="21"/>
        <v>(1409,'1485','سيدي بن عدة','Sidi Ben Adda','Sidi Ben Adda',494),</v>
      </c>
    </row>
    <row r="1412" spans="1:8" ht="20.100000000000001" customHeight="1" x14ac:dyDescent="0.25">
      <c r="A1412" s="3">
        <v>1410</v>
      </c>
      <c r="B1412" s="8">
        <v>1472</v>
      </c>
      <c r="C1412" s="4" t="s">
        <v>3925</v>
      </c>
      <c r="D1412" s="4" t="s">
        <v>3926</v>
      </c>
      <c r="E1412" s="4" t="s">
        <v>3926</v>
      </c>
      <c r="F1412" s="7">
        <v>495</v>
      </c>
      <c r="G1412" s="7">
        <v>46</v>
      </c>
      <c r="H1412" s="16" t="str">
        <f t="shared" ref="H1412:H1475" si="22">CONCATENATE("(",A1412,",'",B1412,"','",C1412,"','",D1412,"','",E1412,"',",F1412,"),")</f>
        <v>(1410,'1472','شنتوف','Chentouf','Chentouf',495),</v>
      </c>
    </row>
    <row r="1413" spans="1:8" ht="20.100000000000001" customHeight="1" x14ac:dyDescent="0.25">
      <c r="A1413" s="3">
        <v>1411</v>
      </c>
      <c r="B1413" s="8">
        <v>1477</v>
      </c>
      <c r="C1413" s="4" t="s">
        <v>2055</v>
      </c>
      <c r="D1413" s="4" t="s">
        <v>2054</v>
      </c>
      <c r="E1413" s="4" t="s">
        <v>2054</v>
      </c>
      <c r="F1413" s="7">
        <v>495</v>
      </c>
      <c r="G1413" s="7">
        <v>46</v>
      </c>
      <c r="H1413" s="16" t="str">
        <f t="shared" si="22"/>
        <v>(1411,'1477','حمام بوحجر','Hammam Bou Hadjar','Hammam Bou Hadjar',495),</v>
      </c>
    </row>
    <row r="1414" spans="1:8" ht="20.100000000000001" customHeight="1" x14ac:dyDescent="0.25">
      <c r="A1414" s="3">
        <v>1412</v>
      </c>
      <c r="B1414" s="8">
        <v>1478</v>
      </c>
      <c r="C1414" s="4" t="s">
        <v>1592</v>
      </c>
      <c r="D1414" s="4" t="s">
        <v>3927</v>
      </c>
      <c r="E1414" s="4" t="s">
        <v>3927</v>
      </c>
      <c r="F1414" s="7">
        <v>495</v>
      </c>
      <c r="G1414" s="7">
        <v>46</v>
      </c>
      <c r="H1414" s="16" t="str">
        <f t="shared" si="22"/>
        <v>(1412,'1478','الحساسنة','Hassasna','Hassasna',495),</v>
      </c>
    </row>
    <row r="1415" spans="1:8" ht="20.100000000000001" customHeight="1" x14ac:dyDescent="0.25">
      <c r="A1415" s="3">
        <v>1413</v>
      </c>
      <c r="B1415" s="8">
        <v>1480</v>
      </c>
      <c r="C1415" s="4" t="s">
        <v>3928</v>
      </c>
      <c r="D1415" s="4" t="s">
        <v>3929</v>
      </c>
      <c r="E1415" s="4" t="s">
        <v>3929</v>
      </c>
      <c r="F1415" s="7">
        <v>495</v>
      </c>
      <c r="G1415" s="7">
        <v>46</v>
      </c>
      <c r="H1415" s="16" t="str">
        <f t="shared" si="22"/>
        <v>(1413,'1480','وادي برقش','Oued Berkeche','Oued Berkeche',495),</v>
      </c>
    </row>
    <row r="1416" spans="1:8" ht="20.100000000000001" customHeight="1" x14ac:dyDescent="0.25">
      <c r="A1416" s="3">
        <v>1414</v>
      </c>
      <c r="B1416" s="8">
        <v>1464</v>
      </c>
      <c r="C1416" s="4" t="s">
        <v>2047</v>
      </c>
      <c r="D1416" s="4" t="s">
        <v>3930</v>
      </c>
      <c r="E1416" s="4" t="s">
        <v>3930</v>
      </c>
      <c r="F1416" s="7">
        <v>496</v>
      </c>
      <c r="G1416" s="7">
        <v>46</v>
      </c>
      <c r="H1416" s="16" t="str">
        <f t="shared" si="22"/>
        <v>(1414,'1464','عين الأربعاء','Ain El Arbaa','Ain El Arbaa',496),</v>
      </c>
    </row>
    <row r="1417" spans="1:8" ht="20.100000000000001" customHeight="1" x14ac:dyDescent="0.25">
      <c r="A1417" s="3">
        <v>1415</v>
      </c>
      <c r="B1417" s="8">
        <v>1481</v>
      </c>
      <c r="C1417" s="4" t="s">
        <v>3931</v>
      </c>
      <c r="D1417" s="4" t="s">
        <v>3932</v>
      </c>
      <c r="E1417" s="4" t="s">
        <v>3932</v>
      </c>
      <c r="F1417" s="7">
        <v>496</v>
      </c>
      <c r="G1417" s="7">
        <v>46</v>
      </c>
      <c r="H1417" s="16" t="str">
        <f t="shared" si="22"/>
        <v>(1415,'1481','وادي الصباح','Oued Sebbah','Oued Sebbah',496),</v>
      </c>
    </row>
    <row r="1418" spans="1:8" ht="20.100000000000001" customHeight="1" x14ac:dyDescent="0.25">
      <c r="A1418" s="3">
        <v>1416</v>
      </c>
      <c r="B1418" s="8">
        <v>1486</v>
      </c>
      <c r="C1418" s="4" t="s">
        <v>3933</v>
      </c>
      <c r="D1418" s="4" t="s">
        <v>3934</v>
      </c>
      <c r="E1418" s="4" t="s">
        <v>3934</v>
      </c>
      <c r="F1418" s="7">
        <v>496</v>
      </c>
      <c r="G1418" s="7">
        <v>46</v>
      </c>
      <c r="H1418" s="16" t="str">
        <f t="shared" si="22"/>
        <v>(1416,'1486','سيدي بومدين','Sidi Boumediene','Sidi Boumediene',496),</v>
      </c>
    </row>
    <row r="1419" spans="1:8" ht="20.100000000000001" customHeight="1" x14ac:dyDescent="0.25">
      <c r="A1419" s="3">
        <v>1417</v>
      </c>
      <c r="B1419" s="8">
        <v>1489</v>
      </c>
      <c r="C1419" s="4" t="s">
        <v>3935</v>
      </c>
      <c r="D1419" s="4" t="s">
        <v>3936</v>
      </c>
      <c r="E1419" s="4" t="s">
        <v>3936</v>
      </c>
      <c r="F1419" s="7">
        <v>496</v>
      </c>
      <c r="G1419" s="7">
        <v>46</v>
      </c>
      <c r="H1419" s="16" t="str">
        <f t="shared" si="22"/>
        <v>(1417,'1489','تامزورة','Tamzoura','Tamzoura',496),</v>
      </c>
    </row>
    <row r="1420" spans="1:8" ht="20.100000000000001" customHeight="1" x14ac:dyDescent="0.25">
      <c r="A1420" s="3">
        <v>1418</v>
      </c>
      <c r="B1420" s="8">
        <v>1471</v>
      </c>
      <c r="C1420" s="4" t="s">
        <v>3937</v>
      </c>
      <c r="D1420" s="4" t="s">
        <v>3938</v>
      </c>
      <c r="E1420" s="4" t="s">
        <v>3938</v>
      </c>
      <c r="F1420" s="7">
        <v>497</v>
      </c>
      <c r="G1420" s="7">
        <v>46</v>
      </c>
      <c r="H1420" s="16" t="str">
        <f t="shared" si="22"/>
        <v>(1418,'1471','شعبة اللحم','Chaabat El Ham','Chaabat El Ham',497),</v>
      </c>
    </row>
    <row r="1421" spans="1:8" ht="20.100000000000001" customHeight="1" x14ac:dyDescent="0.25">
      <c r="A1421" s="3">
        <v>1419</v>
      </c>
      <c r="B1421" s="8">
        <v>1474</v>
      </c>
      <c r="C1421" s="4" t="s">
        <v>2053</v>
      </c>
      <c r="D1421" s="4" t="s">
        <v>2052</v>
      </c>
      <c r="E1421" s="4" t="s">
        <v>2052</v>
      </c>
      <c r="F1421" s="7">
        <v>497</v>
      </c>
      <c r="G1421" s="7">
        <v>46</v>
      </c>
      <c r="H1421" s="16" t="str">
        <f t="shared" si="22"/>
        <v>(1419,'1474','المالح','El Maleh','El Maleh',497),</v>
      </c>
    </row>
    <row r="1422" spans="1:8" ht="20.100000000000001" customHeight="1" x14ac:dyDescent="0.25">
      <c r="A1422" s="3">
        <v>1420</v>
      </c>
      <c r="B1422" s="8">
        <v>1483</v>
      </c>
      <c r="C1422" s="4" t="s">
        <v>3939</v>
      </c>
      <c r="D1422" s="4" t="s">
        <v>3940</v>
      </c>
      <c r="E1422" s="4" t="s">
        <v>3940</v>
      </c>
      <c r="F1422" s="7">
        <v>497</v>
      </c>
      <c r="G1422" s="7">
        <v>46</v>
      </c>
      <c r="H1422" s="16" t="str">
        <f t="shared" si="22"/>
        <v>(1420,'1483','أولاد الكيحل','Ouled Kihal','Ouled Kihal',497),</v>
      </c>
    </row>
    <row r="1423" spans="1:8" ht="20.100000000000001" customHeight="1" x14ac:dyDescent="0.25">
      <c r="A1423" s="3">
        <v>1421</v>
      </c>
      <c r="B1423" s="8">
        <v>1490</v>
      </c>
      <c r="C1423" s="4" t="s">
        <v>3941</v>
      </c>
      <c r="D1423" s="4" t="s">
        <v>3942</v>
      </c>
      <c r="E1423" s="4" t="s">
        <v>3942</v>
      </c>
      <c r="F1423" s="7">
        <v>497</v>
      </c>
      <c r="G1423" s="7">
        <v>46</v>
      </c>
      <c r="H1423" s="16" t="str">
        <f t="shared" si="22"/>
        <v>(1421,'1490','تارقة','Terga','Terga',497),</v>
      </c>
    </row>
    <row r="1424" spans="1:8" ht="20.100000000000001" customHeight="1" x14ac:dyDescent="0.25">
      <c r="A1424" s="3">
        <v>1422</v>
      </c>
      <c r="B1424" s="8">
        <v>1470</v>
      </c>
      <c r="C1424" s="4" t="s">
        <v>3943</v>
      </c>
      <c r="D1424" s="4" t="s">
        <v>3944</v>
      </c>
      <c r="E1424" s="4" t="s">
        <v>3944</v>
      </c>
      <c r="F1424" s="7">
        <v>498</v>
      </c>
      <c r="G1424" s="7">
        <v>46</v>
      </c>
      <c r="H1424" s="16" t="str">
        <f t="shared" si="22"/>
        <v>(1422,'1470','بوزجار','Bouzedjar','Bouzedjar',498),</v>
      </c>
    </row>
    <row r="1425" spans="1:8" ht="20.100000000000001" customHeight="1" x14ac:dyDescent="0.25">
      <c r="A1425" s="3">
        <v>1423</v>
      </c>
      <c r="B1425" s="8">
        <v>1473</v>
      </c>
      <c r="C1425" s="4" t="s">
        <v>2051</v>
      </c>
      <c r="D1425" s="4" t="s">
        <v>2050</v>
      </c>
      <c r="E1425" s="4" t="s">
        <v>2050</v>
      </c>
      <c r="F1425" s="7">
        <v>498</v>
      </c>
      <c r="G1425" s="7">
        <v>46</v>
      </c>
      <c r="H1425" s="16" t="str">
        <f t="shared" si="22"/>
        <v>(1423,'1473','العامرية','El Amria','El Amria',498),</v>
      </c>
    </row>
    <row r="1426" spans="1:8" ht="20.100000000000001" customHeight="1" x14ac:dyDescent="0.25">
      <c r="A1426" s="3">
        <v>1424</v>
      </c>
      <c r="B1426" s="8">
        <v>1475</v>
      </c>
      <c r="C1426" s="4" t="s">
        <v>3945</v>
      </c>
      <c r="D1426" s="4" t="s">
        <v>3946</v>
      </c>
      <c r="E1426" s="4" t="s">
        <v>3946</v>
      </c>
      <c r="F1426" s="7">
        <v>498</v>
      </c>
      <c r="G1426" s="7">
        <v>46</v>
      </c>
      <c r="H1426" s="16" t="str">
        <f t="shared" si="22"/>
        <v>(1424,'1475','المساعيد','El Messaid','El Messaid',498),</v>
      </c>
    </row>
    <row r="1427" spans="1:8" ht="20.100000000000001" customHeight="1" x14ac:dyDescent="0.25">
      <c r="A1427" s="3">
        <v>1425</v>
      </c>
      <c r="B1427" s="8">
        <v>1479</v>
      </c>
      <c r="C1427" s="4" t="s">
        <v>3947</v>
      </c>
      <c r="D1427" s="4" t="s">
        <v>3948</v>
      </c>
      <c r="E1427" s="4" t="s">
        <v>3948</v>
      </c>
      <c r="F1427" s="7">
        <v>498</v>
      </c>
      <c r="G1427" s="7">
        <v>46</v>
      </c>
      <c r="H1427" s="16" t="str">
        <f t="shared" si="22"/>
        <v>(1425,'1479','حاسي الغلة','Hassi El Ghella','Hassi El Ghella',498),</v>
      </c>
    </row>
    <row r="1428" spans="1:8" ht="20.100000000000001" customHeight="1" x14ac:dyDescent="0.25">
      <c r="A1428" s="3">
        <v>1426</v>
      </c>
      <c r="B1428" s="8">
        <v>1482</v>
      </c>
      <c r="C1428" s="4" t="s">
        <v>3949</v>
      </c>
      <c r="D1428" s="4" t="s">
        <v>3950</v>
      </c>
      <c r="E1428" s="4" t="s">
        <v>3950</v>
      </c>
      <c r="F1428" s="7">
        <v>498</v>
      </c>
      <c r="G1428" s="7">
        <v>46</v>
      </c>
      <c r="H1428" s="16" t="str">
        <f t="shared" si="22"/>
        <v>(1426,'1482','أولاد بوجمعة','Ouled Boudjemaa','Ouled Boudjemaa',498),</v>
      </c>
    </row>
    <row r="1429" spans="1:8" ht="20.100000000000001" customHeight="1" x14ac:dyDescent="0.25">
      <c r="A1429" s="3">
        <v>1427</v>
      </c>
      <c r="B1429" s="8">
        <v>1463</v>
      </c>
      <c r="C1429" s="4" t="s">
        <v>3951</v>
      </c>
      <c r="D1429" s="4" t="s">
        <v>3952</v>
      </c>
      <c r="E1429" s="4" t="s">
        <v>3952</v>
      </c>
      <c r="F1429" s="7">
        <v>499</v>
      </c>
      <c r="G1429" s="7">
        <v>46</v>
      </c>
      <c r="H1429" s="16" t="str">
        <f t="shared" si="22"/>
        <v>(1427,'1463','أغلال','Aghlal','Aghlal',499),</v>
      </c>
    </row>
    <row r="1430" spans="1:8" ht="20.100000000000001" customHeight="1" x14ac:dyDescent="0.25">
      <c r="A1430" s="3">
        <v>1428</v>
      </c>
      <c r="B1430" s="8">
        <v>1465</v>
      </c>
      <c r="C1430" s="4" t="s">
        <v>2045</v>
      </c>
      <c r="D1430" s="4" t="s">
        <v>3953</v>
      </c>
      <c r="E1430" s="4" t="s">
        <v>3953</v>
      </c>
      <c r="F1430" s="7">
        <v>499</v>
      </c>
      <c r="G1430" s="7">
        <v>46</v>
      </c>
      <c r="H1430" s="16" t="str">
        <f t="shared" si="22"/>
        <v>(1428,'1465','عين الكيحل','Ain Kihal','Ain Kihal',499),</v>
      </c>
    </row>
    <row r="1431" spans="1:8" ht="20.100000000000001" customHeight="1" x14ac:dyDescent="0.25">
      <c r="A1431" s="3">
        <v>1429</v>
      </c>
      <c r="B1431" s="8">
        <v>1467</v>
      </c>
      <c r="C1431" s="4" t="s">
        <v>3954</v>
      </c>
      <c r="D1431" s="4" t="s">
        <v>3955</v>
      </c>
      <c r="E1431" s="4" t="s">
        <v>3955</v>
      </c>
      <c r="F1431" s="7">
        <v>499</v>
      </c>
      <c r="G1431" s="7">
        <v>46</v>
      </c>
      <c r="H1431" s="16" t="str">
        <f t="shared" si="22"/>
        <v>(1429,'1467','عين الطلبة','Ain Tolba','Ain Tolba',499),</v>
      </c>
    </row>
    <row r="1432" spans="1:8" ht="20.100000000000001" customHeight="1" x14ac:dyDescent="0.25">
      <c r="A1432" s="3">
        <v>1430</v>
      </c>
      <c r="B1432" s="8">
        <v>1468</v>
      </c>
      <c r="C1432" s="4" t="s">
        <v>3956</v>
      </c>
      <c r="D1432" s="4" t="s">
        <v>3957</v>
      </c>
      <c r="E1432" s="4" t="s">
        <v>3957</v>
      </c>
      <c r="F1432" s="7">
        <v>499</v>
      </c>
      <c r="G1432" s="7">
        <v>46</v>
      </c>
      <c r="H1432" s="16" t="str">
        <f t="shared" si="22"/>
        <v>(1430,'1468','عقب الليل','Aoubellil','Aoubellil',499),</v>
      </c>
    </row>
    <row r="1433" spans="1:8" ht="20.100000000000001" customHeight="1" x14ac:dyDescent="0.25">
      <c r="A1433" s="3">
        <v>1431</v>
      </c>
      <c r="B1433" s="8">
        <v>1469</v>
      </c>
      <c r="C1433" s="4" t="s">
        <v>2049</v>
      </c>
      <c r="D1433" s="4" t="s">
        <v>2048</v>
      </c>
      <c r="E1433" s="4" t="s">
        <v>2048</v>
      </c>
      <c r="F1433" s="7">
        <v>500</v>
      </c>
      <c r="G1433" s="7">
        <v>46</v>
      </c>
      <c r="H1433" s="16" t="str">
        <f t="shared" si="22"/>
        <v>(1431,'1469','بني صاف','Beni Saf','Beni Saf',500),</v>
      </c>
    </row>
    <row r="1434" spans="1:8" ht="20.100000000000001" customHeight="1" x14ac:dyDescent="0.25">
      <c r="A1434" s="3">
        <v>1432</v>
      </c>
      <c r="B1434" s="8">
        <v>1476</v>
      </c>
      <c r="C1434" s="4" t="s">
        <v>3958</v>
      </c>
      <c r="D1434" s="4" t="s">
        <v>2917</v>
      </c>
      <c r="E1434" s="4" t="s">
        <v>2917</v>
      </c>
      <c r="F1434" s="7">
        <v>500</v>
      </c>
      <c r="G1434" s="7">
        <v>46</v>
      </c>
      <c r="H1434" s="16" t="str">
        <f t="shared" si="22"/>
        <v>(1432,'1476','الأمير عبد القادر','Emir Abdelkader','Emir Abdelkader',500),</v>
      </c>
    </row>
    <row r="1435" spans="1:8" ht="20.100000000000001" customHeight="1" x14ac:dyDescent="0.25">
      <c r="A1435" s="3">
        <v>1433</v>
      </c>
      <c r="B1435" s="8">
        <v>1488</v>
      </c>
      <c r="C1435" s="4" t="s">
        <v>3959</v>
      </c>
      <c r="D1435" s="4" t="s">
        <v>3960</v>
      </c>
      <c r="E1435" s="4" t="s">
        <v>3960</v>
      </c>
      <c r="F1435" s="7">
        <v>500</v>
      </c>
      <c r="G1435" s="7">
        <v>46</v>
      </c>
      <c r="H1435" s="16" t="str">
        <f t="shared" si="22"/>
        <v>(1433,'1488','سيدي صافي','Sidi Safi','Sidi Safi',500),</v>
      </c>
    </row>
    <row r="1436" spans="1:8" ht="20.100000000000001" customHeight="1" x14ac:dyDescent="0.25">
      <c r="A1436" s="3">
        <v>1434</v>
      </c>
      <c r="B1436" s="8">
        <v>1484</v>
      </c>
      <c r="C1436" s="4" t="s">
        <v>2057</v>
      </c>
      <c r="D1436" s="4" t="s">
        <v>3961</v>
      </c>
      <c r="E1436" s="4" t="s">
        <v>3961</v>
      </c>
      <c r="F1436" s="7">
        <v>501</v>
      </c>
      <c r="G1436" s="7">
        <v>46</v>
      </c>
      <c r="H1436" s="16" t="str">
        <f t="shared" si="22"/>
        <v>(1434,'1484','ولهاصة الغرابة','Oulhaca El Gheraba','Oulhaca El Gheraba',501),</v>
      </c>
    </row>
    <row r="1437" spans="1:8" ht="20.100000000000001" customHeight="1" x14ac:dyDescent="0.25">
      <c r="A1437" s="3">
        <v>1435</v>
      </c>
      <c r="B1437" s="8">
        <v>1487</v>
      </c>
      <c r="C1437" s="4" t="s">
        <v>3962</v>
      </c>
      <c r="D1437" s="4" t="s">
        <v>3963</v>
      </c>
      <c r="E1437" s="4" t="s">
        <v>3963</v>
      </c>
      <c r="F1437" s="7">
        <v>501</v>
      </c>
      <c r="G1437" s="7">
        <v>46</v>
      </c>
      <c r="H1437" s="16" t="str">
        <f t="shared" si="22"/>
        <v>(1435,'1487','سيدي ورياش','Sidi Ouriache','Sidi Ouriache',501),</v>
      </c>
    </row>
    <row r="1438" spans="1:8" ht="20.100000000000001" customHeight="1" x14ac:dyDescent="0.25">
      <c r="A1438" s="3">
        <v>1436</v>
      </c>
      <c r="B1438" s="8">
        <v>1496</v>
      </c>
      <c r="C1438" s="4" t="s">
        <v>1063</v>
      </c>
      <c r="D1438" s="4" t="s">
        <v>1087</v>
      </c>
      <c r="E1438" s="4" t="s">
        <v>1087</v>
      </c>
      <c r="F1438" s="7">
        <v>502</v>
      </c>
      <c r="G1438" s="7">
        <v>47</v>
      </c>
      <c r="H1438" s="16" t="str">
        <f t="shared" si="22"/>
        <v>(1436,'1496','غرداية','Ghardaia','Ghardaia',502),</v>
      </c>
    </row>
    <row r="1439" spans="1:8" ht="20.100000000000001" customHeight="1" x14ac:dyDescent="0.25">
      <c r="A1439" s="3">
        <v>1437</v>
      </c>
      <c r="B1439" s="8">
        <v>1493</v>
      </c>
      <c r="C1439" s="4" t="s">
        <v>2063</v>
      </c>
      <c r="D1439" s="4" t="s">
        <v>3964</v>
      </c>
      <c r="E1439" s="4" t="s">
        <v>3964</v>
      </c>
      <c r="F1439" s="7">
        <v>503</v>
      </c>
      <c r="G1439" s="7">
        <v>47</v>
      </c>
      <c r="H1439" s="16" t="str">
        <f t="shared" si="22"/>
        <v>(1437,'1493','ضاية بن ضحوة','Dhayet Bendhahoua','Dhayet Bendhahoua',503),</v>
      </c>
    </row>
    <row r="1440" spans="1:8" ht="20.100000000000001" customHeight="1" x14ac:dyDescent="0.25">
      <c r="A1440" s="3">
        <v>1438</v>
      </c>
      <c r="B1440" s="8">
        <v>1491</v>
      </c>
      <c r="C1440" s="4" t="s">
        <v>2059</v>
      </c>
      <c r="D1440" s="4" t="s">
        <v>2058</v>
      </c>
      <c r="E1440" s="4" t="s">
        <v>2058</v>
      </c>
      <c r="F1440" s="7">
        <v>504</v>
      </c>
      <c r="G1440" s="7">
        <v>47</v>
      </c>
      <c r="H1440" s="16" t="str">
        <f t="shared" si="22"/>
        <v>(1438,'1491','بريان','Berriane','Berriane',504),</v>
      </c>
    </row>
    <row r="1441" spans="1:8" ht="20.100000000000001" customHeight="1" x14ac:dyDescent="0.25">
      <c r="A1441" s="3">
        <v>1439</v>
      </c>
      <c r="B1441" s="8">
        <v>1501</v>
      </c>
      <c r="C1441" s="4" t="s">
        <v>2067</v>
      </c>
      <c r="D1441" s="4" t="s">
        <v>2066</v>
      </c>
      <c r="E1441" s="4" t="s">
        <v>2066</v>
      </c>
      <c r="F1441" s="7">
        <v>505</v>
      </c>
      <c r="G1441" s="7">
        <v>47</v>
      </c>
      <c r="H1441" s="16" t="str">
        <f t="shared" si="22"/>
        <v>(1439,'1501','متليلي','Metlili','Metlili',505),</v>
      </c>
    </row>
    <row r="1442" spans="1:8" ht="20.100000000000001" customHeight="1" x14ac:dyDescent="0.25">
      <c r="A1442" s="3">
        <v>1440</v>
      </c>
      <c r="B1442" s="8">
        <v>1502</v>
      </c>
      <c r="C1442" s="4" t="s">
        <v>3965</v>
      </c>
      <c r="D1442" s="4" t="s">
        <v>3966</v>
      </c>
      <c r="E1442" s="4" t="s">
        <v>3966</v>
      </c>
      <c r="F1442" s="7">
        <v>505</v>
      </c>
      <c r="G1442" s="7">
        <v>47</v>
      </c>
      <c r="H1442" s="16" t="str">
        <f t="shared" si="22"/>
        <v>(1440,'1502','سبسب','Sebseb','Sebseb',505),</v>
      </c>
    </row>
    <row r="1443" spans="1:8" ht="20.100000000000001" customHeight="1" x14ac:dyDescent="0.25">
      <c r="A1443" s="3">
        <v>1441</v>
      </c>
      <c r="B1443" s="8">
        <v>1497</v>
      </c>
      <c r="C1443" s="4" t="s">
        <v>2065</v>
      </c>
      <c r="D1443" s="4" t="s">
        <v>2064</v>
      </c>
      <c r="E1443" s="4" t="s">
        <v>2064</v>
      </c>
      <c r="F1443" s="7">
        <v>506</v>
      </c>
      <c r="G1443" s="7">
        <v>47</v>
      </c>
      <c r="H1443" s="16" t="str">
        <f t="shared" si="22"/>
        <v>(1441,'1497','القرارة','El Guerrara','El Guerrara',506),</v>
      </c>
    </row>
    <row r="1444" spans="1:8" ht="20.100000000000001" customHeight="1" x14ac:dyDescent="0.25">
      <c r="A1444" s="3">
        <v>1442</v>
      </c>
      <c r="B1444" s="8">
        <v>1503</v>
      </c>
      <c r="C1444" s="4" t="s">
        <v>2069</v>
      </c>
      <c r="D1444" s="4" t="s">
        <v>2068</v>
      </c>
      <c r="E1444" s="4" t="s">
        <v>2068</v>
      </c>
      <c r="F1444" s="7">
        <v>507</v>
      </c>
      <c r="G1444" s="7">
        <v>47</v>
      </c>
      <c r="H1444" s="16" t="str">
        <f t="shared" si="22"/>
        <v>(1442,'1503','زلفانة','Zelfana','Zelfana',507),</v>
      </c>
    </row>
    <row r="1445" spans="1:8" ht="20.100000000000001" customHeight="1" x14ac:dyDescent="0.25">
      <c r="A1445" s="3">
        <v>1443</v>
      </c>
      <c r="B1445" s="8">
        <v>1492</v>
      </c>
      <c r="C1445" s="4" t="s">
        <v>2061</v>
      </c>
      <c r="D1445" s="4" t="s">
        <v>2060</v>
      </c>
      <c r="E1445" s="4" t="s">
        <v>2060</v>
      </c>
      <c r="F1445" s="7">
        <v>508</v>
      </c>
      <c r="G1445" s="7">
        <v>47</v>
      </c>
      <c r="H1445" s="16" t="str">
        <f t="shared" si="22"/>
        <v>(1443,'1492','بونورة','Bounoura','Bounoura',508),</v>
      </c>
    </row>
    <row r="1446" spans="1:8" ht="20.100000000000001" customHeight="1" x14ac:dyDescent="0.25">
      <c r="A1446" s="3">
        <v>1444</v>
      </c>
      <c r="B1446" s="8">
        <v>1494</v>
      </c>
      <c r="C1446" s="4" t="s">
        <v>3967</v>
      </c>
      <c r="D1446" s="4" t="s">
        <v>3968</v>
      </c>
      <c r="E1446" s="4" t="s">
        <v>3968</v>
      </c>
      <c r="F1446" s="7">
        <v>508</v>
      </c>
      <c r="G1446" s="7">
        <v>47</v>
      </c>
      <c r="H1446" s="16" t="str">
        <f t="shared" si="22"/>
        <v>(1444,'1494','العطف','El Atteuf','El Atteuf',508),</v>
      </c>
    </row>
    <row r="1447" spans="1:8" ht="20.100000000000001" customHeight="1" x14ac:dyDescent="0.25">
      <c r="A1447" s="3">
        <v>1445</v>
      </c>
      <c r="B1447" s="8">
        <v>1500</v>
      </c>
      <c r="C1447" s="4" t="s">
        <v>1857</v>
      </c>
      <c r="D1447" s="4" t="s">
        <v>3572</v>
      </c>
      <c r="E1447" s="4" t="s">
        <v>3572</v>
      </c>
      <c r="F1447" s="7">
        <v>547</v>
      </c>
      <c r="G1447" s="7">
        <v>58</v>
      </c>
      <c r="H1447" s="16" t="str">
        <f t="shared" si="22"/>
        <v>(1445,'1500','المنصورة','Mansoura','Mansoura',547),</v>
      </c>
    </row>
    <row r="1448" spans="1:8" ht="20.100000000000001" customHeight="1" x14ac:dyDescent="0.25">
      <c r="A1448" s="3">
        <v>1446</v>
      </c>
      <c r="B1448" s="8">
        <v>1508</v>
      </c>
      <c r="C1448" s="4" t="s">
        <v>3567</v>
      </c>
      <c r="D1448" s="4" t="s">
        <v>3969</v>
      </c>
      <c r="E1448" s="4" t="s">
        <v>3969</v>
      </c>
      <c r="F1448" s="7">
        <v>509</v>
      </c>
      <c r="G1448" s="7">
        <v>48</v>
      </c>
      <c r="H1448" s="16" t="str">
        <f t="shared" si="22"/>
        <v>(1446,'1508','بن داود','Bendaoud','Bendaoud',509),</v>
      </c>
    </row>
    <row r="1449" spans="1:8" ht="20.100000000000001" customHeight="1" x14ac:dyDescent="0.25">
      <c r="A1449" s="3">
        <v>1447</v>
      </c>
      <c r="B1449" s="8">
        <v>1533</v>
      </c>
      <c r="C1449" s="4" t="s">
        <v>1065</v>
      </c>
      <c r="D1449" s="4" t="s">
        <v>1066</v>
      </c>
      <c r="E1449" s="4" t="s">
        <v>1066</v>
      </c>
      <c r="F1449" s="7">
        <v>509</v>
      </c>
      <c r="G1449" s="7">
        <v>48</v>
      </c>
      <c r="H1449" s="16" t="str">
        <f t="shared" si="22"/>
        <v>(1447,'1533','غليزان','Relizane','Relizane',509),</v>
      </c>
    </row>
    <row r="1450" spans="1:8" ht="20.100000000000001" customHeight="1" x14ac:dyDescent="0.25">
      <c r="A1450" s="3">
        <v>1448</v>
      </c>
      <c r="B1450" s="8">
        <v>1521</v>
      </c>
      <c r="C1450" s="4" t="s">
        <v>3970</v>
      </c>
      <c r="D1450" s="4" t="s">
        <v>3971</v>
      </c>
      <c r="E1450" s="4" t="s">
        <v>3971</v>
      </c>
      <c r="F1450" s="7">
        <v>510</v>
      </c>
      <c r="G1450" s="7">
        <v>48</v>
      </c>
      <c r="H1450" s="16" t="str">
        <f t="shared" si="22"/>
        <v>(1448,'1521','لحلاف','Lahlef','Lahlef',510),</v>
      </c>
    </row>
    <row r="1451" spans="1:8" ht="20.100000000000001" customHeight="1" x14ac:dyDescent="0.25">
      <c r="A1451" s="3">
        <v>1449</v>
      </c>
      <c r="B1451" s="8">
        <v>1525</v>
      </c>
      <c r="C1451" s="4" t="s">
        <v>3972</v>
      </c>
      <c r="D1451" s="4" t="s">
        <v>3973</v>
      </c>
      <c r="E1451" s="4" t="s">
        <v>3973</v>
      </c>
      <c r="F1451" s="7">
        <v>510</v>
      </c>
      <c r="G1451" s="7">
        <v>48</v>
      </c>
      <c r="H1451" s="16" t="str">
        <f t="shared" si="22"/>
        <v>(1449,'1525','مرجة سيدي عابد','Merdja Sidi Abed','Merdja Sidi Abed',510),</v>
      </c>
    </row>
    <row r="1452" spans="1:8" ht="20.100000000000001" customHeight="1" x14ac:dyDescent="0.25">
      <c r="A1452" s="3">
        <v>1450</v>
      </c>
      <c r="B1452" s="8">
        <v>1526</v>
      </c>
      <c r="C1452" s="4" t="s">
        <v>3974</v>
      </c>
      <c r="D1452" s="4" t="s">
        <v>3975</v>
      </c>
      <c r="E1452" s="4" t="s">
        <v>3975</v>
      </c>
      <c r="F1452" s="7">
        <v>510</v>
      </c>
      <c r="G1452" s="7">
        <v>48</v>
      </c>
      <c r="H1452" s="16" t="str">
        <f t="shared" si="22"/>
        <v>(1450,'1526','واريزان','Ouarizane','Ouarizane',510),</v>
      </c>
    </row>
    <row r="1453" spans="1:8" ht="20.100000000000001" customHeight="1" x14ac:dyDescent="0.25">
      <c r="A1453" s="3">
        <v>1451</v>
      </c>
      <c r="B1453" s="8">
        <v>1529</v>
      </c>
      <c r="C1453" s="4" t="s">
        <v>2089</v>
      </c>
      <c r="D1453" s="4" t="s">
        <v>3976</v>
      </c>
      <c r="E1453" s="4" t="s">
        <v>3976</v>
      </c>
      <c r="F1453" s="7">
        <v>510</v>
      </c>
      <c r="G1453" s="7">
        <v>48</v>
      </c>
      <c r="H1453" s="16" t="str">
        <f t="shared" si="22"/>
        <v>(1451,'1529','وادي رهيو','Oued-Rhiou','Oued-Rhiou',510),</v>
      </c>
    </row>
    <row r="1454" spans="1:8" ht="20.100000000000001" customHeight="1" x14ac:dyDescent="0.25">
      <c r="A1454" s="3">
        <v>1452</v>
      </c>
      <c r="B1454" s="8">
        <v>1514</v>
      </c>
      <c r="C1454" s="4" t="s">
        <v>2085</v>
      </c>
      <c r="D1454" s="4" t="s">
        <v>5875</v>
      </c>
      <c r="E1454" s="4" t="s">
        <v>5875</v>
      </c>
      <c r="F1454" s="7">
        <v>511</v>
      </c>
      <c r="G1454" s="7">
        <v>48</v>
      </c>
      <c r="H1454" s="16" t="str">
        <f t="shared" si="22"/>
        <v>(1452,'1514','الحمادنة','El H\'madna','El H\'madna',511),</v>
      </c>
    </row>
    <row r="1455" spans="1:8" ht="20.100000000000001" customHeight="1" x14ac:dyDescent="0.25">
      <c r="A1455" s="3">
        <v>1453</v>
      </c>
      <c r="B1455" s="8">
        <v>1527</v>
      </c>
      <c r="C1455" s="4" t="s">
        <v>3977</v>
      </c>
      <c r="D1455" s="4" t="s">
        <v>3978</v>
      </c>
      <c r="E1455" s="4" t="s">
        <v>3978</v>
      </c>
      <c r="F1455" s="7">
        <v>511</v>
      </c>
      <c r="G1455" s="7">
        <v>48</v>
      </c>
      <c r="H1455" s="16" t="str">
        <f t="shared" si="22"/>
        <v>(1453,'1527','وادي الجمعة','Oued El Djemaa','Oued El Djemaa',511),</v>
      </c>
    </row>
    <row r="1456" spans="1:8" ht="20.100000000000001" customHeight="1" x14ac:dyDescent="0.25">
      <c r="A1456" s="3">
        <v>1454</v>
      </c>
      <c r="B1456" s="8">
        <v>1510</v>
      </c>
      <c r="C1456" s="4" t="s">
        <v>3979</v>
      </c>
      <c r="D1456" s="4" t="s">
        <v>3980</v>
      </c>
      <c r="E1456" s="4" t="s">
        <v>3980</v>
      </c>
      <c r="F1456" s="7">
        <v>512</v>
      </c>
      <c r="G1456" s="7">
        <v>48</v>
      </c>
      <c r="H1456" s="16" t="str">
        <f t="shared" si="22"/>
        <v>(1454,'1510','بني زنطيس','Beni Zentis','Beni Zentis',512),</v>
      </c>
    </row>
    <row r="1457" spans="1:8" ht="20.100000000000001" customHeight="1" x14ac:dyDescent="0.25">
      <c r="A1457" s="3">
        <v>1455</v>
      </c>
      <c r="B1457" s="8">
        <v>1523</v>
      </c>
      <c r="C1457" s="4" t="s">
        <v>3981</v>
      </c>
      <c r="D1457" s="4" t="s">
        <v>3982</v>
      </c>
      <c r="E1457" s="4" t="s">
        <v>3982</v>
      </c>
      <c r="F1457" s="7">
        <v>512</v>
      </c>
      <c r="G1457" s="7">
        <v>48</v>
      </c>
      <c r="H1457" s="16" t="str">
        <f t="shared" si="22"/>
        <v>(1455,'1523','مديونة','Mediouna','Mediouna',512),</v>
      </c>
    </row>
    <row r="1458" spans="1:8" ht="20.100000000000001" customHeight="1" x14ac:dyDescent="0.25">
      <c r="A1458" s="3">
        <v>1456</v>
      </c>
      <c r="B1458" s="8">
        <v>1536</v>
      </c>
      <c r="C1458" s="4" t="s">
        <v>2081</v>
      </c>
      <c r="D1458" s="4" t="s">
        <v>5876</v>
      </c>
      <c r="E1458" s="4" t="s">
        <v>5876</v>
      </c>
      <c r="F1458" s="7">
        <v>512</v>
      </c>
      <c r="G1458" s="7">
        <v>48</v>
      </c>
      <c r="H1458" s="16" t="str">
        <f t="shared" si="22"/>
        <v>(1456,'1536','سيدي أمحمد بن علي','Sidi M\'hamed Benali','Sidi M\'hamed Benali',512),</v>
      </c>
    </row>
    <row r="1459" spans="1:8" ht="20.100000000000001" customHeight="1" x14ac:dyDescent="0.25">
      <c r="A1459" s="3">
        <v>1457</v>
      </c>
      <c r="B1459" s="8">
        <v>1506</v>
      </c>
      <c r="C1459" s="4" t="s">
        <v>2075</v>
      </c>
      <c r="D1459" s="4" t="s">
        <v>2074</v>
      </c>
      <c r="E1459" s="4" t="s">
        <v>2074</v>
      </c>
      <c r="F1459" s="7">
        <v>513</v>
      </c>
      <c r="G1459" s="7">
        <v>48</v>
      </c>
      <c r="H1459" s="16" t="str">
        <f t="shared" si="22"/>
        <v>(1457,'1506','عمي موسى','Ammi Moussa','Ammi Moussa',513),</v>
      </c>
    </row>
    <row r="1460" spans="1:8" ht="20.100000000000001" customHeight="1" x14ac:dyDescent="0.25">
      <c r="A1460" s="3">
        <v>1458</v>
      </c>
      <c r="B1460" s="8">
        <v>1513</v>
      </c>
      <c r="C1460" s="4" t="s">
        <v>2254</v>
      </c>
      <c r="D1460" s="4" t="s">
        <v>2255</v>
      </c>
      <c r="E1460" s="4" t="s">
        <v>2255</v>
      </c>
      <c r="F1460" s="7">
        <v>513</v>
      </c>
      <c r="G1460" s="7">
        <v>48</v>
      </c>
      <c r="H1460" s="16" t="str">
        <f t="shared" si="22"/>
        <v>(1458,'1513','الحاسي','El Hassi','El Hassi',513),</v>
      </c>
    </row>
    <row r="1461" spans="1:8" ht="20.100000000000001" customHeight="1" x14ac:dyDescent="0.25">
      <c r="A1461" s="3">
        <v>1459</v>
      </c>
      <c r="B1461" s="8">
        <v>1515</v>
      </c>
      <c r="C1461" s="4" t="s">
        <v>2953</v>
      </c>
      <c r="D1461" s="4" t="s">
        <v>3983</v>
      </c>
      <c r="E1461" s="4" t="s">
        <v>3983</v>
      </c>
      <c r="F1461" s="7">
        <v>513</v>
      </c>
      <c r="G1461" s="7">
        <v>48</v>
      </c>
      <c r="H1461" s="16" t="str">
        <f t="shared" si="22"/>
        <v>(1459,'1515','الولجة','El Ouldja','El Ouldja',513),</v>
      </c>
    </row>
    <row r="1462" spans="1:8" ht="20.100000000000001" customHeight="1" x14ac:dyDescent="0.25">
      <c r="A1462" s="3">
        <v>1460</v>
      </c>
      <c r="B1462" s="8">
        <v>1530</v>
      </c>
      <c r="C1462" s="4" t="s">
        <v>1310</v>
      </c>
      <c r="D1462" s="4" t="s">
        <v>3984</v>
      </c>
      <c r="E1462" s="4" t="s">
        <v>3984</v>
      </c>
      <c r="F1462" s="7">
        <v>513</v>
      </c>
      <c r="G1462" s="7">
        <v>48</v>
      </c>
      <c r="H1462" s="16" t="str">
        <f t="shared" si="22"/>
        <v>(1460,'1530','أولاد يعيش','Ouled Aiche','Ouled Aiche',513),</v>
      </c>
    </row>
    <row r="1463" spans="1:8" ht="20.100000000000001" customHeight="1" x14ac:dyDescent="0.25">
      <c r="A1463" s="3">
        <v>1461</v>
      </c>
      <c r="B1463" s="8">
        <v>1509</v>
      </c>
      <c r="C1463" s="4" t="s">
        <v>3985</v>
      </c>
      <c r="D1463" s="4" t="s">
        <v>3986</v>
      </c>
      <c r="E1463" s="4" t="s">
        <v>3986</v>
      </c>
      <c r="F1463" s="7">
        <v>514</v>
      </c>
      <c r="G1463" s="7">
        <v>48</v>
      </c>
      <c r="H1463" s="16" t="str">
        <f t="shared" si="22"/>
        <v>(1461,'1509','بني درقن','Beni Dergoun','Beni Dergoun',514),</v>
      </c>
    </row>
    <row r="1464" spans="1:8" ht="20.100000000000001" customHeight="1" x14ac:dyDescent="0.25">
      <c r="A1464" s="3">
        <v>1462</v>
      </c>
      <c r="B1464" s="8">
        <v>1511</v>
      </c>
      <c r="C1464" s="4" t="s">
        <v>3987</v>
      </c>
      <c r="D1464" s="4" t="s">
        <v>3988</v>
      </c>
      <c r="E1464" s="4" t="s">
        <v>3988</v>
      </c>
      <c r="F1464" s="7">
        <v>514</v>
      </c>
      <c r="G1464" s="7">
        <v>48</v>
      </c>
      <c r="H1464" s="16" t="str">
        <f t="shared" si="22"/>
        <v>(1462,'1511','دار بن عبد الله','Dar Ben Abdelah','Dar Ben Abdelah',514),</v>
      </c>
    </row>
    <row r="1465" spans="1:8" ht="20.100000000000001" customHeight="1" x14ac:dyDescent="0.25">
      <c r="A1465" s="3">
        <v>1463</v>
      </c>
      <c r="B1465" s="8">
        <v>1541</v>
      </c>
      <c r="C1465" s="4" t="s">
        <v>2079</v>
      </c>
      <c r="D1465" s="4" t="s">
        <v>2078</v>
      </c>
      <c r="E1465" s="4" t="s">
        <v>2078</v>
      </c>
      <c r="F1465" s="7">
        <v>514</v>
      </c>
      <c r="G1465" s="7">
        <v>48</v>
      </c>
      <c r="H1465" s="16" t="str">
        <f t="shared" si="22"/>
        <v>(1463,'1541','زمورة','Zemmoura','Zemmoura',514),</v>
      </c>
    </row>
    <row r="1466" spans="1:8" ht="20.100000000000001" customHeight="1" x14ac:dyDescent="0.25">
      <c r="A1466" s="3">
        <v>1464</v>
      </c>
      <c r="B1466" s="8">
        <v>1512</v>
      </c>
      <c r="C1466" s="4" t="s">
        <v>2083</v>
      </c>
      <c r="D1466" s="4" t="s">
        <v>2082</v>
      </c>
      <c r="E1466" s="4" t="s">
        <v>2082</v>
      </c>
      <c r="F1466" s="7">
        <v>515</v>
      </c>
      <c r="G1466" s="7">
        <v>48</v>
      </c>
      <c r="H1466" s="16" t="str">
        <f t="shared" si="22"/>
        <v>(1464,'1512','جديوية','Djidiouia','Djidiouia',515),</v>
      </c>
    </row>
    <row r="1467" spans="1:8" ht="20.100000000000001" customHeight="1" x14ac:dyDescent="0.25">
      <c r="A1467" s="3">
        <v>1465</v>
      </c>
      <c r="B1467" s="8">
        <v>1519</v>
      </c>
      <c r="C1467" s="4" t="s">
        <v>3989</v>
      </c>
      <c r="D1467" s="4" t="s">
        <v>3990</v>
      </c>
      <c r="E1467" s="4" t="s">
        <v>3990</v>
      </c>
      <c r="F1467" s="7">
        <v>515</v>
      </c>
      <c r="G1467" s="7">
        <v>48</v>
      </c>
      <c r="H1467" s="16" t="str">
        <f t="shared" si="22"/>
        <v>(1465,'1519','حمري','Hamri','Hamri',515),</v>
      </c>
    </row>
    <row r="1468" spans="1:8" ht="20.100000000000001" customHeight="1" x14ac:dyDescent="0.25">
      <c r="A1468" s="3">
        <v>1466</v>
      </c>
      <c r="B1468" s="8">
        <v>1531</v>
      </c>
      <c r="C1468" s="4" t="s">
        <v>3991</v>
      </c>
      <c r="D1468" s="4" t="s">
        <v>3992</v>
      </c>
      <c r="E1468" s="4" t="s">
        <v>3992</v>
      </c>
      <c r="F1468" s="7">
        <v>515</v>
      </c>
      <c r="G1468" s="7">
        <v>48</v>
      </c>
      <c r="H1468" s="16" t="str">
        <f t="shared" si="22"/>
        <v>(1466,'1531','أولاد سيدي الميهوب','Ouled Sidi Mihoub','Ouled Sidi Mihoub',515),</v>
      </c>
    </row>
    <row r="1469" spans="1:8" ht="20.100000000000001" customHeight="1" x14ac:dyDescent="0.25">
      <c r="A1469" s="3">
        <v>1467</v>
      </c>
      <c r="B1469" s="8">
        <v>1507</v>
      </c>
      <c r="C1469" s="4" t="s">
        <v>3993</v>
      </c>
      <c r="D1469" s="4" t="s">
        <v>3994</v>
      </c>
      <c r="E1469" s="4" t="s">
        <v>3994</v>
      </c>
      <c r="F1469" s="7">
        <v>516</v>
      </c>
      <c r="G1469" s="7">
        <v>48</v>
      </c>
      <c r="H1469" s="16" t="str">
        <f t="shared" si="22"/>
        <v>(1467,'1507','بلعسل بوزقزة','Belaassel Bouzagza','Belaassel Bouzagza',516),</v>
      </c>
    </row>
    <row r="1470" spans="1:8" ht="20.100000000000001" customHeight="1" x14ac:dyDescent="0.25">
      <c r="A1470" s="3">
        <v>1468</v>
      </c>
      <c r="B1470" s="8">
        <v>1517</v>
      </c>
      <c r="C1470" s="4" t="s">
        <v>2077</v>
      </c>
      <c r="D1470" s="4" t="s">
        <v>3995</v>
      </c>
      <c r="E1470" s="4" t="s">
        <v>3995</v>
      </c>
      <c r="F1470" s="7">
        <v>516</v>
      </c>
      <c r="G1470" s="7">
        <v>48</v>
      </c>
      <c r="H1470" s="16" t="str">
        <f t="shared" si="22"/>
        <v>(1468,'1517','المطمر','El-Matmar','El-Matmar',516),</v>
      </c>
    </row>
    <row r="1471" spans="1:8" ht="20.100000000000001" customHeight="1" x14ac:dyDescent="0.25">
      <c r="A1471" s="3">
        <v>1469</v>
      </c>
      <c r="B1471" s="8">
        <v>1534</v>
      </c>
      <c r="C1471" s="4" t="s">
        <v>3996</v>
      </c>
      <c r="D1471" s="4" t="s">
        <v>3997</v>
      </c>
      <c r="E1471" s="4" t="s">
        <v>3997</v>
      </c>
      <c r="F1471" s="7">
        <v>516</v>
      </c>
      <c r="G1471" s="7">
        <v>48</v>
      </c>
      <c r="H1471" s="16" t="str">
        <f t="shared" si="22"/>
        <v>(1469,'1534','سيدي  خطاب','Sidi Khettab','Sidi Khettab',516),</v>
      </c>
    </row>
    <row r="1472" spans="1:8" ht="20.100000000000001" customHeight="1" x14ac:dyDescent="0.25">
      <c r="A1472" s="3">
        <v>1470</v>
      </c>
      <c r="B1472" s="8">
        <v>1537</v>
      </c>
      <c r="C1472" s="4" t="s">
        <v>3998</v>
      </c>
      <c r="D1472" s="4" t="s">
        <v>5877</v>
      </c>
      <c r="E1472" s="4" t="s">
        <v>5877</v>
      </c>
      <c r="F1472" s="7">
        <v>516</v>
      </c>
      <c r="G1472" s="7">
        <v>48</v>
      </c>
      <c r="H1472" s="16" t="str">
        <f t="shared" si="22"/>
        <v>(1470,'1537','سيدي امحمد بن عودة','Sidi M\'hamed Benaouda','Sidi M\'hamed Benaouda',516),</v>
      </c>
    </row>
    <row r="1473" spans="1:8" ht="20.100000000000001" customHeight="1" x14ac:dyDescent="0.25">
      <c r="A1473" s="3">
        <v>1471</v>
      </c>
      <c r="B1473" s="8">
        <v>1505</v>
      </c>
      <c r="C1473" s="4" t="s">
        <v>2073</v>
      </c>
      <c r="D1473" s="4" t="s">
        <v>3999</v>
      </c>
      <c r="E1473" s="4" t="s">
        <v>3999</v>
      </c>
      <c r="F1473" s="7">
        <v>517</v>
      </c>
      <c r="G1473" s="7">
        <v>48</v>
      </c>
      <c r="H1473" s="16" t="str">
        <f t="shared" si="22"/>
        <v>(1471,'1505','عين طارق','Ain-Tarek','Ain-Tarek',517),</v>
      </c>
    </row>
    <row r="1474" spans="1:8" ht="20.100000000000001" customHeight="1" x14ac:dyDescent="0.25">
      <c r="A1474" s="3">
        <v>1472</v>
      </c>
      <c r="B1474" s="8">
        <v>1518</v>
      </c>
      <c r="C1474" s="4" t="s">
        <v>4000</v>
      </c>
      <c r="D1474" s="4" t="s">
        <v>4001</v>
      </c>
      <c r="E1474" s="4" t="s">
        <v>4001</v>
      </c>
      <c r="F1474" s="7">
        <v>517</v>
      </c>
      <c r="G1474" s="7">
        <v>48</v>
      </c>
      <c r="H1474" s="16" t="str">
        <f t="shared" si="22"/>
        <v>(1472,'1518','حد الشكالة','Had Echkalla','Had Echkalla',517),</v>
      </c>
    </row>
    <row r="1475" spans="1:8" ht="20.100000000000001" customHeight="1" x14ac:dyDescent="0.25">
      <c r="A1475" s="3">
        <v>1473</v>
      </c>
      <c r="B1475" s="8">
        <v>1516</v>
      </c>
      <c r="C1475" s="4" t="s">
        <v>4002</v>
      </c>
      <c r="D1475" s="4" t="s">
        <v>4003</v>
      </c>
      <c r="E1475" s="4" t="s">
        <v>4003</v>
      </c>
      <c r="F1475" s="7">
        <v>518</v>
      </c>
      <c r="G1475" s="7">
        <v>48</v>
      </c>
      <c r="H1475" s="16" t="str">
        <f t="shared" si="22"/>
        <v>(1473,'1516','القطار','El-Guettar','El-Guettar',518),</v>
      </c>
    </row>
    <row r="1476" spans="1:8" ht="20.100000000000001" customHeight="1" x14ac:dyDescent="0.25">
      <c r="A1476" s="3">
        <v>1474</v>
      </c>
      <c r="B1476" s="8">
        <v>1522</v>
      </c>
      <c r="C1476" s="4" t="s">
        <v>2087</v>
      </c>
      <c r="D1476" s="4" t="s">
        <v>2086</v>
      </c>
      <c r="E1476" s="4" t="s">
        <v>2086</v>
      </c>
      <c r="F1476" s="7">
        <v>518</v>
      </c>
      <c r="G1476" s="7">
        <v>48</v>
      </c>
      <c r="H1476" s="16" t="str">
        <f t="shared" ref="H1476:H1539" si="23">CONCATENATE("(",A1476,",'",B1476,"','",C1476,"','",D1476,"','",E1476,"',",F1476,"),")</f>
        <v>(1474,'1522','مازونة','Mazouna','Mazouna',518),</v>
      </c>
    </row>
    <row r="1477" spans="1:8" ht="20.100000000000001" customHeight="1" x14ac:dyDescent="0.25">
      <c r="A1477" s="3">
        <v>1475</v>
      </c>
      <c r="B1477" s="8">
        <v>1504</v>
      </c>
      <c r="C1477" s="4" t="s">
        <v>4004</v>
      </c>
      <c r="D1477" s="4" t="s">
        <v>4005</v>
      </c>
      <c r="E1477" s="4" t="s">
        <v>4005</v>
      </c>
      <c r="F1477" s="7">
        <v>519</v>
      </c>
      <c r="G1477" s="7">
        <v>48</v>
      </c>
      <c r="H1477" s="16" t="str">
        <f t="shared" si="23"/>
        <v>(1475,'1504','عين الرحمة','Ain Rahma','Ain Rahma',519),</v>
      </c>
    </row>
    <row r="1478" spans="1:8" ht="20.100000000000001" customHeight="1" x14ac:dyDescent="0.25">
      <c r="A1478" s="3">
        <v>1476</v>
      </c>
      <c r="B1478" s="8">
        <v>1520</v>
      </c>
      <c r="C1478" s="4" t="s">
        <v>4006</v>
      </c>
      <c r="D1478" s="4" t="s">
        <v>4007</v>
      </c>
      <c r="E1478" s="4" t="s">
        <v>4007</v>
      </c>
      <c r="F1478" s="7">
        <v>519</v>
      </c>
      <c r="G1478" s="7">
        <v>48</v>
      </c>
      <c r="H1478" s="16" t="str">
        <f t="shared" si="23"/>
        <v>(1476,'1520','القلعة','Kalaa','Kalaa',519),</v>
      </c>
    </row>
    <row r="1479" spans="1:8" ht="20.100000000000001" customHeight="1" x14ac:dyDescent="0.25">
      <c r="A1479" s="3">
        <v>1477</v>
      </c>
      <c r="B1479" s="8">
        <v>1538</v>
      </c>
      <c r="C1479" s="4" t="s">
        <v>4008</v>
      </c>
      <c r="D1479" s="4" t="s">
        <v>4009</v>
      </c>
      <c r="E1479" s="4" t="s">
        <v>4009</v>
      </c>
      <c r="F1479" s="7">
        <v>519</v>
      </c>
      <c r="G1479" s="7">
        <v>48</v>
      </c>
      <c r="H1479" s="16" t="str">
        <f t="shared" si="23"/>
        <v>(1477,'1538','سيدي سعادة','Sidi Saada','Sidi Saada',519),</v>
      </c>
    </row>
    <row r="1480" spans="1:8" ht="20.100000000000001" customHeight="1" x14ac:dyDescent="0.25">
      <c r="A1480" s="3">
        <v>1478</v>
      </c>
      <c r="B1480" s="8">
        <v>1540</v>
      </c>
      <c r="C1480" s="4" t="s">
        <v>2071</v>
      </c>
      <c r="D1480" s="4" t="s">
        <v>2070</v>
      </c>
      <c r="E1480" s="4" t="s">
        <v>2070</v>
      </c>
      <c r="F1480" s="7">
        <v>519</v>
      </c>
      <c r="G1480" s="7">
        <v>48</v>
      </c>
      <c r="H1480" s="16" t="str">
        <f t="shared" si="23"/>
        <v>(1478,'1540','يلل','Yellel','Yellel',519),</v>
      </c>
    </row>
    <row r="1481" spans="1:8" ht="20.100000000000001" customHeight="1" x14ac:dyDescent="0.25">
      <c r="A1481" s="3">
        <v>1479</v>
      </c>
      <c r="B1481" s="8">
        <v>1532</v>
      </c>
      <c r="C1481" s="4" t="s">
        <v>2093</v>
      </c>
      <c r="D1481" s="4" t="s">
        <v>2092</v>
      </c>
      <c r="E1481" s="4" t="s">
        <v>2092</v>
      </c>
      <c r="F1481" s="7">
        <v>520</v>
      </c>
      <c r="G1481" s="7">
        <v>48</v>
      </c>
      <c r="H1481" s="16" t="str">
        <f t="shared" si="23"/>
        <v>(1479,'1532','الرمكة','Ramka','Ramka',520),</v>
      </c>
    </row>
    <row r="1482" spans="1:8" ht="20.100000000000001" customHeight="1" x14ac:dyDescent="0.25">
      <c r="A1482" s="3">
        <v>1480</v>
      </c>
      <c r="B1482" s="8">
        <v>1539</v>
      </c>
      <c r="C1482" s="4" t="s">
        <v>3639</v>
      </c>
      <c r="D1482" s="4" t="s">
        <v>3640</v>
      </c>
      <c r="E1482" s="4" t="s">
        <v>3640</v>
      </c>
      <c r="F1482" s="7">
        <v>520</v>
      </c>
      <c r="G1482" s="7">
        <v>48</v>
      </c>
      <c r="H1482" s="16" t="str">
        <f t="shared" si="23"/>
        <v>(1480,'1539','سوق الحد','Souk El Had','Souk El Had',520),</v>
      </c>
    </row>
    <row r="1483" spans="1:8" ht="20.100000000000001" customHeight="1" x14ac:dyDescent="0.25">
      <c r="A1483" s="3">
        <v>1481</v>
      </c>
      <c r="B1483" s="8">
        <v>1524</v>
      </c>
      <c r="C1483" s="4" t="s">
        <v>2091</v>
      </c>
      <c r="D1483" s="4" t="s">
        <v>2090</v>
      </c>
      <c r="E1483" s="4" t="s">
        <v>2090</v>
      </c>
      <c r="F1483" s="7">
        <v>521</v>
      </c>
      <c r="G1483" s="7">
        <v>48</v>
      </c>
      <c r="H1483" s="16" t="str">
        <f t="shared" si="23"/>
        <v>(1481,'1524','منداس','Mendes','Mendes',521),</v>
      </c>
    </row>
    <row r="1484" spans="1:8" ht="20.100000000000001" customHeight="1" x14ac:dyDescent="0.25">
      <c r="A1484" s="3">
        <v>1482</v>
      </c>
      <c r="B1484" s="8">
        <v>1528</v>
      </c>
      <c r="C1484" s="4" t="s">
        <v>4010</v>
      </c>
      <c r="D1484" s="4" t="s">
        <v>4011</v>
      </c>
      <c r="E1484" s="4" t="s">
        <v>4011</v>
      </c>
      <c r="F1484" s="7">
        <v>521</v>
      </c>
      <c r="G1484" s="7">
        <v>48</v>
      </c>
      <c r="H1484" s="16" t="str">
        <f t="shared" si="23"/>
        <v>(1482,'1528','وادي السلام','Oued Essalem','Oued Essalem',521),</v>
      </c>
    </row>
    <row r="1485" spans="1:8" ht="20.100000000000001" customHeight="1" x14ac:dyDescent="0.25">
      <c r="A1485" s="3">
        <v>1483</v>
      </c>
      <c r="B1485" s="8">
        <v>1535</v>
      </c>
      <c r="C1485" s="4" t="s">
        <v>4012</v>
      </c>
      <c r="D1485" s="4" t="s">
        <v>4013</v>
      </c>
      <c r="E1485" s="4" t="s">
        <v>4013</v>
      </c>
      <c r="F1485" s="7">
        <v>521</v>
      </c>
      <c r="G1485" s="7">
        <v>48</v>
      </c>
      <c r="H1485" s="16" t="str">
        <f t="shared" si="23"/>
        <v>(1483,'1535','سيدي لزرق','Sidi Lazreg','Sidi Lazreg',521),</v>
      </c>
    </row>
    <row r="1486" spans="1:8" ht="20.100000000000001" customHeight="1" x14ac:dyDescent="0.25">
      <c r="A1486" s="3">
        <v>1484</v>
      </c>
      <c r="B1486" s="8">
        <v>7</v>
      </c>
      <c r="C1486" s="4" t="s">
        <v>1116</v>
      </c>
      <c r="D1486" s="4" t="s">
        <v>1115</v>
      </c>
      <c r="E1486" s="4" t="s">
        <v>1115</v>
      </c>
      <c r="F1486" s="7">
        <v>522</v>
      </c>
      <c r="G1486" s="7">
        <v>49</v>
      </c>
      <c r="H1486" s="16" t="str">
        <f t="shared" si="23"/>
        <v>(1484,'7','شروين','Charouine','Charouine',522),</v>
      </c>
    </row>
    <row r="1487" spans="1:8" ht="20.100000000000001" customHeight="1" x14ac:dyDescent="0.25">
      <c r="A1487" s="3">
        <v>1485</v>
      </c>
      <c r="B1487" s="8">
        <v>14</v>
      </c>
      <c r="C1487" s="4" t="s">
        <v>3629</v>
      </c>
      <c r="D1487" s="4" t="s">
        <v>3630</v>
      </c>
      <c r="E1487" s="4" t="s">
        <v>3630</v>
      </c>
      <c r="F1487" s="7">
        <v>522</v>
      </c>
      <c r="G1487" s="7">
        <v>49</v>
      </c>
      <c r="H1487" s="16" t="str">
        <f t="shared" si="23"/>
        <v>(1485,'14','أولاد عيسى','Ouled Aissa','Ouled Aissa',522),</v>
      </c>
    </row>
    <row r="1488" spans="1:8" ht="20.100000000000001" customHeight="1" x14ac:dyDescent="0.25">
      <c r="A1488" s="3">
        <v>1486</v>
      </c>
      <c r="B1488" s="8">
        <v>19</v>
      </c>
      <c r="C1488" s="4" t="s">
        <v>4014</v>
      </c>
      <c r="D1488" s="4" t="s">
        <v>4015</v>
      </c>
      <c r="E1488" s="4" t="s">
        <v>4015</v>
      </c>
      <c r="F1488" s="7">
        <v>522</v>
      </c>
      <c r="G1488" s="7">
        <v>49</v>
      </c>
      <c r="H1488" s="16" t="str">
        <f t="shared" si="23"/>
        <v>(1486,'19','طالمين','Talmine','Talmine',522),</v>
      </c>
    </row>
    <row r="1489" spans="1:8" ht="20.100000000000001" customHeight="1" x14ac:dyDescent="0.25">
      <c r="A1489" s="3">
        <v>1487</v>
      </c>
      <c r="B1489" s="8">
        <v>15</v>
      </c>
      <c r="C1489" s="4" t="s">
        <v>4016</v>
      </c>
      <c r="D1489" s="4" t="s">
        <v>4017</v>
      </c>
      <c r="E1489" s="4" t="s">
        <v>4017</v>
      </c>
      <c r="F1489" s="7">
        <v>523</v>
      </c>
      <c r="G1489" s="7">
        <v>49</v>
      </c>
      <c r="H1489" s="16" t="str">
        <f t="shared" si="23"/>
        <v>(1487,'15','أولاد السعيد','Ouled Said','Ouled Said',523),</v>
      </c>
    </row>
    <row r="1490" spans="1:8" ht="20.100000000000001" customHeight="1" x14ac:dyDescent="0.25">
      <c r="A1490" s="3">
        <v>1488</v>
      </c>
      <c r="B1490" s="8">
        <v>24</v>
      </c>
      <c r="C1490" s="4" t="s">
        <v>1067</v>
      </c>
      <c r="D1490" s="4" t="s">
        <v>1068</v>
      </c>
      <c r="E1490" s="4" t="s">
        <v>1068</v>
      </c>
      <c r="F1490" s="7">
        <v>523</v>
      </c>
      <c r="G1490" s="7">
        <v>49</v>
      </c>
      <c r="H1490" s="16" t="str">
        <f t="shared" si="23"/>
        <v>(1488,'24','تيميمون','Timimoun','Timimoun',523),</v>
      </c>
    </row>
    <row r="1491" spans="1:8" ht="20.100000000000001" customHeight="1" x14ac:dyDescent="0.25">
      <c r="A1491" s="3">
        <v>1489</v>
      </c>
      <c r="B1491" s="8">
        <v>11</v>
      </c>
      <c r="C1491" s="4" t="s">
        <v>4018</v>
      </c>
      <c r="D1491" s="4" t="s">
        <v>4019</v>
      </c>
      <c r="E1491" s="4" t="s">
        <v>4019</v>
      </c>
      <c r="F1491" s="7">
        <v>524</v>
      </c>
      <c r="G1491" s="7">
        <v>49</v>
      </c>
      <c r="H1491" s="16" t="str">
        <f t="shared" si="23"/>
        <v>(1489,'11','قصر قدور','Ksar Kaddour','Ksar Kaddour',524),</v>
      </c>
    </row>
    <row r="1492" spans="1:8" ht="20.100000000000001" customHeight="1" x14ac:dyDescent="0.25">
      <c r="A1492" s="3">
        <v>1490</v>
      </c>
      <c r="B1492" s="8">
        <v>25</v>
      </c>
      <c r="C1492" s="4" t="s">
        <v>1122</v>
      </c>
      <c r="D1492" s="4" t="s">
        <v>1121</v>
      </c>
      <c r="E1492" s="4" t="s">
        <v>1121</v>
      </c>
      <c r="F1492" s="7">
        <v>524</v>
      </c>
      <c r="G1492" s="7">
        <v>49</v>
      </c>
      <c r="H1492" s="16" t="str">
        <f t="shared" si="23"/>
        <v>(1490,'25','تنركوك','Tinerkouk','Tinerkouk',524),</v>
      </c>
    </row>
    <row r="1493" spans="1:8" ht="20.100000000000001" customHeight="1" x14ac:dyDescent="0.25">
      <c r="A1493" s="3">
        <v>1491</v>
      </c>
      <c r="B1493" s="8">
        <v>3</v>
      </c>
      <c r="C1493" s="4" t="s">
        <v>1113</v>
      </c>
      <c r="D1493" s="4" t="s">
        <v>1112</v>
      </c>
      <c r="E1493" s="4" t="s">
        <v>1112</v>
      </c>
      <c r="F1493" s="7">
        <v>525</v>
      </c>
      <c r="G1493" s="7">
        <v>49</v>
      </c>
      <c r="H1493" s="16" t="str">
        <f t="shared" si="23"/>
        <v>(1491,'3','أوقروت','Aougrout','Aougrout',525),</v>
      </c>
    </row>
    <row r="1494" spans="1:8" ht="20.100000000000001" customHeight="1" x14ac:dyDescent="0.25">
      <c r="A1494" s="3">
        <v>1492</v>
      </c>
      <c r="B1494" s="8">
        <v>8</v>
      </c>
      <c r="C1494" s="4" t="s">
        <v>2876</v>
      </c>
      <c r="D1494" s="4" t="s">
        <v>2877</v>
      </c>
      <c r="E1494" s="4" t="s">
        <v>2877</v>
      </c>
      <c r="F1494" s="7">
        <v>525</v>
      </c>
      <c r="G1494" s="7">
        <v>49</v>
      </c>
      <c r="H1494" s="16" t="str">
        <f t="shared" si="23"/>
        <v>(1492,'8','دلدول','Deldoul','Deldoul',525),</v>
      </c>
    </row>
    <row r="1495" spans="1:8" ht="20.100000000000001" customHeight="1" x14ac:dyDescent="0.25">
      <c r="A1495" s="3">
        <v>1493</v>
      </c>
      <c r="B1495" s="8">
        <v>12</v>
      </c>
      <c r="C1495" s="4" t="s">
        <v>3378</v>
      </c>
      <c r="D1495" s="4" t="s">
        <v>4020</v>
      </c>
      <c r="E1495" s="4" t="s">
        <v>4020</v>
      </c>
      <c r="F1495" s="7">
        <v>525</v>
      </c>
      <c r="G1495" s="7">
        <v>49</v>
      </c>
      <c r="H1495" s="16" t="str">
        <f t="shared" si="23"/>
        <v>(1493,'12','المطارفة','Metarfa','Metarfa',525),</v>
      </c>
    </row>
    <row r="1496" spans="1:8" ht="20.100000000000001" customHeight="1" x14ac:dyDescent="0.25">
      <c r="A1496" s="3">
        <v>1494</v>
      </c>
      <c r="B1496" s="8">
        <v>5</v>
      </c>
      <c r="C1496" s="4" t="s">
        <v>1069</v>
      </c>
      <c r="D1496" s="4" t="s">
        <v>1114</v>
      </c>
      <c r="E1496" s="4" t="s">
        <v>1114</v>
      </c>
      <c r="F1496" s="7">
        <v>526</v>
      </c>
      <c r="G1496" s="7">
        <v>50</v>
      </c>
      <c r="H1496" s="16" t="str">
        <f t="shared" si="23"/>
        <v>(1494,'5','برج باجي مختار','Bordj Badji Mokhtar','Bordj Badji Mokhtar',526),</v>
      </c>
    </row>
    <row r="1497" spans="1:8" ht="20.100000000000001" customHeight="1" x14ac:dyDescent="0.25">
      <c r="A1497" s="3">
        <v>1495</v>
      </c>
      <c r="B1497" s="8">
        <v>23</v>
      </c>
      <c r="C1497" s="4" t="s">
        <v>4021</v>
      </c>
      <c r="D1497" s="4" t="s">
        <v>4022</v>
      </c>
      <c r="E1497" s="4" t="s">
        <v>4022</v>
      </c>
      <c r="F1497" s="7">
        <v>526</v>
      </c>
      <c r="G1497" s="7">
        <v>50</v>
      </c>
      <c r="H1497" s="16" t="str">
        <f t="shared" si="23"/>
        <v>(1495,'23','تيمياوين','Timiaouine','Timiaouine',526),</v>
      </c>
    </row>
    <row r="1498" spans="1:8" ht="20.100000000000001" customHeight="1" x14ac:dyDescent="0.25">
      <c r="A1498" s="3">
        <v>1496</v>
      </c>
      <c r="B1498" s="8">
        <v>237</v>
      </c>
      <c r="C1498" s="4" t="s">
        <v>3821</v>
      </c>
      <c r="D1498" s="4" t="s">
        <v>3822</v>
      </c>
      <c r="E1498" s="4" t="s">
        <v>3822</v>
      </c>
      <c r="F1498" s="7">
        <v>527</v>
      </c>
      <c r="G1498" s="7">
        <v>51</v>
      </c>
      <c r="H1498" s="16" t="str">
        <f t="shared" si="23"/>
        <v>(1496,'237','الشعيبة','Chaiba','Chaiba',527),</v>
      </c>
    </row>
    <row r="1499" spans="1:8" ht="20.100000000000001" customHeight="1" x14ac:dyDescent="0.25">
      <c r="A1499" s="3">
        <v>1497</v>
      </c>
      <c r="B1499" s="8">
        <v>240</v>
      </c>
      <c r="C1499" s="4" t="s">
        <v>4023</v>
      </c>
      <c r="D1499" s="4" t="s">
        <v>4024</v>
      </c>
      <c r="E1499" s="4" t="s">
        <v>4024</v>
      </c>
      <c r="F1499" s="7">
        <v>527</v>
      </c>
      <c r="G1499" s="7">
        <v>51</v>
      </c>
      <c r="H1499" s="16" t="str">
        <f t="shared" si="23"/>
        <v>(1497,'240','الدوسن','Doucen','Doucen',527),</v>
      </c>
    </row>
    <row r="1500" spans="1:8" ht="20.100000000000001" customHeight="1" x14ac:dyDescent="0.25">
      <c r="A1500" s="3">
        <v>1498</v>
      </c>
      <c r="B1500" s="8">
        <v>255</v>
      </c>
      <c r="C1500" s="4" t="s">
        <v>1071</v>
      </c>
      <c r="D1500" s="4" t="s">
        <v>1072</v>
      </c>
      <c r="E1500" s="4" t="s">
        <v>1072</v>
      </c>
      <c r="F1500" s="7">
        <v>527</v>
      </c>
      <c r="G1500" s="7">
        <v>51</v>
      </c>
      <c r="H1500" s="16" t="str">
        <f t="shared" si="23"/>
        <v>(1498,'255','أولاد جلال','Ouled Djellal','Ouled Djellal',527),</v>
      </c>
    </row>
    <row r="1501" spans="1:8" ht="20.100000000000001" customHeight="1" x14ac:dyDescent="0.25">
      <c r="A1501" s="3">
        <v>1499</v>
      </c>
      <c r="B1501" s="8">
        <v>232</v>
      </c>
      <c r="C1501" s="4" t="s">
        <v>4025</v>
      </c>
      <c r="D1501" s="4" t="s">
        <v>1886</v>
      </c>
      <c r="E1501" s="4" t="s">
        <v>1886</v>
      </c>
      <c r="F1501" s="7">
        <v>528</v>
      </c>
      <c r="G1501" s="7">
        <v>51</v>
      </c>
      <c r="H1501" s="16" t="str">
        <f t="shared" si="23"/>
        <v>(1499,'232','بسباس','Besbes','Besbes',528),</v>
      </c>
    </row>
    <row r="1502" spans="1:8" ht="20.100000000000001" customHeight="1" x14ac:dyDescent="0.25">
      <c r="A1502" s="3">
        <v>1500</v>
      </c>
      <c r="B1502" s="8">
        <v>258</v>
      </c>
      <c r="C1502" s="4" t="s">
        <v>4026</v>
      </c>
      <c r="D1502" s="4" t="s">
        <v>4027</v>
      </c>
      <c r="E1502" s="4" t="s">
        <v>4027</v>
      </c>
      <c r="F1502" s="7">
        <v>528</v>
      </c>
      <c r="G1502" s="7">
        <v>51</v>
      </c>
      <c r="H1502" s="16" t="str">
        <f t="shared" si="23"/>
        <v>(1500,'258','رأس الميعاد','Ras El Miad','Ras El Miad',528),</v>
      </c>
    </row>
    <row r="1503" spans="1:8" ht="20.100000000000001" customHeight="1" x14ac:dyDescent="0.25">
      <c r="A1503" s="3">
        <v>1501</v>
      </c>
      <c r="B1503" s="8">
        <v>259</v>
      </c>
      <c r="C1503" s="4" t="s">
        <v>1272</v>
      </c>
      <c r="D1503" s="4" t="s">
        <v>1271</v>
      </c>
      <c r="E1503" s="4" t="s">
        <v>1271</v>
      </c>
      <c r="F1503" s="7">
        <v>528</v>
      </c>
      <c r="G1503" s="7">
        <v>51</v>
      </c>
      <c r="H1503" s="16" t="str">
        <f t="shared" si="23"/>
        <v>(1501,'259','سيدي  خالد','Sidi Khaled','Sidi Khaled',528),</v>
      </c>
    </row>
    <row r="1504" spans="1:8" ht="20.100000000000001" customHeight="1" x14ac:dyDescent="0.25">
      <c r="A1504" s="3">
        <v>1502</v>
      </c>
      <c r="B1504" s="8">
        <v>274</v>
      </c>
      <c r="C1504" s="4" t="s">
        <v>4028</v>
      </c>
      <c r="D1504" s="4" t="s">
        <v>4029</v>
      </c>
      <c r="E1504" s="4" t="s">
        <v>4029</v>
      </c>
      <c r="F1504" s="7">
        <v>529</v>
      </c>
      <c r="G1504" s="7">
        <v>52</v>
      </c>
      <c r="H1504" s="16" t="str">
        <f t="shared" si="23"/>
        <v>(1502,'274','القصابي','Ksabi','Ksabi',529),</v>
      </c>
    </row>
    <row r="1505" spans="1:8" ht="20.100000000000001" customHeight="1" x14ac:dyDescent="0.25">
      <c r="A1505" s="3">
        <v>1503</v>
      </c>
      <c r="B1505" s="8">
        <v>279</v>
      </c>
      <c r="C1505" s="4" t="s">
        <v>1302</v>
      </c>
      <c r="D1505" s="4" t="s">
        <v>4030</v>
      </c>
      <c r="E1505" s="4" t="s">
        <v>4030</v>
      </c>
      <c r="F1505" s="7">
        <v>529</v>
      </c>
      <c r="G1505" s="7">
        <v>52</v>
      </c>
      <c r="H1505" s="16" t="str">
        <f t="shared" si="23"/>
        <v>(1503,'279','أولاد خضير','Ouled-Khodeir','Ouled-Khodeir',529),</v>
      </c>
    </row>
    <row r="1506" spans="1:8" ht="20.100000000000001" customHeight="1" x14ac:dyDescent="0.25">
      <c r="A1506" s="3">
        <v>1504</v>
      </c>
      <c r="B1506" s="8">
        <v>265</v>
      </c>
      <c r="C1506" s="4" t="s">
        <v>1073</v>
      </c>
      <c r="D1506" s="4" t="s">
        <v>4031</v>
      </c>
      <c r="E1506" s="4" t="s">
        <v>4031</v>
      </c>
      <c r="F1506" s="7">
        <v>530</v>
      </c>
      <c r="G1506" s="7">
        <v>52</v>
      </c>
      <c r="H1506" s="16" t="str">
        <f t="shared" si="23"/>
        <v>(1504,'265','بني عباس','Beni-Abbes','Beni-Abbes',530),</v>
      </c>
    </row>
    <row r="1507" spans="1:8" ht="20.100000000000001" customHeight="1" x14ac:dyDescent="0.25">
      <c r="A1507" s="3">
        <v>1505</v>
      </c>
      <c r="B1507" s="8">
        <v>282</v>
      </c>
      <c r="C1507" s="4" t="s">
        <v>4032</v>
      </c>
      <c r="D1507" s="4" t="s">
        <v>4033</v>
      </c>
      <c r="E1507" s="4" t="s">
        <v>4033</v>
      </c>
      <c r="F1507" s="7">
        <v>530</v>
      </c>
      <c r="G1507" s="7">
        <v>52</v>
      </c>
      <c r="H1507" s="16" t="str">
        <f t="shared" si="23"/>
        <v>(1505,'282','تامترت','Tamtert','Tamtert',530),</v>
      </c>
    </row>
    <row r="1508" spans="1:8" ht="20.100000000000001" customHeight="1" x14ac:dyDescent="0.25">
      <c r="A1508" s="3">
        <v>1506</v>
      </c>
      <c r="B1508" s="8">
        <v>271</v>
      </c>
      <c r="C1508" s="4" t="s">
        <v>1298</v>
      </c>
      <c r="D1508" s="4" t="s">
        <v>1297</v>
      </c>
      <c r="E1508" s="4" t="s">
        <v>1297</v>
      </c>
      <c r="F1508" s="7">
        <v>531</v>
      </c>
      <c r="G1508" s="7">
        <v>52</v>
      </c>
      <c r="H1508" s="16" t="str">
        <f t="shared" si="23"/>
        <v>(1506,'271','إقلي','Igli','Igli',531),</v>
      </c>
    </row>
    <row r="1509" spans="1:8" ht="20.100000000000001" customHeight="1" x14ac:dyDescent="0.25">
      <c r="A1509" s="3">
        <v>1507</v>
      </c>
      <c r="B1509" s="8">
        <v>269</v>
      </c>
      <c r="C1509" s="4" t="s">
        <v>1296</v>
      </c>
      <c r="D1509" s="4" t="s">
        <v>1295</v>
      </c>
      <c r="E1509" s="4" t="s">
        <v>1295</v>
      </c>
      <c r="F1509" s="7">
        <v>532</v>
      </c>
      <c r="G1509" s="7">
        <v>52</v>
      </c>
      <c r="H1509" s="16" t="str">
        <f t="shared" si="23"/>
        <v>(1507,'269','الواتة','El Ouata','El Ouata',532),</v>
      </c>
    </row>
    <row r="1510" spans="1:8" ht="20.100000000000001" customHeight="1" x14ac:dyDescent="0.25">
      <c r="A1510" s="3">
        <v>1508</v>
      </c>
      <c r="B1510" s="8">
        <v>266</v>
      </c>
      <c r="C1510" s="4" t="s">
        <v>4034</v>
      </c>
      <c r="D1510" s="4" t="s">
        <v>4035</v>
      </c>
      <c r="E1510" s="4" t="s">
        <v>4035</v>
      </c>
      <c r="F1510" s="7">
        <v>533</v>
      </c>
      <c r="G1510" s="7">
        <v>52</v>
      </c>
      <c r="H1510" s="16" t="str">
        <f t="shared" si="23"/>
        <v>(1508,'266','بن يخلف','Beni-Ikhlef','Beni-Ikhlef',533),</v>
      </c>
    </row>
    <row r="1511" spans="1:8" ht="20.100000000000001" customHeight="1" x14ac:dyDescent="0.25">
      <c r="A1511" s="3">
        <v>1509</v>
      </c>
      <c r="B1511" s="8">
        <v>273</v>
      </c>
      <c r="C1511" s="4" t="s">
        <v>1290</v>
      </c>
      <c r="D1511" s="4" t="s">
        <v>1289</v>
      </c>
      <c r="E1511" s="4" t="s">
        <v>1289</v>
      </c>
      <c r="F1511" s="7">
        <v>533</v>
      </c>
      <c r="G1511" s="7">
        <v>52</v>
      </c>
      <c r="H1511" s="16" t="str">
        <f t="shared" si="23"/>
        <v>(1509,'273','كرزاز','Kerzaz','Kerzaz',533),</v>
      </c>
    </row>
    <row r="1512" spans="1:8" ht="20.100000000000001" customHeight="1" x14ac:dyDescent="0.25">
      <c r="A1512" s="3">
        <v>1510</v>
      </c>
      <c r="B1512" s="8">
        <v>283</v>
      </c>
      <c r="C1512" s="4" t="s">
        <v>4036</v>
      </c>
      <c r="D1512" s="4" t="s">
        <v>4037</v>
      </c>
      <c r="E1512" s="4" t="s">
        <v>4037</v>
      </c>
      <c r="F1512" s="7">
        <v>533</v>
      </c>
      <c r="G1512" s="7">
        <v>52</v>
      </c>
      <c r="H1512" s="16" t="str">
        <f t="shared" si="23"/>
        <v>(1510,'283','تيمودي','Timoudi','Timoudi',533),</v>
      </c>
    </row>
    <row r="1513" spans="1:8" ht="20.100000000000001" customHeight="1" x14ac:dyDescent="0.25">
      <c r="A1513" s="3">
        <v>1511</v>
      </c>
      <c r="B1513" s="8">
        <v>360</v>
      </c>
      <c r="C1513" s="4" t="s">
        <v>1354</v>
      </c>
      <c r="D1513" s="4" t="s">
        <v>4038</v>
      </c>
      <c r="E1513" s="4" t="s">
        <v>4038</v>
      </c>
      <c r="F1513" s="7">
        <v>534</v>
      </c>
      <c r="G1513" s="7">
        <v>53</v>
      </c>
      <c r="H1513" s="16" t="str">
        <f t="shared" si="23"/>
        <v>(1511,'360','إينغر','Inghar','Inghar',534),</v>
      </c>
    </row>
    <row r="1514" spans="1:8" ht="20.100000000000001" customHeight="1" x14ac:dyDescent="0.25">
      <c r="A1514" s="3">
        <v>1512</v>
      </c>
      <c r="B1514" s="8">
        <v>357</v>
      </c>
      <c r="C1514" s="4" t="s">
        <v>1350</v>
      </c>
      <c r="D1514" s="4" t="s">
        <v>4039</v>
      </c>
      <c r="E1514" s="4" t="s">
        <v>4039</v>
      </c>
      <c r="F1514" s="7">
        <v>535</v>
      </c>
      <c r="G1514" s="7">
        <v>53</v>
      </c>
      <c r="H1514" s="16" t="str">
        <f t="shared" si="23"/>
        <v>(1512,'357','عين صالح','Ain Salah','Ain Salah',535),</v>
      </c>
    </row>
    <row r="1515" spans="1:8" ht="20.100000000000001" customHeight="1" x14ac:dyDescent="0.25">
      <c r="A1515" s="3">
        <v>1513</v>
      </c>
      <c r="B1515" s="8">
        <v>358</v>
      </c>
      <c r="C1515" s="4" t="s">
        <v>4040</v>
      </c>
      <c r="D1515" s="4" t="s">
        <v>4041</v>
      </c>
      <c r="E1515" s="4" t="s">
        <v>4041</v>
      </c>
      <c r="F1515" s="7">
        <v>535</v>
      </c>
      <c r="G1515" s="7">
        <v>53</v>
      </c>
      <c r="H1515" s="16" t="str">
        <f t="shared" si="23"/>
        <v>(1513,'358','فقارة الزوى','Foggaret Ezzoua','Foggaret Ezzoua',535),</v>
      </c>
    </row>
    <row r="1516" spans="1:8" ht="20.100000000000001" customHeight="1" x14ac:dyDescent="0.25">
      <c r="A1516" s="3">
        <v>1514</v>
      </c>
      <c r="B1516" s="8">
        <v>356</v>
      </c>
      <c r="C1516" s="4" t="s">
        <v>1349</v>
      </c>
      <c r="D1516" s="4" t="s">
        <v>4042</v>
      </c>
      <c r="E1516" s="4" t="s">
        <v>4042</v>
      </c>
      <c r="F1516" s="7">
        <v>536</v>
      </c>
      <c r="G1516" s="7">
        <v>54</v>
      </c>
      <c r="H1516" s="16" t="str">
        <f t="shared" si="23"/>
        <v>(1514,'356','عين قزام','Ain Guezzam','Ain Guezzam',536),</v>
      </c>
    </row>
    <row r="1517" spans="1:8" ht="20.100000000000001" customHeight="1" x14ac:dyDescent="0.25">
      <c r="A1517" s="3">
        <v>1515</v>
      </c>
      <c r="B1517" s="8">
        <v>363</v>
      </c>
      <c r="C1517" s="4" t="s">
        <v>1356</v>
      </c>
      <c r="D1517" s="4" t="s">
        <v>1355</v>
      </c>
      <c r="E1517" s="4" t="s">
        <v>1355</v>
      </c>
      <c r="F1517" s="7">
        <v>537</v>
      </c>
      <c r="G1517" s="7">
        <v>54</v>
      </c>
      <c r="H1517" s="16" t="str">
        <f t="shared" si="23"/>
        <v>(1515,'363','تين زواتين','Tin Zouatine','Tin Zouatine',537),</v>
      </c>
    </row>
    <row r="1518" spans="1:8" ht="20.100000000000001" customHeight="1" x14ac:dyDescent="0.25">
      <c r="A1518" s="3">
        <v>1516</v>
      </c>
      <c r="B1518" s="8">
        <v>1099</v>
      </c>
      <c r="C1518" s="4" t="s">
        <v>4043</v>
      </c>
      <c r="D1518" s="4" t="s">
        <v>4044</v>
      </c>
      <c r="E1518" s="4" t="s">
        <v>4044</v>
      </c>
      <c r="F1518" s="7">
        <v>538</v>
      </c>
      <c r="G1518" s="7">
        <v>55</v>
      </c>
      <c r="H1518" s="16" t="str">
        <f t="shared" si="23"/>
        <v>(1516,'1099','النزلة','Nezla','Nezla',538),</v>
      </c>
    </row>
    <row r="1519" spans="1:8" ht="20.100000000000001" customHeight="1" x14ac:dyDescent="0.25">
      <c r="A1519" s="3">
        <v>1517</v>
      </c>
      <c r="B1519" s="8">
        <v>1106</v>
      </c>
      <c r="C1519" s="4" t="s">
        <v>4045</v>
      </c>
      <c r="D1519" s="4" t="s">
        <v>4046</v>
      </c>
      <c r="E1519" s="4" t="s">
        <v>4046</v>
      </c>
      <c r="F1519" s="7">
        <v>538</v>
      </c>
      <c r="G1519" s="7">
        <v>55</v>
      </c>
      <c r="H1519" s="16" t="str">
        <f t="shared" si="23"/>
        <v>(1517,'1106','تبسبست','Tebesbest','Tebesbest',538),</v>
      </c>
    </row>
    <row r="1520" spans="1:8" ht="20.100000000000001" customHeight="1" x14ac:dyDescent="0.25">
      <c r="A1520" s="3">
        <v>1518</v>
      </c>
      <c r="B1520" s="8">
        <v>1108</v>
      </c>
      <c r="C1520" s="4" t="s">
        <v>1079</v>
      </c>
      <c r="D1520" s="4" t="s">
        <v>1080</v>
      </c>
      <c r="E1520" s="4" t="s">
        <v>1080</v>
      </c>
      <c r="F1520" s="7">
        <v>538</v>
      </c>
      <c r="G1520" s="7">
        <v>55</v>
      </c>
      <c r="H1520" s="16" t="str">
        <f t="shared" si="23"/>
        <v>(1518,'1108','تقرت','Touggourt','Touggourt',538),</v>
      </c>
    </row>
    <row r="1521" spans="1:8" ht="20.100000000000001" customHeight="1" x14ac:dyDescent="0.25">
      <c r="A1521" s="3">
        <v>1519</v>
      </c>
      <c r="B1521" s="8">
        <v>1109</v>
      </c>
      <c r="C1521" s="4" t="s">
        <v>4047</v>
      </c>
      <c r="D1521" s="4" t="s">
        <v>4048</v>
      </c>
      <c r="E1521" s="4" t="s">
        <v>4048</v>
      </c>
      <c r="F1521" s="7">
        <v>538</v>
      </c>
      <c r="G1521" s="7">
        <v>55</v>
      </c>
      <c r="H1521" s="16" t="str">
        <f t="shared" si="23"/>
        <v>(1519,'1109','الزاوية العابدية','Zaouia El Abidia','Zaouia El Abidia',538),</v>
      </c>
    </row>
    <row r="1522" spans="1:8" ht="20.100000000000001" customHeight="1" x14ac:dyDescent="0.25">
      <c r="A1522" s="3">
        <v>1520</v>
      </c>
      <c r="B1522" s="8">
        <v>1092</v>
      </c>
      <c r="C1522" s="4" t="s">
        <v>4049</v>
      </c>
      <c r="D1522" s="4" t="s">
        <v>4050</v>
      </c>
      <c r="E1522" s="4" t="s">
        <v>4050</v>
      </c>
      <c r="F1522" s="7">
        <v>539</v>
      </c>
      <c r="G1522" s="7">
        <v>55</v>
      </c>
      <c r="H1522" s="16" t="str">
        <f t="shared" si="23"/>
        <v>(1520,'1092','العالية','El Alia','El Alia',539),</v>
      </c>
    </row>
    <row r="1523" spans="1:8" ht="20.100000000000001" customHeight="1" x14ac:dyDescent="0.25">
      <c r="A1523" s="3">
        <v>1521</v>
      </c>
      <c r="B1523" s="8">
        <v>1094</v>
      </c>
      <c r="C1523" s="4" t="s">
        <v>1809</v>
      </c>
      <c r="D1523" s="4" t="s">
        <v>1808</v>
      </c>
      <c r="E1523" s="4" t="s">
        <v>1808</v>
      </c>
      <c r="F1523" s="7">
        <v>539</v>
      </c>
      <c r="G1523" s="7">
        <v>55</v>
      </c>
      <c r="H1523" s="16" t="str">
        <f t="shared" si="23"/>
        <v>(1521,'1094','الحجيرة','El-Hadjira','El-Hadjira',539),</v>
      </c>
    </row>
    <row r="1524" spans="1:8" ht="20.100000000000001" customHeight="1" x14ac:dyDescent="0.25">
      <c r="A1524" s="3">
        <v>1522</v>
      </c>
      <c r="B1524" s="8">
        <v>1090</v>
      </c>
      <c r="C1524" s="4" t="s">
        <v>4051</v>
      </c>
      <c r="D1524" s="4" t="s">
        <v>4052</v>
      </c>
      <c r="E1524" s="4" t="s">
        <v>4052</v>
      </c>
      <c r="F1524" s="7">
        <v>540</v>
      </c>
      <c r="G1524" s="7">
        <v>55</v>
      </c>
      <c r="H1524" s="16" t="str">
        <f t="shared" si="23"/>
        <v>(1522,'1090','بن ناصر','Benaceur','Benaceur',540),</v>
      </c>
    </row>
    <row r="1525" spans="1:8" ht="20.100000000000001" customHeight="1" x14ac:dyDescent="0.25">
      <c r="A1525" s="3">
        <v>1523</v>
      </c>
      <c r="B1525" s="8">
        <v>1098</v>
      </c>
      <c r="C1525" s="4" t="s">
        <v>4053</v>
      </c>
      <c r="D1525" s="4" t="s">
        <v>5878</v>
      </c>
      <c r="E1525" s="4" t="s">
        <v>5878</v>
      </c>
      <c r="F1525" s="7">
        <v>540</v>
      </c>
      <c r="G1525" s="7">
        <v>55</v>
      </c>
      <c r="H1525" s="16" t="str">
        <f t="shared" si="23"/>
        <v>(1523,'1098','المنقر','M\'naguer','M\'naguer',540),</v>
      </c>
    </row>
    <row r="1526" spans="1:8" ht="20.100000000000001" customHeight="1" x14ac:dyDescent="0.25">
      <c r="A1526" s="3">
        <v>1524</v>
      </c>
      <c r="B1526" s="8">
        <v>1105</v>
      </c>
      <c r="C1526" s="4" t="s">
        <v>1805</v>
      </c>
      <c r="D1526" s="4" t="s">
        <v>1804</v>
      </c>
      <c r="E1526" s="4" t="s">
        <v>1804</v>
      </c>
      <c r="F1526" s="7">
        <v>540</v>
      </c>
      <c r="G1526" s="7">
        <v>55</v>
      </c>
      <c r="H1526" s="16" t="str">
        <f t="shared" si="23"/>
        <v>(1524,'1105','الطيبات','Taibet','Taibet',540),</v>
      </c>
    </row>
    <row r="1527" spans="1:8" ht="20.100000000000001" customHeight="1" x14ac:dyDescent="0.25">
      <c r="A1527" s="3">
        <v>1525</v>
      </c>
      <c r="B1527" s="8">
        <v>1091</v>
      </c>
      <c r="C1527" s="4" t="s">
        <v>4054</v>
      </c>
      <c r="D1527" s="4" t="s">
        <v>4055</v>
      </c>
      <c r="E1527" s="4" t="s">
        <v>4055</v>
      </c>
      <c r="F1527" s="7">
        <v>541</v>
      </c>
      <c r="G1527" s="7">
        <v>55</v>
      </c>
      <c r="H1527" s="16" t="str">
        <f t="shared" si="23"/>
        <v>(1525,'1091','بلدة اعمر','Blidet Amor','Blidet Amor',541),</v>
      </c>
    </row>
    <row r="1528" spans="1:8" ht="20.100000000000001" customHeight="1" x14ac:dyDescent="0.25">
      <c r="A1528" s="3">
        <v>1526</v>
      </c>
      <c r="B1528" s="8">
        <v>1107</v>
      </c>
      <c r="C1528" s="4" t="s">
        <v>1807</v>
      </c>
      <c r="D1528" s="4" t="s">
        <v>1806</v>
      </c>
      <c r="E1528" s="4" t="s">
        <v>1806</v>
      </c>
      <c r="F1528" s="7">
        <v>541</v>
      </c>
      <c r="G1528" s="7">
        <v>55</v>
      </c>
      <c r="H1528" s="16" t="str">
        <f t="shared" si="23"/>
        <v>(1526,'1107','تماسين','Temacine','Temacine',541),</v>
      </c>
    </row>
    <row r="1529" spans="1:8" ht="20.100000000000001" customHeight="1" x14ac:dyDescent="0.25">
      <c r="A1529" s="3">
        <v>1527</v>
      </c>
      <c r="B1529" s="8">
        <v>1097</v>
      </c>
      <c r="C1529" s="4" t="s">
        <v>1815</v>
      </c>
      <c r="D1529" s="4" t="s">
        <v>1814</v>
      </c>
      <c r="E1529" s="4" t="s">
        <v>1814</v>
      </c>
      <c r="F1529" s="7">
        <v>542</v>
      </c>
      <c r="G1529" s="7">
        <v>55</v>
      </c>
      <c r="H1529" s="16" t="str">
        <f t="shared" si="23"/>
        <v>(1527,'1097','المقارين','Megarine','Megarine',542),</v>
      </c>
    </row>
    <row r="1530" spans="1:8" ht="20.100000000000001" customHeight="1" x14ac:dyDescent="0.25">
      <c r="A1530" s="3">
        <v>1528</v>
      </c>
      <c r="B1530" s="8">
        <v>1104</v>
      </c>
      <c r="C1530" s="4" t="s">
        <v>3535</v>
      </c>
      <c r="D1530" s="4" t="s">
        <v>3536</v>
      </c>
      <c r="E1530" s="4" t="s">
        <v>3536</v>
      </c>
      <c r="F1530" s="7">
        <v>542</v>
      </c>
      <c r="G1530" s="7">
        <v>55</v>
      </c>
      <c r="H1530" s="16" t="str">
        <f t="shared" si="23"/>
        <v>(1528,'1104','سيدي سليمان','Sidi Slimane','Sidi Slimane',542),</v>
      </c>
    </row>
    <row r="1531" spans="1:8" ht="20.100000000000001" customHeight="1" x14ac:dyDescent="0.25">
      <c r="A1531" s="3">
        <v>1529</v>
      </c>
      <c r="B1531" s="8">
        <v>1158</v>
      </c>
      <c r="C1531" s="4" t="s">
        <v>4056</v>
      </c>
      <c r="D1531" s="4" t="s">
        <v>4057</v>
      </c>
      <c r="E1531" s="4" t="s">
        <v>4057</v>
      </c>
      <c r="F1531" s="7">
        <v>543</v>
      </c>
      <c r="G1531" s="7">
        <v>56</v>
      </c>
      <c r="H1531" s="16" t="str">
        <f t="shared" si="23"/>
        <v>(1529,'1158','برج الحواس','Bordj El Haouass','Bordj El Haouass',543),</v>
      </c>
    </row>
    <row r="1532" spans="1:8" ht="20.100000000000001" customHeight="1" x14ac:dyDescent="0.25">
      <c r="A1532" s="3">
        <v>1530</v>
      </c>
      <c r="B1532" s="8">
        <v>1161</v>
      </c>
      <c r="C1532" s="4" t="s">
        <v>1081</v>
      </c>
      <c r="D1532" s="4" t="s">
        <v>1082</v>
      </c>
      <c r="E1532" s="4" t="s">
        <v>1082</v>
      </c>
      <c r="F1532" s="7">
        <v>543</v>
      </c>
      <c r="G1532" s="7">
        <v>56</v>
      </c>
      <c r="H1532" s="16" t="str">
        <f t="shared" si="23"/>
        <v>(1530,'1161','جانت','Djanet','Djanet',543),</v>
      </c>
    </row>
    <row r="1533" spans="1:8" ht="20.100000000000001" customHeight="1" x14ac:dyDescent="0.25">
      <c r="A1533" s="3">
        <v>1531</v>
      </c>
      <c r="B1533" s="8">
        <v>1284</v>
      </c>
      <c r="C1533" s="4" t="s">
        <v>1083</v>
      </c>
      <c r="D1533" s="4" t="s">
        <v>5879</v>
      </c>
      <c r="E1533" s="4" t="s">
        <v>5879</v>
      </c>
      <c r="F1533" s="7">
        <v>544</v>
      </c>
      <c r="G1533" s="7">
        <v>57</v>
      </c>
      <c r="H1533" s="16" t="str">
        <f t="shared" si="23"/>
        <v>(1531,'1284','المغير','El-M\'ghaier','El-M\'ghaier',544),</v>
      </c>
    </row>
    <row r="1534" spans="1:8" ht="20.100000000000001" customHeight="1" x14ac:dyDescent="0.25">
      <c r="A1534" s="3">
        <v>1532</v>
      </c>
      <c r="B1534" s="8">
        <v>1296</v>
      </c>
      <c r="C1534" s="4" t="s">
        <v>4058</v>
      </c>
      <c r="D1534" s="4" t="s">
        <v>4059</v>
      </c>
      <c r="E1534" s="4" t="s">
        <v>4059</v>
      </c>
      <c r="F1534" s="7">
        <v>544</v>
      </c>
      <c r="G1534" s="7">
        <v>57</v>
      </c>
      <c r="H1534" s="16" t="str">
        <f t="shared" si="23"/>
        <v>(1532,'1296','أم الطيور','Oum Touyour','Oum Touyour',544),</v>
      </c>
    </row>
    <row r="1535" spans="1:8" ht="20.100000000000001" customHeight="1" x14ac:dyDescent="0.25">
      <c r="A1535" s="3">
        <v>1533</v>
      </c>
      <c r="B1535" s="8">
        <v>1302</v>
      </c>
      <c r="C1535" s="4" t="s">
        <v>4060</v>
      </c>
      <c r="D1535" s="4" t="s">
        <v>4061</v>
      </c>
      <c r="E1535" s="4" t="s">
        <v>4061</v>
      </c>
      <c r="F1535" s="7">
        <v>544</v>
      </c>
      <c r="G1535" s="7">
        <v>57</v>
      </c>
      <c r="H1535" s="16" t="str">
        <f t="shared" si="23"/>
        <v>(1533,'1302','سيدي خليل','Sidi Khelil','Sidi Khelil',544),</v>
      </c>
    </row>
    <row r="1536" spans="1:8" ht="20.100000000000001" customHeight="1" x14ac:dyDescent="0.25">
      <c r="A1536" s="3">
        <v>1534</v>
      </c>
      <c r="B1536" s="8">
        <v>1303</v>
      </c>
      <c r="C1536" s="4" t="s">
        <v>4062</v>
      </c>
      <c r="D1536" s="4" t="s">
        <v>4063</v>
      </c>
      <c r="E1536" s="4" t="s">
        <v>4063</v>
      </c>
      <c r="F1536" s="7">
        <v>544</v>
      </c>
      <c r="G1536" s="7">
        <v>57</v>
      </c>
      <c r="H1536" s="16" t="str">
        <f t="shared" si="23"/>
        <v>(1534,'1303','سطيل','Still','Still',544),</v>
      </c>
    </row>
    <row r="1537" spans="1:8" ht="20.100000000000001" customHeight="1" x14ac:dyDescent="0.25">
      <c r="A1537" s="3">
        <v>1535</v>
      </c>
      <c r="B1537" s="8">
        <v>1281</v>
      </c>
      <c r="C1537" s="4" t="s">
        <v>1917</v>
      </c>
      <c r="D1537" s="4" t="s">
        <v>1916</v>
      </c>
      <c r="E1537" s="4" t="s">
        <v>1916</v>
      </c>
      <c r="F1537" s="7">
        <v>545</v>
      </c>
      <c r="G1537" s="7">
        <v>57</v>
      </c>
      <c r="H1537" s="16" t="str">
        <f t="shared" si="23"/>
        <v>(1535,'1281','جامعة','Djamaa','Djamaa',545),</v>
      </c>
    </row>
    <row r="1538" spans="1:8" ht="20.100000000000001" customHeight="1" x14ac:dyDescent="0.25">
      <c r="A1538" s="3">
        <v>1536</v>
      </c>
      <c r="B1538" s="8">
        <v>1293</v>
      </c>
      <c r="C1538" s="4" t="s">
        <v>4064</v>
      </c>
      <c r="D1538" s="4" t="s">
        <v>5880</v>
      </c>
      <c r="E1538" s="4" t="s">
        <v>5880</v>
      </c>
      <c r="F1538" s="7">
        <v>545</v>
      </c>
      <c r="G1538" s="7">
        <v>57</v>
      </c>
      <c r="H1538" s="16" t="str">
        <f t="shared" si="23"/>
        <v>(1536,'1293','المرارة','M\'rara','M\'rara',545),</v>
      </c>
    </row>
    <row r="1539" spans="1:8" ht="20.100000000000001" customHeight="1" x14ac:dyDescent="0.25">
      <c r="A1539" s="3">
        <v>1537</v>
      </c>
      <c r="B1539" s="8">
        <v>1300</v>
      </c>
      <c r="C1539" s="4" t="s">
        <v>4065</v>
      </c>
      <c r="D1539" s="4" t="s">
        <v>4066</v>
      </c>
      <c r="E1539" s="4" t="s">
        <v>4066</v>
      </c>
      <c r="F1539" s="7">
        <v>545</v>
      </c>
      <c r="G1539" s="7">
        <v>57</v>
      </c>
      <c r="H1539" s="16" t="str">
        <f t="shared" si="23"/>
        <v>(1537,'1300','سيدي عمران','Sidi Amrane','Sidi Amrane',545),</v>
      </c>
    </row>
    <row r="1540" spans="1:8" ht="20.100000000000001" customHeight="1" x14ac:dyDescent="0.25">
      <c r="A1540" s="3">
        <v>1538</v>
      </c>
      <c r="B1540" s="8">
        <v>1306</v>
      </c>
      <c r="C1540" s="4" t="s">
        <v>4067</v>
      </c>
      <c r="D1540" s="4" t="s">
        <v>4068</v>
      </c>
      <c r="E1540" s="4" t="s">
        <v>4068</v>
      </c>
      <c r="F1540" s="7">
        <v>545</v>
      </c>
      <c r="G1540" s="7">
        <v>57</v>
      </c>
      <c r="H1540" s="16" t="str">
        <f t="shared" ref="H1540:H1543" si="24">CONCATENATE("(",A1540,",'",B1540,"','",C1540,"','",D1540,"','",E1540,"',",F1540,"),")</f>
        <v>(1538,'1306','تندلة','Tenedla','Tenedla',545),</v>
      </c>
    </row>
    <row r="1541" spans="1:8" ht="20.100000000000001" customHeight="1" x14ac:dyDescent="0.25">
      <c r="A1541" s="3">
        <v>1539</v>
      </c>
      <c r="B1541" s="8">
        <v>1495</v>
      </c>
      <c r="C1541" s="4" t="s">
        <v>1085</v>
      </c>
      <c r="D1541" s="4" t="s">
        <v>4069</v>
      </c>
      <c r="E1541" s="4" t="s">
        <v>4069</v>
      </c>
      <c r="F1541" s="7">
        <v>546</v>
      </c>
      <c r="G1541" s="7">
        <v>58</v>
      </c>
      <c r="H1541" s="16" t="str">
        <f t="shared" si="24"/>
        <v>(1539,'1495','المنيعة','El Meniaa','El Meniaa',546),</v>
      </c>
    </row>
    <row r="1542" spans="1:8" ht="20.100000000000001" customHeight="1" x14ac:dyDescent="0.25">
      <c r="A1542" s="3">
        <v>1540</v>
      </c>
      <c r="B1542" s="8">
        <v>1499</v>
      </c>
      <c r="C1542" s="4" t="s">
        <v>4070</v>
      </c>
      <c r="D1542" s="4" t="s">
        <v>4071</v>
      </c>
      <c r="E1542" s="4" t="s">
        <v>4071</v>
      </c>
      <c r="F1542" s="7">
        <v>546</v>
      </c>
      <c r="G1542" s="7">
        <v>58</v>
      </c>
      <c r="H1542" s="16" t="str">
        <f t="shared" si="24"/>
        <v>(1540,'1499','حاسي القارة','Hassi Gara','Hassi Gara',546),</v>
      </c>
    </row>
    <row r="1543" spans="1:8" ht="20.100000000000001" customHeight="1" x14ac:dyDescent="0.25">
      <c r="A1543" s="3">
        <v>1541</v>
      </c>
      <c r="B1543" s="8">
        <v>1498</v>
      </c>
      <c r="C1543" s="4" t="s">
        <v>4072</v>
      </c>
      <c r="D1543" s="4" t="s">
        <v>4073</v>
      </c>
      <c r="E1543" s="4" t="s">
        <v>4073</v>
      </c>
      <c r="F1543" s="7">
        <v>547</v>
      </c>
      <c r="G1543" s="7">
        <v>58</v>
      </c>
      <c r="H1543" s="16" t="str">
        <f t="shared" si="24"/>
        <v>(1541,'1498','حاسي الفحل','Hassi Fehal','Hassi Fehal',547),</v>
      </c>
    </row>
  </sheetData>
  <autoFilter ref="A2:H1543"/>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70C0"/>
  </sheetPr>
  <dimension ref="A1:H1543"/>
  <sheetViews>
    <sheetView topLeftCell="A37" workbookViewId="0">
      <selection activeCell="A50" sqref="A50:XFD50"/>
    </sheetView>
  </sheetViews>
  <sheetFormatPr baseColWidth="10" defaultColWidth="10.85546875" defaultRowHeight="15.75" x14ac:dyDescent="0.25"/>
  <cols>
    <col min="1" max="1" width="5.5703125" style="2" customWidth="1"/>
    <col min="2" max="2" width="10.5703125" style="2" customWidth="1"/>
    <col min="3" max="3" width="40.5703125" style="14" customWidth="1"/>
    <col min="4" max="6" width="15.5703125" style="11" customWidth="1"/>
    <col min="7" max="7" width="10.5703125" style="2" customWidth="1"/>
    <col min="8" max="8" width="100.7109375" style="2" customWidth="1"/>
    <col min="9" max="16384" width="10.85546875" style="2"/>
  </cols>
  <sheetData>
    <row r="1" spans="1:8" ht="20.100000000000001" customHeight="1" x14ac:dyDescent="0.25">
      <c r="A1" s="1" t="s">
        <v>37</v>
      </c>
      <c r="B1" s="1" t="s">
        <v>4082</v>
      </c>
      <c r="C1" s="12" t="s">
        <v>4081</v>
      </c>
      <c r="D1" s="9" t="s">
        <v>4080</v>
      </c>
      <c r="E1" s="9" t="s">
        <v>4079</v>
      </c>
      <c r="F1" s="9" t="s">
        <v>4078</v>
      </c>
      <c r="G1" s="1" t="s">
        <v>4076</v>
      </c>
      <c r="H1" s="1" t="s">
        <v>5597</v>
      </c>
    </row>
    <row r="2" spans="1:8" ht="20.100000000000001" customHeight="1" x14ac:dyDescent="0.25">
      <c r="A2" s="1" t="s">
        <v>44</v>
      </c>
      <c r="B2" s="1" t="s">
        <v>41</v>
      </c>
      <c r="C2" s="12" t="s">
        <v>42</v>
      </c>
      <c r="D2" s="9" t="s">
        <v>43</v>
      </c>
      <c r="E2" s="9" t="s">
        <v>53</v>
      </c>
      <c r="F2" s="9" t="s">
        <v>2094</v>
      </c>
      <c r="G2" s="1" t="s">
        <v>4077</v>
      </c>
      <c r="H2" s="1" t="s">
        <v>5618</v>
      </c>
    </row>
    <row r="3" spans="1:8" ht="20.100000000000001" customHeight="1" x14ac:dyDescent="0.25">
      <c r="A3" s="3">
        <v>1</v>
      </c>
      <c r="B3" s="15">
        <v>0</v>
      </c>
      <c r="C3" s="13" t="s">
        <v>5490</v>
      </c>
      <c r="D3" s="13" t="s">
        <v>5887</v>
      </c>
      <c r="E3" s="13" t="s">
        <v>5888</v>
      </c>
      <c r="F3" s="13">
        <v>2</v>
      </c>
      <c r="G3" s="7">
        <v>1075</v>
      </c>
      <c r="H3" s="16" t="str">
        <f>CONCATENATE("(",A3,",",B3,",'",C3,"',",D3,",",E3,",",F3,",",G3,"),")</f>
        <v>(1,0,'Ain El Bia 1',35*807,-0*343,2,1075),</v>
      </c>
    </row>
    <row r="4" spans="1:8" ht="20.100000000000001" customHeight="1" x14ac:dyDescent="0.25">
      <c r="A4" s="3">
        <v>2</v>
      </c>
      <c r="B4" s="15">
        <v>0</v>
      </c>
      <c r="C4" s="13" t="s">
        <v>5491</v>
      </c>
      <c r="D4" s="13" t="s">
        <v>5889</v>
      </c>
      <c r="E4" s="13" t="s">
        <v>5890</v>
      </c>
      <c r="F4" s="13">
        <v>5</v>
      </c>
      <c r="G4" s="7">
        <v>1075</v>
      </c>
      <c r="H4" s="16" t="str">
        <f t="shared" ref="H4:H67" si="0">CONCATENATE("(",A4,",",B4,",'",C4,"',",D4,",",E4,",",F4,",",G4,"),")</f>
        <v>(2,0,'Ain El Bia 2',35*835,-0*238,5,1075),</v>
      </c>
    </row>
    <row r="5" spans="1:8" ht="20.100000000000001" customHeight="1" x14ac:dyDescent="0.25">
      <c r="A5" s="3">
        <v>3</v>
      </c>
      <c r="B5" s="15">
        <v>0</v>
      </c>
      <c r="C5" s="13" t="s">
        <v>2377</v>
      </c>
      <c r="D5" s="13" t="s">
        <v>5891</v>
      </c>
      <c r="E5" s="13" t="s">
        <v>5892</v>
      </c>
      <c r="F5" s="13">
        <v>-2</v>
      </c>
      <c r="G5" s="7">
        <v>218</v>
      </c>
      <c r="H5" s="16" t="str">
        <f t="shared" si="0"/>
        <v>(3,0,'Ain Naga',34*686,6*094,-2,218),</v>
      </c>
    </row>
    <row r="6" spans="1:8" ht="20.100000000000001" customHeight="1" x14ac:dyDescent="0.25">
      <c r="A6" s="3">
        <v>4</v>
      </c>
      <c r="B6" s="15">
        <v>0</v>
      </c>
      <c r="C6" s="13" t="s">
        <v>5492</v>
      </c>
      <c r="D6" s="13" t="s">
        <v>5893</v>
      </c>
      <c r="E6" s="13" t="s">
        <v>5894</v>
      </c>
      <c r="F6" s="13">
        <v>350</v>
      </c>
      <c r="G6" s="7">
        <v>1113</v>
      </c>
      <c r="H6" s="16" t="str">
        <f t="shared" si="0"/>
        <v>(4,0,'Ain Tsila',27*2,10*5,350,1113),</v>
      </c>
    </row>
    <row r="7" spans="1:8" ht="20.100000000000001" customHeight="1" x14ac:dyDescent="0.25">
      <c r="A7" s="3">
        <v>5</v>
      </c>
      <c r="B7" s="15">
        <v>0</v>
      </c>
      <c r="C7" s="13" t="s">
        <v>5475</v>
      </c>
      <c r="D7" s="13" t="s">
        <v>5895</v>
      </c>
      <c r="E7" s="13" t="s">
        <v>5896</v>
      </c>
      <c r="F7" s="13">
        <v>650</v>
      </c>
      <c r="G7" s="7">
        <v>393</v>
      </c>
      <c r="H7" s="16" t="str">
        <f t="shared" si="0"/>
        <v>(5,0,'Al Aricha',33*82,1*9,650,393),</v>
      </c>
    </row>
    <row r="8" spans="1:8" ht="20.100000000000001" customHeight="1" x14ac:dyDescent="0.25">
      <c r="A8" s="3">
        <v>6</v>
      </c>
      <c r="B8" s="15">
        <v>0</v>
      </c>
      <c r="C8" s="13" t="s">
        <v>5493</v>
      </c>
      <c r="D8" s="13" t="s">
        <v>5897</v>
      </c>
      <c r="E8" s="13" t="s">
        <v>5898</v>
      </c>
      <c r="F8" s="13">
        <v>495</v>
      </c>
      <c r="G8" s="7">
        <v>1444</v>
      </c>
      <c r="H8" s="16" t="str">
        <f t="shared" si="0"/>
        <v>(6,0,'Al Atteuf',32*478,3*748,495,1444),</v>
      </c>
    </row>
    <row r="9" spans="1:8" ht="20.100000000000001" customHeight="1" x14ac:dyDescent="0.25">
      <c r="A9" s="3">
        <v>7</v>
      </c>
      <c r="B9" s="15">
        <v>0</v>
      </c>
      <c r="C9" s="13" t="s">
        <v>1002</v>
      </c>
      <c r="D9" s="13" t="s">
        <v>5899</v>
      </c>
      <c r="E9" s="13" t="s">
        <v>5900</v>
      </c>
      <c r="F9" s="13">
        <v>50</v>
      </c>
      <c r="G9" s="7">
        <v>544</v>
      </c>
      <c r="H9" s="16" t="str">
        <f t="shared" si="0"/>
        <v>(7,0,'Alger',36*45,3*2,50,544),</v>
      </c>
    </row>
    <row r="10" spans="1:8" ht="20.100000000000001" customHeight="1" x14ac:dyDescent="0.25">
      <c r="A10" s="3">
        <v>8</v>
      </c>
      <c r="B10" s="15">
        <v>0</v>
      </c>
      <c r="C10" s="13" t="s">
        <v>5386</v>
      </c>
      <c r="D10" s="13" t="s">
        <v>5901</v>
      </c>
      <c r="E10" s="13" t="s">
        <v>5902</v>
      </c>
      <c r="F10" s="13">
        <v>60</v>
      </c>
      <c r="G10" s="7">
        <v>1116</v>
      </c>
      <c r="H10" s="16" t="str">
        <f t="shared" si="0"/>
        <v>(8,0,'Alrar',35*4,0*45,60,1116),</v>
      </c>
    </row>
    <row r="11" spans="1:8" ht="20.100000000000001" customHeight="1" x14ac:dyDescent="0.25">
      <c r="A11" s="3">
        <v>9</v>
      </c>
      <c r="B11" s="15">
        <v>0</v>
      </c>
      <c r="C11" s="13" t="s">
        <v>1824</v>
      </c>
      <c r="D11" s="13" t="s">
        <v>5889</v>
      </c>
      <c r="E11" s="13" t="s">
        <v>5890</v>
      </c>
      <c r="F11" s="13">
        <v>5</v>
      </c>
      <c r="G11" s="7">
        <v>1075</v>
      </c>
      <c r="H11" s="16" t="str">
        <f t="shared" si="0"/>
        <v>(9,0,'Arzew',35*835,-0*238,5,1075),</v>
      </c>
    </row>
    <row r="12" spans="1:8" ht="20.100000000000001" customHeight="1" x14ac:dyDescent="0.25">
      <c r="A12" s="3">
        <v>10</v>
      </c>
      <c r="B12" s="15">
        <v>0</v>
      </c>
      <c r="C12" s="13" t="s">
        <v>1824</v>
      </c>
      <c r="D12" s="13" t="s">
        <v>5903</v>
      </c>
      <c r="E12" s="13" t="s">
        <v>5904</v>
      </c>
      <c r="F12" s="13">
        <v>2</v>
      </c>
      <c r="G12" s="7">
        <v>1065</v>
      </c>
      <c r="H12" s="16" t="str">
        <f t="shared" si="0"/>
        <v>(10,0,'Arzew',35*862,-0*345,2,1065),</v>
      </c>
    </row>
    <row r="13" spans="1:8" ht="20.100000000000001" customHeight="1" x14ac:dyDescent="0.25">
      <c r="A13" s="3">
        <v>11</v>
      </c>
      <c r="B13" s="15">
        <v>0</v>
      </c>
      <c r="C13" s="13" t="s">
        <v>983</v>
      </c>
      <c r="D13" s="13" t="s">
        <v>5905</v>
      </c>
      <c r="E13" s="13" t="s">
        <v>5906</v>
      </c>
      <c r="F13" s="13">
        <v>52</v>
      </c>
      <c r="G13" s="7">
        <v>166</v>
      </c>
      <c r="H13" s="16" t="str">
        <f t="shared" si="0"/>
        <v>(11,0,'Béjaïa',36*751,5*059,52,166),</v>
      </c>
    </row>
    <row r="14" spans="1:8" ht="20.100000000000001" customHeight="1" x14ac:dyDescent="0.25">
      <c r="A14" s="3">
        <v>12</v>
      </c>
      <c r="B14" s="15">
        <v>0</v>
      </c>
      <c r="C14" s="13" t="s">
        <v>5331</v>
      </c>
      <c r="D14" s="13" t="s">
        <v>5907</v>
      </c>
      <c r="E14" s="13" t="s">
        <v>5908</v>
      </c>
      <c r="F14" s="13">
        <v>450</v>
      </c>
      <c r="G14" s="7">
        <v>198</v>
      </c>
      <c r="H14" s="16" t="str">
        <f t="shared" si="0"/>
        <v>(12,0,'Beni Mensour',36*336,4*356,450,198),</v>
      </c>
    </row>
    <row r="15" spans="1:8" ht="20.100000000000001" customHeight="1" x14ac:dyDescent="0.25">
      <c r="A15" s="3">
        <v>13</v>
      </c>
      <c r="B15" s="15">
        <v>0</v>
      </c>
      <c r="C15" s="13" t="s">
        <v>5331</v>
      </c>
      <c r="D15" s="13" t="s">
        <v>5909</v>
      </c>
      <c r="E15" s="13" t="s">
        <v>5910</v>
      </c>
      <c r="F15" s="13">
        <v>750</v>
      </c>
      <c r="G15" s="7">
        <v>198</v>
      </c>
      <c r="H15" s="16" t="str">
        <f t="shared" si="0"/>
        <v>(13,0,'Beni Mensour',33*45,2*45,750,198),</v>
      </c>
    </row>
    <row r="16" spans="1:8" ht="20.100000000000001" customHeight="1" x14ac:dyDescent="0.25">
      <c r="A16" s="3">
        <v>14</v>
      </c>
      <c r="B16" s="15">
        <v>0</v>
      </c>
      <c r="C16" s="13" t="s">
        <v>2048</v>
      </c>
      <c r="D16" s="13" t="s">
        <v>5911</v>
      </c>
      <c r="E16" s="13" t="s">
        <v>5912</v>
      </c>
      <c r="F16" s="13">
        <v>10</v>
      </c>
      <c r="G16" s="7">
        <v>1431</v>
      </c>
      <c r="H16" s="16" t="str">
        <f t="shared" si="0"/>
        <v>(14,0,'Beni Saf',35*301,-1*382,10,1431),</v>
      </c>
    </row>
    <row r="17" spans="1:8" ht="20.100000000000001" customHeight="1" x14ac:dyDescent="0.25">
      <c r="A17" s="3">
        <v>15</v>
      </c>
      <c r="B17" s="15">
        <v>0</v>
      </c>
      <c r="C17" s="13" t="s">
        <v>5494</v>
      </c>
      <c r="D17" s="13" t="s">
        <v>5913</v>
      </c>
      <c r="E17" s="13" t="s">
        <v>5914</v>
      </c>
      <c r="F17" s="13">
        <v>380</v>
      </c>
      <c r="G17" s="7">
        <v>1057</v>
      </c>
      <c r="H17" s="16" t="str">
        <f t="shared" si="0"/>
        <v>(15,0,'Berkine',26*418,9*08,380,1057),</v>
      </c>
    </row>
    <row r="18" spans="1:8" ht="20.100000000000001" customHeight="1" x14ac:dyDescent="0.25">
      <c r="A18" s="3">
        <v>16</v>
      </c>
      <c r="B18" s="15">
        <v>0</v>
      </c>
      <c r="C18" s="13" t="s">
        <v>1818</v>
      </c>
      <c r="D18" s="13" t="s">
        <v>5915</v>
      </c>
      <c r="E18" s="13" t="s">
        <v>5916</v>
      </c>
      <c r="F18" s="13">
        <v>2</v>
      </c>
      <c r="G18" s="7">
        <v>1065</v>
      </c>
      <c r="H18" s="16" t="str">
        <f t="shared" si="0"/>
        <v>(16,0,'Bethioua',35*805,-0*241,2,1065),</v>
      </c>
    </row>
    <row r="19" spans="1:8" ht="20.100000000000001" customHeight="1" x14ac:dyDescent="0.25">
      <c r="A19" s="3">
        <v>17</v>
      </c>
      <c r="B19" s="15">
        <v>0</v>
      </c>
      <c r="C19" s="13" t="s">
        <v>5361</v>
      </c>
      <c r="D19" s="13" t="s">
        <v>5917</v>
      </c>
      <c r="E19" s="13" t="s">
        <v>5918</v>
      </c>
      <c r="F19" s="13">
        <v>185</v>
      </c>
      <c r="G19" s="7">
        <v>1062</v>
      </c>
      <c r="H19" s="16" t="str">
        <f t="shared" si="0"/>
        <v>(17,0,'Bir Rebaa North',31*85,5*973,185,1062),</v>
      </c>
    </row>
    <row r="20" spans="1:8" ht="20.100000000000001" customHeight="1" x14ac:dyDescent="0.25">
      <c r="A20" s="3">
        <v>18</v>
      </c>
      <c r="B20" s="15">
        <v>0</v>
      </c>
      <c r="C20" s="13" t="s">
        <v>5445</v>
      </c>
      <c r="D20" s="13" t="s">
        <v>5919</v>
      </c>
      <c r="E20" s="13" t="s">
        <v>5920</v>
      </c>
      <c r="F20" s="13">
        <v>100</v>
      </c>
      <c r="G20" s="7">
        <v>1159</v>
      </c>
      <c r="H20" s="16" t="str">
        <f t="shared" si="0"/>
        <v>(18,0,'Bord Menaiel',36*38,3*8,100,1159),</v>
      </c>
    </row>
    <row r="21" spans="1:8" ht="20.100000000000001" customHeight="1" x14ac:dyDescent="0.25">
      <c r="A21" s="3">
        <v>19</v>
      </c>
      <c r="B21" s="15">
        <v>0</v>
      </c>
      <c r="C21" s="13" t="s">
        <v>5495</v>
      </c>
      <c r="D21" s="13" t="s">
        <v>5921</v>
      </c>
      <c r="E21" s="13" t="s">
        <v>5922</v>
      </c>
      <c r="F21" s="13">
        <v>81</v>
      </c>
      <c r="G21" s="7">
        <v>1447</v>
      </c>
      <c r="H21" s="16" t="str">
        <f t="shared" si="0"/>
        <v>(19,0,'Bourmadia',35*732,0*613,81,1447),</v>
      </c>
    </row>
    <row r="22" spans="1:8" ht="20.100000000000001" customHeight="1" x14ac:dyDescent="0.25">
      <c r="A22" s="3">
        <v>20</v>
      </c>
      <c r="B22" s="15">
        <v>0</v>
      </c>
      <c r="C22" s="13" t="s">
        <v>3822</v>
      </c>
      <c r="D22" s="13" t="s">
        <v>5923</v>
      </c>
      <c r="E22" s="13" t="s">
        <v>5924</v>
      </c>
      <c r="F22" s="13">
        <v>389</v>
      </c>
      <c r="G22" s="7">
        <v>1498</v>
      </c>
      <c r="H22" s="16" t="str">
        <f t="shared" si="0"/>
        <v>(20,0,'Chaiba',34*5,5*25,389,1498),</v>
      </c>
    </row>
    <row r="23" spans="1:8" ht="20.100000000000001" customHeight="1" x14ac:dyDescent="0.25">
      <c r="A23" s="3">
        <v>21</v>
      </c>
      <c r="B23" s="15">
        <v>0</v>
      </c>
      <c r="C23" s="13" t="s">
        <v>5335</v>
      </c>
      <c r="D23" s="13" t="s">
        <v>5925</v>
      </c>
      <c r="E23" s="13" t="s">
        <v>5926</v>
      </c>
      <c r="F23" s="13">
        <v>350</v>
      </c>
      <c r="G23" s="7">
        <v>1115</v>
      </c>
      <c r="H23" s="16" t="str">
        <f t="shared" si="0"/>
        <v>(21,0,'Deb Deb',29*968,9*424,350,1115),</v>
      </c>
    </row>
    <row r="24" spans="1:8" ht="20.100000000000001" customHeight="1" x14ac:dyDescent="0.25">
      <c r="A24" s="3">
        <v>22</v>
      </c>
      <c r="B24" s="15">
        <v>0</v>
      </c>
      <c r="C24" s="13" t="s">
        <v>5528</v>
      </c>
      <c r="D24" s="13" t="s">
        <v>5927</v>
      </c>
      <c r="E24" s="13" t="s">
        <v>5928</v>
      </c>
      <c r="F24" s="13">
        <v>280</v>
      </c>
      <c r="G24" s="7">
        <v>1531</v>
      </c>
      <c r="H24" s="16" t="str">
        <f t="shared" si="0"/>
        <v>(22,0,'Djamaa1',33*933,5*93,280,1531),</v>
      </c>
    </row>
    <row r="25" spans="1:8" ht="20.100000000000001" customHeight="1" x14ac:dyDescent="0.25">
      <c r="A25" s="3">
        <v>23</v>
      </c>
      <c r="B25" s="15">
        <v>0</v>
      </c>
      <c r="C25" s="13" t="s">
        <v>5529</v>
      </c>
      <c r="D25" s="13" t="s">
        <v>5929</v>
      </c>
      <c r="E25" s="13" t="s">
        <v>5930</v>
      </c>
      <c r="F25" s="13">
        <v>850</v>
      </c>
      <c r="G25" s="7">
        <v>1535</v>
      </c>
      <c r="H25" s="16" t="str">
        <f t="shared" si="0"/>
        <v>(23,0,'Djamaa2',33*52,2*85,850,1535),</v>
      </c>
    </row>
    <row r="26" spans="1:8" ht="20.100000000000001" customHeight="1" x14ac:dyDescent="0.25">
      <c r="A26" s="3">
        <v>24</v>
      </c>
      <c r="B26" s="15">
        <v>0</v>
      </c>
      <c r="C26" s="13" t="s">
        <v>5496</v>
      </c>
      <c r="D26" s="13" t="s">
        <v>5931</v>
      </c>
      <c r="E26" s="13" t="s">
        <v>5932</v>
      </c>
      <c r="F26" s="13">
        <v>973</v>
      </c>
      <c r="G26" s="7">
        <v>413</v>
      </c>
      <c r="H26" s="16" t="str">
        <f t="shared" si="0"/>
        <v>(24,0,'Djebila',35*372,1*325,973,413),</v>
      </c>
    </row>
    <row r="27" spans="1:8" ht="20.100000000000001" customHeight="1" x14ac:dyDescent="0.25">
      <c r="A27" s="3">
        <v>25</v>
      </c>
      <c r="B27" s="15">
        <v>0</v>
      </c>
      <c r="C27" s="13" t="s">
        <v>1810</v>
      </c>
      <c r="D27" s="13" t="s">
        <v>5933</v>
      </c>
      <c r="E27" s="13" t="s">
        <v>5934</v>
      </c>
      <c r="F27" s="13">
        <v>246</v>
      </c>
      <c r="G27" s="7">
        <v>1064</v>
      </c>
      <c r="H27" s="16" t="str">
        <f t="shared" si="0"/>
        <v>(25,0,'El Borma',31*006,8*134,246,1064),</v>
      </c>
    </row>
    <row r="28" spans="1:8" ht="20.100000000000001" customHeight="1" x14ac:dyDescent="0.25">
      <c r="A28" s="3">
        <v>26</v>
      </c>
      <c r="B28" s="15">
        <v>0</v>
      </c>
      <c r="C28" s="13" t="s">
        <v>5497</v>
      </c>
      <c r="D28" s="13" t="s">
        <v>5913</v>
      </c>
      <c r="E28" s="13" t="s">
        <v>5914</v>
      </c>
      <c r="F28" s="13">
        <v>380</v>
      </c>
      <c r="G28" s="7">
        <v>1057</v>
      </c>
      <c r="H28" s="16" t="str">
        <f t="shared" si="0"/>
        <v>(26,0,'El Merk',26*418,9*08,380,1057),</v>
      </c>
    </row>
    <row r="29" spans="1:8" ht="20.100000000000001" customHeight="1" x14ac:dyDescent="0.25">
      <c r="A29" s="3">
        <v>27</v>
      </c>
      <c r="B29" s="15">
        <v>0</v>
      </c>
      <c r="C29" s="13" t="s">
        <v>5498</v>
      </c>
      <c r="D29" s="13" t="s">
        <v>5935</v>
      </c>
      <c r="E29" s="13" t="s">
        <v>5936</v>
      </c>
      <c r="F29" s="13">
        <v>185</v>
      </c>
      <c r="G29" s="7">
        <v>428</v>
      </c>
      <c r="H29" s="16" t="str">
        <f t="shared" si="0"/>
        <v>(27,0,'Faïdja',35*193,1*706,185,428),</v>
      </c>
    </row>
    <row r="30" spans="1:8" ht="20.100000000000001" customHeight="1" x14ac:dyDescent="0.25">
      <c r="A30" s="3">
        <v>28</v>
      </c>
      <c r="B30" s="15">
        <v>0</v>
      </c>
      <c r="C30" s="13" t="s">
        <v>5499</v>
      </c>
      <c r="D30" s="13" t="s">
        <v>5937</v>
      </c>
      <c r="E30" s="13" t="s">
        <v>5938</v>
      </c>
      <c r="F30" s="13">
        <v>495</v>
      </c>
      <c r="G30" s="7">
        <v>231</v>
      </c>
      <c r="H30" s="16" t="str">
        <f t="shared" si="0"/>
        <v>(28,0,'Ferme Omar Driss',35*034,5*595,495,231),</v>
      </c>
    </row>
    <row r="31" spans="1:8" ht="20.100000000000001" customHeight="1" x14ac:dyDescent="0.25">
      <c r="A31" s="3">
        <v>29</v>
      </c>
      <c r="B31" s="15">
        <v>0</v>
      </c>
      <c r="C31" s="13" t="s">
        <v>5500</v>
      </c>
      <c r="D31" s="13" t="s">
        <v>5939</v>
      </c>
      <c r="E31" s="13" t="s">
        <v>5940</v>
      </c>
      <c r="F31" s="13">
        <v>5</v>
      </c>
      <c r="G31" s="7">
        <v>721</v>
      </c>
      <c r="H31" s="16" t="str">
        <f t="shared" si="0"/>
        <v>(29,0,'Flifla',36*877,6*906,5,721),</v>
      </c>
    </row>
    <row r="32" spans="1:8" ht="20.100000000000001" customHeight="1" x14ac:dyDescent="0.25">
      <c r="A32" s="3">
        <v>30</v>
      </c>
      <c r="B32" s="15">
        <v>0</v>
      </c>
      <c r="C32" s="13" t="s">
        <v>5390</v>
      </c>
      <c r="D32" s="13" t="s">
        <v>5941</v>
      </c>
      <c r="E32" s="13" t="s">
        <v>5942</v>
      </c>
      <c r="F32" s="13">
        <v>267</v>
      </c>
      <c r="G32" s="7">
        <v>1060</v>
      </c>
      <c r="H32" s="16" t="str">
        <f t="shared" si="0"/>
        <v>(30,0,'Gassi Touil',30*271,6*416,267,1060),</v>
      </c>
    </row>
    <row r="33" spans="1:8" ht="20.100000000000001" customHeight="1" x14ac:dyDescent="0.25">
      <c r="A33" s="3">
        <v>31</v>
      </c>
      <c r="B33" s="15">
        <v>0</v>
      </c>
      <c r="C33" s="13" t="s">
        <v>5501</v>
      </c>
      <c r="D33" s="13" t="s">
        <v>5943</v>
      </c>
      <c r="E33" s="13" t="s">
        <v>5944</v>
      </c>
      <c r="F33" s="13">
        <v>156</v>
      </c>
      <c r="G33" s="7">
        <v>1060</v>
      </c>
      <c r="H33" s="16" t="str">
        <f t="shared" si="0"/>
        <v>(31,0,'Haoud El Hamra',31*941,6*071,156,1060),</v>
      </c>
    </row>
    <row r="34" spans="1:8" ht="20.100000000000001" customHeight="1" x14ac:dyDescent="0.25">
      <c r="A34" s="3">
        <v>32</v>
      </c>
      <c r="B34" s="15">
        <v>0</v>
      </c>
      <c r="C34" s="13" t="s">
        <v>5349</v>
      </c>
      <c r="D34" s="13" t="s">
        <v>5945</v>
      </c>
      <c r="E34" s="13" t="s">
        <v>5946</v>
      </c>
      <c r="F34" s="13">
        <v>185</v>
      </c>
      <c r="G34" s="7">
        <v>1060</v>
      </c>
      <c r="H34" s="16" t="str">
        <f t="shared" si="0"/>
        <v>(32,0,'Hassi Berkine',30*559,5*453,185,1060),</v>
      </c>
    </row>
    <row r="35" spans="1:8" ht="20.100000000000001" customHeight="1" x14ac:dyDescent="0.25">
      <c r="A35" s="3">
        <v>33</v>
      </c>
      <c r="B35" s="15">
        <v>0</v>
      </c>
      <c r="C35" s="13" t="s">
        <v>2166</v>
      </c>
      <c r="D35" s="13" t="s">
        <v>5947</v>
      </c>
      <c r="E35" s="13" t="s">
        <v>5948</v>
      </c>
      <c r="F35" s="13">
        <v>716</v>
      </c>
      <c r="G35" s="7">
        <v>58</v>
      </c>
      <c r="H35" s="16" t="str">
        <f t="shared" si="0"/>
        <v>(33,0,'Hassi Delaa',32*935,3*269,716,58),</v>
      </c>
    </row>
    <row r="36" spans="1:8" ht="20.100000000000001" customHeight="1" x14ac:dyDescent="0.25">
      <c r="A36" s="3">
        <v>34</v>
      </c>
      <c r="B36" s="15">
        <v>0</v>
      </c>
      <c r="C36" s="13" t="s">
        <v>1812</v>
      </c>
      <c r="D36" s="13" t="s">
        <v>5949</v>
      </c>
      <c r="E36" s="13" t="s">
        <v>5950</v>
      </c>
      <c r="F36" s="13">
        <v>85</v>
      </c>
      <c r="G36" s="7">
        <v>1060</v>
      </c>
      <c r="H36" s="16" t="str">
        <f t="shared" si="0"/>
        <v>(34,0,'Hassi Messaoud',31*97,6*265,85,1060),</v>
      </c>
    </row>
    <row r="37" spans="1:8" ht="20.100000000000001" customHeight="1" x14ac:dyDescent="0.25">
      <c r="A37" s="3">
        <v>35</v>
      </c>
      <c r="B37" s="15">
        <v>0</v>
      </c>
      <c r="C37" s="13" t="s">
        <v>5846</v>
      </c>
      <c r="D37" s="13" t="s">
        <v>5951</v>
      </c>
      <c r="E37" s="13" t="s">
        <v>5948</v>
      </c>
      <c r="F37" s="13">
        <v>777</v>
      </c>
      <c r="G37" s="7">
        <v>58</v>
      </c>
      <c r="H37" s="16" t="str">
        <f t="shared" si="0"/>
        <v>(35,0,'Hassi R\'mel',32*936,3*269,777,58),</v>
      </c>
    </row>
    <row r="38" spans="1:8" ht="20.100000000000001" customHeight="1" x14ac:dyDescent="0.25">
      <c r="A38" s="3">
        <v>36</v>
      </c>
      <c r="B38" s="15">
        <v>0</v>
      </c>
      <c r="C38" s="13" t="s">
        <v>5471</v>
      </c>
      <c r="D38" s="13">
        <v>31</v>
      </c>
      <c r="E38" s="13" t="s">
        <v>5952</v>
      </c>
      <c r="F38" s="13">
        <v>180</v>
      </c>
      <c r="G38" s="7">
        <v>1064</v>
      </c>
      <c r="H38" s="16" t="str">
        <f t="shared" si="0"/>
        <v>(36,0,'Hassi tedjirane',31,7*85,180,1064),</v>
      </c>
    </row>
    <row r="39" spans="1:8" ht="20.100000000000001" customHeight="1" x14ac:dyDescent="0.25">
      <c r="A39" s="3">
        <v>37</v>
      </c>
      <c r="B39" s="15">
        <v>0</v>
      </c>
      <c r="C39" s="13" t="s">
        <v>1848</v>
      </c>
      <c r="D39" s="13" t="s">
        <v>5953</v>
      </c>
      <c r="E39" s="13" t="s">
        <v>5954</v>
      </c>
      <c r="F39" s="13">
        <v>420</v>
      </c>
      <c r="G39" s="7">
        <v>1116</v>
      </c>
      <c r="H39" s="16" t="str">
        <f t="shared" si="0"/>
        <v>(37,0,'In Amenas',28*041,9*543,420,1116),</v>
      </c>
    </row>
    <row r="40" spans="1:8" ht="20.100000000000001" customHeight="1" x14ac:dyDescent="0.25">
      <c r="A40" s="3">
        <v>38</v>
      </c>
      <c r="B40" s="15">
        <v>0</v>
      </c>
      <c r="C40" s="13" t="s">
        <v>1076</v>
      </c>
      <c r="D40" s="13" t="s">
        <v>5955</v>
      </c>
      <c r="E40" s="13" t="s">
        <v>5956</v>
      </c>
      <c r="F40" s="13">
        <v>400</v>
      </c>
      <c r="G40" s="7">
        <v>1512</v>
      </c>
      <c r="H40" s="16" t="str">
        <f t="shared" si="0"/>
        <v>(38,0,'In Salah',28*62,8*62,400,1512),</v>
      </c>
    </row>
    <row r="41" spans="1:8" ht="20.100000000000001" customHeight="1" x14ac:dyDescent="0.25">
      <c r="A41" s="3">
        <v>39</v>
      </c>
      <c r="B41" s="15">
        <v>0</v>
      </c>
      <c r="C41" s="13" t="s">
        <v>1878</v>
      </c>
      <c r="D41" s="13" t="s">
        <v>5919</v>
      </c>
      <c r="E41" s="13" t="s">
        <v>5920</v>
      </c>
      <c r="F41" s="13">
        <v>100</v>
      </c>
      <c r="G41" s="7">
        <v>1169</v>
      </c>
      <c r="H41" s="16" t="str">
        <f t="shared" si="0"/>
        <v>(39,0,'Isser',36*38,3*8,100,1169),</v>
      </c>
    </row>
    <row r="42" spans="1:8" ht="20.100000000000001" customHeight="1" x14ac:dyDescent="0.25">
      <c r="A42" s="3">
        <v>40</v>
      </c>
      <c r="B42" s="15">
        <v>0</v>
      </c>
      <c r="C42" s="13" t="s">
        <v>5502</v>
      </c>
      <c r="D42" s="13" t="s">
        <v>5957</v>
      </c>
      <c r="E42" s="13" t="s">
        <v>5958</v>
      </c>
      <c r="F42" s="13">
        <v>2</v>
      </c>
      <c r="G42" s="7">
        <v>1075</v>
      </c>
      <c r="H42" s="16" t="str">
        <f t="shared" si="0"/>
        <v>(40,0,'Kenanda',35*737,0*556,2,1075),</v>
      </c>
    </row>
    <row r="43" spans="1:8" ht="20.100000000000001" customHeight="1" x14ac:dyDescent="0.25">
      <c r="A43" s="3">
        <v>41</v>
      </c>
      <c r="B43" s="15">
        <v>0</v>
      </c>
      <c r="C43" s="13" t="s">
        <v>5503</v>
      </c>
      <c r="D43" s="13" t="s">
        <v>5959</v>
      </c>
      <c r="E43" s="13" t="s">
        <v>5960</v>
      </c>
      <c r="F43" s="13">
        <v>600</v>
      </c>
      <c r="G43" s="7">
        <v>1512</v>
      </c>
      <c r="H43" s="16" t="str">
        <f t="shared" si="0"/>
        <v>(41,0,'Krechba',28*642,2*825,600,1512),</v>
      </c>
    </row>
    <row r="44" spans="1:8" ht="20.100000000000001" customHeight="1" x14ac:dyDescent="0.25">
      <c r="A44" s="3">
        <v>42</v>
      </c>
      <c r="B44" s="15">
        <v>0</v>
      </c>
      <c r="C44" s="13" t="s">
        <v>1834</v>
      </c>
      <c r="D44" s="13" t="s">
        <v>5961</v>
      </c>
      <c r="E44" s="13" t="s">
        <v>5962</v>
      </c>
      <c r="F44" s="13">
        <v>966</v>
      </c>
      <c r="G44" s="7">
        <v>1091</v>
      </c>
      <c r="H44" s="16" t="str">
        <f t="shared" si="0"/>
        <v>(42,0,'Labiodh Sidi Cheikh',32*91,0*545,966,1091),</v>
      </c>
    </row>
    <row r="45" spans="1:8" ht="20.100000000000001" customHeight="1" x14ac:dyDescent="0.25">
      <c r="A45" s="3">
        <v>43</v>
      </c>
      <c r="B45" s="15">
        <v>0</v>
      </c>
      <c r="C45" s="13" t="s">
        <v>5504</v>
      </c>
      <c r="D45" s="13" t="s">
        <v>5963</v>
      </c>
      <c r="E45" s="13" t="s">
        <v>5964</v>
      </c>
      <c r="F45" s="13">
        <v>926</v>
      </c>
      <c r="G45" s="7">
        <v>1329</v>
      </c>
      <c r="H45" s="16" t="str">
        <f t="shared" si="0"/>
        <v>(43,0,'Mechtatine',36*123,6*789,926,1329),</v>
      </c>
    </row>
    <row r="46" spans="1:8" ht="20.100000000000001" customHeight="1" x14ac:dyDescent="0.25">
      <c r="A46" s="3">
        <v>44</v>
      </c>
      <c r="B46" s="15">
        <v>0</v>
      </c>
      <c r="C46" s="13" t="s">
        <v>5505</v>
      </c>
      <c r="D46" s="13" t="s">
        <v>5965</v>
      </c>
      <c r="E46" s="13" t="s">
        <v>5966</v>
      </c>
      <c r="F46" s="13">
        <v>983</v>
      </c>
      <c r="G46" s="7">
        <v>421</v>
      </c>
      <c r="H46" s="16" t="str">
        <f t="shared" si="0"/>
        <v>(44,0,'Medarreg1',35*425,1*425,983,421),</v>
      </c>
    </row>
    <row r="47" spans="1:8" ht="20.100000000000001" customHeight="1" x14ac:dyDescent="0.25">
      <c r="A47" s="3">
        <v>45</v>
      </c>
      <c r="B47" s="15">
        <v>0</v>
      </c>
      <c r="C47" s="13" t="s">
        <v>5506</v>
      </c>
      <c r="D47" s="13" t="s">
        <v>5967</v>
      </c>
      <c r="E47" s="13" t="s">
        <v>5968</v>
      </c>
      <c r="F47" s="13">
        <v>1080</v>
      </c>
      <c r="G47" s="7">
        <v>430</v>
      </c>
      <c r="H47" s="16" t="str">
        <f t="shared" si="0"/>
        <v>(45,0,'Medarreg2',35*184,1*496,1080,430),</v>
      </c>
    </row>
    <row r="48" spans="1:8" ht="20.100000000000001" customHeight="1" x14ac:dyDescent="0.25">
      <c r="A48" s="3">
        <v>46</v>
      </c>
      <c r="B48" s="15">
        <v>0</v>
      </c>
      <c r="C48" s="13" t="s">
        <v>5507</v>
      </c>
      <c r="D48" s="13" t="s">
        <v>5969</v>
      </c>
      <c r="E48" s="13" t="s">
        <v>5936</v>
      </c>
      <c r="F48" s="13">
        <v>971</v>
      </c>
      <c r="G48" s="7">
        <v>428</v>
      </c>
      <c r="H48" s="16" t="str">
        <f t="shared" si="0"/>
        <v>(46,0,'Medarreg3',35*103,1*706,971,428),</v>
      </c>
    </row>
    <row r="49" spans="1:8" ht="20.100000000000001" customHeight="1" x14ac:dyDescent="0.25">
      <c r="A49" s="3">
        <v>47</v>
      </c>
      <c r="B49" s="15">
        <v>0</v>
      </c>
      <c r="C49" s="13" t="s">
        <v>5508</v>
      </c>
      <c r="D49" s="13">
        <v>27</v>
      </c>
      <c r="E49" s="13" t="s">
        <v>5970</v>
      </c>
      <c r="F49" s="13">
        <v>380</v>
      </c>
      <c r="G49" s="7">
        <v>1116</v>
      </c>
      <c r="H49" s="16" t="str">
        <f t="shared" si="0"/>
        <v>(47,0,'Mederba',27,8*5,380,1116),</v>
      </c>
    </row>
    <row r="50" spans="1:8" ht="20.100000000000001" customHeight="1" x14ac:dyDescent="0.25">
      <c r="A50" s="3">
        <v>48</v>
      </c>
      <c r="B50" s="15">
        <v>0</v>
      </c>
      <c r="C50" s="13" t="s">
        <v>1767</v>
      </c>
      <c r="D50" s="13" t="s">
        <v>5971</v>
      </c>
      <c r="E50" s="13" t="s">
        <v>5972</v>
      </c>
      <c r="F50" s="13">
        <v>710</v>
      </c>
      <c r="G50" s="7">
        <v>1006</v>
      </c>
      <c r="H50" s="16" t="str">
        <f t="shared" si="0"/>
        <v>(48,0,'Medjedel',35*15,3*683,710,1006),</v>
      </c>
    </row>
    <row r="51" spans="1:8" ht="20.100000000000001" customHeight="1" x14ac:dyDescent="0.25">
      <c r="A51" s="3">
        <v>49</v>
      </c>
      <c r="B51" s="15">
        <v>0</v>
      </c>
      <c r="C51" s="13" t="s">
        <v>5509</v>
      </c>
      <c r="D51" s="13" t="s">
        <v>5903</v>
      </c>
      <c r="E51" s="13" t="s">
        <v>5904</v>
      </c>
      <c r="F51" s="13">
        <v>2</v>
      </c>
      <c r="G51" s="7">
        <v>1065</v>
      </c>
      <c r="H51" s="16" t="str">
        <f t="shared" si="0"/>
        <v>(49,0,'Mers El Hadjadj',35*862,-0*345,2,1065),</v>
      </c>
    </row>
    <row r="52" spans="1:8" ht="20.100000000000001" customHeight="1" x14ac:dyDescent="0.25">
      <c r="A52" s="3">
        <v>50</v>
      </c>
      <c r="B52" s="15">
        <v>0</v>
      </c>
      <c r="C52" s="13" t="s">
        <v>5345</v>
      </c>
      <c r="D52" s="13" t="s">
        <v>5973</v>
      </c>
      <c r="E52" s="13" t="s">
        <v>5974</v>
      </c>
      <c r="F52" s="13">
        <v>172</v>
      </c>
      <c r="G52" s="7">
        <v>1064</v>
      </c>
      <c r="H52" s="16" t="str">
        <f t="shared" si="0"/>
        <v>(50,0,'Mesdar',31*192,6*794,172,1064),</v>
      </c>
    </row>
    <row r="53" spans="1:8" ht="20.100000000000001" customHeight="1" x14ac:dyDescent="0.25">
      <c r="A53" s="3">
        <v>51</v>
      </c>
      <c r="B53" s="15">
        <v>0</v>
      </c>
      <c r="C53" s="13" t="s">
        <v>5510</v>
      </c>
      <c r="D53" s="13" t="s">
        <v>5975</v>
      </c>
      <c r="E53" s="13" t="s">
        <v>5976</v>
      </c>
      <c r="F53" s="13">
        <v>885</v>
      </c>
      <c r="G53" s="7">
        <v>61</v>
      </c>
      <c r="H53" s="16" t="str">
        <f t="shared" si="0"/>
        <v>(51,0,'Milok1',33*481,2*523,885,61),</v>
      </c>
    </row>
    <row r="54" spans="1:8" ht="20.100000000000001" customHeight="1" x14ac:dyDescent="0.25">
      <c r="A54" s="3">
        <v>52</v>
      </c>
      <c r="B54" s="15">
        <v>0</v>
      </c>
      <c r="C54" s="13" t="s">
        <v>5511</v>
      </c>
      <c r="D54" s="13" t="s">
        <v>5977</v>
      </c>
      <c r="E54" s="13" t="s">
        <v>5978</v>
      </c>
      <c r="F54" s="13">
        <v>885</v>
      </c>
      <c r="G54" s="7">
        <v>52</v>
      </c>
      <c r="H54" s="16" t="str">
        <f t="shared" si="0"/>
        <v>(52,0,'Milok2',33*803,2*875,885,52),</v>
      </c>
    </row>
    <row r="55" spans="1:8" ht="20.100000000000001" customHeight="1" x14ac:dyDescent="0.25">
      <c r="A55" s="3">
        <v>53</v>
      </c>
      <c r="B55" s="15">
        <v>0</v>
      </c>
      <c r="C55" s="13" t="s">
        <v>5512</v>
      </c>
      <c r="D55" s="13" t="s">
        <v>5979</v>
      </c>
      <c r="E55" s="13" t="s">
        <v>5980</v>
      </c>
      <c r="F55" s="13">
        <v>10</v>
      </c>
      <c r="G55" s="7">
        <v>1065</v>
      </c>
      <c r="H55" s="16" t="str">
        <f t="shared" si="0"/>
        <v>(53,0,'Mohgoun plateau1',35*83,-0*324,10,1065),</v>
      </c>
    </row>
    <row r="56" spans="1:8" ht="20.100000000000001" customHeight="1" x14ac:dyDescent="0.25">
      <c r="A56" s="3">
        <v>54</v>
      </c>
      <c r="B56" s="15">
        <v>0</v>
      </c>
      <c r="C56" s="13" t="s">
        <v>5513</v>
      </c>
      <c r="D56" s="13" t="s">
        <v>5981</v>
      </c>
      <c r="E56" s="13" t="s">
        <v>5982</v>
      </c>
      <c r="F56" s="13">
        <v>5</v>
      </c>
      <c r="G56" s="7">
        <v>1065</v>
      </c>
      <c r="H56" s="16" t="str">
        <f t="shared" si="0"/>
        <v>(54,0,'Mohgoun plateau2',35*863,-0*331,5,1065),</v>
      </c>
    </row>
    <row r="57" spans="1:8" ht="20.100000000000001" customHeight="1" x14ac:dyDescent="0.25">
      <c r="A57" s="3">
        <v>55</v>
      </c>
      <c r="B57" s="15">
        <v>0</v>
      </c>
      <c r="C57" s="13" t="s">
        <v>2900</v>
      </c>
      <c r="D57" s="13" t="s">
        <v>5983</v>
      </c>
      <c r="E57" s="13" t="s">
        <v>5984</v>
      </c>
      <c r="F57" s="13">
        <v>1100</v>
      </c>
      <c r="G57" s="7">
        <v>579</v>
      </c>
      <c r="H57" s="16" t="str">
        <f t="shared" si="0"/>
        <v>(55,0,'Moudjebara',34*507,3*47,1100,579),</v>
      </c>
    </row>
    <row r="58" spans="1:8" ht="20.100000000000001" customHeight="1" x14ac:dyDescent="0.25">
      <c r="A58" s="3">
        <v>56</v>
      </c>
      <c r="B58" s="15">
        <v>0</v>
      </c>
      <c r="C58" s="13" t="s">
        <v>5881</v>
      </c>
      <c r="D58" s="13" t="s">
        <v>5985</v>
      </c>
      <c r="E58" s="13" t="s">
        <v>5986</v>
      </c>
      <c r="F58" s="13">
        <v>856</v>
      </c>
      <c r="G58" s="7">
        <v>52</v>
      </c>
      <c r="H58" s="16" t="str">
        <f t="shared" si="0"/>
        <v>(56,0,'M\'seka1',33*789,2*583,856,52),</v>
      </c>
    </row>
    <row r="59" spans="1:8" ht="20.100000000000001" customHeight="1" x14ac:dyDescent="0.25">
      <c r="A59" s="3">
        <v>57</v>
      </c>
      <c r="B59" s="15">
        <v>0</v>
      </c>
      <c r="C59" s="13" t="s">
        <v>5882</v>
      </c>
      <c r="D59" s="13" t="s">
        <v>5987</v>
      </c>
      <c r="E59" s="13" t="s">
        <v>5988</v>
      </c>
      <c r="F59" s="13">
        <v>875</v>
      </c>
      <c r="G59" s="7">
        <v>52</v>
      </c>
      <c r="H59" s="16" t="str">
        <f t="shared" si="0"/>
        <v>(57,0,'M\'seka2',33*809,2*59,875,52),</v>
      </c>
    </row>
    <row r="60" spans="1:8" ht="20.100000000000001" customHeight="1" x14ac:dyDescent="0.25">
      <c r="A60" s="3">
        <v>58</v>
      </c>
      <c r="B60" s="15">
        <v>0</v>
      </c>
      <c r="C60" s="13" t="s">
        <v>5883</v>
      </c>
      <c r="D60" s="13" t="s">
        <v>5989</v>
      </c>
      <c r="E60" s="13" t="s">
        <v>5990</v>
      </c>
      <c r="F60" s="13">
        <v>835</v>
      </c>
      <c r="G60" s="7">
        <v>52</v>
      </c>
      <c r="H60" s="16" t="str">
        <f t="shared" si="0"/>
        <v>(58,0,'M\'seka3',33*769,2*576,835,52),</v>
      </c>
    </row>
    <row r="61" spans="1:8" ht="20.100000000000001" customHeight="1" x14ac:dyDescent="0.25">
      <c r="A61" s="3">
        <v>59</v>
      </c>
      <c r="B61" s="15">
        <v>0</v>
      </c>
      <c r="C61" s="13" t="s">
        <v>5884</v>
      </c>
      <c r="D61" s="13" t="s">
        <v>5991</v>
      </c>
      <c r="E61" s="13" t="s">
        <v>5992</v>
      </c>
      <c r="F61" s="13">
        <v>600</v>
      </c>
      <c r="G61" s="7">
        <v>963</v>
      </c>
      <c r="H61" s="16" t="str">
        <f t="shared" si="0"/>
        <v>(59,0,'M\'Sila',35*719,4*523,600,963),</v>
      </c>
    </row>
    <row r="62" spans="1:8" ht="20.100000000000001" customHeight="1" x14ac:dyDescent="0.25">
      <c r="A62" s="3">
        <v>60</v>
      </c>
      <c r="B62" s="15">
        <v>0</v>
      </c>
      <c r="C62" s="13" t="s">
        <v>3792</v>
      </c>
      <c r="D62" s="13" t="s">
        <v>5993</v>
      </c>
      <c r="E62" s="13" t="s">
        <v>5994</v>
      </c>
      <c r="F62" s="13">
        <v>1018</v>
      </c>
      <c r="G62" s="7">
        <v>413</v>
      </c>
      <c r="H62" s="16" t="str">
        <f t="shared" si="0"/>
        <v>(60,0,'Nador',35*288,1*452,1018,413),</v>
      </c>
    </row>
    <row r="63" spans="1:8" ht="20.100000000000001" customHeight="1" x14ac:dyDescent="0.25">
      <c r="A63" s="3">
        <v>61</v>
      </c>
      <c r="B63" s="15">
        <v>0</v>
      </c>
      <c r="C63" s="13" t="s">
        <v>4044</v>
      </c>
      <c r="D63" s="13" t="s">
        <v>5995</v>
      </c>
      <c r="E63" s="13" t="s">
        <v>5996</v>
      </c>
      <c r="F63" s="13">
        <v>182</v>
      </c>
      <c r="G63" s="7">
        <v>1057</v>
      </c>
      <c r="H63" s="16" t="str">
        <f t="shared" si="0"/>
        <v>(61,0,'Nezla',33*083,6*051,182,1057),</v>
      </c>
    </row>
    <row r="64" spans="1:8" ht="20.100000000000001" customHeight="1" x14ac:dyDescent="0.25">
      <c r="A64" s="3">
        <v>62</v>
      </c>
      <c r="B64" s="15">
        <v>0</v>
      </c>
      <c r="C64" s="13" t="s">
        <v>5885</v>
      </c>
      <c r="D64" s="13" t="s">
        <v>5997</v>
      </c>
      <c r="E64" s="13" t="s">
        <v>5998</v>
      </c>
      <c r="F64" s="13">
        <v>580</v>
      </c>
      <c r="G64" s="7">
        <v>124</v>
      </c>
      <c r="H64" s="16" t="str">
        <f t="shared" si="0"/>
        <v>(62,0,'N\'Gaous',35*557,5*593,580,124),</v>
      </c>
    </row>
    <row r="65" spans="1:8" ht="20.100000000000001" customHeight="1" x14ac:dyDescent="0.25">
      <c r="A65" s="3">
        <v>63</v>
      </c>
      <c r="B65" s="15">
        <v>0</v>
      </c>
      <c r="C65" s="13" t="s">
        <v>5341</v>
      </c>
      <c r="D65" s="13" t="s">
        <v>5999</v>
      </c>
      <c r="E65" s="13" t="s">
        <v>6000</v>
      </c>
      <c r="F65" s="13">
        <v>600</v>
      </c>
      <c r="G65" s="7">
        <v>1113</v>
      </c>
      <c r="H65" s="16" t="str">
        <f t="shared" si="0"/>
        <v>(63,0,'Ohanet',28*68,8*873,600,1113),</v>
      </c>
    </row>
    <row r="66" spans="1:8" ht="20.100000000000001" customHeight="1" x14ac:dyDescent="0.25">
      <c r="A66" s="3">
        <v>64</v>
      </c>
      <c r="B66" s="15">
        <v>0</v>
      </c>
      <c r="C66" s="13" t="s">
        <v>5514</v>
      </c>
      <c r="D66" s="13" t="s">
        <v>6001</v>
      </c>
      <c r="E66" s="13" t="s">
        <v>6002</v>
      </c>
      <c r="F66" s="13">
        <v>256</v>
      </c>
      <c r="G66" s="7">
        <v>1057</v>
      </c>
      <c r="H66" s="16" t="str">
        <f t="shared" si="0"/>
        <v>(64,0,'Ouargla1',31*951,5*331,256,1057),</v>
      </c>
    </row>
    <row r="67" spans="1:8" ht="20.100000000000001" customHeight="1" x14ac:dyDescent="0.25">
      <c r="A67" s="3">
        <v>65</v>
      </c>
      <c r="B67" s="15">
        <v>0</v>
      </c>
      <c r="C67" s="13" t="s">
        <v>5515</v>
      </c>
      <c r="D67" s="13" t="s">
        <v>6003</v>
      </c>
      <c r="E67" s="13" t="s">
        <v>6004</v>
      </c>
      <c r="F67" s="13">
        <v>260</v>
      </c>
      <c r="G67" s="7">
        <v>1057</v>
      </c>
      <c r="H67" s="16" t="str">
        <f t="shared" si="0"/>
        <v>(65,0,'Ouargla2',31*933,5*327,260,1057),</v>
      </c>
    </row>
    <row r="68" spans="1:8" ht="20.100000000000001" customHeight="1" x14ac:dyDescent="0.25">
      <c r="A68" s="3">
        <v>66</v>
      </c>
      <c r="B68" s="15">
        <v>0</v>
      </c>
      <c r="C68" s="13" t="s">
        <v>5482</v>
      </c>
      <c r="D68" s="13" t="s">
        <v>6005</v>
      </c>
      <c r="E68" s="13" t="s">
        <v>6006</v>
      </c>
      <c r="F68" s="13">
        <v>85</v>
      </c>
      <c r="G68" s="7">
        <v>359</v>
      </c>
      <c r="H68" s="16" t="str">
        <f t="shared" ref="H68:H131" si="1">CONCATENATE("(",A68,",",B68,",'",C68,"',",D68,",",E68,",",F68,",",G68,"),")</f>
        <v>(66,0,'Oued Saf Saf',35*72,1*5,85,359),</v>
      </c>
    </row>
    <row r="69" spans="1:8" ht="20.100000000000001" customHeight="1" x14ac:dyDescent="0.25">
      <c r="A69" s="3">
        <v>67</v>
      </c>
      <c r="B69" s="15">
        <v>0</v>
      </c>
      <c r="C69" s="13" t="s">
        <v>1072</v>
      </c>
      <c r="D69" s="13" t="s">
        <v>6007</v>
      </c>
      <c r="E69" s="13" t="s">
        <v>6008</v>
      </c>
      <c r="F69" s="13">
        <v>397</v>
      </c>
      <c r="G69" s="7">
        <v>1498</v>
      </c>
      <c r="H69" s="16" t="str">
        <f t="shared" si="1"/>
        <v>(67,0,'Ouled Djellal',34*417,5*067,397,1498),</v>
      </c>
    </row>
    <row r="70" spans="1:8" ht="20.100000000000001" customHeight="1" x14ac:dyDescent="0.25">
      <c r="A70" s="3">
        <v>68</v>
      </c>
      <c r="B70" s="15">
        <v>0</v>
      </c>
      <c r="C70" s="13" t="s">
        <v>5516</v>
      </c>
      <c r="D70" s="13" t="s">
        <v>6009</v>
      </c>
      <c r="E70" s="13" t="s">
        <v>6010</v>
      </c>
      <c r="F70" s="13">
        <v>360</v>
      </c>
      <c r="G70" s="7">
        <v>1057</v>
      </c>
      <c r="H70" s="16" t="str">
        <f t="shared" si="1"/>
        <v>(68,0,'Ourhoud',31*7,5*85,360,1057),</v>
      </c>
    </row>
    <row r="71" spans="1:8" ht="20.100000000000001" customHeight="1" x14ac:dyDescent="0.25">
      <c r="A71" s="3">
        <v>69</v>
      </c>
      <c r="B71" s="15">
        <v>0</v>
      </c>
      <c r="C71" s="13" t="s">
        <v>1123</v>
      </c>
      <c r="D71" s="13" t="s">
        <v>6011</v>
      </c>
      <c r="E71" s="13" t="s">
        <v>6012</v>
      </c>
      <c r="F71" s="13">
        <v>200</v>
      </c>
      <c r="G71" s="7">
        <v>4</v>
      </c>
      <c r="H71" s="16" t="str">
        <f t="shared" si="1"/>
        <v>(69,0,'Reggane',26*8,-2*8,200,4),</v>
      </c>
    </row>
    <row r="72" spans="1:8" ht="20.100000000000001" customHeight="1" x14ac:dyDescent="0.25">
      <c r="A72" s="3">
        <v>70</v>
      </c>
      <c r="B72" s="15">
        <v>0</v>
      </c>
      <c r="C72" s="13" t="s">
        <v>5365</v>
      </c>
      <c r="D72" s="13" t="s">
        <v>6013</v>
      </c>
      <c r="E72" s="13" t="s">
        <v>6014</v>
      </c>
      <c r="F72" s="13">
        <v>300</v>
      </c>
      <c r="G72" s="7">
        <v>1064</v>
      </c>
      <c r="H72" s="16" t="str">
        <f t="shared" si="1"/>
        <v>(70,0,'Rhoude El Baguel',32*15,2*15,300,1064),</v>
      </c>
    </row>
    <row r="73" spans="1:8" ht="20.100000000000001" customHeight="1" x14ac:dyDescent="0.25">
      <c r="A73" s="3">
        <v>71</v>
      </c>
      <c r="B73" s="15">
        <v>0</v>
      </c>
      <c r="C73" s="13" t="s">
        <v>5517</v>
      </c>
      <c r="D73" s="13" t="s">
        <v>6015</v>
      </c>
      <c r="E73" s="13" t="s">
        <v>6016</v>
      </c>
      <c r="F73" s="13">
        <v>252</v>
      </c>
      <c r="G73" s="7">
        <v>1114</v>
      </c>
      <c r="H73" s="16" t="str">
        <f t="shared" si="1"/>
        <v>(71,0,'Rhourde Nouss',29*74,6*702,252,1114),</v>
      </c>
    </row>
    <row r="74" spans="1:8" ht="20.100000000000001" customHeight="1" x14ac:dyDescent="0.25">
      <c r="A74" s="3">
        <v>72</v>
      </c>
      <c r="B74" s="15">
        <v>0</v>
      </c>
      <c r="C74" s="13" t="s">
        <v>2103</v>
      </c>
      <c r="D74" s="13" t="s">
        <v>6017</v>
      </c>
      <c r="E74" s="13" t="s">
        <v>6018</v>
      </c>
      <c r="F74" s="13">
        <v>280</v>
      </c>
      <c r="G74" s="7">
        <v>1</v>
      </c>
      <c r="H74" s="16" t="str">
        <f t="shared" si="1"/>
        <v>(72,0,'Sebaa',28*21,-0*156,280,1),</v>
      </c>
    </row>
    <row r="75" spans="1:8" ht="20.100000000000001" customHeight="1" x14ac:dyDescent="0.25">
      <c r="A75" s="3">
        <v>73</v>
      </c>
      <c r="B75" s="15">
        <v>0</v>
      </c>
      <c r="C75" s="13" t="s">
        <v>2251</v>
      </c>
      <c r="D75" s="13" t="s">
        <v>6019</v>
      </c>
      <c r="E75" s="13" t="s">
        <v>6020</v>
      </c>
      <c r="F75" s="13">
        <v>575</v>
      </c>
      <c r="G75" s="7">
        <v>105</v>
      </c>
      <c r="H75" s="16" t="str">
        <f t="shared" si="1"/>
        <v>(73,0,'Sefiane',35*235,6*123,575,105),</v>
      </c>
    </row>
    <row r="76" spans="1:8" ht="20.100000000000001" customHeight="1" x14ac:dyDescent="0.25">
      <c r="A76" s="3">
        <v>74</v>
      </c>
      <c r="B76" s="15">
        <v>0</v>
      </c>
      <c r="C76" s="13" t="s">
        <v>5518</v>
      </c>
      <c r="D76" s="13" t="s">
        <v>5937</v>
      </c>
      <c r="E76" s="13" t="s">
        <v>5938</v>
      </c>
      <c r="F76" s="13">
        <v>185</v>
      </c>
      <c r="G76" s="7">
        <v>231</v>
      </c>
      <c r="H76" s="16" t="str">
        <f t="shared" si="1"/>
        <v>(74,0,'Selga/El Outaya',35*034,5*595,185,231),</v>
      </c>
    </row>
    <row r="77" spans="1:8" ht="20.100000000000001" customHeight="1" x14ac:dyDescent="0.25">
      <c r="A77" s="3">
        <v>75</v>
      </c>
      <c r="B77" s="15">
        <v>0</v>
      </c>
      <c r="C77" s="13" t="s">
        <v>5519</v>
      </c>
      <c r="D77" s="13" t="s">
        <v>6021</v>
      </c>
      <c r="E77" s="13" t="s">
        <v>6022</v>
      </c>
      <c r="F77" s="13">
        <v>80</v>
      </c>
      <c r="G77" s="7">
        <v>544</v>
      </c>
      <c r="H77" s="16" t="str">
        <f t="shared" si="1"/>
        <v>(75,0,'Sidi Arcine',36*754,3*059,80,544),</v>
      </c>
    </row>
    <row r="78" spans="1:8" ht="20.100000000000001" customHeight="1" x14ac:dyDescent="0.25">
      <c r="A78" s="3">
        <v>76</v>
      </c>
      <c r="B78" s="15">
        <v>0</v>
      </c>
      <c r="C78" s="13" t="s">
        <v>1012</v>
      </c>
      <c r="D78" s="13" t="s">
        <v>6023</v>
      </c>
      <c r="E78" s="13" t="s">
        <v>6024</v>
      </c>
      <c r="F78" s="13">
        <v>18</v>
      </c>
      <c r="G78" s="7">
        <v>721</v>
      </c>
      <c r="H78" s="16" t="str">
        <f t="shared" si="1"/>
        <v>(76,0,'Skikda',36*885,6*924,18,721),</v>
      </c>
    </row>
    <row r="79" spans="1:8" ht="20.100000000000001" customHeight="1" x14ac:dyDescent="0.25">
      <c r="A79" s="3">
        <v>77</v>
      </c>
      <c r="B79" s="15">
        <v>0</v>
      </c>
      <c r="C79" s="13" t="s">
        <v>5520</v>
      </c>
      <c r="D79" s="13" t="s">
        <v>6025</v>
      </c>
      <c r="E79" s="13" t="s">
        <v>6026</v>
      </c>
      <c r="F79" s="13">
        <v>890</v>
      </c>
      <c r="G79" s="7">
        <v>52</v>
      </c>
      <c r="H79" s="16" t="str">
        <f t="shared" si="1"/>
        <v>(77,0,'Timzhert 1',33*625,2*739,890,52),</v>
      </c>
    </row>
    <row r="80" spans="1:8" ht="20.100000000000001" customHeight="1" x14ac:dyDescent="0.25">
      <c r="A80" s="3">
        <v>78</v>
      </c>
      <c r="B80" s="15">
        <v>0</v>
      </c>
      <c r="C80" s="13" t="s">
        <v>5521</v>
      </c>
      <c r="D80" s="13" t="s">
        <v>6027</v>
      </c>
      <c r="E80" s="13" t="s">
        <v>6028</v>
      </c>
      <c r="F80" s="13">
        <v>912</v>
      </c>
      <c r="G80" s="7">
        <v>52</v>
      </c>
      <c r="H80" s="16" t="str">
        <f t="shared" si="1"/>
        <v>(78,0,'Timzhert 2',33*641,2*741,912,52),</v>
      </c>
    </row>
    <row r="81" spans="1:8" ht="20.100000000000001" customHeight="1" x14ac:dyDescent="0.25">
      <c r="A81" s="3">
        <v>79</v>
      </c>
      <c r="B81" s="15">
        <v>0</v>
      </c>
      <c r="C81" s="13" t="s">
        <v>5522</v>
      </c>
      <c r="D81" s="13" t="s">
        <v>6029</v>
      </c>
      <c r="E81" s="13" t="s">
        <v>6030</v>
      </c>
      <c r="F81" s="13">
        <v>875</v>
      </c>
      <c r="G81" s="7">
        <v>52</v>
      </c>
      <c r="H81" s="16" t="str">
        <f t="shared" si="1"/>
        <v>(79,0,'Timzhert 3',33*608,2*736,875,52),</v>
      </c>
    </row>
    <row r="82" spans="1:8" ht="20.100000000000001" customHeight="1" x14ac:dyDescent="0.25">
      <c r="A82" s="3">
        <v>80</v>
      </c>
      <c r="B82" s="15">
        <v>0</v>
      </c>
      <c r="C82" s="13" t="s">
        <v>5523</v>
      </c>
      <c r="D82" s="13" t="s">
        <v>6031</v>
      </c>
      <c r="E82" s="13" t="s">
        <v>6032</v>
      </c>
      <c r="F82" s="13">
        <v>470</v>
      </c>
      <c r="G82" s="7">
        <v>1113</v>
      </c>
      <c r="H82" s="16" t="str">
        <f t="shared" si="1"/>
        <v>(80,0,'Tin-Fouyé 1',28*146,6*826,470,1113),</v>
      </c>
    </row>
    <row r="83" spans="1:8" ht="20.100000000000001" customHeight="1" x14ac:dyDescent="0.25">
      <c r="A83" s="3">
        <v>81</v>
      </c>
      <c r="B83" s="15">
        <v>0</v>
      </c>
      <c r="C83" s="13" t="s">
        <v>5524</v>
      </c>
      <c r="D83" s="13" t="s">
        <v>6033</v>
      </c>
      <c r="E83" s="13" t="s">
        <v>6034</v>
      </c>
      <c r="F83" s="13">
        <v>400</v>
      </c>
      <c r="G83" s="7">
        <v>1113</v>
      </c>
      <c r="H83" s="16" t="str">
        <f t="shared" si="1"/>
        <v>(81,0,'Tin-Fouyé 2',27*5,10*2,400,1113),</v>
      </c>
    </row>
    <row r="84" spans="1:8" ht="20.100000000000001" customHeight="1" x14ac:dyDescent="0.25">
      <c r="A84" s="3">
        <v>82</v>
      </c>
      <c r="B84" s="15">
        <v>0</v>
      </c>
      <c r="C84" s="13" t="s">
        <v>1273</v>
      </c>
      <c r="D84" s="13" t="s">
        <v>5886</v>
      </c>
      <c r="E84" s="13" t="s">
        <v>5944</v>
      </c>
      <c r="F84" s="13">
        <v>495</v>
      </c>
      <c r="G84" s="7">
        <v>237</v>
      </c>
      <c r="H84" s="16" t="str">
        <f t="shared" si="1"/>
        <v>(82,0,'Tolga',34*833,6*071,495,237),</v>
      </c>
    </row>
    <row r="85" spans="1:8" ht="20.100000000000001" customHeight="1" x14ac:dyDescent="0.25">
      <c r="A85" s="3">
        <v>83</v>
      </c>
      <c r="B85" s="15">
        <v>0</v>
      </c>
      <c r="C85" s="13" t="s">
        <v>5525</v>
      </c>
      <c r="D85" s="13" t="s">
        <v>6035</v>
      </c>
      <c r="E85" s="13" t="s">
        <v>6036</v>
      </c>
      <c r="F85" s="13">
        <v>1032</v>
      </c>
      <c r="G85" s="7">
        <v>413</v>
      </c>
      <c r="H85" s="16" t="str">
        <f t="shared" si="1"/>
        <v>(83,0,'Zaaroura',35*345,1*319,1032,413),</v>
      </c>
    </row>
    <row r="86" spans="1:8" ht="20.100000000000001" customHeight="1" x14ac:dyDescent="0.25">
      <c r="A86" s="3">
        <v>84</v>
      </c>
      <c r="B86" s="15">
        <v>0</v>
      </c>
      <c r="C86" s="13" t="s">
        <v>5526</v>
      </c>
      <c r="D86" s="13" t="s">
        <v>6037</v>
      </c>
      <c r="E86" s="13" t="s">
        <v>6038</v>
      </c>
      <c r="F86" s="13">
        <v>166</v>
      </c>
      <c r="G86" s="7">
        <v>1057</v>
      </c>
      <c r="H86" s="16" t="str">
        <f t="shared" si="1"/>
        <v>(84,0,'Zina',31*788,6*052,166,1057),</v>
      </c>
    </row>
    <row r="87" spans="1:8" ht="20.100000000000001" customHeight="1" x14ac:dyDescent="0.25">
      <c r="A87" s="3">
        <v>85</v>
      </c>
      <c r="B87" s="15">
        <v>0</v>
      </c>
      <c r="C87" s="13" t="s">
        <v>5527</v>
      </c>
      <c r="D87" s="13" t="s">
        <v>6039</v>
      </c>
      <c r="E87" s="13" t="s">
        <v>6040</v>
      </c>
      <c r="F87" s="13">
        <v>920</v>
      </c>
      <c r="G87" s="7">
        <v>595</v>
      </c>
      <c r="H87" s="16" t="str">
        <f t="shared" si="1"/>
        <v>(85,0,'Zmelat El Arbi',33*78,3*56,920,595),</v>
      </c>
    </row>
    <row r="88" spans="1:8" ht="20.100000000000001" customHeight="1" x14ac:dyDescent="0.25">
      <c r="A88" s="3">
        <v>86</v>
      </c>
      <c r="B88" s="15">
        <v>0</v>
      </c>
      <c r="C88" s="13"/>
      <c r="D88" s="10"/>
      <c r="E88" s="10"/>
      <c r="F88" s="10"/>
      <c r="G88" s="7"/>
      <c r="H88" s="16" t="str">
        <f t="shared" si="1"/>
        <v>(86,0,'',,,,),</v>
      </c>
    </row>
    <row r="89" spans="1:8" ht="20.100000000000001" customHeight="1" x14ac:dyDescent="0.25">
      <c r="A89" s="3">
        <v>87</v>
      </c>
      <c r="B89" s="15">
        <v>0</v>
      </c>
      <c r="C89" s="13"/>
      <c r="D89" s="10"/>
      <c r="E89" s="10"/>
      <c r="F89" s="10"/>
      <c r="G89" s="7"/>
      <c r="H89" s="16" t="str">
        <f t="shared" si="1"/>
        <v>(87,0,'',,,,),</v>
      </c>
    </row>
    <row r="90" spans="1:8" ht="20.100000000000001" customHeight="1" x14ac:dyDescent="0.25">
      <c r="A90" s="3">
        <v>88</v>
      </c>
      <c r="B90" s="15">
        <v>0</v>
      </c>
      <c r="C90" s="13"/>
      <c r="D90" s="10"/>
      <c r="E90" s="10"/>
      <c r="F90" s="10"/>
      <c r="G90" s="7"/>
      <c r="H90" s="16" t="str">
        <f t="shared" si="1"/>
        <v>(88,0,'',,,,),</v>
      </c>
    </row>
    <row r="91" spans="1:8" ht="20.100000000000001" customHeight="1" x14ac:dyDescent="0.25">
      <c r="A91" s="3">
        <v>89</v>
      </c>
      <c r="B91" s="15">
        <v>0</v>
      </c>
      <c r="C91" s="13"/>
      <c r="D91" s="10"/>
      <c r="E91" s="10"/>
      <c r="F91" s="10"/>
      <c r="G91" s="7"/>
      <c r="H91" s="16" t="str">
        <f t="shared" si="1"/>
        <v>(89,0,'',,,,),</v>
      </c>
    </row>
    <row r="92" spans="1:8" ht="20.100000000000001" customHeight="1" x14ac:dyDescent="0.25">
      <c r="A92" s="3">
        <v>90</v>
      </c>
      <c r="B92" s="15">
        <v>0</v>
      </c>
      <c r="C92" s="13"/>
      <c r="D92" s="10"/>
      <c r="E92" s="10"/>
      <c r="F92" s="10"/>
      <c r="G92" s="7"/>
      <c r="H92" s="16" t="str">
        <f t="shared" si="1"/>
        <v>(90,0,'',,,,),</v>
      </c>
    </row>
    <row r="93" spans="1:8" ht="20.100000000000001" customHeight="1" x14ac:dyDescent="0.25">
      <c r="A93" s="3">
        <v>91</v>
      </c>
      <c r="B93" s="15">
        <v>0</v>
      </c>
      <c r="C93" s="13"/>
      <c r="D93" s="10"/>
      <c r="E93" s="10"/>
      <c r="F93" s="10"/>
      <c r="G93" s="7"/>
      <c r="H93" s="16" t="str">
        <f t="shared" si="1"/>
        <v>(91,0,'',,,,),</v>
      </c>
    </row>
    <row r="94" spans="1:8" ht="20.100000000000001" customHeight="1" x14ac:dyDescent="0.25">
      <c r="A94" s="3">
        <v>92</v>
      </c>
      <c r="B94" s="15">
        <v>0</v>
      </c>
      <c r="C94" s="13"/>
      <c r="D94" s="10"/>
      <c r="E94" s="10"/>
      <c r="F94" s="10"/>
      <c r="G94" s="7"/>
      <c r="H94" s="16" t="str">
        <f t="shared" si="1"/>
        <v>(92,0,'',,,,),</v>
      </c>
    </row>
    <row r="95" spans="1:8" ht="20.100000000000001" customHeight="1" x14ac:dyDescent="0.25">
      <c r="A95" s="3">
        <v>93</v>
      </c>
      <c r="B95" s="15">
        <v>0</v>
      </c>
      <c r="C95" s="13"/>
      <c r="D95" s="10"/>
      <c r="E95" s="10"/>
      <c r="F95" s="10"/>
      <c r="G95" s="7"/>
      <c r="H95" s="16" t="str">
        <f t="shared" si="1"/>
        <v>(93,0,'',,,,),</v>
      </c>
    </row>
    <row r="96" spans="1:8" ht="20.100000000000001" customHeight="1" x14ac:dyDescent="0.25">
      <c r="A96" s="3">
        <v>94</v>
      </c>
      <c r="B96" s="15">
        <v>0</v>
      </c>
      <c r="C96" s="13"/>
      <c r="D96" s="10"/>
      <c r="E96" s="10"/>
      <c r="F96" s="10"/>
      <c r="G96" s="7"/>
      <c r="H96" s="16" t="str">
        <f t="shared" si="1"/>
        <v>(94,0,'',,,,),</v>
      </c>
    </row>
    <row r="97" spans="1:8" ht="20.100000000000001" customHeight="1" x14ac:dyDescent="0.25">
      <c r="A97" s="3">
        <v>95</v>
      </c>
      <c r="B97" s="15">
        <v>0</v>
      </c>
      <c r="C97" s="13"/>
      <c r="D97" s="10"/>
      <c r="E97" s="10"/>
      <c r="F97" s="10"/>
      <c r="G97" s="7"/>
      <c r="H97" s="16" t="str">
        <f t="shared" si="1"/>
        <v>(95,0,'',,,,),</v>
      </c>
    </row>
    <row r="98" spans="1:8" ht="20.100000000000001" customHeight="1" x14ac:dyDescent="0.25">
      <c r="A98" s="3">
        <v>96</v>
      </c>
      <c r="B98" s="15">
        <v>0</v>
      </c>
      <c r="C98" s="13"/>
      <c r="D98" s="10"/>
      <c r="E98" s="10"/>
      <c r="F98" s="10"/>
      <c r="G98" s="7"/>
      <c r="H98" s="16" t="str">
        <f t="shared" si="1"/>
        <v>(96,0,'',,,,),</v>
      </c>
    </row>
    <row r="99" spans="1:8" ht="20.100000000000001" customHeight="1" x14ac:dyDescent="0.25">
      <c r="A99" s="3">
        <v>97</v>
      </c>
      <c r="B99" s="15">
        <v>0</v>
      </c>
      <c r="C99" s="13"/>
      <c r="D99" s="10"/>
      <c r="E99" s="10"/>
      <c r="F99" s="10"/>
      <c r="G99" s="7"/>
      <c r="H99" s="16" t="str">
        <f t="shared" si="1"/>
        <v>(97,0,'',,,,),</v>
      </c>
    </row>
    <row r="100" spans="1:8" ht="20.100000000000001" customHeight="1" x14ac:dyDescent="0.25">
      <c r="A100" s="3">
        <v>98</v>
      </c>
      <c r="B100" s="15">
        <v>0</v>
      </c>
      <c r="C100" s="13"/>
      <c r="D100" s="10"/>
      <c r="E100" s="10"/>
      <c r="F100" s="10"/>
      <c r="G100" s="7"/>
      <c r="H100" s="16" t="str">
        <f t="shared" si="1"/>
        <v>(98,0,'',,,,),</v>
      </c>
    </row>
    <row r="101" spans="1:8" ht="20.100000000000001" customHeight="1" x14ac:dyDescent="0.25">
      <c r="A101" s="3">
        <v>99</v>
      </c>
      <c r="B101" s="15">
        <v>0</v>
      </c>
      <c r="C101" s="13"/>
      <c r="D101" s="10"/>
      <c r="E101" s="10"/>
      <c r="F101" s="10"/>
      <c r="G101" s="7"/>
      <c r="H101" s="16" t="str">
        <f t="shared" si="1"/>
        <v>(99,0,'',,,,),</v>
      </c>
    </row>
    <row r="102" spans="1:8" ht="20.100000000000001" customHeight="1" x14ac:dyDescent="0.25">
      <c r="A102" s="3">
        <v>100</v>
      </c>
      <c r="B102" s="15">
        <v>0</v>
      </c>
      <c r="C102" s="13"/>
      <c r="D102" s="10"/>
      <c r="E102" s="10"/>
      <c r="F102" s="10"/>
      <c r="G102" s="7"/>
      <c r="H102" s="16" t="str">
        <f t="shared" si="1"/>
        <v>(100,0,'',,,,),</v>
      </c>
    </row>
    <row r="103" spans="1:8" ht="20.100000000000001" customHeight="1" x14ac:dyDescent="0.25">
      <c r="A103" s="3">
        <v>101</v>
      </c>
      <c r="B103" s="15">
        <v>0</v>
      </c>
      <c r="C103" s="13"/>
      <c r="D103" s="10"/>
      <c r="E103" s="10"/>
      <c r="F103" s="10"/>
      <c r="G103" s="7"/>
      <c r="H103" s="16" t="str">
        <f t="shared" si="1"/>
        <v>(101,0,'',,,,),</v>
      </c>
    </row>
    <row r="104" spans="1:8" ht="20.100000000000001" customHeight="1" x14ac:dyDescent="0.25">
      <c r="A104" s="3">
        <v>102</v>
      </c>
      <c r="B104" s="15">
        <v>0</v>
      </c>
      <c r="C104" s="13"/>
      <c r="D104" s="10"/>
      <c r="E104" s="10"/>
      <c r="F104" s="10"/>
      <c r="G104" s="7"/>
      <c r="H104" s="16" t="str">
        <f t="shared" si="1"/>
        <v>(102,0,'',,,,),</v>
      </c>
    </row>
    <row r="105" spans="1:8" ht="20.100000000000001" customHeight="1" x14ac:dyDescent="0.25">
      <c r="A105" s="3">
        <v>103</v>
      </c>
      <c r="B105" s="15">
        <v>0</v>
      </c>
      <c r="C105" s="13"/>
      <c r="D105" s="10"/>
      <c r="E105" s="10"/>
      <c r="F105" s="10"/>
      <c r="G105" s="7"/>
      <c r="H105" s="16" t="str">
        <f t="shared" si="1"/>
        <v>(103,0,'',,,,),</v>
      </c>
    </row>
    <row r="106" spans="1:8" ht="20.100000000000001" customHeight="1" x14ac:dyDescent="0.25">
      <c r="A106" s="3">
        <v>104</v>
      </c>
      <c r="B106" s="15">
        <v>0</v>
      </c>
      <c r="C106" s="13"/>
      <c r="D106" s="10"/>
      <c r="E106" s="10"/>
      <c r="F106" s="10"/>
      <c r="G106" s="7"/>
      <c r="H106" s="16" t="str">
        <f t="shared" si="1"/>
        <v>(104,0,'',,,,),</v>
      </c>
    </row>
    <row r="107" spans="1:8" ht="20.100000000000001" customHeight="1" x14ac:dyDescent="0.25">
      <c r="A107" s="3">
        <v>105</v>
      </c>
      <c r="B107" s="15">
        <v>0</v>
      </c>
      <c r="C107" s="13"/>
      <c r="D107" s="10"/>
      <c r="E107" s="10"/>
      <c r="F107" s="10"/>
      <c r="G107" s="7"/>
      <c r="H107" s="16" t="str">
        <f t="shared" si="1"/>
        <v>(105,0,'',,,,),</v>
      </c>
    </row>
    <row r="108" spans="1:8" ht="20.100000000000001" customHeight="1" x14ac:dyDescent="0.25">
      <c r="A108" s="3">
        <v>106</v>
      </c>
      <c r="B108" s="15">
        <v>0</v>
      </c>
      <c r="C108" s="13"/>
      <c r="D108" s="10"/>
      <c r="E108" s="10"/>
      <c r="F108" s="10"/>
      <c r="G108" s="7"/>
      <c r="H108" s="16" t="str">
        <f t="shared" si="1"/>
        <v>(106,0,'',,,,),</v>
      </c>
    </row>
    <row r="109" spans="1:8" ht="20.100000000000001" customHeight="1" x14ac:dyDescent="0.25">
      <c r="A109" s="3">
        <v>107</v>
      </c>
      <c r="B109" s="15">
        <v>0</v>
      </c>
      <c r="C109" s="13"/>
      <c r="D109" s="10"/>
      <c r="E109" s="10"/>
      <c r="F109" s="10"/>
      <c r="G109" s="7"/>
      <c r="H109" s="16" t="str">
        <f t="shared" si="1"/>
        <v>(107,0,'',,,,),</v>
      </c>
    </row>
    <row r="110" spans="1:8" ht="20.100000000000001" customHeight="1" x14ac:dyDescent="0.25">
      <c r="A110" s="3">
        <v>108</v>
      </c>
      <c r="B110" s="15">
        <v>0</v>
      </c>
      <c r="C110" s="13"/>
      <c r="D110" s="10"/>
      <c r="E110" s="10"/>
      <c r="F110" s="10"/>
      <c r="G110" s="7"/>
      <c r="H110" s="16" t="str">
        <f t="shared" si="1"/>
        <v>(108,0,'',,,,),</v>
      </c>
    </row>
    <row r="111" spans="1:8" ht="20.100000000000001" customHeight="1" x14ac:dyDescent="0.25">
      <c r="A111" s="3">
        <v>109</v>
      </c>
      <c r="B111" s="15">
        <v>0</v>
      </c>
      <c r="C111" s="13"/>
      <c r="D111" s="10"/>
      <c r="E111" s="10"/>
      <c r="F111" s="10"/>
      <c r="G111" s="7"/>
      <c r="H111" s="16" t="str">
        <f t="shared" si="1"/>
        <v>(109,0,'',,,,),</v>
      </c>
    </row>
    <row r="112" spans="1:8" ht="20.100000000000001" customHeight="1" x14ac:dyDescent="0.25">
      <c r="A112" s="3">
        <v>110</v>
      </c>
      <c r="B112" s="15">
        <v>0</v>
      </c>
      <c r="C112" s="13"/>
      <c r="D112" s="10"/>
      <c r="E112" s="10"/>
      <c r="F112" s="10"/>
      <c r="G112" s="7"/>
      <c r="H112" s="16" t="str">
        <f t="shared" si="1"/>
        <v>(110,0,'',,,,),</v>
      </c>
    </row>
    <row r="113" spans="1:8" ht="20.100000000000001" customHeight="1" x14ac:dyDescent="0.25">
      <c r="A113" s="3">
        <v>111</v>
      </c>
      <c r="B113" s="15">
        <v>0</v>
      </c>
      <c r="C113" s="13"/>
      <c r="D113" s="10"/>
      <c r="E113" s="10"/>
      <c r="F113" s="10"/>
      <c r="G113" s="7"/>
      <c r="H113" s="16" t="str">
        <f t="shared" si="1"/>
        <v>(111,0,'',,,,),</v>
      </c>
    </row>
    <row r="114" spans="1:8" ht="20.100000000000001" customHeight="1" x14ac:dyDescent="0.25">
      <c r="A114" s="3">
        <v>112</v>
      </c>
      <c r="B114" s="15">
        <v>0</v>
      </c>
      <c r="C114" s="13"/>
      <c r="D114" s="10"/>
      <c r="E114" s="10"/>
      <c r="F114" s="10"/>
      <c r="G114" s="7"/>
      <c r="H114" s="16" t="str">
        <f t="shared" si="1"/>
        <v>(112,0,'',,,,),</v>
      </c>
    </row>
    <row r="115" spans="1:8" ht="20.100000000000001" customHeight="1" x14ac:dyDescent="0.25">
      <c r="A115" s="3">
        <v>113</v>
      </c>
      <c r="B115" s="15">
        <v>0</v>
      </c>
      <c r="C115" s="13"/>
      <c r="D115" s="10"/>
      <c r="E115" s="10"/>
      <c r="F115" s="10"/>
      <c r="G115" s="7"/>
      <c r="H115" s="16" t="str">
        <f t="shared" si="1"/>
        <v>(113,0,'',,,,),</v>
      </c>
    </row>
    <row r="116" spans="1:8" ht="20.100000000000001" customHeight="1" x14ac:dyDescent="0.25">
      <c r="A116" s="3">
        <v>114</v>
      </c>
      <c r="B116" s="15">
        <v>0</v>
      </c>
      <c r="C116" s="13"/>
      <c r="D116" s="10"/>
      <c r="E116" s="10"/>
      <c r="F116" s="10"/>
      <c r="G116" s="7"/>
      <c r="H116" s="16" t="str">
        <f t="shared" si="1"/>
        <v>(114,0,'',,,,),</v>
      </c>
    </row>
    <row r="117" spans="1:8" ht="20.100000000000001" customHeight="1" x14ac:dyDescent="0.25">
      <c r="A117" s="3">
        <v>115</v>
      </c>
      <c r="B117" s="15">
        <v>0</v>
      </c>
      <c r="C117" s="13"/>
      <c r="D117" s="10"/>
      <c r="E117" s="10"/>
      <c r="F117" s="10"/>
      <c r="G117" s="7"/>
      <c r="H117" s="16" t="str">
        <f t="shared" si="1"/>
        <v>(115,0,'',,,,),</v>
      </c>
    </row>
    <row r="118" spans="1:8" ht="20.100000000000001" customHeight="1" x14ac:dyDescent="0.25">
      <c r="A118" s="3">
        <v>116</v>
      </c>
      <c r="B118" s="15">
        <v>0</v>
      </c>
      <c r="C118" s="13"/>
      <c r="D118" s="10"/>
      <c r="E118" s="10"/>
      <c r="F118" s="10"/>
      <c r="G118" s="7"/>
      <c r="H118" s="16" t="str">
        <f t="shared" si="1"/>
        <v>(116,0,'',,,,),</v>
      </c>
    </row>
    <row r="119" spans="1:8" ht="20.100000000000001" customHeight="1" x14ac:dyDescent="0.25">
      <c r="A119" s="3">
        <v>117</v>
      </c>
      <c r="B119" s="15">
        <v>0</v>
      </c>
      <c r="C119" s="13"/>
      <c r="D119" s="10"/>
      <c r="E119" s="10"/>
      <c r="F119" s="10"/>
      <c r="G119" s="7"/>
      <c r="H119" s="16" t="str">
        <f t="shared" si="1"/>
        <v>(117,0,'',,,,),</v>
      </c>
    </row>
    <row r="120" spans="1:8" ht="20.100000000000001" customHeight="1" x14ac:dyDescent="0.25">
      <c r="A120" s="3">
        <v>118</v>
      </c>
      <c r="B120" s="15">
        <v>0</v>
      </c>
      <c r="C120" s="13"/>
      <c r="D120" s="10"/>
      <c r="E120" s="10"/>
      <c r="F120" s="10"/>
      <c r="G120" s="7"/>
      <c r="H120" s="16" t="str">
        <f t="shared" si="1"/>
        <v>(118,0,'',,,,),</v>
      </c>
    </row>
    <row r="121" spans="1:8" ht="20.100000000000001" customHeight="1" x14ac:dyDescent="0.25">
      <c r="A121" s="3">
        <v>119</v>
      </c>
      <c r="B121" s="15">
        <v>0</v>
      </c>
      <c r="C121" s="13"/>
      <c r="D121" s="10"/>
      <c r="E121" s="10"/>
      <c r="F121" s="10"/>
      <c r="G121" s="7"/>
      <c r="H121" s="16" t="str">
        <f t="shared" si="1"/>
        <v>(119,0,'',,,,),</v>
      </c>
    </row>
    <row r="122" spans="1:8" ht="20.100000000000001" customHeight="1" x14ac:dyDescent="0.25">
      <c r="A122" s="3">
        <v>120</v>
      </c>
      <c r="B122" s="15">
        <v>0</v>
      </c>
      <c r="C122" s="13"/>
      <c r="D122" s="10"/>
      <c r="E122" s="10"/>
      <c r="F122" s="10"/>
      <c r="G122" s="7"/>
      <c r="H122" s="16" t="str">
        <f t="shared" si="1"/>
        <v>(120,0,'',,,,),</v>
      </c>
    </row>
    <row r="123" spans="1:8" ht="20.100000000000001" customHeight="1" x14ac:dyDescent="0.25">
      <c r="A123" s="3">
        <v>121</v>
      </c>
      <c r="B123" s="15">
        <v>0</v>
      </c>
      <c r="C123" s="13"/>
      <c r="D123" s="10"/>
      <c r="E123" s="10"/>
      <c r="F123" s="10"/>
      <c r="G123" s="7"/>
      <c r="H123" s="16" t="str">
        <f t="shared" si="1"/>
        <v>(121,0,'',,,,),</v>
      </c>
    </row>
    <row r="124" spans="1:8" ht="20.100000000000001" customHeight="1" x14ac:dyDescent="0.25">
      <c r="A124" s="3">
        <v>122</v>
      </c>
      <c r="B124" s="15">
        <v>0</v>
      </c>
      <c r="C124" s="13"/>
      <c r="D124" s="10"/>
      <c r="E124" s="10"/>
      <c r="F124" s="10"/>
      <c r="G124" s="7"/>
      <c r="H124" s="16" t="str">
        <f t="shared" si="1"/>
        <v>(122,0,'',,,,),</v>
      </c>
    </row>
    <row r="125" spans="1:8" ht="20.100000000000001" customHeight="1" x14ac:dyDescent="0.25">
      <c r="A125" s="3">
        <v>123</v>
      </c>
      <c r="B125" s="15">
        <v>0</v>
      </c>
      <c r="C125" s="13"/>
      <c r="D125" s="10"/>
      <c r="E125" s="10"/>
      <c r="F125" s="10"/>
      <c r="G125" s="7"/>
      <c r="H125" s="16" t="str">
        <f t="shared" si="1"/>
        <v>(123,0,'',,,,),</v>
      </c>
    </row>
    <row r="126" spans="1:8" ht="20.100000000000001" customHeight="1" x14ac:dyDescent="0.25">
      <c r="A126" s="3">
        <v>124</v>
      </c>
      <c r="B126" s="15">
        <v>0</v>
      </c>
      <c r="C126" s="13"/>
      <c r="D126" s="10"/>
      <c r="E126" s="10"/>
      <c r="F126" s="10"/>
      <c r="G126" s="7"/>
      <c r="H126" s="16" t="str">
        <f t="shared" si="1"/>
        <v>(124,0,'',,,,),</v>
      </c>
    </row>
    <row r="127" spans="1:8" ht="20.100000000000001" customHeight="1" x14ac:dyDescent="0.25">
      <c r="A127" s="3">
        <v>125</v>
      </c>
      <c r="B127" s="15">
        <v>0</v>
      </c>
      <c r="C127" s="13"/>
      <c r="D127" s="10"/>
      <c r="E127" s="10"/>
      <c r="F127" s="10"/>
      <c r="G127" s="7"/>
      <c r="H127" s="16" t="str">
        <f t="shared" si="1"/>
        <v>(125,0,'',,,,),</v>
      </c>
    </row>
    <row r="128" spans="1:8" ht="20.100000000000001" customHeight="1" x14ac:dyDescent="0.25">
      <c r="A128" s="3">
        <v>126</v>
      </c>
      <c r="B128" s="15">
        <v>0</v>
      </c>
      <c r="C128" s="13"/>
      <c r="D128" s="10"/>
      <c r="E128" s="10"/>
      <c r="F128" s="10"/>
      <c r="G128" s="7"/>
      <c r="H128" s="16" t="str">
        <f t="shared" si="1"/>
        <v>(126,0,'',,,,),</v>
      </c>
    </row>
    <row r="129" spans="1:8" ht="20.100000000000001" customHeight="1" x14ac:dyDescent="0.25">
      <c r="A129" s="3">
        <v>127</v>
      </c>
      <c r="B129" s="15">
        <v>0</v>
      </c>
      <c r="C129" s="13"/>
      <c r="D129" s="10"/>
      <c r="E129" s="10"/>
      <c r="F129" s="10"/>
      <c r="G129" s="7"/>
      <c r="H129" s="16" t="str">
        <f t="shared" si="1"/>
        <v>(127,0,'',,,,),</v>
      </c>
    </row>
    <row r="130" spans="1:8" ht="20.100000000000001" customHeight="1" x14ac:dyDescent="0.25">
      <c r="A130" s="3">
        <v>128</v>
      </c>
      <c r="B130" s="15">
        <v>0</v>
      </c>
      <c r="C130" s="13"/>
      <c r="D130" s="10"/>
      <c r="E130" s="10"/>
      <c r="F130" s="10"/>
      <c r="G130" s="7"/>
      <c r="H130" s="16" t="str">
        <f t="shared" si="1"/>
        <v>(128,0,'',,,,),</v>
      </c>
    </row>
    <row r="131" spans="1:8" ht="20.100000000000001" customHeight="1" x14ac:dyDescent="0.25">
      <c r="A131" s="3">
        <v>129</v>
      </c>
      <c r="B131" s="15">
        <v>0</v>
      </c>
      <c r="C131" s="13"/>
      <c r="D131" s="10"/>
      <c r="E131" s="10"/>
      <c r="F131" s="10"/>
      <c r="G131" s="7"/>
      <c r="H131" s="16" t="str">
        <f t="shared" si="1"/>
        <v>(129,0,'',,,,),</v>
      </c>
    </row>
    <row r="132" spans="1:8" ht="20.100000000000001" customHeight="1" x14ac:dyDescent="0.25">
      <c r="A132" s="3">
        <v>130</v>
      </c>
      <c r="B132" s="15">
        <v>0</v>
      </c>
      <c r="C132" s="13"/>
      <c r="D132" s="10"/>
      <c r="E132" s="10"/>
      <c r="F132" s="10"/>
      <c r="G132" s="7"/>
      <c r="H132" s="16" t="str">
        <f t="shared" ref="H132:H195" si="2">CONCATENATE("(",A132,",",B132,",'",C132,"',",D132,",",E132,",",F132,",",G132,"),")</f>
        <v>(130,0,'',,,,),</v>
      </c>
    </row>
    <row r="133" spans="1:8" ht="20.100000000000001" customHeight="1" x14ac:dyDescent="0.25">
      <c r="A133" s="3">
        <v>131</v>
      </c>
      <c r="B133" s="15">
        <v>0</v>
      </c>
      <c r="C133" s="13"/>
      <c r="D133" s="10"/>
      <c r="E133" s="10"/>
      <c r="F133" s="10"/>
      <c r="G133" s="7"/>
      <c r="H133" s="16" t="str">
        <f t="shared" si="2"/>
        <v>(131,0,'',,,,),</v>
      </c>
    </row>
    <row r="134" spans="1:8" ht="20.100000000000001" customHeight="1" x14ac:dyDescent="0.25">
      <c r="A134" s="3">
        <v>132</v>
      </c>
      <c r="B134" s="15">
        <v>0</v>
      </c>
      <c r="C134" s="13"/>
      <c r="D134" s="10"/>
      <c r="E134" s="10"/>
      <c r="F134" s="10"/>
      <c r="G134" s="7"/>
      <c r="H134" s="16" t="str">
        <f t="shared" si="2"/>
        <v>(132,0,'',,,,),</v>
      </c>
    </row>
    <row r="135" spans="1:8" ht="20.100000000000001" customHeight="1" x14ac:dyDescent="0.25">
      <c r="A135" s="3">
        <v>133</v>
      </c>
      <c r="B135" s="15">
        <v>0</v>
      </c>
      <c r="C135" s="13"/>
      <c r="D135" s="10"/>
      <c r="E135" s="10"/>
      <c r="F135" s="10"/>
      <c r="G135" s="7"/>
      <c r="H135" s="16" t="str">
        <f t="shared" si="2"/>
        <v>(133,0,'',,,,),</v>
      </c>
    </row>
    <row r="136" spans="1:8" ht="20.100000000000001" customHeight="1" x14ac:dyDescent="0.25">
      <c r="A136" s="3">
        <v>134</v>
      </c>
      <c r="B136" s="15">
        <v>0</v>
      </c>
      <c r="C136" s="13"/>
      <c r="D136" s="10"/>
      <c r="E136" s="10"/>
      <c r="F136" s="10"/>
      <c r="G136" s="7"/>
      <c r="H136" s="16" t="str">
        <f t="shared" si="2"/>
        <v>(134,0,'',,,,),</v>
      </c>
    </row>
    <row r="137" spans="1:8" ht="20.100000000000001" customHeight="1" x14ac:dyDescent="0.25">
      <c r="A137" s="3">
        <v>135</v>
      </c>
      <c r="B137" s="15">
        <v>0</v>
      </c>
      <c r="C137" s="13"/>
      <c r="D137" s="10"/>
      <c r="E137" s="10"/>
      <c r="F137" s="10"/>
      <c r="G137" s="7"/>
      <c r="H137" s="16" t="str">
        <f t="shared" si="2"/>
        <v>(135,0,'',,,,),</v>
      </c>
    </row>
    <row r="138" spans="1:8" ht="20.100000000000001" customHeight="1" x14ac:dyDescent="0.25">
      <c r="A138" s="3">
        <v>136</v>
      </c>
      <c r="B138" s="15">
        <v>0</v>
      </c>
      <c r="C138" s="13"/>
      <c r="D138" s="10"/>
      <c r="E138" s="10"/>
      <c r="F138" s="10"/>
      <c r="G138" s="7"/>
      <c r="H138" s="16" t="str">
        <f t="shared" si="2"/>
        <v>(136,0,'',,,,),</v>
      </c>
    </row>
    <row r="139" spans="1:8" ht="20.100000000000001" customHeight="1" x14ac:dyDescent="0.25">
      <c r="A139" s="3">
        <v>137</v>
      </c>
      <c r="B139" s="15">
        <v>0</v>
      </c>
      <c r="C139" s="13"/>
      <c r="D139" s="10"/>
      <c r="E139" s="10"/>
      <c r="F139" s="10"/>
      <c r="G139" s="7"/>
      <c r="H139" s="16" t="str">
        <f t="shared" si="2"/>
        <v>(137,0,'',,,,),</v>
      </c>
    </row>
    <row r="140" spans="1:8" ht="20.100000000000001" customHeight="1" x14ac:dyDescent="0.25">
      <c r="A140" s="3">
        <v>138</v>
      </c>
      <c r="B140" s="15">
        <v>0</v>
      </c>
      <c r="C140" s="13"/>
      <c r="D140" s="10"/>
      <c r="E140" s="10"/>
      <c r="F140" s="10"/>
      <c r="G140" s="7"/>
      <c r="H140" s="16" t="str">
        <f t="shared" si="2"/>
        <v>(138,0,'',,,,),</v>
      </c>
    </row>
    <row r="141" spans="1:8" ht="20.100000000000001" customHeight="1" x14ac:dyDescent="0.25">
      <c r="A141" s="3">
        <v>139</v>
      </c>
      <c r="B141" s="15">
        <v>0</v>
      </c>
      <c r="C141" s="13"/>
      <c r="D141" s="10"/>
      <c r="E141" s="10"/>
      <c r="F141" s="10"/>
      <c r="G141" s="7"/>
      <c r="H141" s="16" t="str">
        <f t="shared" si="2"/>
        <v>(139,0,'',,,,),</v>
      </c>
    </row>
    <row r="142" spans="1:8" ht="20.100000000000001" customHeight="1" x14ac:dyDescent="0.25">
      <c r="A142" s="3">
        <v>140</v>
      </c>
      <c r="B142" s="15">
        <v>0</v>
      </c>
      <c r="C142" s="13"/>
      <c r="D142" s="10"/>
      <c r="E142" s="10"/>
      <c r="F142" s="10"/>
      <c r="G142" s="7"/>
      <c r="H142" s="16" t="str">
        <f t="shared" si="2"/>
        <v>(140,0,'',,,,),</v>
      </c>
    </row>
    <row r="143" spans="1:8" ht="20.100000000000001" customHeight="1" x14ac:dyDescent="0.25">
      <c r="A143" s="3">
        <v>141</v>
      </c>
      <c r="B143" s="15">
        <v>0</v>
      </c>
      <c r="C143" s="13"/>
      <c r="D143" s="10"/>
      <c r="E143" s="10"/>
      <c r="F143" s="10"/>
      <c r="G143" s="7"/>
      <c r="H143" s="16" t="str">
        <f t="shared" si="2"/>
        <v>(141,0,'',,,,),</v>
      </c>
    </row>
    <row r="144" spans="1:8" ht="20.100000000000001" customHeight="1" x14ac:dyDescent="0.25">
      <c r="A144" s="3">
        <v>142</v>
      </c>
      <c r="B144" s="15">
        <v>0</v>
      </c>
      <c r="C144" s="13"/>
      <c r="D144" s="10"/>
      <c r="E144" s="10"/>
      <c r="F144" s="10"/>
      <c r="G144" s="7"/>
      <c r="H144" s="16" t="str">
        <f t="shared" si="2"/>
        <v>(142,0,'',,,,),</v>
      </c>
    </row>
    <row r="145" spans="1:8" ht="20.100000000000001" customHeight="1" x14ac:dyDescent="0.25">
      <c r="A145" s="3">
        <v>143</v>
      </c>
      <c r="B145" s="15">
        <v>0</v>
      </c>
      <c r="C145" s="13"/>
      <c r="D145" s="10"/>
      <c r="E145" s="10"/>
      <c r="F145" s="10"/>
      <c r="G145" s="7"/>
      <c r="H145" s="16" t="str">
        <f t="shared" si="2"/>
        <v>(143,0,'',,,,),</v>
      </c>
    </row>
    <row r="146" spans="1:8" ht="20.100000000000001" customHeight="1" x14ac:dyDescent="0.25">
      <c r="A146" s="3">
        <v>144</v>
      </c>
      <c r="B146" s="15">
        <v>0</v>
      </c>
      <c r="C146" s="13"/>
      <c r="D146" s="10"/>
      <c r="E146" s="10"/>
      <c r="F146" s="10"/>
      <c r="G146" s="7"/>
      <c r="H146" s="16" t="str">
        <f t="shared" si="2"/>
        <v>(144,0,'',,,,),</v>
      </c>
    </row>
    <row r="147" spans="1:8" ht="20.100000000000001" customHeight="1" x14ac:dyDescent="0.25">
      <c r="A147" s="3">
        <v>145</v>
      </c>
      <c r="B147" s="15">
        <v>0</v>
      </c>
      <c r="C147" s="13"/>
      <c r="D147" s="10"/>
      <c r="E147" s="10"/>
      <c r="F147" s="10"/>
      <c r="G147" s="7"/>
      <c r="H147" s="16" t="str">
        <f t="shared" si="2"/>
        <v>(145,0,'',,,,),</v>
      </c>
    </row>
    <row r="148" spans="1:8" ht="20.100000000000001" customHeight="1" x14ac:dyDescent="0.25">
      <c r="A148" s="3">
        <v>146</v>
      </c>
      <c r="B148" s="15">
        <v>0</v>
      </c>
      <c r="C148" s="13"/>
      <c r="D148" s="10"/>
      <c r="E148" s="10"/>
      <c r="F148" s="10"/>
      <c r="G148" s="7"/>
      <c r="H148" s="16" t="str">
        <f t="shared" si="2"/>
        <v>(146,0,'',,,,),</v>
      </c>
    </row>
    <row r="149" spans="1:8" ht="20.100000000000001" customHeight="1" x14ac:dyDescent="0.25">
      <c r="A149" s="3">
        <v>147</v>
      </c>
      <c r="B149" s="15">
        <v>0</v>
      </c>
      <c r="C149" s="13"/>
      <c r="D149" s="10"/>
      <c r="E149" s="10"/>
      <c r="F149" s="10"/>
      <c r="G149" s="7"/>
      <c r="H149" s="16" t="str">
        <f t="shared" si="2"/>
        <v>(147,0,'',,,,),</v>
      </c>
    </row>
    <row r="150" spans="1:8" ht="20.100000000000001" customHeight="1" x14ac:dyDescent="0.25">
      <c r="A150" s="3">
        <v>148</v>
      </c>
      <c r="B150" s="15">
        <v>0</v>
      </c>
      <c r="C150" s="13"/>
      <c r="D150" s="10"/>
      <c r="E150" s="10"/>
      <c r="F150" s="10"/>
      <c r="G150" s="7"/>
      <c r="H150" s="16" t="str">
        <f t="shared" si="2"/>
        <v>(148,0,'',,,,),</v>
      </c>
    </row>
    <row r="151" spans="1:8" ht="20.100000000000001" customHeight="1" x14ac:dyDescent="0.25">
      <c r="A151" s="3">
        <v>149</v>
      </c>
      <c r="B151" s="15">
        <v>0</v>
      </c>
      <c r="C151" s="13"/>
      <c r="D151" s="10"/>
      <c r="E151" s="10"/>
      <c r="F151" s="10"/>
      <c r="G151" s="7"/>
      <c r="H151" s="16" t="str">
        <f t="shared" si="2"/>
        <v>(149,0,'',,,,),</v>
      </c>
    </row>
    <row r="152" spans="1:8" ht="20.100000000000001" customHeight="1" x14ac:dyDescent="0.25">
      <c r="A152" s="3">
        <v>150</v>
      </c>
      <c r="B152" s="15">
        <v>0</v>
      </c>
      <c r="C152" s="13"/>
      <c r="D152" s="10"/>
      <c r="E152" s="10"/>
      <c r="F152" s="10"/>
      <c r="G152" s="7"/>
      <c r="H152" s="16" t="str">
        <f t="shared" si="2"/>
        <v>(150,0,'',,,,),</v>
      </c>
    </row>
    <row r="153" spans="1:8" ht="20.100000000000001" customHeight="1" x14ac:dyDescent="0.25">
      <c r="A153" s="3">
        <v>151</v>
      </c>
      <c r="B153" s="15">
        <v>0</v>
      </c>
      <c r="C153" s="13"/>
      <c r="D153" s="10"/>
      <c r="E153" s="10"/>
      <c r="F153" s="10"/>
      <c r="G153" s="7"/>
      <c r="H153" s="16" t="str">
        <f t="shared" si="2"/>
        <v>(151,0,'',,,,),</v>
      </c>
    </row>
    <row r="154" spans="1:8" ht="20.100000000000001" customHeight="1" x14ac:dyDescent="0.25">
      <c r="A154" s="3">
        <v>152</v>
      </c>
      <c r="B154" s="15">
        <v>0</v>
      </c>
      <c r="C154" s="13"/>
      <c r="D154" s="10"/>
      <c r="E154" s="10"/>
      <c r="F154" s="10"/>
      <c r="G154" s="7"/>
      <c r="H154" s="16" t="str">
        <f t="shared" si="2"/>
        <v>(152,0,'',,,,),</v>
      </c>
    </row>
    <row r="155" spans="1:8" ht="20.100000000000001" customHeight="1" x14ac:dyDescent="0.25">
      <c r="A155" s="3">
        <v>153</v>
      </c>
      <c r="B155" s="15">
        <v>0</v>
      </c>
      <c r="C155" s="13"/>
      <c r="D155" s="10"/>
      <c r="E155" s="10"/>
      <c r="F155" s="10"/>
      <c r="G155" s="7"/>
      <c r="H155" s="16" t="str">
        <f t="shared" si="2"/>
        <v>(153,0,'',,,,),</v>
      </c>
    </row>
    <row r="156" spans="1:8" ht="20.100000000000001" customHeight="1" x14ac:dyDescent="0.25">
      <c r="A156" s="3">
        <v>154</v>
      </c>
      <c r="B156" s="15">
        <v>0</v>
      </c>
      <c r="C156" s="13"/>
      <c r="D156" s="10"/>
      <c r="E156" s="10"/>
      <c r="F156" s="10"/>
      <c r="G156" s="7"/>
      <c r="H156" s="16" t="str">
        <f t="shared" si="2"/>
        <v>(154,0,'',,,,),</v>
      </c>
    </row>
    <row r="157" spans="1:8" ht="20.100000000000001" customHeight="1" x14ac:dyDescent="0.25">
      <c r="A157" s="3">
        <v>155</v>
      </c>
      <c r="B157" s="15">
        <v>0</v>
      </c>
      <c r="C157" s="13"/>
      <c r="D157" s="10"/>
      <c r="E157" s="10"/>
      <c r="F157" s="10"/>
      <c r="G157" s="7"/>
      <c r="H157" s="16" t="str">
        <f t="shared" si="2"/>
        <v>(155,0,'',,,,),</v>
      </c>
    </row>
    <row r="158" spans="1:8" ht="20.100000000000001" customHeight="1" x14ac:dyDescent="0.25">
      <c r="A158" s="3">
        <v>156</v>
      </c>
      <c r="B158" s="15">
        <v>0</v>
      </c>
      <c r="C158" s="13"/>
      <c r="D158" s="10"/>
      <c r="E158" s="10"/>
      <c r="F158" s="10"/>
      <c r="G158" s="7"/>
      <c r="H158" s="16" t="str">
        <f t="shared" si="2"/>
        <v>(156,0,'',,,,),</v>
      </c>
    </row>
    <row r="159" spans="1:8" ht="20.100000000000001" customHeight="1" x14ac:dyDescent="0.25">
      <c r="A159" s="3">
        <v>157</v>
      </c>
      <c r="B159" s="15">
        <v>0</v>
      </c>
      <c r="C159" s="13"/>
      <c r="D159" s="10"/>
      <c r="E159" s="10"/>
      <c r="F159" s="10"/>
      <c r="G159" s="7"/>
      <c r="H159" s="16" t="str">
        <f t="shared" si="2"/>
        <v>(157,0,'',,,,),</v>
      </c>
    </row>
    <row r="160" spans="1:8" ht="20.100000000000001" customHeight="1" x14ac:dyDescent="0.25">
      <c r="A160" s="3">
        <v>158</v>
      </c>
      <c r="B160" s="15">
        <v>0</v>
      </c>
      <c r="C160" s="13"/>
      <c r="D160" s="10"/>
      <c r="E160" s="10"/>
      <c r="F160" s="10"/>
      <c r="G160" s="7"/>
      <c r="H160" s="16" t="str">
        <f t="shared" si="2"/>
        <v>(158,0,'',,,,),</v>
      </c>
    </row>
    <row r="161" spans="1:8" ht="20.100000000000001" customHeight="1" x14ac:dyDescent="0.25">
      <c r="A161" s="3">
        <v>159</v>
      </c>
      <c r="B161" s="15">
        <v>0</v>
      </c>
      <c r="C161" s="13"/>
      <c r="D161" s="10"/>
      <c r="E161" s="10"/>
      <c r="F161" s="10"/>
      <c r="G161" s="7"/>
      <c r="H161" s="16" t="str">
        <f t="shared" si="2"/>
        <v>(159,0,'',,,,),</v>
      </c>
    </row>
    <row r="162" spans="1:8" ht="20.100000000000001" customHeight="1" x14ac:dyDescent="0.25">
      <c r="A162" s="3">
        <v>160</v>
      </c>
      <c r="B162" s="15">
        <v>0</v>
      </c>
      <c r="C162" s="13"/>
      <c r="D162" s="10"/>
      <c r="E162" s="10"/>
      <c r="F162" s="10"/>
      <c r="G162" s="7"/>
      <c r="H162" s="16" t="str">
        <f t="shared" si="2"/>
        <v>(160,0,'',,,,),</v>
      </c>
    </row>
    <row r="163" spans="1:8" ht="20.100000000000001" customHeight="1" x14ac:dyDescent="0.25">
      <c r="A163" s="3">
        <v>161</v>
      </c>
      <c r="B163" s="15">
        <v>0</v>
      </c>
      <c r="C163" s="13"/>
      <c r="D163" s="10"/>
      <c r="E163" s="10"/>
      <c r="F163" s="10"/>
      <c r="G163" s="7"/>
      <c r="H163" s="16" t="str">
        <f t="shared" si="2"/>
        <v>(161,0,'',,,,),</v>
      </c>
    </row>
    <row r="164" spans="1:8" ht="20.100000000000001" customHeight="1" x14ac:dyDescent="0.25">
      <c r="A164" s="3">
        <v>162</v>
      </c>
      <c r="B164" s="15">
        <v>0</v>
      </c>
      <c r="C164" s="13"/>
      <c r="D164" s="10"/>
      <c r="E164" s="10"/>
      <c r="F164" s="10"/>
      <c r="G164" s="7"/>
      <c r="H164" s="16" t="str">
        <f t="shared" si="2"/>
        <v>(162,0,'',,,,),</v>
      </c>
    </row>
    <row r="165" spans="1:8" ht="20.100000000000001" customHeight="1" x14ac:dyDescent="0.25">
      <c r="A165" s="3">
        <v>163</v>
      </c>
      <c r="B165" s="15">
        <v>0</v>
      </c>
      <c r="C165" s="13"/>
      <c r="D165" s="10"/>
      <c r="E165" s="10"/>
      <c r="F165" s="10"/>
      <c r="G165" s="7"/>
      <c r="H165" s="16" t="str">
        <f t="shared" si="2"/>
        <v>(163,0,'',,,,),</v>
      </c>
    </row>
    <row r="166" spans="1:8" ht="20.100000000000001" customHeight="1" x14ac:dyDescent="0.25">
      <c r="A166" s="3">
        <v>164</v>
      </c>
      <c r="B166" s="15">
        <v>0</v>
      </c>
      <c r="C166" s="13"/>
      <c r="D166" s="10"/>
      <c r="E166" s="10"/>
      <c r="F166" s="10"/>
      <c r="G166" s="7"/>
      <c r="H166" s="16" t="str">
        <f t="shared" si="2"/>
        <v>(164,0,'',,,,),</v>
      </c>
    </row>
    <row r="167" spans="1:8" ht="20.100000000000001" customHeight="1" x14ac:dyDescent="0.25">
      <c r="A167" s="3">
        <v>165</v>
      </c>
      <c r="B167" s="15">
        <v>0</v>
      </c>
      <c r="C167" s="13"/>
      <c r="D167" s="10"/>
      <c r="E167" s="10"/>
      <c r="F167" s="10"/>
      <c r="G167" s="7"/>
      <c r="H167" s="16" t="str">
        <f t="shared" si="2"/>
        <v>(165,0,'',,,,),</v>
      </c>
    </row>
    <row r="168" spans="1:8" ht="20.100000000000001" customHeight="1" x14ac:dyDescent="0.25">
      <c r="A168" s="3">
        <v>166</v>
      </c>
      <c r="B168" s="15">
        <v>0</v>
      </c>
      <c r="C168" s="13"/>
      <c r="D168" s="10"/>
      <c r="E168" s="10"/>
      <c r="F168" s="10"/>
      <c r="G168" s="7"/>
      <c r="H168" s="16" t="str">
        <f t="shared" si="2"/>
        <v>(166,0,'',,,,),</v>
      </c>
    </row>
    <row r="169" spans="1:8" ht="20.100000000000001" customHeight="1" x14ac:dyDescent="0.25">
      <c r="A169" s="3">
        <v>167</v>
      </c>
      <c r="B169" s="15">
        <v>0</v>
      </c>
      <c r="C169" s="13"/>
      <c r="D169" s="10"/>
      <c r="E169" s="10"/>
      <c r="F169" s="10"/>
      <c r="G169" s="7"/>
      <c r="H169" s="16" t="str">
        <f t="shared" si="2"/>
        <v>(167,0,'',,,,),</v>
      </c>
    </row>
    <row r="170" spans="1:8" ht="20.100000000000001" customHeight="1" x14ac:dyDescent="0.25">
      <c r="A170" s="3">
        <v>168</v>
      </c>
      <c r="B170" s="15">
        <v>0</v>
      </c>
      <c r="C170" s="13"/>
      <c r="D170" s="10"/>
      <c r="E170" s="10"/>
      <c r="F170" s="10"/>
      <c r="G170" s="7"/>
      <c r="H170" s="16" t="str">
        <f t="shared" si="2"/>
        <v>(168,0,'',,,,),</v>
      </c>
    </row>
    <row r="171" spans="1:8" ht="20.100000000000001" customHeight="1" x14ac:dyDescent="0.25">
      <c r="A171" s="3">
        <v>169</v>
      </c>
      <c r="B171" s="15">
        <v>0</v>
      </c>
      <c r="C171" s="13"/>
      <c r="D171" s="10"/>
      <c r="E171" s="10"/>
      <c r="F171" s="10"/>
      <c r="G171" s="7"/>
      <c r="H171" s="16" t="str">
        <f t="shared" si="2"/>
        <v>(169,0,'',,,,),</v>
      </c>
    </row>
    <row r="172" spans="1:8" ht="20.100000000000001" customHeight="1" x14ac:dyDescent="0.25">
      <c r="A172" s="3">
        <v>170</v>
      </c>
      <c r="B172" s="15">
        <v>0</v>
      </c>
      <c r="C172" s="13"/>
      <c r="D172" s="10"/>
      <c r="E172" s="10"/>
      <c r="F172" s="10"/>
      <c r="G172" s="7"/>
      <c r="H172" s="16" t="str">
        <f t="shared" si="2"/>
        <v>(170,0,'',,,,),</v>
      </c>
    </row>
    <row r="173" spans="1:8" ht="20.100000000000001" customHeight="1" x14ac:dyDescent="0.25">
      <c r="A173" s="3">
        <v>171</v>
      </c>
      <c r="B173" s="15">
        <v>0</v>
      </c>
      <c r="C173" s="13"/>
      <c r="D173" s="10"/>
      <c r="E173" s="10"/>
      <c r="F173" s="10"/>
      <c r="G173" s="7"/>
      <c r="H173" s="16" t="str">
        <f t="shared" si="2"/>
        <v>(171,0,'',,,,),</v>
      </c>
    </row>
    <row r="174" spans="1:8" ht="20.100000000000001" customHeight="1" x14ac:dyDescent="0.25">
      <c r="A174" s="3">
        <v>172</v>
      </c>
      <c r="B174" s="15">
        <v>0</v>
      </c>
      <c r="C174" s="13"/>
      <c r="D174" s="10"/>
      <c r="E174" s="10"/>
      <c r="F174" s="10"/>
      <c r="G174" s="7"/>
      <c r="H174" s="16" t="str">
        <f t="shared" si="2"/>
        <v>(172,0,'',,,,),</v>
      </c>
    </row>
    <row r="175" spans="1:8" ht="20.100000000000001" customHeight="1" x14ac:dyDescent="0.25">
      <c r="A175" s="3">
        <v>173</v>
      </c>
      <c r="B175" s="15">
        <v>0</v>
      </c>
      <c r="C175" s="13"/>
      <c r="D175" s="10"/>
      <c r="E175" s="10"/>
      <c r="F175" s="10"/>
      <c r="G175" s="7"/>
      <c r="H175" s="16" t="str">
        <f t="shared" si="2"/>
        <v>(173,0,'',,,,),</v>
      </c>
    </row>
    <row r="176" spans="1:8" ht="20.100000000000001" customHeight="1" x14ac:dyDescent="0.25">
      <c r="A176" s="3">
        <v>174</v>
      </c>
      <c r="B176" s="15">
        <v>0</v>
      </c>
      <c r="C176" s="13"/>
      <c r="D176" s="10"/>
      <c r="E176" s="10"/>
      <c r="F176" s="10"/>
      <c r="G176" s="7"/>
      <c r="H176" s="16" t="str">
        <f t="shared" si="2"/>
        <v>(174,0,'',,,,),</v>
      </c>
    </row>
    <row r="177" spans="1:8" ht="20.100000000000001" customHeight="1" x14ac:dyDescent="0.25">
      <c r="A177" s="3">
        <v>175</v>
      </c>
      <c r="B177" s="15">
        <v>0</v>
      </c>
      <c r="C177" s="13"/>
      <c r="D177" s="10"/>
      <c r="E177" s="10"/>
      <c r="F177" s="10"/>
      <c r="G177" s="7"/>
      <c r="H177" s="16" t="str">
        <f t="shared" si="2"/>
        <v>(175,0,'',,,,),</v>
      </c>
    </row>
    <row r="178" spans="1:8" ht="20.100000000000001" customHeight="1" x14ac:dyDescent="0.25">
      <c r="A178" s="3">
        <v>176</v>
      </c>
      <c r="B178" s="15">
        <v>0</v>
      </c>
      <c r="C178" s="13"/>
      <c r="D178" s="10"/>
      <c r="E178" s="10"/>
      <c r="F178" s="10"/>
      <c r="G178" s="7"/>
      <c r="H178" s="16" t="str">
        <f t="shared" si="2"/>
        <v>(176,0,'',,,,),</v>
      </c>
    </row>
    <row r="179" spans="1:8" ht="20.100000000000001" customHeight="1" x14ac:dyDescent="0.25">
      <c r="A179" s="3">
        <v>177</v>
      </c>
      <c r="B179" s="15">
        <v>0</v>
      </c>
      <c r="C179" s="13"/>
      <c r="D179" s="10"/>
      <c r="E179" s="10"/>
      <c r="F179" s="10"/>
      <c r="G179" s="7"/>
      <c r="H179" s="16" t="str">
        <f t="shared" si="2"/>
        <v>(177,0,'',,,,),</v>
      </c>
    </row>
    <row r="180" spans="1:8" ht="20.100000000000001" customHeight="1" x14ac:dyDescent="0.25">
      <c r="A180" s="3">
        <v>178</v>
      </c>
      <c r="B180" s="15">
        <v>0</v>
      </c>
      <c r="C180" s="13"/>
      <c r="D180" s="10"/>
      <c r="E180" s="10"/>
      <c r="F180" s="10"/>
      <c r="G180" s="7"/>
      <c r="H180" s="16" t="str">
        <f t="shared" si="2"/>
        <v>(178,0,'',,,,),</v>
      </c>
    </row>
    <row r="181" spans="1:8" ht="20.100000000000001" customHeight="1" x14ac:dyDescent="0.25">
      <c r="A181" s="3">
        <v>179</v>
      </c>
      <c r="B181" s="15">
        <v>0</v>
      </c>
      <c r="C181" s="13"/>
      <c r="D181" s="10"/>
      <c r="E181" s="10"/>
      <c r="F181" s="10"/>
      <c r="G181" s="7"/>
      <c r="H181" s="16" t="str">
        <f t="shared" si="2"/>
        <v>(179,0,'',,,,),</v>
      </c>
    </row>
    <row r="182" spans="1:8" ht="20.100000000000001" customHeight="1" x14ac:dyDescent="0.25">
      <c r="A182" s="3">
        <v>180</v>
      </c>
      <c r="B182" s="15">
        <v>0</v>
      </c>
      <c r="C182" s="13"/>
      <c r="D182" s="10"/>
      <c r="E182" s="10"/>
      <c r="F182" s="10"/>
      <c r="G182" s="7"/>
      <c r="H182" s="16" t="str">
        <f t="shared" si="2"/>
        <v>(180,0,'',,,,),</v>
      </c>
    </row>
    <row r="183" spans="1:8" ht="20.100000000000001" customHeight="1" x14ac:dyDescent="0.25">
      <c r="A183" s="3">
        <v>181</v>
      </c>
      <c r="B183" s="15">
        <v>0</v>
      </c>
      <c r="C183" s="13"/>
      <c r="D183" s="10"/>
      <c r="E183" s="10"/>
      <c r="F183" s="10"/>
      <c r="G183" s="7"/>
      <c r="H183" s="16" t="str">
        <f t="shared" si="2"/>
        <v>(181,0,'',,,,),</v>
      </c>
    </row>
    <row r="184" spans="1:8" ht="20.100000000000001" customHeight="1" x14ac:dyDescent="0.25">
      <c r="A184" s="3">
        <v>182</v>
      </c>
      <c r="B184" s="15">
        <v>0</v>
      </c>
      <c r="C184" s="13"/>
      <c r="D184" s="10"/>
      <c r="E184" s="10"/>
      <c r="F184" s="10"/>
      <c r="G184" s="7"/>
      <c r="H184" s="16" t="str">
        <f t="shared" si="2"/>
        <v>(182,0,'',,,,),</v>
      </c>
    </row>
    <row r="185" spans="1:8" ht="20.100000000000001" customHeight="1" x14ac:dyDescent="0.25">
      <c r="A185" s="3">
        <v>183</v>
      </c>
      <c r="B185" s="15">
        <v>0</v>
      </c>
      <c r="C185" s="13"/>
      <c r="D185" s="10"/>
      <c r="E185" s="10"/>
      <c r="F185" s="10"/>
      <c r="G185" s="7"/>
      <c r="H185" s="16" t="str">
        <f t="shared" si="2"/>
        <v>(183,0,'',,,,),</v>
      </c>
    </row>
    <row r="186" spans="1:8" ht="20.100000000000001" customHeight="1" x14ac:dyDescent="0.25">
      <c r="A186" s="3">
        <v>184</v>
      </c>
      <c r="B186" s="15">
        <v>0</v>
      </c>
      <c r="C186" s="13"/>
      <c r="D186" s="10"/>
      <c r="E186" s="10"/>
      <c r="F186" s="10"/>
      <c r="G186" s="7"/>
      <c r="H186" s="16" t="str">
        <f t="shared" si="2"/>
        <v>(184,0,'',,,,),</v>
      </c>
    </row>
    <row r="187" spans="1:8" ht="20.100000000000001" customHeight="1" x14ac:dyDescent="0.25">
      <c r="A187" s="3">
        <v>185</v>
      </c>
      <c r="B187" s="15">
        <v>0</v>
      </c>
      <c r="C187" s="13"/>
      <c r="D187" s="10"/>
      <c r="E187" s="10"/>
      <c r="F187" s="10"/>
      <c r="G187" s="7"/>
      <c r="H187" s="16" t="str">
        <f t="shared" si="2"/>
        <v>(185,0,'',,,,),</v>
      </c>
    </row>
    <row r="188" spans="1:8" ht="20.100000000000001" customHeight="1" x14ac:dyDescent="0.25">
      <c r="A188" s="3">
        <v>186</v>
      </c>
      <c r="B188" s="15">
        <v>0</v>
      </c>
      <c r="C188" s="13"/>
      <c r="D188" s="10"/>
      <c r="E188" s="10"/>
      <c r="F188" s="10"/>
      <c r="G188" s="7"/>
      <c r="H188" s="16" t="str">
        <f t="shared" si="2"/>
        <v>(186,0,'',,,,),</v>
      </c>
    </row>
    <row r="189" spans="1:8" ht="20.100000000000001" customHeight="1" x14ac:dyDescent="0.25">
      <c r="A189" s="3">
        <v>187</v>
      </c>
      <c r="B189" s="15">
        <v>0</v>
      </c>
      <c r="C189" s="13"/>
      <c r="D189" s="10"/>
      <c r="E189" s="10"/>
      <c r="F189" s="10"/>
      <c r="G189" s="7"/>
      <c r="H189" s="16" t="str">
        <f t="shared" si="2"/>
        <v>(187,0,'',,,,),</v>
      </c>
    </row>
    <row r="190" spans="1:8" ht="20.100000000000001" customHeight="1" x14ac:dyDescent="0.25">
      <c r="A190" s="3">
        <v>188</v>
      </c>
      <c r="B190" s="15">
        <v>0</v>
      </c>
      <c r="C190" s="13"/>
      <c r="D190" s="10"/>
      <c r="E190" s="10"/>
      <c r="F190" s="10"/>
      <c r="G190" s="7"/>
      <c r="H190" s="16" t="str">
        <f t="shared" si="2"/>
        <v>(188,0,'',,,,),</v>
      </c>
    </row>
    <row r="191" spans="1:8" ht="20.100000000000001" customHeight="1" x14ac:dyDescent="0.25">
      <c r="A191" s="3">
        <v>189</v>
      </c>
      <c r="B191" s="15">
        <v>0</v>
      </c>
      <c r="C191" s="13"/>
      <c r="D191" s="10"/>
      <c r="E191" s="10"/>
      <c r="F191" s="10"/>
      <c r="G191" s="7"/>
      <c r="H191" s="16" t="str">
        <f t="shared" si="2"/>
        <v>(189,0,'',,,,),</v>
      </c>
    </row>
    <row r="192" spans="1:8" ht="20.100000000000001" customHeight="1" x14ac:dyDescent="0.25">
      <c r="A192" s="3">
        <v>190</v>
      </c>
      <c r="B192" s="15">
        <v>0</v>
      </c>
      <c r="C192" s="13"/>
      <c r="D192" s="10"/>
      <c r="E192" s="10"/>
      <c r="F192" s="10"/>
      <c r="G192" s="7"/>
      <c r="H192" s="16" t="str">
        <f t="shared" si="2"/>
        <v>(190,0,'',,,,),</v>
      </c>
    </row>
    <row r="193" spans="1:8" ht="20.100000000000001" customHeight="1" x14ac:dyDescent="0.25">
      <c r="A193" s="3">
        <v>191</v>
      </c>
      <c r="B193" s="15">
        <v>0</v>
      </c>
      <c r="C193" s="13"/>
      <c r="D193" s="10"/>
      <c r="E193" s="10"/>
      <c r="F193" s="10"/>
      <c r="G193" s="7"/>
      <c r="H193" s="16" t="str">
        <f t="shared" si="2"/>
        <v>(191,0,'',,,,),</v>
      </c>
    </row>
    <row r="194" spans="1:8" ht="20.100000000000001" customHeight="1" x14ac:dyDescent="0.25">
      <c r="A194" s="3">
        <v>192</v>
      </c>
      <c r="B194" s="15">
        <v>0</v>
      </c>
      <c r="C194" s="13"/>
      <c r="D194" s="10"/>
      <c r="E194" s="10"/>
      <c r="F194" s="10"/>
      <c r="G194" s="7"/>
      <c r="H194" s="16" t="str">
        <f t="shared" si="2"/>
        <v>(192,0,'',,,,),</v>
      </c>
    </row>
    <row r="195" spans="1:8" ht="20.100000000000001" customHeight="1" x14ac:dyDescent="0.25">
      <c r="A195" s="3">
        <v>193</v>
      </c>
      <c r="B195" s="15">
        <v>0</v>
      </c>
      <c r="C195" s="13"/>
      <c r="D195" s="10"/>
      <c r="E195" s="10"/>
      <c r="F195" s="10"/>
      <c r="G195" s="7"/>
      <c r="H195" s="16" t="str">
        <f t="shared" si="2"/>
        <v>(193,0,'',,,,),</v>
      </c>
    </row>
    <row r="196" spans="1:8" ht="20.100000000000001" customHeight="1" x14ac:dyDescent="0.25">
      <c r="A196" s="3">
        <v>194</v>
      </c>
      <c r="B196" s="15">
        <v>0</v>
      </c>
      <c r="C196" s="13"/>
      <c r="D196" s="10"/>
      <c r="E196" s="10"/>
      <c r="F196" s="10"/>
      <c r="G196" s="7"/>
      <c r="H196" s="16" t="str">
        <f t="shared" ref="H196:H259" si="3">CONCATENATE("(",A196,",",B196,",'",C196,"',",D196,",",E196,",",F196,",",G196,"),")</f>
        <v>(194,0,'',,,,),</v>
      </c>
    </row>
    <row r="197" spans="1:8" ht="20.100000000000001" customHeight="1" x14ac:dyDescent="0.25">
      <c r="A197" s="3">
        <v>195</v>
      </c>
      <c r="B197" s="15">
        <v>0</v>
      </c>
      <c r="C197" s="13"/>
      <c r="D197" s="10"/>
      <c r="E197" s="10"/>
      <c r="F197" s="10"/>
      <c r="G197" s="7"/>
      <c r="H197" s="16" t="str">
        <f t="shared" si="3"/>
        <v>(195,0,'',,,,),</v>
      </c>
    </row>
    <row r="198" spans="1:8" ht="20.100000000000001" customHeight="1" x14ac:dyDescent="0.25">
      <c r="A198" s="3">
        <v>196</v>
      </c>
      <c r="B198" s="15">
        <v>0</v>
      </c>
      <c r="C198" s="13"/>
      <c r="D198" s="10"/>
      <c r="E198" s="10"/>
      <c r="F198" s="10"/>
      <c r="G198" s="7"/>
      <c r="H198" s="16" t="str">
        <f t="shared" si="3"/>
        <v>(196,0,'',,,,),</v>
      </c>
    </row>
    <row r="199" spans="1:8" ht="20.100000000000001" customHeight="1" x14ac:dyDescent="0.25">
      <c r="A199" s="3">
        <v>197</v>
      </c>
      <c r="B199" s="15">
        <v>0</v>
      </c>
      <c r="C199" s="13"/>
      <c r="D199" s="10"/>
      <c r="E199" s="10"/>
      <c r="F199" s="10"/>
      <c r="G199" s="7"/>
      <c r="H199" s="16" t="str">
        <f t="shared" si="3"/>
        <v>(197,0,'',,,,),</v>
      </c>
    </row>
    <row r="200" spans="1:8" ht="20.100000000000001" customHeight="1" x14ac:dyDescent="0.25">
      <c r="A200" s="3">
        <v>198</v>
      </c>
      <c r="B200" s="15">
        <v>0</v>
      </c>
      <c r="C200" s="13"/>
      <c r="D200" s="10"/>
      <c r="E200" s="10"/>
      <c r="F200" s="10"/>
      <c r="G200" s="7"/>
      <c r="H200" s="16" t="str">
        <f t="shared" si="3"/>
        <v>(198,0,'',,,,),</v>
      </c>
    </row>
    <row r="201" spans="1:8" ht="20.100000000000001" customHeight="1" x14ac:dyDescent="0.25">
      <c r="A201" s="3">
        <v>199</v>
      </c>
      <c r="B201" s="15">
        <v>0</v>
      </c>
      <c r="C201" s="13"/>
      <c r="D201" s="10"/>
      <c r="E201" s="10"/>
      <c r="F201" s="10"/>
      <c r="G201" s="7"/>
      <c r="H201" s="16" t="str">
        <f t="shared" si="3"/>
        <v>(199,0,'',,,,),</v>
      </c>
    </row>
    <row r="202" spans="1:8" ht="20.100000000000001" customHeight="1" x14ac:dyDescent="0.25">
      <c r="A202" s="3">
        <v>200</v>
      </c>
      <c r="B202" s="15">
        <v>0</v>
      </c>
      <c r="C202" s="13"/>
      <c r="D202" s="10"/>
      <c r="E202" s="10"/>
      <c r="F202" s="10"/>
      <c r="G202" s="7"/>
      <c r="H202" s="16" t="str">
        <f t="shared" si="3"/>
        <v>(200,0,'',,,,),</v>
      </c>
    </row>
    <row r="203" spans="1:8" ht="20.100000000000001" customHeight="1" x14ac:dyDescent="0.25">
      <c r="A203" s="3">
        <v>201</v>
      </c>
      <c r="B203" s="15">
        <v>0</v>
      </c>
      <c r="C203" s="13"/>
      <c r="D203" s="10"/>
      <c r="E203" s="10"/>
      <c r="F203" s="10"/>
      <c r="G203" s="7"/>
      <c r="H203" s="16" t="str">
        <f t="shared" si="3"/>
        <v>(201,0,'',,,,),</v>
      </c>
    </row>
    <row r="204" spans="1:8" ht="20.100000000000001" customHeight="1" x14ac:dyDescent="0.25">
      <c r="A204" s="3">
        <v>202</v>
      </c>
      <c r="B204" s="15">
        <v>0</v>
      </c>
      <c r="C204" s="13"/>
      <c r="D204" s="10"/>
      <c r="E204" s="10"/>
      <c r="F204" s="10"/>
      <c r="G204" s="7"/>
      <c r="H204" s="16" t="str">
        <f t="shared" si="3"/>
        <v>(202,0,'',,,,),</v>
      </c>
    </row>
    <row r="205" spans="1:8" ht="20.100000000000001" customHeight="1" x14ac:dyDescent="0.25">
      <c r="A205" s="3">
        <v>203</v>
      </c>
      <c r="B205" s="15">
        <v>0</v>
      </c>
      <c r="C205" s="13"/>
      <c r="D205" s="10"/>
      <c r="E205" s="10"/>
      <c r="F205" s="10"/>
      <c r="G205" s="7"/>
      <c r="H205" s="16" t="str">
        <f t="shared" si="3"/>
        <v>(203,0,'',,,,),</v>
      </c>
    </row>
    <row r="206" spans="1:8" ht="20.100000000000001" customHeight="1" x14ac:dyDescent="0.25">
      <c r="A206" s="3">
        <v>204</v>
      </c>
      <c r="B206" s="15">
        <v>0</v>
      </c>
      <c r="C206" s="13"/>
      <c r="D206" s="10"/>
      <c r="E206" s="10"/>
      <c r="F206" s="10"/>
      <c r="G206" s="7"/>
      <c r="H206" s="16" t="str">
        <f t="shared" si="3"/>
        <v>(204,0,'',,,,),</v>
      </c>
    </row>
    <row r="207" spans="1:8" ht="20.100000000000001" customHeight="1" x14ac:dyDescent="0.25">
      <c r="A207" s="3">
        <v>205</v>
      </c>
      <c r="B207" s="15">
        <v>0</v>
      </c>
      <c r="C207" s="13"/>
      <c r="D207" s="10"/>
      <c r="E207" s="10"/>
      <c r="F207" s="10"/>
      <c r="G207" s="7"/>
      <c r="H207" s="16" t="str">
        <f t="shared" si="3"/>
        <v>(205,0,'',,,,),</v>
      </c>
    </row>
    <row r="208" spans="1:8" ht="20.100000000000001" customHeight="1" x14ac:dyDescent="0.25">
      <c r="A208" s="3">
        <v>206</v>
      </c>
      <c r="B208" s="15">
        <v>0</v>
      </c>
      <c r="C208" s="13"/>
      <c r="D208" s="10"/>
      <c r="E208" s="10"/>
      <c r="F208" s="10"/>
      <c r="G208" s="7"/>
      <c r="H208" s="16" t="str">
        <f t="shared" si="3"/>
        <v>(206,0,'',,,,),</v>
      </c>
    </row>
    <row r="209" spans="1:8" ht="20.100000000000001" customHeight="1" x14ac:dyDescent="0.25">
      <c r="A209" s="3">
        <v>207</v>
      </c>
      <c r="B209" s="15">
        <v>0</v>
      </c>
      <c r="C209" s="13"/>
      <c r="D209" s="10"/>
      <c r="E209" s="10"/>
      <c r="F209" s="10"/>
      <c r="G209" s="7"/>
      <c r="H209" s="16" t="str">
        <f t="shared" si="3"/>
        <v>(207,0,'',,,,),</v>
      </c>
    </row>
    <row r="210" spans="1:8" ht="20.100000000000001" customHeight="1" x14ac:dyDescent="0.25">
      <c r="A210" s="3">
        <v>208</v>
      </c>
      <c r="B210" s="15">
        <v>0</v>
      </c>
      <c r="C210" s="13"/>
      <c r="D210" s="10"/>
      <c r="E210" s="10"/>
      <c r="F210" s="10"/>
      <c r="G210" s="7"/>
      <c r="H210" s="16" t="str">
        <f t="shared" si="3"/>
        <v>(208,0,'',,,,),</v>
      </c>
    </row>
    <row r="211" spans="1:8" ht="20.100000000000001" customHeight="1" x14ac:dyDescent="0.25">
      <c r="A211" s="3">
        <v>209</v>
      </c>
      <c r="B211" s="15">
        <v>0</v>
      </c>
      <c r="C211" s="13"/>
      <c r="D211" s="10"/>
      <c r="E211" s="10"/>
      <c r="F211" s="10"/>
      <c r="G211" s="7"/>
      <c r="H211" s="16" t="str">
        <f t="shared" si="3"/>
        <v>(209,0,'',,,,),</v>
      </c>
    </row>
    <row r="212" spans="1:8" ht="20.100000000000001" customHeight="1" x14ac:dyDescent="0.25">
      <c r="A212" s="3">
        <v>210</v>
      </c>
      <c r="B212" s="15">
        <v>0</v>
      </c>
      <c r="C212" s="13"/>
      <c r="D212" s="10"/>
      <c r="E212" s="10"/>
      <c r="F212" s="10"/>
      <c r="G212" s="7"/>
      <c r="H212" s="16" t="str">
        <f t="shared" si="3"/>
        <v>(210,0,'',,,,),</v>
      </c>
    </row>
    <row r="213" spans="1:8" ht="20.100000000000001" customHeight="1" x14ac:dyDescent="0.25">
      <c r="A213" s="3">
        <v>211</v>
      </c>
      <c r="B213" s="15">
        <v>0</v>
      </c>
      <c r="C213" s="13"/>
      <c r="D213" s="10"/>
      <c r="E213" s="10"/>
      <c r="F213" s="10"/>
      <c r="G213" s="7"/>
      <c r="H213" s="16" t="str">
        <f t="shared" si="3"/>
        <v>(211,0,'',,,,),</v>
      </c>
    </row>
    <row r="214" spans="1:8" ht="20.100000000000001" customHeight="1" x14ac:dyDescent="0.25">
      <c r="A214" s="3">
        <v>212</v>
      </c>
      <c r="B214" s="15">
        <v>0</v>
      </c>
      <c r="C214" s="13"/>
      <c r="D214" s="10"/>
      <c r="E214" s="10"/>
      <c r="F214" s="10"/>
      <c r="G214" s="7"/>
      <c r="H214" s="16" t="str">
        <f t="shared" si="3"/>
        <v>(212,0,'',,,,),</v>
      </c>
    </row>
    <row r="215" spans="1:8" ht="20.100000000000001" customHeight="1" x14ac:dyDescent="0.25">
      <c r="A215" s="3">
        <v>213</v>
      </c>
      <c r="B215" s="15">
        <v>0</v>
      </c>
      <c r="C215" s="13"/>
      <c r="D215" s="10"/>
      <c r="E215" s="10"/>
      <c r="F215" s="10"/>
      <c r="G215" s="7"/>
      <c r="H215" s="16" t="str">
        <f t="shared" si="3"/>
        <v>(213,0,'',,,,),</v>
      </c>
    </row>
    <row r="216" spans="1:8" ht="20.100000000000001" customHeight="1" x14ac:dyDescent="0.25">
      <c r="A216" s="3">
        <v>214</v>
      </c>
      <c r="B216" s="15">
        <v>0</v>
      </c>
      <c r="C216" s="13"/>
      <c r="D216" s="10"/>
      <c r="E216" s="10"/>
      <c r="F216" s="10"/>
      <c r="G216" s="7"/>
      <c r="H216" s="16" t="str">
        <f t="shared" si="3"/>
        <v>(214,0,'',,,,),</v>
      </c>
    </row>
    <row r="217" spans="1:8" ht="20.100000000000001" customHeight="1" x14ac:dyDescent="0.25">
      <c r="A217" s="3">
        <v>215</v>
      </c>
      <c r="B217" s="15">
        <v>0</v>
      </c>
      <c r="C217" s="13"/>
      <c r="D217" s="10"/>
      <c r="E217" s="10"/>
      <c r="F217" s="10"/>
      <c r="G217" s="7"/>
      <c r="H217" s="16" t="str">
        <f t="shared" si="3"/>
        <v>(215,0,'',,,,),</v>
      </c>
    </row>
    <row r="218" spans="1:8" ht="20.100000000000001" customHeight="1" x14ac:dyDescent="0.25">
      <c r="A218" s="3">
        <v>216</v>
      </c>
      <c r="B218" s="15">
        <v>0</v>
      </c>
      <c r="C218" s="13"/>
      <c r="D218" s="10"/>
      <c r="E218" s="10"/>
      <c r="F218" s="10"/>
      <c r="G218" s="7"/>
      <c r="H218" s="16" t="str">
        <f t="shared" si="3"/>
        <v>(216,0,'',,,,),</v>
      </c>
    </row>
    <row r="219" spans="1:8" ht="20.100000000000001" customHeight="1" x14ac:dyDescent="0.25">
      <c r="A219" s="3">
        <v>217</v>
      </c>
      <c r="B219" s="15">
        <v>0</v>
      </c>
      <c r="C219" s="13"/>
      <c r="D219" s="10"/>
      <c r="E219" s="10"/>
      <c r="F219" s="10"/>
      <c r="G219" s="7"/>
      <c r="H219" s="16" t="str">
        <f t="shared" si="3"/>
        <v>(217,0,'',,,,),</v>
      </c>
    </row>
    <row r="220" spans="1:8" ht="20.100000000000001" customHeight="1" x14ac:dyDescent="0.25">
      <c r="A220" s="3">
        <v>218</v>
      </c>
      <c r="B220" s="15">
        <v>0</v>
      </c>
      <c r="C220" s="13"/>
      <c r="D220" s="10"/>
      <c r="E220" s="10"/>
      <c r="F220" s="10"/>
      <c r="G220" s="7"/>
      <c r="H220" s="16" t="str">
        <f t="shared" si="3"/>
        <v>(218,0,'',,,,),</v>
      </c>
    </row>
    <row r="221" spans="1:8" ht="20.100000000000001" customHeight="1" x14ac:dyDescent="0.25">
      <c r="A221" s="3">
        <v>219</v>
      </c>
      <c r="B221" s="15">
        <v>0</v>
      </c>
      <c r="C221" s="13"/>
      <c r="D221" s="10"/>
      <c r="E221" s="10"/>
      <c r="F221" s="10"/>
      <c r="G221" s="7"/>
      <c r="H221" s="16" t="str">
        <f t="shared" si="3"/>
        <v>(219,0,'',,,,),</v>
      </c>
    </row>
    <row r="222" spans="1:8" ht="20.100000000000001" customHeight="1" x14ac:dyDescent="0.25">
      <c r="A222" s="3">
        <v>220</v>
      </c>
      <c r="B222" s="15">
        <v>0</v>
      </c>
      <c r="C222" s="13"/>
      <c r="D222" s="10"/>
      <c r="E222" s="10"/>
      <c r="F222" s="10"/>
      <c r="G222" s="7"/>
      <c r="H222" s="16" t="str">
        <f t="shared" si="3"/>
        <v>(220,0,'',,,,),</v>
      </c>
    </row>
    <row r="223" spans="1:8" ht="20.100000000000001" customHeight="1" x14ac:dyDescent="0.25">
      <c r="A223" s="3">
        <v>221</v>
      </c>
      <c r="B223" s="15">
        <v>0</v>
      </c>
      <c r="C223" s="13"/>
      <c r="D223" s="10"/>
      <c r="E223" s="10"/>
      <c r="F223" s="10"/>
      <c r="G223" s="7"/>
      <c r="H223" s="16" t="str">
        <f t="shared" si="3"/>
        <v>(221,0,'',,,,),</v>
      </c>
    </row>
    <row r="224" spans="1:8" ht="20.100000000000001" customHeight="1" x14ac:dyDescent="0.25">
      <c r="A224" s="3">
        <v>222</v>
      </c>
      <c r="B224" s="15">
        <v>0</v>
      </c>
      <c r="C224" s="13"/>
      <c r="D224" s="10"/>
      <c r="E224" s="10"/>
      <c r="F224" s="10"/>
      <c r="G224" s="7"/>
      <c r="H224" s="16" t="str">
        <f t="shared" si="3"/>
        <v>(222,0,'',,,,),</v>
      </c>
    </row>
    <row r="225" spans="1:8" ht="20.100000000000001" customHeight="1" x14ac:dyDescent="0.25">
      <c r="A225" s="3">
        <v>223</v>
      </c>
      <c r="B225" s="15">
        <v>0</v>
      </c>
      <c r="C225" s="13"/>
      <c r="D225" s="10"/>
      <c r="E225" s="10"/>
      <c r="F225" s="10"/>
      <c r="G225" s="7"/>
      <c r="H225" s="16" t="str">
        <f t="shared" si="3"/>
        <v>(223,0,'',,,,),</v>
      </c>
    </row>
    <row r="226" spans="1:8" ht="20.100000000000001" customHeight="1" x14ac:dyDescent="0.25">
      <c r="A226" s="3">
        <v>224</v>
      </c>
      <c r="B226" s="15">
        <v>0</v>
      </c>
      <c r="C226" s="13"/>
      <c r="D226" s="10"/>
      <c r="E226" s="10"/>
      <c r="F226" s="10"/>
      <c r="G226" s="7"/>
      <c r="H226" s="16" t="str">
        <f t="shared" si="3"/>
        <v>(224,0,'',,,,),</v>
      </c>
    </row>
    <row r="227" spans="1:8" ht="20.100000000000001" customHeight="1" x14ac:dyDescent="0.25">
      <c r="A227" s="3">
        <v>225</v>
      </c>
      <c r="B227" s="15">
        <v>0</v>
      </c>
      <c r="C227" s="13"/>
      <c r="D227" s="10"/>
      <c r="E227" s="10"/>
      <c r="F227" s="10"/>
      <c r="G227" s="7"/>
      <c r="H227" s="16" t="str">
        <f t="shared" si="3"/>
        <v>(225,0,'',,,,),</v>
      </c>
    </row>
    <row r="228" spans="1:8" ht="20.100000000000001" customHeight="1" x14ac:dyDescent="0.25">
      <c r="A228" s="3">
        <v>226</v>
      </c>
      <c r="B228" s="15">
        <v>0</v>
      </c>
      <c r="C228" s="13"/>
      <c r="D228" s="10"/>
      <c r="E228" s="10"/>
      <c r="F228" s="10"/>
      <c r="G228" s="7"/>
      <c r="H228" s="16" t="str">
        <f t="shared" si="3"/>
        <v>(226,0,'',,,,),</v>
      </c>
    </row>
    <row r="229" spans="1:8" ht="20.100000000000001" customHeight="1" x14ac:dyDescent="0.25">
      <c r="A229" s="3">
        <v>227</v>
      </c>
      <c r="B229" s="15">
        <v>0</v>
      </c>
      <c r="C229" s="13"/>
      <c r="D229" s="10"/>
      <c r="E229" s="10"/>
      <c r="F229" s="10"/>
      <c r="G229" s="7"/>
      <c r="H229" s="16" t="str">
        <f t="shared" si="3"/>
        <v>(227,0,'',,,,),</v>
      </c>
    </row>
    <row r="230" spans="1:8" ht="20.100000000000001" customHeight="1" x14ac:dyDescent="0.25">
      <c r="A230" s="3">
        <v>228</v>
      </c>
      <c r="B230" s="15">
        <v>0</v>
      </c>
      <c r="C230" s="13"/>
      <c r="D230" s="10"/>
      <c r="E230" s="10"/>
      <c r="F230" s="10"/>
      <c r="G230" s="7"/>
      <c r="H230" s="16" t="str">
        <f t="shared" si="3"/>
        <v>(228,0,'',,,,),</v>
      </c>
    </row>
    <row r="231" spans="1:8" ht="20.100000000000001" customHeight="1" x14ac:dyDescent="0.25">
      <c r="A231" s="3">
        <v>229</v>
      </c>
      <c r="B231" s="15">
        <v>0</v>
      </c>
      <c r="C231" s="13"/>
      <c r="D231" s="10"/>
      <c r="E231" s="10"/>
      <c r="F231" s="10"/>
      <c r="G231" s="7"/>
      <c r="H231" s="16" t="str">
        <f t="shared" si="3"/>
        <v>(229,0,'',,,,),</v>
      </c>
    </row>
    <row r="232" spans="1:8" ht="20.100000000000001" customHeight="1" x14ac:dyDescent="0.25">
      <c r="A232" s="3">
        <v>230</v>
      </c>
      <c r="B232" s="15">
        <v>0</v>
      </c>
      <c r="C232" s="13"/>
      <c r="D232" s="10"/>
      <c r="E232" s="10"/>
      <c r="F232" s="10"/>
      <c r="G232" s="7"/>
      <c r="H232" s="16" t="str">
        <f t="shared" si="3"/>
        <v>(230,0,'',,,,),</v>
      </c>
    </row>
    <row r="233" spans="1:8" ht="20.100000000000001" customHeight="1" x14ac:dyDescent="0.25">
      <c r="A233" s="3">
        <v>231</v>
      </c>
      <c r="B233" s="15">
        <v>0</v>
      </c>
      <c r="C233" s="13"/>
      <c r="D233" s="10"/>
      <c r="E233" s="10"/>
      <c r="F233" s="10"/>
      <c r="G233" s="7"/>
      <c r="H233" s="16" t="str">
        <f t="shared" si="3"/>
        <v>(231,0,'',,,,),</v>
      </c>
    </row>
    <row r="234" spans="1:8" ht="20.100000000000001" customHeight="1" x14ac:dyDescent="0.25">
      <c r="A234" s="3">
        <v>232</v>
      </c>
      <c r="B234" s="15">
        <v>0</v>
      </c>
      <c r="C234" s="13"/>
      <c r="D234" s="10"/>
      <c r="E234" s="10"/>
      <c r="F234" s="10"/>
      <c r="G234" s="7"/>
      <c r="H234" s="16" t="str">
        <f t="shared" si="3"/>
        <v>(232,0,'',,,,),</v>
      </c>
    </row>
    <row r="235" spans="1:8" ht="20.100000000000001" customHeight="1" x14ac:dyDescent="0.25">
      <c r="A235" s="3">
        <v>233</v>
      </c>
      <c r="B235" s="15">
        <v>0</v>
      </c>
      <c r="C235" s="13"/>
      <c r="D235" s="10"/>
      <c r="E235" s="10"/>
      <c r="F235" s="10"/>
      <c r="G235" s="7"/>
      <c r="H235" s="16" t="str">
        <f t="shared" si="3"/>
        <v>(233,0,'',,,,),</v>
      </c>
    </row>
    <row r="236" spans="1:8" ht="20.100000000000001" customHeight="1" x14ac:dyDescent="0.25">
      <c r="A236" s="3">
        <v>234</v>
      </c>
      <c r="B236" s="15">
        <v>0</v>
      </c>
      <c r="C236" s="13"/>
      <c r="D236" s="10"/>
      <c r="E236" s="10"/>
      <c r="F236" s="10"/>
      <c r="G236" s="7"/>
      <c r="H236" s="16" t="str">
        <f t="shared" si="3"/>
        <v>(234,0,'',,,,),</v>
      </c>
    </row>
    <row r="237" spans="1:8" ht="20.100000000000001" customHeight="1" x14ac:dyDescent="0.25">
      <c r="A237" s="3">
        <v>235</v>
      </c>
      <c r="B237" s="15">
        <v>0</v>
      </c>
      <c r="C237" s="13"/>
      <c r="D237" s="10"/>
      <c r="E237" s="10"/>
      <c r="F237" s="10"/>
      <c r="G237" s="7"/>
      <c r="H237" s="16" t="str">
        <f t="shared" si="3"/>
        <v>(235,0,'',,,,),</v>
      </c>
    </row>
    <row r="238" spans="1:8" ht="20.100000000000001" customHeight="1" x14ac:dyDescent="0.25">
      <c r="A238" s="3">
        <v>236</v>
      </c>
      <c r="B238" s="15">
        <v>0</v>
      </c>
      <c r="C238" s="13"/>
      <c r="D238" s="10"/>
      <c r="E238" s="10"/>
      <c r="F238" s="10"/>
      <c r="G238" s="7"/>
      <c r="H238" s="16" t="str">
        <f t="shared" si="3"/>
        <v>(236,0,'',,,,),</v>
      </c>
    </row>
    <row r="239" spans="1:8" ht="20.100000000000001" customHeight="1" x14ac:dyDescent="0.25">
      <c r="A239" s="3">
        <v>237</v>
      </c>
      <c r="B239" s="15">
        <v>0</v>
      </c>
      <c r="C239" s="13"/>
      <c r="D239" s="10"/>
      <c r="E239" s="10"/>
      <c r="F239" s="10"/>
      <c r="G239" s="7"/>
      <c r="H239" s="16" t="str">
        <f t="shared" si="3"/>
        <v>(237,0,'',,,,),</v>
      </c>
    </row>
    <row r="240" spans="1:8" ht="20.100000000000001" customHeight="1" x14ac:dyDescent="0.25">
      <c r="A240" s="3">
        <v>238</v>
      </c>
      <c r="B240" s="15">
        <v>0</v>
      </c>
      <c r="C240" s="13"/>
      <c r="D240" s="10"/>
      <c r="E240" s="10"/>
      <c r="F240" s="10"/>
      <c r="G240" s="7"/>
      <c r="H240" s="16" t="str">
        <f t="shared" si="3"/>
        <v>(238,0,'',,,,),</v>
      </c>
    </row>
    <row r="241" spans="1:8" ht="20.100000000000001" customHeight="1" x14ac:dyDescent="0.25">
      <c r="A241" s="3">
        <v>239</v>
      </c>
      <c r="B241" s="15">
        <v>0</v>
      </c>
      <c r="C241" s="13"/>
      <c r="D241" s="10"/>
      <c r="E241" s="10"/>
      <c r="F241" s="10"/>
      <c r="G241" s="7"/>
      <c r="H241" s="16" t="str">
        <f t="shared" si="3"/>
        <v>(239,0,'',,,,),</v>
      </c>
    </row>
    <row r="242" spans="1:8" ht="20.100000000000001" customHeight="1" x14ac:dyDescent="0.25">
      <c r="A242" s="3">
        <v>240</v>
      </c>
      <c r="B242" s="15">
        <v>0</v>
      </c>
      <c r="C242" s="13"/>
      <c r="D242" s="10"/>
      <c r="E242" s="10"/>
      <c r="F242" s="10"/>
      <c r="G242" s="7"/>
      <c r="H242" s="16" t="str">
        <f t="shared" si="3"/>
        <v>(240,0,'',,,,),</v>
      </c>
    </row>
    <row r="243" spans="1:8" ht="20.100000000000001" customHeight="1" x14ac:dyDescent="0.25">
      <c r="A243" s="3">
        <v>241</v>
      </c>
      <c r="B243" s="15">
        <v>0</v>
      </c>
      <c r="C243" s="13"/>
      <c r="D243" s="10"/>
      <c r="E243" s="10"/>
      <c r="F243" s="10"/>
      <c r="G243" s="7"/>
      <c r="H243" s="16" t="str">
        <f t="shared" si="3"/>
        <v>(241,0,'',,,,),</v>
      </c>
    </row>
    <row r="244" spans="1:8" ht="20.100000000000001" customHeight="1" x14ac:dyDescent="0.25">
      <c r="A244" s="3">
        <v>242</v>
      </c>
      <c r="B244" s="15">
        <v>0</v>
      </c>
      <c r="C244" s="13"/>
      <c r="D244" s="10"/>
      <c r="E244" s="10"/>
      <c r="F244" s="10"/>
      <c r="G244" s="7"/>
      <c r="H244" s="16" t="str">
        <f t="shared" si="3"/>
        <v>(242,0,'',,,,),</v>
      </c>
    </row>
    <row r="245" spans="1:8" ht="20.100000000000001" customHeight="1" x14ac:dyDescent="0.25">
      <c r="A245" s="3">
        <v>243</v>
      </c>
      <c r="B245" s="15">
        <v>0</v>
      </c>
      <c r="C245" s="13"/>
      <c r="D245" s="10"/>
      <c r="E245" s="10"/>
      <c r="F245" s="10"/>
      <c r="G245" s="7"/>
      <c r="H245" s="16" t="str">
        <f t="shared" si="3"/>
        <v>(243,0,'',,,,),</v>
      </c>
    </row>
    <row r="246" spans="1:8" ht="20.100000000000001" customHeight="1" x14ac:dyDescent="0.25">
      <c r="A246" s="3">
        <v>244</v>
      </c>
      <c r="B246" s="15">
        <v>0</v>
      </c>
      <c r="C246" s="13"/>
      <c r="D246" s="10"/>
      <c r="E246" s="10"/>
      <c r="F246" s="10"/>
      <c r="G246" s="7"/>
      <c r="H246" s="16" t="str">
        <f t="shared" si="3"/>
        <v>(244,0,'',,,,),</v>
      </c>
    </row>
    <row r="247" spans="1:8" ht="20.100000000000001" customHeight="1" x14ac:dyDescent="0.25">
      <c r="A247" s="3">
        <v>245</v>
      </c>
      <c r="B247" s="15">
        <v>0</v>
      </c>
      <c r="C247" s="13"/>
      <c r="D247" s="10"/>
      <c r="E247" s="10"/>
      <c r="F247" s="10"/>
      <c r="G247" s="7"/>
      <c r="H247" s="16" t="str">
        <f t="shared" si="3"/>
        <v>(245,0,'',,,,),</v>
      </c>
    </row>
    <row r="248" spans="1:8" ht="20.100000000000001" customHeight="1" x14ac:dyDescent="0.25">
      <c r="A248" s="3">
        <v>246</v>
      </c>
      <c r="B248" s="15">
        <v>0</v>
      </c>
      <c r="C248" s="13"/>
      <c r="D248" s="10"/>
      <c r="E248" s="10"/>
      <c r="F248" s="10"/>
      <c r="G248" s="7"/>
      <c r="H248" s="16" t="str">
        <f t="shared" si="3"/>
        <v>(246,0,'',,,,),</v>
      </c>
    </row>
    <row r="249" spans="1:8" ht="20.100000000000001" customHeight="1" x14ac:dyDescent="0.25">
      <c r="A249" s="3">
        <v>247</v>
      </c>
      <c r="B249" s="15">
        <v>0</v>
      </c>
      <c r="C249" s="13"/>
      <c r="D249" s="10"/>
      <c r="E249" s="10"/>
      <c r="F249" s="10"/>
      <c r="G249" s="7"/>
      <c r="H249" s="16" t="str">
        <f t="shared" si="3"/>
        <v>(247,0,'',,,,),</v>
      </c>
    </row>
    <row r="250" spans="1:8" ht="20.100000000000001" customHeight="1" x14ac:dyDescent="0.25">
      <c r="A250" s="3">
        <v>248</v>
      </c>
      <c r="B250" s="15">
        <v>0</v>
      </c>
      <c r="C250" s="13"/>
      <c r="D250" s="10"/>
      <c r="E250" s="10"/>
      <c r="F250" s="10"/>
      <c r="G250" s="7"/>
      <c r="H250" s="16" t="str">
        <f t="shared" si="3"/>
        <v>(248,0,'',,,,),</v>
      </c>
    </row>
    <row r="251" spans="1:8" ht="20.100000000000001" customHeight="1" x14ac:dyDescent="0.25">
      <c r="A251" s="3">
        <v>249</v>
      </c>
      <c r="B251" s="15">
        <v>0</v>
      </c>
      <c r="C251" s="13"/>
      <c r="D251" s="10"/>
      <c r="E251" s="10"/>
      <c r="F251" s="10"/>
      <c r="G251" s="7"/>
      <c r="H251" s="16" t="str">
        <f t="shared" si="3"/>
        <v>(249,0,'',,,,),</v>
      </c>
    </row>
    <row r="252" spans="1:8" ht="20.100000000000001" customHeight="1" x14ac:dyDescent="0.25">
      <c r="A252" s="3">
        <v>250</v>
      </c>
      <c r="B252" s="15">
        <v>0</v>
      </c>
      <c r="C252" s="13"/>
      <c r="D252" s="10"/>
      <c r="E252" s="10"/>
      <c r="F252" s="10"/>
      <c r="G252" s="7"/>
      <c r="H252" s="16" t="str">
        <f t="shared" si="3"/>
        <v>(250,0,'',,,,),</v>
      </c>
    </row>
    <row r="253" spans="1:8" ht="20.100000000000001" customHeight="1" x14ac:dyDescent="0.25">
      <c r="A253" s="3">
        <v>251</v>
      </c>
      <c r="B253" s="15">
        <v>0</v>
      </c>
      <c r="C253" s="13"/>
      <c r="D253" s="10"/>
      <c r="E253" s="10"/>
      <c r="F253" s="10"/>
      <c r="G253" s="7"/>
      <c r="H253" s="16" t="str">
        <f t="shared" si="3"/>
        <v>(251,0,'',,,,),</v>
      </c>
    </row>
    <row r="254" spans="1:8" ht="20.100000000000001" customHeight="1" x14ac:dyDescent="0.25">
      <c r="A254" s="3">
        <v>252</v>
      </c>
      <c r="B254" s="15">
        <v>0</v>
      </c>
      <c r="C254" s="13"/>
      <c r="D254" s="10"/>
      <c r="E254" s="10"/>
      <c r="F254" s="10"/>
      <c r="G254" s="7"/>
      <c r="H254" s="16" t="str">
        <f t="shared" si="3"/>
        <v>(252,0,'',,,,),</v>
      </c>
    </row>
    <row r="255" spans="1:8" ht="20.100000000000001" customHeight="1" x14ac:dyDescent="0.25">
      <c r="A255" s="3">
        <v>253</v>
      </c>
      <c r="B255" s="15">
        <v>0</v>
      </c>
      <c r="C255" s="13"/>
      <c r="D255" s="10"/>
      <c r="E255" s="10"/>
      <c r="F255" s="10"/>
      <c r="G255" s="7"/>
      <c r="H255" s="16" t="str">
        <f t="shared" si="3"/>
        <v>(253,0,'',,,,),</v>
      </c>
    </row>
    <row r="256" spans="1:8" ht="20.100000000000001" customHeight="1" x14ac:dyDescent="0.25">
      <c r="A256" s="3">
        <v>254</v>
      </c>
      <c r="B256" s="15">
        <v>0</v>
      </c>
      <c r="C256" s="13"/>
      <c r="D256" s="10"/>
      <c r="E256" s="10"/>
      <c r="F256" s="10"/>
      <c r="G256" s="7"/>
      <c r="H256" s="16" t="str">
        <f t="shared" si="3"/>
        <v>(254,0,'',,,,),</v>
      </c>
    </row>
    <row r="257" spans="1:8" ht="20.100000000000001" customHeight="1" x14ac:dyDescent="0.25">
      <c r="A257" s="3">
        <v>255</v>
      </c>
      <c r="B257" s="15">
        <v>0</v>
      </c>
      <c r="C257" s="13"/>
      <c r="D257" s="10"/>
      <c r="E257" s="10"/>
      <c r="F257" s="10"/>
      <c r="G257" s="7"/>
      <c r="H257" s="16" t="str">
        <f t="shared" si="3"/>
        <v>(255,0,'',,,,),</v>
      </c>
    </row>
    <row r="258" spans="1:8" ht="20.100000000000001" customHeight="1" x14ac:dyDescent="0.25">
      <c r="A258" s="3">
        <v>256</v>
      </c>
      <c r="B258" s="15">
        <v>0</v>
      </c>
      <c r="C258" s="13"/>
      <c r="D258" s="10"/>
      <c r="E258" s="10"/>
      <c r="F258" s="10"/>
      <c r="G258" s="7"/>
      <c r="H258" s="16" t="str">
        <f t="shared" si="3"/>
        <v>(256,0,'',,,,),</v>
      </c>
    </row>
    <row r="259" spans="1:8" ht="20.100000000000001" customHeight="1" x14ac:dyDescent="0.25">
      <c r="A259" s="3">
        <v>257</v>
      </c>
      <c r="B259" s="15">
        <v>0</v>
      </c>
      <c r="C259" s="13"/>
      <c r="D259" s="10"/>
      <c r="E259" s="10"/>
      <c r="F259" s="10"/>
      <c r="G259" s="7"/>
      <c r="H259" s="16" t="str">
        <f t="shared" si="3"/>
        <v>(257,0,'',,,,),</v>
      </c>
    </row>
    <row r="260" spans="1:8" ht="20.100000000000001" customHeight="1" x14ac:dyDescent="0.25">
      <c r="A260" s="3">
        <v>258</v>
      </c>
      <c r="B260" s="15">
        <v>0</v>
      </c>
      <c r="C260" s="13"/>
      <c r="D260" s="10"/>
      <c r="E260" s="10"/>
      <c r="F260" s="10"/>
      <c r="G260" s="7"/>
      <c r="H260" s="16" t="str">
        <f t="shared" ref="H260:H323" si="4">CONCATENATE("(",A260,",",B260,",'",C260,"',",D260,",",E260,",",F260,",",G260,"),")</f>
        <v>(258,0,'',,,,),</v>
      </c>
    </row>
    <row r="261" spans="1:8" ht="20.100000000000001" customHeight="1" x14ac:dyDescent="0.25">
      <c r="A261" s="3">
        <v>259</v>
      </c>
      <c r="B261" s="15">
        <v>0</v>
      </c>
      <c r="C261" s="13"/>
      <c r="D261" s="10"/>
      <c r="E261" s="10"/>
      <c r="F261" s="10"/>
      <c r="G261" s="7"/>
      <c r="H261" s="16" t="str">
        <f t="shared" si="4"/>
        <v>(259,0,'',,,,),</v>
      </c>
    </row>
    <row r="262" spans="1:8" ht="20.100000000000001" customHeight="1" x14ac:dyDescent="0.25">
      <c r="A262" s="3">
        <v>260</v>
      </c>
      <c r="B262" s="15">
        <v>0</v>
      </c>
      <c r="C262" s="13"/>
      <c r="D262" s="10"/>
      <c r="E262" s="10"/>
      <c r="F262" s="10"/>
      <c r="G262" s="7"/>
      <c r="H262" s="16" t="str">
        <f t="shared" si="4"/>
        <v>(260,0,'',,,,),</v>
      </c>
    </row>
    <row r="263" spans="1:8" ht="20.100000000000001" customHeight="1" x14ac:dyDescent="0.25">
      <c r="A263" s="3">
        <v>261</v>
      </c>
      <c r="B263" s="15">
        <v>0</v>
      </c>
      <c r="C263" s="13"/>
      <c r="D263" s="10"/>
      <c r="E263" s="10"/>
      <c r="F263" s="10"/>
      <c r="G263" s="7"/>
      <c r="H263" s="16" t="str">
        <f t="shared" si="4"/>
        <v>(261,0,'',,,,),</v>
      </c>
    </row>
    <row r="264" spans="1:8" ht="20.100000000000001" customHeight="1" x14ac:dyDescent="0.25">
      <c r="A264" s="3">
        <v>262</v>
      </c>
      <c r="B264" s="15">
        <v>0</v>
      </c>
      <c r="C264" s="13"/>
      <c r="D264" s="10"/>
      <c r="E264" s="10"/>
      <c r="F264" s="10"/>
      <c r="G264" s="7"/>
      <c r="H264" s="16" t="str">
        <f t="shared" si="4"/>
        <v>(262,0,'',,,,),</v>
      </c>
    </row>
    <row r="265" spans="1:8" ht="20.100000000000001" customHeight="1" x14ac:dyDescent="0.25">
      <c r="A265" s="3">
        <v>263</v>
      </c>
      <c r="B265" s="15">
        <v>0</v>
      </c>
      <c r="C265" s="13"/>
      <c r="D265" s="10"/>
      <c r="E265" s="10"/>
      <c r="F265" s="10"/>
      <c r="G265" s="7"/>
      <c r="H265" s="16" t="str">
        <f t="shared" si="4"/>
        <v>(263,0,'',,,,),</v>
      </c>
    </row>
    <row r="266" spans="1:8" ht="20.100000000000001" customHeight="1" x14ac:dyDescent="0.25">
      <c r="A266" s="3">
        <v>264</v>
      </c>
      <c r="B266" s="15">
        <v>0</v>
      </c>
      <c r="C266" s="13"/>
      <c r="D266" s="10"/>
      <c r="E266" s="10"/>
      <c r="F266" s="10"/>
      <c r="G266" s="7"/>
      <c r="H266" s="16" t="str">
        <f t="shared" si="4"/>
        <v>(264,0,'',,,,),</v>
      </c>
    </row>
    <row r="267" spans="1:8" ht="20.100000000000001" customHeight="1" x14ac:dyDescent="0.25">
      <c r="A267" s="3">
        <v>265</v>
      </c>
      <c r="B267" s="15">
        <v>0</v>
      </c>
      <c r="C267" s="13"/>
      <c r="D267" s="10"/>
      <c r="E267" s="10"/>
      <c r="F267" s="10"/>
      <c r="G267" s="7"/>
      <c r="H267" s="16" t="str">
        <f t="shared" si="4"/>
        <v>(265,0,'',,,,),</v>
      </c>
    </row>
    <row r="268" spans="1:8" ht="20.100000000000001" customHeight="1" x14ac:dyDescent="0.25">
      <c r="A268" s="3">
        <v>266</v>
      </c>
      <c r="B268" s="15">
        <v>0</v>
      </c>
      <c r="C268" s="13"/>
      <c r="D268" s="10"/>
      <c r="E268" s="10"/>
      <c r="F268" s="10"/>
      <c r="G268" s="7"/>
      <c r="H268" s="16" t="str">
        <f t="shared" si="4"/>
        <v>(266,0,'',,,,),</v>
      </c>
    </row>
    <row r="269" spans="1:8" ht="20.100000000000001" customHeight="1" x14ac:dyDescent="0.25">
      <c r="A269" s="3">
        <v>267</v>
      </c>
      <c r="B269" s="15">
        <v>0</v>
      </c>
      <c r="C269" s="13"/>
      <c r="D269" s="10"/>
      <c r="E269" s="10"/>
      <c r="F269" s="10"/>
      <c r="G269" s="7"/>
      <c r="H269" s="16" t="str">
        <f t="shared" si="4"/>
        <v>(267,0,'',,,,),</v>
      </c>
    </row>
    <row r="270" spans="1:8" ht="20.100000000000001" customHeight="1" x14ac:dyDescent="0.25">
      <c r="A270" s="3">
        <v>268</v>
      </c>
      <c r="B270" s="15">
        <v>0</v>
      </c>
      <c r="C270" s="13"/>
      <c r="D270" s="10"/>
      <c r="E270" s="10"/>
      <c r="F270" s="10"/>
      <c r="G270" s="7"/>
      <c r="H270" s="16" t="str">
        <f t="shared" si="4"/>
        <v>(268,0,'',,,,),</v>
      </c>
    </row>
    <row r="271" spans="1:8" ht="20.100000000000001" customHeight="1" x14ac:dyDescent="0.25">
      <c r="A271" s="3">
        <v>269</v>
      </c>
      <c r="B271" s="15">
        <v>0</v>
      </c>
      <c r="C271" s="13"/>
      <c r="D271" s="10"/>
      <c r="E271" s="10"/>
      <c r="F271" s="10"/>
      <c r="G271" s="7"/>
      <c r="H271" s="16" t="str">
        <f t="shared" si="4"/>
        <v>(269,0,'',,,,),</v>
      </c>
    </row>
    <row r="272" spans="1:8" ht="20.100000000000001" customHeight="1" x14ac:dyDescent="0.25">
      <c r="A272" s="3">
        <v>270</v>
      </c>
      <c r="B272" s="15">
        <v>0</v>
      </c>
      <c r="C272" s="13"/>
      <c r="D272" s="10"/>
      <c r="E272" s="10"/>
      <c r="F272" s="10"/>
      <c r="G272" s="7"/>
      <c r="H272" s="16" t="str">
        <f t="shared" si="4"/>
        <v>(270,0,'',,,,),</v>
      </c>
    </row>
    <row r="273" spans="1:8" ht="20.100000000000001" customHeight="1" x14ac:dyDescent="0.25">
      <c r="A273" s="3">
        <v>271</v>
      </c>
      <c r="B273" s="15">
        <v>0</v>
      </c>
      <c r="C273" s="13"/>
      <c r="D273" s="10"/>
      <c r="E273" s="10"/>
      <c r="F273" s="10"/>
      <c r="G273" s="7"/>
      <c r="H273" s="16" t="str">
        <f t="shared" si="4"/>
        <v>(271,0,'',,,,),</v>
      </c>
    </row>
    <row r="274" spans="1:8" ht="20.100000000000001" customHeight="1" x14ac:dyDescent="0.25">
      <c r="A274" s="3">
        <v>272</v>
      </c>
      <c r="B274" s="15">
        <v>0</v>
      </c>
      <c r="C274" s="13"/>
      <c r="D274" s="10"/>
      <c r="E274" s="10"/>
      <c r="F274" s="10"/>
      <c r="G274" s="7"/>
      <c r="H274" s="16" t="str">
        <f t="shared" si="4"/>
        <v>(272,0,'',,,,),</v>
      </c>
    </row>
    <row r="275" spans="1:8" ht="20.100000000000001" customHeight="1" x14ac:dyDescent="0.25">
      <c r="A275" s="3">
        <v>273</v>
      </c>
      <c r="B275" s="15">
        <v>0</v>
      </c>
      <c r="C275" s="13"/>
      <c r="D275" s="10"/>
      <c r="E275" s="10"/>
      <c r="F275" s="10"/>
      <c r="G275" s="7"/>
      <c r="H275" s="16" t="str">
        <f t="shared" si="4"/>
        <v>(273,0,'',,,,),</v>
      </c>
    </row>
    <row r="276" spans="1:8" ht="20.100000000000001" customHeight="1" x14ac:dyDescent="0.25">
      <c r="A276" s="3">
        <v>274</v>
      </c>
      <c r="B276" s="15">
        <v>0</v>
      </c>
      <c r="C276" s="13"/>
      <c r="D276" s="10"/>
      <c r="E276" s="10"/>
      <c r="F276" s="10"/>
      <c r="G276" s="7"/>
      <c r="H276" s="16" t="str">
        <f t="shared" si="4"/>
        <v>(274,0,'',,,,),</v>
      </c>
    </row>
    <row r="277" spans="1:8" ht="20.100000000000001" customHeight="1" x14ac:dyDescent="0.25">
      <c r="A277" s="3">
        <v>275</v>
      </c>
      <c r="B277" s="15">
        <v>0</v>
      </c>
      <c r="C277" s="13"/>
      <c r="D277" s="10"/>
      <c r="E277" s="10"/>
      <c r="F277" s="10"/>
      <c r="G277" s="7"/>
      <c r="H277" s="16" t="str">
        <f t="shared" si="4"/>
        <v>(275,0,'',,,,),</v>
      </c>
    </row>
    <row r="278" spans="1:8" ht="20.100000000000001" customHeight="1" x14ac:dyDescent="0.25">
      <c r="A278" s="3">
        <v>276</v>
      </c>
      <c r="B278" s="15">
        <v>0</v>
      </c>
      <c r="C278" s="13"/>
      <c r="D278" s="10"/>
      <c r="E278" s="10"/>
      <c r="F278" s="10"/>
      <c r="G278" s="7"/>
      <c r="H278" s="16" t="str">
        <f t="shared" si="4"/>
        <v>(276,0,'',,,,),</v>
      </c>
    </row>
    <row r="279" spans="1:8" ht="20.100000000000001" customHeight="1" x14ac:dyDescent="0.25">
      <c r="A279" s="3">
        <v>277</v>
      </c>
      <c r="B279" s="15">
        <v>0</v>
      </c>
      <c r="C279" s="13"/>
      <c r="D279" s="10"/>
      <c r="E279" s="10"/>
      <c r="F279" s="10"/>
      <c r="G279" s="7"/>
      <c r="H279" s="16" t="str">
        <f t="shared" si="4"/>
        <v>(277,0,'',,,,),</v>
      </c>
    </row>
    <row r="280" spans="1:8" ht="20.100000000000001" customHeight="1" x14ac:dyDescent="0.25">
      <c r="A280" s="3">
        <v>278</v>
      </c>
      <c r="B280" s="15">
        <v>0</v>
      </c>
      <c r="C280" s="13"/>
      <c r="D280" s="10"/>
      <c r="E280" s="10"/>
      <c r="F280" s="10"/>
      <c r="G280" s="7"/>
      <c r="H280" s="16" t="str">
        <f t="shared" si="4"/>
        <v>(278,0,'',,,,),</v>
      </c>
    </row>
    <row r="281" spans="1:8" ht="20.100000000000001" customHeight="1" x14ac:dyDescent="0.25">
      <c r="A281" s="3">
        <v>279</v>
      </c>
      <c r="B281" s="15">
        <v>0</v>
      </c>
      <c r="C281" s="13"/>
      <c r="D281" s="10"/>
      <c r="E281" s="10"/>
      <c r="F281" s="10"/>
      <c r="G281" s="7"/>
      <c r="H281" s="16" t="str">
        <f t="shared" si="4"/>
        <v>(279,0,'',,,,),</v>
      </c>
    </row>
    <row r="282" spans="1:8" ht="20.100000000000001" customHeight="1" x14ac:dyDescent="0.25">
      <c r="A282" s="3">
        <v>280</v>
      </c>
      <c r="B282" s="15">
        <v>0</v>
      </c>
      <c r="C282" s="13"/>
      <c r="D282" s="10"/>
      <c r="E282" s="10"/>
      <c r="F282" s="10"/>
      <c r="G282" s="7"/>
      <c r="H282" s="16" t="str">
        <f t="shared" si="4"/>
        <v>(280,0,'',,,,),</v>
      </c>
    </row>
    <row r="283" spans="1:8" ht="20.100000000000001" customHeight="1" x14ac:dyDescent="0.25">
      <c r="A283" s="3">
        <v>281</v>
      </c>
      <c r="B283" s="15">
        <v>0</v>
      </c>
      <c r="C283" s="13"/>
      <c r="D283" s="10"/>
      <c r="E283" s="10"/>
      <c r="F283" s="10"/>
      <c r="G283" s="7"/>
      <c r="H283" s="16" t="str">
        <f t="shared" si="4"/>
        <v>(281,0,'',,,,),</v>
      </c>
    </row>
    <row r="284" spans="1:8" ht="20.100000000000001" customHeight="1" x14ac:dyDescent="0.25">
      <c r="A284" s="3">
        <v>282</v>
      </c>
      <c r="B284" s="15">
        <v>0</v>
      </c>
      <c r="C284" s="13"/>
      <c r="D284" s="10"/>
      <c r="E284" s="10"/>
      <c r="F284" s="10"/>
      <c r="G284" s="7"/>
      <c r="H284" s="16" t="str">
        <f t="shared" si="4"/>
        <v>(282,0,'',,,,),</v>
      </c>
    </row>
    <row r="285" spans="1:8" ht="20.100000000000001" customHeight="1" x14ac:dyDescent="0.25">
      <c r="A285" s="3">
        <v>283</v>
      </c>
      <c r="B285" s="15">
        <v>0</v>
      </c>
      <c r="C285" s="13"/>
      <c r="D285" s="10"/>
      <c r="E285" s="10"/>
      <c r="F285" s="10"/>
      <c r="G285" s="7"/>
      <c r="H285" s="16" t="str">
        <f t="shared" si="4"/>
        <v>(283,0,'',,,,),</v>
      </c>
    </row>
    <row r="286" spans="1:8" ht="20.100000000000001" customHeight="1" x14ac:dyDescent="0.25">
      <c r="A286" s="3">
        <v>284</v>
      </c>
      <c r="B286" s="15">
        <v>0</v>
      </c>
      <c r="C286" s="13"/>
      <c r="D286" s="10"/>
      <c r="E286" s="10"/>
      <c r="F286" s="10"/>
      <c r="G286" s="7"/>
      <c r="H286" s="16" t="str">
        <f t="shared" si="4"/>
        <v>(284,0,'',,,,),</v>
      </c>
    </row>
    <row r="287" spans="1:8" ht="20.100000000000001" customHeight="1" x14ac:dyDescent="0.25">
      <c r="A287" s="3">
        <v>285</v>
      </c>
      <c r="B287" s="15">
        <v>0</v>
      </c>
      <c r="C287" s="13"/>
      <c r="D287" s="10"/>
      <c r="E287" s="10"/>
      <c r="F287" s="10"/>
      <c r="G287" s="7"/>
      <c r="H287" s="16" t="str">
        <f t="shared" si="4"/>
        <v>(285,0,'',,,,),</v>
      </c>
    </row>
    <row r="288" spans="1:8" ht="20.100000000000001" customHeight="1" x14ac:dyDescent="0.25">
      <c r="A288" s="3">
        <v>286</v>
      </c>
      <c r="B288" s="15">
        <v>0</v>
      </c>
      <c r="C288" s="13"/>
      <c r="D288" s="10"/>
      <c r="E288" s="10"/>
      <c r="F288" s="10"/>
      <c r="G288" s="7"/>
      <c r="H288" s="16" t="str">
        <f t="shared" si="4"/>
        <v>(286,0,'',,,,),</v>
      </c>
    </row>
    <row r="289" spans="1:8" ht="20.100000000000001" customHeight="1" x14ac:dyDescent="0.25">
      <c r="A289" s="3">
        <v>287</v>
      </c>
      <c r="B289" s="15">
        <v>0</v>
      </c>
      <c r="C289" s="13"/>
      <c r="D289" s="10"/>
      <c r="E289" s="10"/>
      <c r="F289" s="10"/>
      <c r="G289" s="7"/>
      <c r="H289" s="16" t="str">
        <f t="shared" si="4"/>
        <v>(287,0,'',,,,),</v>
      </c>
    </row>
    <row r="290" spans="1:8" ht="20.100000000000001" customHeight="1" x14ac:dyDescent="0.25">
      <c r="A290" s="3">
        <v>288</v>
      </c>
      <c r="B290" s="15">
        <v>0</v>
      </c>
      <c r="C290" s="13"/>
      <c r="D290" s="10"/>
      <c r="E290" s="10"/>
      <c r="F290" s="10"/>
      <c r="G290" s="7"/>
      <c r="H290" s="16" t="str">
        <f t="shared" si="4"/>
        <v>(288,0,'',,,,),</v>
      </c>
    </row>
    <row r="291" spans="1:8" ht="20.100000000000001" customHeight="1" x14ac:dyDescent="0.25">
      <c r="A291" s="3">
        <v>289</v>
      </c>
      <c r="B291" s="15">
        <v>0</v>
      </c>
      <c r="C291" s="13"/>
      <c r="D291" s="10"/>
      <c r="E291" s="10"/>
      <c r="F291" s="10"/>
      <c r="G291" s="7"/>
      <c r="H291" s="16" t="str">
        <f t="shared" si="4"/>
        <v>(289,0,'',,,,),</v>
      </c>
    </row>
    <row r="292" spans="1:8" ht="20.100000000000001" customHeight="1" x14ac:dyDescent="0.25">
      <c r="A292" s="3">
        <v>290</v>
      </c>
      <c r="B292" s="15">
        <v>0</v>
      </c>
      <c r="C292" s="13"/>
      <c r="D292" s="10"/>
      <c r="E292" s="10"/>
      <c r="F292" s="10"/>
      <c r="G292" s="7"/>
      <c r="H292" s="16" t="str">
        <f t="shared" si="4"/>
        <v>(290,0,'',,,,),</v>
      </c>
    </row>
    <row r="293" spans="1:8" ht="20.100000000000001" customHeight="1" x14ac:dyDescent="0.25">
      <c r="A293" s="3">
        <v>291</v>
      </c>
      <c r="B293" s="15">
        <v>0</v>
      </c>
      <c r="C293" s="13"/>
      <c r="D293" s="10"/>
      <c r="E293" s="10"/>
      <c r="F293" s="10"/>
      <c r="G293" s="7"/>
      <c r="H293" s="16" t="str">
        <f t="shared" si="4"/>
        <v>(291,0,'',,,,),</v>
      </c>
    </row>
    <row r="294" spans="1:8" ht="20.100000000000001" customHeight="1" x14ac:dyDescent="0.25">
      <c r="A294" s="3">
        <v>292</v>
      </c>
      <c r="B294" s="15">
        <v>0</v>
      </c>
      <c r="C294" s="13"/>
      <c r="D294" s="10"/>
      <c r="E294" s="10"/>
      <c r="F294" s="10"/>
      <c r="G294" s="7"/>
      <c r="H294" s="16" t="str">
        <f t="shared" si="4"/>
        <v>(292,0,'',,,,),</v>
      </c>
    </row>
    <row r="295" spans="1:8" ht="20.100000000000001" customHeight="1" x14ac:dyDescent="0.25">
      <c r="A295" s="3">
        <v>293</v>
      </c>
      <c r="B295" s="15">
        <v>0</v>
      </c>
      <c r="C295" s="13"/>
      <c r="D295" s="10"/>
      <c r="E295" s="10"/>
      <c r="F295" s="10"/>
      <c r="G295" s="7"/>
      <c r="H295" s="16" t="str">
        <f t="shared" si="4"/>
        <v>(293,0,'',,,,),</v>
      </c>
    </row>
    <row r="296" spans="1:8" ht="20.100000000000001" customHeight="1" x14ac:dyDescent="0.25">
      <c r="A296" s="3">
        <v>294</v>
      </c>
      <c r="B296" s="15">
        <v>0</v>
      </c>
      <c r="C296" s="13"/>
      <c r="D296" s="10"/>
      <c r="E296" s="10"/>
      <c r="F296" s="10"/>
      <c r="G296" s="7"/>
      <c r="H296" s="16" t="str">
        <f t="shared" si="4"/>
        <v>(294,0,'',,,,),</v>
      </c>
    </row>
    <row r="297" spans="1:8" ht="20.100000000000001" customHeight="1" x14ac:dyDescent="0.25">
      <c r="A297" s="3">
        <v>295</v>
      </c>
      <c r="B297" s="15">
        <v>0</v>
      </c>
      <c r="C297" s="13"/>
      <c r="D297" s="10"/>
      <c r="E297" s="10"/>
      <c r="F297" s="10"/>
      <c r="G297" s="7"/>
      <c r="H297" s="16" t="str">
        <f t="shared" si="4"/>
        <v>(295,0,'',,,,),</v>
      </c>
    </row>
    <row r="298" spans="1:8" ht="20.100000000000001" customHeight="1" x14ac:dyDescent="0.25">
      <c r="A298" s="3">
        <v>296</v>
      </c>
      <c r="B298" s="15">
        <v>0</v>
      </c>
      <c r="C298" s="13"/>
      <c r="D298" s="10"/>
      <c r="E298" s="10"/>
      <c r="F298" s="10"/>
      <c r="G298" s="7"/>
      <c r="H298" s="16" t="str">
        <f t="shared" si="4"/>
        <v>(296,0,'',,,,),</v>
      </c>
    </row>
    <row r="299" spans="1:8" ht="20.100000000000001" customHeight="1" x14ac:dyDescent="0.25">
      <c r="A299" s="3">
        <v>297</v>
      </c>
      <c r="B299" s="15">
        <v>0</v>
      </c>
      <c r="C299" s="13"/>
      <c r="D299" s="10"/>
      <c r="E299" s="10"/>
      <c r="F299" s="10"/>
      <c r="G299" s="7"/>
      <c r="H299" s="16" t="str">
        <f t="shared" si="4"/>
        <v>(297,0,'',,,,),</v>
      </c>
    </row>
    <row r="300" spans="1:8" ht="20.100000000000001" customHeight="1" x14ac:dyDescent="0.25">
      <c r="A300" s="3">
        <v>298</v>
      </c>
      <c r="B300" s="15">
        <v>0</v>
      </c>
      <c r="C300" s="13"/>
      <c r="D300" s="10"/>
      <c r="E300" s="10"/>
      <c r="F300" s="10"/>
      <c r="G300" s="7"/>
      <c r="H300" s="16" t="str">
        <f t="shared" si="4"/>
        <v>(298,0,'',,,,),</v>
      </c>
    </row>
    <row r="301" spans="1:8" ht="20.100000000000001" customHeight="1" x14ac:dyDescent="0.25">
      <c r="A301" s="3">
        <v>299</v>
      </c>
      <c r="B301" s="15">
        <v>0</v>
      </c>
      <c r="C301" s="13"/>
      <c r="D301" s="10"/>
      <c r="E301" s="10"/>
      <c r="F301" s="10"/>
      <c r="G301" s="7"/>
      <c r="H301" s="16" t="str">
        <f t="shared" si="4"/>
        <v>(299,0,'',,,,),</v>
      </c>
    </row>
    <row r="302" spans="1:8" ht="20.100000000000001" customHeight="1" x14ac:dyDescent="0.25">
      <c r="A302" s="3">
        <v>300</v>
      </c>
      <c r="B302" s="15">
        <v>0</v>
      </c>
      <c r="C302" s="13"/>
      <c r="D302" s="10"/>
      <c r="E302" s="10"/>
      <c r="F302" s="10"/>
      <c r="G302" s="7"/>
      <c r="H302" s="16" t="str">
        <f t="shared" si="4"/>
        <v>(300,0,'',,,,),</v>
      </c>
    </row>
    <row r="303" spans="1:8" ht="20.100000000000001" customHeight="1" x14ac:dyDescent="0.25">
      <c r="A303" s="3">
        <v>301</v>
      </c>
      <c r="B303" s="15">
        <v>0</v>
      </c>
      <c r="C303" s="13"/>
      <c r="D303" s="10"/>
      <c r="E303" s="10"/>
      <c r="F303" s="10"/>
      <c r="G303" s="7"/>
      <c r="H303" s="16" t="str">
        <f t="shared" si="4"/>
        <v>(301,0,'',,,,),</v>
      </c>
    </row>
    <row r="304" spans="1:8" ht="20.100000000000001" customHeight="1" x14ac:dyDescent="0.25">
      <c r="A304" s="3">
        <v>302</v>
      </c>
      <c r="B304" s="15">
        <v>0</v>
      </c>
      <c r="C304" s="13"/>
      <c r="D304" s="10"/>
      <c r="E304" s="10"/>
      <c r="F304" s="10"/>
      <c r="G304" s="7"/>
      <c r="H304" s="16" t="str">
        <f t="shared" si="4"/>
        <v>(302,0,'',,,,),</v>
      </c>
    </row>
    <row r="305" spans="1:8" ht="20.100000000000001" customHeight="1" x14ac:dyDescent="0.25">
      <c r="A305" s="3">
        <v>303</v>
      </c>
      <c r="B305" s="15">
        <v>0</v>
      </c>
      <c r="C305" s="13"/>
      <c r="D305" s="10"/>
      <c r="E305" s="10"/>
      <c r="F305" s="10"/>
      <c r="G305" s="7"/>
      <c r="H305" s="16" t="str">
        <f t="shared" si="4"/>
        <v>(303,0,'',,,,),</v>
      </c>
    </row>
    <row r="306" spans="1:8" ht="20.100000000000001" customHeight="1" x14ac:dyDescent="0.25">
      <c r="A306" s="3">
        <v>304</v>
      </c>
      <c r="B306" s="15">
        <v>0</v>
      </c>
      <c r="C306" s="13"/>
      <c r="D306" s="10"/>
      <c r="E306" s="10"/>
      <c r="F306" s="10"/>
      <c r="G306" s="7"/>
      <c r="H306" s="16" t="str">
        <f t="shared" si="4"/>
        <v>(304,0,'',,,,),</v>
      </c>
    </row>
    <row r="307" spans="1:8" ht="20.100000000000001" customHeight="1" x14ac:dyDescent="0.25">
      <c r="A307" s="3">
        <v>305</v>
      </c>
      <c r="B307" s="15">
        <v>0</v>
      </c>
      <c r="C307" s="13"/>
      <c r="D307" s="10"/>
      <c r="E307" s="10"/>
      <c r="F307" s="10"/>
      <c r="G307" s="7"/>
      <c r="H307" s="16" t="str">
        <f t="shared" si="4"/>
        <v>(305,0,'',,,,),</v>
      </c>
    </row>
    <row r="308" spans="1:8" ht="20.100000000000001" customHeight="1" x14ac:dyDescent="0.25">
      <c r="A308" s="3">
        <v>306</v>
      </c>
      <c r="B308" s="15">
        <v>0</v>
      </c>
      <c r="C308" s="13"/>
      <c r="D308" s="10"/>
      <c r="E308" s="10"/>
      <c r="F308" s="10"/>
      <c r="G308" s="7"/>
      <c r="H308" s="16" t="str">
        <f t="shared" si="4"/>
        <v>(306,0,'',,,,),</v>
      </c>
    </row>
    <row r="309" spans="1:8" ht="20.100000000000001" customHeight="1" x14ac:dyDescent="0.25">
      <c r="A309" s="3">
        <v>307</v>
      </c>
      <c r="B309" s="15">
        <v>0</v>
      </c>
      <c r="C309" s="13"/>
      <c r="D309" s="10"/>
      <c r="E309" s="10"/>
      <c r="F309" s="10"/>
      <c r="G309" s="7"/>
      <c r="H309" s="16" t="str">
        <f t="shared" si="4"/>
        <v>(307,0,'',,,,),</v>
      </c>
    </row>
    <row r="310" spans="1:8" ht="20.100000000000001" customHeight="1" x14ac:dyDescent="0.25">
      <c r="A310" s="3">
        <v>308</v>
      </c>
      <c r="B310" s="15">
        <v>0</v>
      </c>
      <c r="C310" s="13"/>
      <c r="D310" s="10"/>
      <c r="E310" s="10"/>
      <c r="F310" s="10"/>
      <c r="G310" s="7"/>
      <c r="H310" s="16" t="str">
        <f t="shared" si="4"/>
        <v>(308,0,'',,,,),</v>
      </c>
    </row>
    <row r="311" spans="1:8" ht="20.100000000000001" customHeight="1" x14ac:dyDescent="0.25">
      <c r="A311" s="3">
        <v>309</v>
      </c>
      <c r="B311" s="15">
        <v>0</v>
      </c>
      <c r="C311" s="13"/>
      <c r="D311" s="10"/>
      <c r="E311" s="10"/>
      <c r="F311" s="10"/>
      <c r="G311" s="7"/>
      <c r="H311" s="16" t="str">
        <f t="shared" si="4"/>
        <v>(309,0,'',,,,),</v>
      </c>
    </row>
    <row r="312" spans="1:8" ht="20.100000000000001" customHeight="1" x14ac:dyDescent="0.25">
      <c r="A312" s="3">
        <v>310</v>
      </c>
      <c r="B312" s="15">
        <v>0</v>
      </c>
      <c r="C312" s="13"/>
      <c r="D312" s="10"/>
      <c r="E312" s="10"/>
      <c r="F312" s="10"/>
      <c r="G312" s="7"/>
      <c r="H312" s="16" t="str">
        <f t="shared" si="4"/>
        <v>(310,0,'',,,,),</v>
      </c>
    </row>
    <row r="313" spans="1:8" ht="20.100000000000001" customHeight="1" x14ac:dyDescent="0.25">
      <c r="A313" s="3">
        <v>311</v>
      </c>
      <c r="B313" s="15">
        <v>0</v>
      </c>
      <c r="C313" s="13"/>
      <c r="D313" s="10"/>
      <c r="E313" s="10"/>
      <c r="F313" s="10"/>
      <c r="G313" s="7"/>
      <c r="H313" s="16" t="str">
        <f t="shared" si="4"/>
        <v>(311,0,'',,,,),</v>
      </c>
    </row>
    <row r="314" spans="1:8" ht="20.100000000000001" customHeight="1" x14ac:dyDescent="0.25">
      <c r="A314" s="3">
        <v>312</v>
      </c>
      <c r="B314" s="15">
        <v>0</v>
      </c>
      <c r="C314" s="13"/>
      <c r="D314" s="10"/>
      <c r="E314" s="10"/>
      <c r="F314" s="10"/>
      <c r="G314" s="7"/>
      <c r="H314" s="16" t="str">
        <f t="shared" si="4"/>
        <v>(312,0,'',,,,),</v>
      </c>
    </row>
    <row r="315" spans="1:8" ht="20.100000000000001" customHeight="1" x14ac:dyDescent="0.25">
      <c r="A315" s="3">
        <v>313</v>
      </c>
      <c r="B315" s="15">
        <v>0</v>
      </c>
      <c r="C315" s="13"/>
      <c r="D315" s="10"/>
      <c r="E315" s="10"/>
      <c r="F315" s="10"/>
      <c r="G315" s="7"/>
      <c r="H315" s="16" t="str">
        <f t="shared" si="4"/>
        <v>(313,0,'',,,,),</v>
      </c>
    </row>
    <row r="316" spans="1:8" ht="20.100000000000001" customHeight="1" x14ac:dyDescent="0.25">
      <c r="A316" s="3">
        <v>314</v>
      </c>
      <c r="B316" s="15">
        <v>0</v>
      </c>
      <c r="C316" s="13"/>
      <c r="D316" s="10"/>
      <c r="E316" s="10"/>
      <c r="F316" s="10"/>
      <c r="G316" s="7"/>
      <c r="H316" s="16" t="str">
        <f t="shared" si="4"/>
        <v>(314,0,'',,,,),</v>
      </c>
    </row>
    <row r="317" spans="1:8" ht="20.100000000000001" customHeight="1" x14ac:dyDescent="0.25">
      <c r="A317" s="3">
        <v>315</v>
      </c>
      <c r="B317" s="15">
        <v>0</v>
      </c>
      <c r="C317" s="13"/>
      <c r="D317" s="10"/>
      <c r="E317" s="10"/>
      <c r="F317" s="10"/>
      <c r="G317" s="7"/>
      <c r="H317" s="16" t="str">
        <f t="shared" si="4"/>
        <v>(315,0,'',,,,),</v>
      </c>
    </row>
    <row r="318" spans="1:8" ht="20.100000000000001" customHeight="1" x14ac:dyDescent="0.25">
      <c r="A318" s="3">
        <v>316</v>
      </c>
      <c r="B318" s="15">
        <v>0</v>
      </c>
      <c r="C318" s="13"/>
      <c r="D318" s="10"/>
      <c r="E318" s="10"/>
      <c r="F318" s="10"/>
      <c r="G318" s="7"/>
      <c r="H318" s="16" t="str">
        <f t="shared" si="4"/>
        <v>(316,0,'',,,,),</v>
      </c>
    </row>
    <row r="319" spans="1:8" ht="20.100000000000001" customHeight="1" x14ac:dyDescent="0.25">
      <c r="A319" s="3">
        <v>317</v>
      </c>
      <c r="B319" s="15">
        <v>0</v>
      </c>
      <c r="C319" s="13"/>
      <c r="D319" s="10"/>
      <c r="E319" s="10"/>
      <c r="F319" s="10"/>
      <c r="G319" s="7"/>
      <c r="H319" s="16" t="str">
        <f t="shared" si="4"/>
        <v>(317,0,'',,,,),</v>
      </c>
    </row>
    <row r="320" spans="1:8" ht="20.100000000000001" customHeight="1" x14ac:dyDescent="0.25">
      <c r="A320" s="3">
        <v>318</v>
      </c>
      <c r="B320" s="15">
        <v>0</v>
      </c>
      <c r="C320" s="13"/>
      <c r="D320" s="10"/>
      <c r="E320" s="10"/>
      <c r="F320" s="10"/>
      <c r="G320" s="7"/>
      <c r="H320" s="16" t="str">
        <f t="shared" si="4"/>
        <v>(318,0,'',,,,),</v>
      </c>
    </row>
    <row r="321" spans="1:8" ht="20.100000000000001" customHeight="1" x14ac:dyDescent="0.25">
      <c r="A321" s="3">
        <v>319</v>
      </c>
      <c r="B321" s="15">
        <v>0</v>
      </c>
      <c r="C321" s="13"/>
      <c r="D321" s="10"/>
      <c r="E321" s="10"/>
      <c r="F321" s="10"/>
      <c r="G321" s="7"/>
      <c r="H321" s="16" t="str">
        <f t="shared" si="4"/>
        <v>(319,0,'',,,,),</v>
      </c>
    </row>
    <row r="322" spans="1:8" ht="20.100000000000001" customHeight="1" x14ac:dyDescent="0.25">
      <c r="A322" s="3">
        <v>320</v>
      </c>
      <c r="B322" s="15">
        <v>0</v>
      </c>
      <c r="C322" s="13"/>
      <c r="D322" s="10"/>
      <c r="E322" s="10"/>
      <c r="F322" s="10"/>
      <c r="G322" s="7"/>
      <c r="H322" s="16" t="str">
        <f t="shared" si="4"/>
        <v>(320,0,'',,,,),</v>
      </c>
    </row>
    <row r="323" spans="1:8" ht="20.100000000000001" customHeight="1" x14ac:dyDescent="0.25">
      <c r="A323" s="3">
        <v>321</v>
      </c>
      <c r="B323" s="15">
        <v>0</v>
      </c>
      <c r="C323" s="13"/>
      <c r="D323" s="10"/>
      <c r="E323" s="10"/>
      <c r="F323" s="10"/>
      <c r="G323" s="7"/>
      <c r="H323" s="16" t="str">
        <f t="shared" si="4"/>
        <v>(321,0,'',,,,),</v>
      </c>
    </row>
    <row r="324" spans="1:8" ht="20.100000000000001" customHeight="1" x14ac:dyDescent="0.25">
      <c r="A324" s="3">
        <v>322</v>
      </c>
      <c r="B324" s="15">
        <v>0</v>
      </c>
      <c r="C324" s="13"/>
      <c r="D324" s="10"/>
      <c r="E324" s="10"/>
      <c r="F324" s="10"/>
      <c r="G324" s="7"/>
      <c r="H324" s="16" t="str">
        <f t="shared" ref="H324:H387" si="5">CONCATENATE("(",A324,",",B324,",'",C324,"',",D324,",",E324,",",F324,",",G324,"),")</f>
        <v>(322,0,'',,,,),</v>
      </c>
    </row>
    <row r="325" spans="1:8" ht="20.100000000000001" customHeight="1" x14ac:dyDescent="0.25">
      <c r="A325" s="3">
        <v>323</v>
      </c>
      <c r="B325" s="15">
        <v>0</v>
      </c>
      <c r="C325" s="13"/>
      <c r="D325" s="10"/>
      <c r="E325" s="10"/>
      <c r="F325" s="10"/>
      <c r="G325" s="7"/>
      <c r="H325" s="16" t="str">
        <f t="shared" si="5"/>
        <v>(323,0,'',,,,),</v>
      </c>
    </row>
    <row r="326" spans="1:8" ht="20.100000000000001" customHeight="1" x14ac:dyDescent="0.25">
      <c r="A326" s="3">
        <v>324</v>
      </c>
      <c r="B326" s="15">
        <v>0</v>
      </c>
      <c r="C326" s="13"/>
      <c r="D326" s="10"/>
      <c r="E326" s="10"/>
      <c r="F326" s="10"/>
      <c r="G326" s="7"/>
      <c r="H326" s="16" t="str">
        <f t="shared" si="5"/>
        <v>(324,0,'',,,,),</v>
      </c>
    </row>
    <row r="327" spans="1:8" ht="20.100000000000001" customHeight="1" x14ac:dyDescent="0.25">
      <c r="A327" s="3">
        <v>325</v>
      </c>
      <c r="B327" s="15">
        <v>0</v>
      </c>
      <c r="C327" s="13"/>
      <c r="D327" s="10"/>
      <c r="E327" s="10"/>
      <c r="F327" s="10"/>
      <c r="G327" s="7"/>
      <c r="H327" s="16" t="str">
        <f t="shared" si="5"/>
        <v>(325,0,'',,,,),</v>
      </c>
    </row>
    <row r="328" spans="1:8" ht="20.100000000000001" customHeight="1" x14ac:dyDescent="0.25">
      <c r="A328" s="3">
        <v>326</v>
      </c>
      <c r="B328" s="15">
        <v>0</v>
      </c>
      <c r="C328" s="13"/>
      <c r="D328" s="10"/>
      <c r="E328" s="10"/>
      <c r="F328" s="10"/>
      <c r="G328" s="7"/>
      <c r="H328" s="16" t="str">
        <f t="shared" si="5"/>
        <v>(326,0,'',,,,),</v>
      </c>
    </row>
    <row r="329" spans="1:8" ht="20.100000000000001" customHeight="1" x14ac:dyDescent="0.25">
      <c r="A329" s="3">
        <v>327</v>
      </c>
      <c r="B329" s="15">
        <v>0</v>
      </c>
      <c r="C329" s="13"/>
      <c r="D329" s="10"/>
      <c r="E329" s="10"/>
      <c r="F329" s="10"/>
      <c r="G329" s="7"/>
      <c r="H329" s="16" t="str">
        <f t="shared" si="5"/>
        <v>(327,0,'',,,,),</v>
      </c>
    </row>
    <row r="330" spans="1:8" ht="20.100000000000001" customHeight="1" x14ac:dyDescent="0.25">
      <c r="A330" s="3">
        <v>328</v>
      </c>
      <c r="B330" s="15">
        <v>0</v>
      </c>
      <c r="C330" s="13"/>
      <c r="D330" s="10"/>
      <c r="E330" s="10"/>
      <c r="F330" s="10"/>
      <c r="G330" s="7"/>
      <c r="H330" s="16" t="str">
        <f t="shared" si="5"/>
        <v>(328,0,'',,,,),</v>
      </c>
    </row>
    <row r="331" spans="1:8" ht="20.100000000000001" customHeight="1" x14ac:dyDescent="0.25">
      <c r="A331" s="3">
        <v>329</v>
      </c>
      <c r="B331" s="15">
        <v>0</v>
      </c>
      <c r="C331" s="13"/>
      <c r="D331" s="10"/>
      <c r="E331" s="10"/>
      <c r="F331" s="10"/>
      <c r="G331" s="7"/>
      <c r="H331" s="16" t="str">
        <f t="shared" si="5"/>
        <v>(329,0,'',,,,),</v>
      </c>
    </row>
    <row r="332" spans="1:8" ht="20.100000000000001" customHeight="1" x14ac:dyDescent="0.25">
      <c r="A332" s="3">
        <v>330</v>
      </c>
      <c r="B332" s="15">
        <v>0</v>
      </c>
      <c r="C332" s="13"/>
      <c r="D332" s="10"/>
      <c r="E332" s="10"/>
      <c r="F332" s="10"/>
      <c r="G332" s="7"/>
      <c r="H332" s="16" t="str">
        <f t="shared" si="5"/>
        <v>(330,0,'',,,,),</v>
      </c>
    </row>
    <row r="333" spans="1:8" ht="20.100000000000001" customHeight="1" x14ac:dyDescent="0.25">
      <c r="A333" s="3">
        <v>331</v>
      </c>
      <c r="B333" s="15">
        <v>0</v>
      </c>
      <c r="C333" s="13"/>
      <c r="D333" s="10"/>
      <c r="E333" s="10"/>
      <c r="F333" s="10"/>
      <c r="G333" s="7"/>
      <c r="H333" s="16" t="str">
        <f t="shared" si="5"/>
        <v>(331,0,'',,,,),</v>
      </c>
    </row>
    <row r="334" spans="1:8" ht="20.100000000000001" customHeight="1" x14ac:dyDescent="0.25">
      <c r="A334" s="3">
        <v>332</v>
      </c>
      <c r="B334" s="15">
        <v>0</v>
      </c>
      <c r="C334" s="13"/>
      <c r="D334" s="10"/>
      <c r="E334" s="10"/>
      <c r="F334" s="10"/>
      <c r="G334" s="7"/>
      <c r="H334" s="16" t="str">
        <f t="shared" si="5"/>
        <v>(332,0,'',,,,),</v>
      </c>
    </row>
    <row r="335" spans="1:8" ht="20.100000000000001" customHeight="1" x14ac:dyDescent="0.25">
      <c r="A335" s="3">
        <v>333</v>
      </c>
      <c r="B335" s="15">
        <v>0</v>
      </c>
      <c r="C335" s="13"/>
      <c r="D335" s="10"/>
      <c r="E335" s="10"/>
      <c r="F335" s="10"/>
      <c r="G335" s="7"/>
      <c r="H335" s="16" t="str">
        <f t="shared" si="5"/>
        <v>(333,0,'',,,,),</v>
      </c>
    </row>
    <row r="336" spans="1:8" ht="20.100000000000001" customHeight="1" x14ac:dyDescent="0.25">
      <c r="A336" s="3">
        <v>334</v>
      </c>
      <c r="B336" s="15">
        <v>0</v>
      </c>
      <c r="C336" s="13"/>
      <c r="D336" s="10"/>
      <c r="E336" s="10"/>
      <c r="F336" s="10"/>
      <c r="G336" s="7"/>
      <c r="H336" s="16" t="str">
        <f t="shared" si="5"/>
        <v>(334,0,'',,,,),</v>
      </c>
    </row>
    <row r="337" spans="1:8" ht="20.100000000000001" customHeight="1" x14ac:dyDescent="0.25">
      <c r="A337" s="3">
        <v>335</v>
      </c>
      <c r="B337" s="15">
        <v>0</v>
      </c>
      <c r="C337" s="13"/>
      <c r="D337" s="10"/>
      <c r="E337" s="10"/>
      <c r="F337" s="10"/>
      <c r="G337" s="7"/>
      <c r="H337" s="16" t="str">
        <f t="shared" si="5"/>
        <v>(335,0,'',,,,),</v>
      </c>
    </row>
    <row r="338" spans="1:8" ht="20.100000000000001" customHeight="1" x14ac:dyDescent="0.25">
      <c r="A338" s="3">
        <v>336</v>
      </c>
      <c r="B338" s="15">
        <v>0</v>
      </c>
      <c r="C338" s="13"/>
      <c r="D338" s="10"/>
      <c r="E338" s="10"/>
      <c r="F338" s="10"/>
      <c r="G338" s="7"/>
      <c r="H338" s="16" t="str">
        <f t="shared" si="5"/>
        <v>(336,0,'',,,,),</v>
      </c>
    </row>
    <row r="339" spans="1:8" ht="20.100000000000001" customHeight="1" x14ac:dyDescent="0.25">
      <c r="A339" s="3">
        <v>337</v>
      </c>
      <c r="B339" s="15">
        <v>0</v>
      </c>
      <c r="C339" s="13"/>
      <c r="D339" s="10"/>
      <c r="E339" s="10"/>
      <c r="F339" s="10"/>
      <c r="G339" s="7"/>
      <c r="H339" s="16" t="str">
        <f t="shared" si="5"/>
        <v>(337,0,'',,,,),</v>
      </c>
    </row>
    <row r="340" spans="1:8" ht="20.100000000000001" customHeight="1" x14ac:dyDescent="0.25">
      <c r="A340" s="3">
        <v>338</v>
      </c>
      <c r="B340" s="15">
        <v>0</v>
      </c>
      <c r="C340" s="13"/>
      <c r="D340" s="10"/>
      <c r="E340" s="10"/>
      <c r="F340" s="10"/>
      <c r="G340" s="7"/>
      <c r="H340" s="16" t="str">
        <f t="shared" si="5"/>
        <v>(338,0,'',,,,),</v>
      </c>
    </row>
    <row r="341" spans="1:8" ht="20.100000000000001" customHeight="1" x14ac:dyDescent="0.25">
      <c r="A341" s="3">
        <v>339</v>
      </c>
      <c r="B341" s="15">
        <v>0</v>
      </c>
      <c r="C341" s="13"/>
      <c r="D341" s="10"/>
      <c r="E341" s="10"/>
      <c r="F341" s="10"/>
      <c r="G341" s="7"/>
      <c r="H341" s="16" t="str">
        <f t="shared" si="5"/>
        <v>(339,0,'',,,,),</v>
      </c>
    </row>
    <row r="342" spans="1:8" ht="20.100000000000001" customHeight="1" x14ac:dyDescent="0.25">
      <c r="A342" s="3">
        <v>340</v>
      </c>
      <c r="B342" s="15">
        <v>0</v>
      </c>
      <c r="C342" s="13"/>
      <c r="D342" s="10"/>
      <c r="E342" s="10"/>
      <c r="F342" s="10"/>
      <c r="G342" s="7"/>
      <c r="H342" s="16" t="str">
        <f t="shared" si="5"/>
        <v>(340,0,'',,,,),</v>
      </c>
    </row>
    <row r="343" spans="1:8" ht="20.100000000000001" customHeight="1" x14ac:dyDescent="0.25">
      <c r="A343" s="3">
        <v>341</v>
      </c>
      <c r="B343" s="15">
        <v>0</v>
      </c>
      <c r="C343" s="13"/>
      <c r="D343" s="10"/>
      <c r="E343" s="10"/>
      <c r="F343" s="10"/>
      <c r="G343" s="7"/>
      <c r="H343" s="16" t="str">
        <f t="shared" si="5"/>
        <v>(341,0,'',,,,),</v>
      </c>
    </row>
    <row r="344" spans="1:8" ht="20.100000000000001" customHeight="1" x14ac:dyDescent="0.25">
      <c r="A344" s="3">
        <v>342</v>
      </c>
      <c r="B344" s="15">
        <v>0</v>
      </c>
      <c r="C344" s="13"/>
      <c r="D344" s="10"/>
      <c r="E344" s="10"/>
      <c r="F344" s="10"/>
      <c r="G344" s="7"/>
      <c r="H344" s="16" t="str">
        <f t="shared" si="5"/>
        <v>(342,0,'',,,,),</v>
      </c>
    </row>
    <row r="345" spans="1:8" ht="20.100000000000001" customHeight="1" x14ac:dyDescent="0.25">
      <c r="A345" s="3">
        <v>343</v>
      </c>
      <c r="B345" s="15">
        <v>0</v>
      </c>
      <c r="C345" s="13"/>
      <c r="D345" s="10"/>
      <c r="E345" s="10"/>
      <c r="F345" s="10"/>
      <c r="G345" s="7"/>
      <c r="H345" s="16" t="str">
        <f t="shared" si="5"/>
        <v>(343,0,'',,,,),</v>
      </c>
    </row>
    <row r="346" spans="1:8" ht="20.100000000000001" customHeight="1" x14ac:dyDescent="0.25">
      <c r="A346" s="3">
        <v>344</v>
      </c>
      <c r="B346" s="15">
        <v>0</v>
      </c>
      <c r="C346" s="13"/>
      <c r="D346" s="10"/>
      <c r="E346" s="10"/>
      <c r="F346" s="10"/>
      <c r="G346" s="7"/>
      <c r="H346" s="16" t="str">
        <f t="shared" si="5"/>
        <v>(344,0,'',,,,),</v>
      </c>
    </row>
    <row r="347" spans="1:8" ht="20.100000000000001" customHeight="1" x14ac:dyDescent="0.25">
      <c r="A347" s="3">
        <v>345</v>
      </c>
      <c r="B347" s="15">
        <v>0</v>
      </c>
      <c r="C347" s="13"/>
      <c r="D347" s="10"/>
      <c r="E347" s="10"/>
      <c r="F347" s="10"/>
      <c r="G347" s="7"/>
      <c r="H347" s="16" t="str">
        <f t="shared" si="5"/>
        <v>(345,0,'',,,,),</v>
      </c>
    </row>
    <row r="348" spans="1:8" ht="20.100000000000001" customHeight="1" x14ac:dyDescent="0.25">
      <c r="A348" s="3">
        <v>346</v>
      </c>
      <c r="B348" s="15">
        <v>0</v>
      </c>
      <c r="C348" s="13"/>
      <c r="D348" s="10"/>
      <c r="E348" s="10"/>
      <c r="F348" s="10"/>
      <c r="G348" s="7"/>
      <c r="H348" s="16" t="str">
        <f t="shared" si="5"/>
        <v>(346,0,'',,,,),</v>
      </c>
    </row>
    <row r="349" spans="1:8" ht="20.100000000000001" customHeight="1" x14ac:dyDescent="0.25">
      <c r="A349" s="3">
        <v>347</v>
      </c>
      <c r="B349" s="15">
        <v>0</v>
      </c>
      <c r="C349" s="13"/>
      <c r="D349" s="10"/>
      <c r="E349" s="10"/>
      <c r="F349" s="10"/>
      <c r="G349" s="7"/>
      <c r="H349" s="16" t="str">
        <f t="shared" si="5"/>
        <v>(347,0,'',,,,),</v>
      </c>
    </row>
    <row r="350" spans="1:8" ht="20.100000000000001" customHeight="1" x14ac:dyDescent="0.25">
      <c r="A350" s="3">
        <v>348</v>
      </c>
      <c r="B350" s="15">
        <v>0</v>
      </c>
      <c r="C350" s="13"/>
      <c r="D350" s="10"/>
      <c r="E350" s="10"/>
      <c r="F350" s="10"/>
      <c r="G350" s="7"/>
      <c r="H350" s="16" t="str">
        <f t="shared" si="5"/>
        <v>(348,0,'',,,,),</v>
      </c>
    </row>
    <row r="351" spans="1:8" ht="20.100000000000001" customHeight="1" x14ac:dyDescent="0.25">
      <c r="A351" s="3">
        <v>349</v>
      </c>
      <c r="B351" s="15">
        <v>0</v>
      </c>
      <c r="C351" s="13"/>
      <c r="D351" s="10"/>
      <c r="E351" s="10"/>
      <c r="F351" s="10"/>
      <c r="G351" s="7"/>
      <c r="H351" s="16" t="str">
        <f t="shared" si="5"/>
        <v>(349,0,'',,,,),</v>
      </c>
    </row>
    <row r="352" spans="1:8" ht="20.100000000000001" customHeight="1" x14ac:dyDescent="0.25">
      <c r="A352" s="3">
        <v>350</v>
      </c>
      <c r="B352" s="15">
        <v>0</v>
      </c>
      <c r="C352" s="13"/>
      <c r="D352" s="10"/>
      <c r="E352" s="10"/>
      <c r="F352" s="10"/>
      <c r="G352" s="7"/>
      <c r="H352" s="16" t="str">
        <f t="shared" si="5"/>
        <v>(350,0,'',,,,),</v>
      </c>
    </row>
    <row r="353" spans="1:8" ht="20.100000000000001" customHeight="1" x14ac:dyDescent="0.25">
      <c r="A353" s="3">
        <v>351</v>
      </c>
      <c r="B353" s="15">
        <v>0</v>
      </c>
      <c r="C353" s="13"/>
      <c r="D353" s="10"/>
      <c r="E353" s="10"/>
      <c r="F353" s="10"/>
      <c r="G353" s="7"/>
      <c r="H353" s="16" t="str">
        <f t="shared" si="5"/>
        <v>(351,0,'',,,,),</v>
      </c>
    </row>
    <row r="354" spans="1:8" ht="20.100000000000001" customHeight="1" x14ac:dyDescent="0.25">
      <c r="A354" s="3">
        <v>352</v>
      </c>
      <c r="B354" s="15">
        <v>0</v>
      </c>
      <c r="C354" s="13"/>
      <c r="D354" s="10"/>
      <c r="E354" s="10"/>
      <c r="F354" s="10"/>
      <c r="G354" s="7"/>
      <c r="H354" s="16" t="str">
        <f t="shared" si="5"/>
        <v>(352,0,'',,,,),</v>
      </c>
    </row>
    <row r="355" spans="1:8" ht="20.100000000000001" customHeight="1" x14ac:dyDescent="0.25">
      <c r="A355" s="3">
        <v>353</v>
      </c>
      <c r="B355" s="15">
        <v>0</v>
      </c>
      <c r="C355" s="13"/>
      <c r="D355" s="10"/>
      <c r="E355" s="10"/>
      <c r="F355" s="10"/>
      <c r="G355" s="7"/>
      <c r="H355" s="16" t="str">
        <f t="shared" si="5"/>
        <v>(353,0,'',,,,),</v>
      </c>
    </row>
    <row r="356" spans="1:8" ht="20.100000000000001" customHeight="1" x14ac:dyDescent="0.25">
      <c r="A356" s="3">
        <v>354</v>
      </c>
      <c r="B356" s="15">
        <v>0</v>
      </c>
      <c r="C356" s="13"/>
      <c r="D356" s="10"/>
      <c r="E356" s="10"/>
      <c r="F356" s="10"/>
      <c r="G356" s="7"/>
      <c r="H356" s="16" t="str">
        <f t="shared" si="5"/>
        <v>(354,0,'',,,,),</v>
      </c>
    </row>
    <row r="357" spans="1:8" ht="20.100000000000001" customHeight="1" x14ac:dyDescent="0.25">
      <c r="A357" s="3">
        <v>355</v>
      </c>
      <c r="B357" s="15">
        <v>0</v>
      </c>
      <c r="C357" s="13"/>
      <c r="D357" s="10"/>
      <c r="E357" s="10"/>
      <c r="F357" s="10"/>
      <c r="G357" s="7"/>
      <c r="H357" s="16" t="str">
        <f t="shared" si="5"/>
        <v>(355,0,'',,,,),</v>
      </c>
    </row>
    <row r="358" spans="1:8" ht="20.100000000000001" customHeight="1" x14ac:dyDescent="0.25">
      <c r="A358" s="3">
        <v>356</v>
      </c>
      <c r="B358" s="15">
        <v>0</v>
      </c>
      <c r="C358" s="13"/>
      <c r="D358" s="10"/>
      <c r="E358" s="10"/>
      <c r="F358" s="10"/>
      <c r="G358" s="7"/>
      <c r="H358" s="16" t="str">
        <f t="shared" si="5"/>
        <v>(356,0,'',,,,),</v>
      </c>
    </row>
    <row r="359" spans="1:8" ht="20.100000000000001" customHeight="1" x14ac:dyDescent="0.25">
      <c r="A359" s="3">
        <v>357</v>
      </c>
      <c r="B359" s="15">
        <v>0</v>
      </c>
      <c r="C359" s="13"/>
      <c r="D359" s="10"/>
      <c r="E359" s="10"/>
      <c r="F359" s="10"/>
      <c r="G359" s="7"/>
      <c r="H359" s="16" t="str">
        <f t="shared" si="5"/>
        <v>(357,0,'',,,,),</v>
      </c>
    </row>
    <row r="360" spans="1:8" ht="20.100000000000001" customHeight="1" x14ac:dyDescent="0.25">
      <c r="A360" s="3">
        <v>358</v>
      </c>
      <c r="B360" s="15">
        <v>0</v>
      </c>
      <c r="C360" s="13"/>
      <c r="D360" s="10"/>
      <c r="E360" s="10"/>
      <c r="F360" s="10"/>
      <c r="G360" s="7"/>
      <c r="H360" s="16" t="str">
        <f t="shared" si="5"/>
        <v>(358,0,'',,,,),</v>
      </c>
    </row>
    <row r="361" spans="1:8" ht="20.100000000000001" customHeight="1" x14ac:dyDescent="0.25">
      <c r="A361" s="3">
        <v>359</v>
      </c>
      <c r="B361" s="15">
        <v>0</v>
      </c>
      <c r="C361" s="13"/>
      <c r="D361" s="10"/>
      <c r="E361" s="10"/>
      <c r="F361" s="10"/>
      <c r="G361" s="7"/>
      <c r="H361" s="16" t="str">
        <f t="shared" si="5"/>
        <v>(359,0,'',,,,),</v>
      </c>
    </row>
    <row r="362" spans="1:8" ht="20.100000000000001" customHeight="1" x14ac:dyDescent="0.25">
      <c r="A362" s="3">
        <v>360</v>
      </c>
      <c r="B362" s="15">
        <v>0</v>
      </c>
      <c r="C362" s="13"/>
      <c r="D362" s="10"/>
      <c r="E362" s="10"/>
      <c r="F362" s="10"/>
      <c r="G362" s="7"/>
      <c r="H362" s="16" t="str">
        <f t="shared" si="5"/>
        <v>(360,0,'',,,,),</v>
      </c>
    </row>
    <row r="363" spans="1:8" ht="20.100000000000001" customHeight="1" x14ac:dyDescent="0.25">
      <c r="A363" s="3">
        <v>361</v>
      </c>
      <c r="B363" s="15">
        <v>0</v>
      </c>
      <c r="C363" s="13"/>
      <c r="D363" s="10"/>
      <c r="E363" s="10"/>
      <c r="F363" s="10"/>
      <c r="G363" s="7"/>
      <c r="H363" s="16" t="str">
        <f t="shared" si="5"/>
        <v>(361,0,'',,,,),</v>
      </c>
    </row>
    <row r="364" spans="1:8" ht="20.100000000000001" customHeight="1" x14ac:dyDescent="0.25">
      <c r="A364" s="3">
        <v>362</v>
      </c>
      <c r="B364" s="15">
        <v>0</v>
      </c>
      <c r="C364" s="13"/>
      <c r="D364" s="10"/>
      <c r="E364" s="10"/>
      <c r="F364" s="10"/>
      <c r="G364" s="7"/>
      <c r="H364" s="16" t="str">
        <f t="shared" si="5"/>
        <v>(362,0,'',,,,),</v>
      </c>
    </row>
    <row r="365" spans="1:8" ht="20.100000000000001" customHeight="1" x14ac:dyDescent="0.25">
      <c r="A365" s="3">
        <v>363</v>
      </c>
      <c r="B365" s="15">
        <v>0</v>
      </c>
      <c r="C365" s="13"/>
      <c r="D365" s="10"/>
      <c r="E365" s="10"/>
      <c r="F365" s="10"/>
      <c r="G365" s="7"/>
      <c r="H365" s="16" t="str">
        <f t="shared" si="5"/>
        <v>(363,0,'',,,,),</v>
      </c>
    </row>
    <row r="366" spans="1:8" ht="20.100000000000001" customHeight="1" x14ac:dyDescent="0.25">
      <c r="A366" s="3">
        <v>364</v>
      </c>
      <c r="B366" s="15">
        <v>0</v>
      </c>
      <c r="C366" s="13"/>
      <c r="D366" s="10"/>
      <c r="E366" s="10"/>
      <c r="F366" s="10"/>
      <c r="G366" s="7"/>
      <c r="H366" s="16" t="str">
        <f t="shared" si="5"/>
        <v>(364,0,'',,,,),</v>
      </c>
    </row>
    <row r="367" spans="1:8" ht="20.100000000000001" customHeight="1" x14ac:dyDescent="0.25">
      <c r="A367" s="3">
        <v>365</v>
      </c>
      <c r="B367" s="15">
        <v>0</v>
      </c>
      <c r="C367" s="13"/>
      <c r="D367" s="10"/>
      <c r="E367" s="10"/>
      <c r="F367" s="10"/>
      <c r="G367" s="7"/>
      <c r="H367" s="16" t="str">
        <f t="shared" si="5"/>
        <v>(365,0,'',,,,),</v>
      </c>
    </row>
    <row r="368" spans="1:8" ht="20.100000000000001" customHeight="1" x14ac:dyDescent="0.25">
      <c r="A368" s="3">
        <v>366</v>
      </c>
      <c r="B368" s="15">
        <v>0</v>
      </c>
      <c r="C368" s="13"/>
      <c r="D368" s="10"/>
      <c r="E368" s="10"/>
      <c r="F368" s="10"/>
      <c r="G368" s="7"/>
      <c r="H368" s="16" t="str">
        <f t="shared" si="5"/>
        <v>(366,0,'',,,,),</v>
      </c>
    </row>
    <row r="369" spans="1:8" ht="20.100000000000001" customHeight="1" x14ac:dyDescent="0.25">
      <c r="A369" s="3">
        <v>367</v>
      </c>
      <c r="B369" s="15">
        <v>0</v>
      </c>
      <c r="C369" s="13"/>
      <c r="D369" s="10"/>
      <c r="E369" s="10"/>
      <c r="F369" s="10"/>
      <c r="G369" s="7"/>
      <c r="H369" s="16" t="str">
        <f t="shared" si="5"/>
        <v>(367,0,'',,,,),</v>
      </c>
    </row>
    <row r="370" spans="1:8" ht="20.100000000000001" customHeight="1" x14ac:dyDescent="0.25">
      <c r="A370" s="3">
        <v>368</v>
      </c>
      <c r="B370" s="15">
        <v>0</v>
      </c>
      <c r="C370" s="13"/>
      <c r="D370" s="10"/>
      <c r="E370" s="10"/>
      <c r="F370" s="10"/>
      <c r="G370" s="7"/>
      <c r="H370" s="16" t="str">
        <f t="shared" si="5"/>
        <v>(368,0,'',,,,),</v>
      </c>
    </row>
    <row r="371" spans="1:8" ht="20.100000000000001" customHeight="1" x14ac:dyDescent="0.25">
      <c r="A371" s="3">
        <v>369</v>
      </c>
      <c r="B371" s="15">
        <v>0</v>
      </c>
      <c r="C371" s="13"/>
      <c r="D371" s="10"/>
      <c r="E371" s="10"/>
      <c r="F371" s="10"/>
      <c r="G371" s="7"/>
      <c r="H371" s="16" t="str">
        <f t="shared" si="5"/>
        <v>(369,0,'',,,,),</v>
      </c>
    </row>
    <row r="372" spans="1:8" ht="20.100000000000001" customHeight="1" x14ac:dyDescent="0.25">
      <c r="A372" s="3">
        <v>370</v>
      </c>
      <c r="B372" s="15">
        <v>0</v>
      </c>
      <c r="C372" s="13"/>
      <c r="D372" s="10"/>
      <c r="E372" s="10"/>
      <c r="F372" s="10"/>
      <c r="G372" s="7"/>
      <c r="H372" s="16" t="str">
        <f t="shared" si="5"/>
        <v>(370,0,'',,,,),</v>
      </c>
    </row>
    <row r="373" spans="1:8" ht="20.100000000000001" customHeight="1" x14ac:dyDescent="0.25">
      <c r="A373" s="3">
        <v>371</v>
      </c>
      <c r="B373" s="15">
        <v>0</v>
      </c>
      <c r="C373" s="13"/>
      <c r="D373" s="10"/>
      <c r="E373" s="10"/>
      <c r="F373" s="10"/>
      <c r="G373" s="7"/>
      <c r="H373" s="16" t="str">
        <f t="shared" si="5"/>
        <v>(371,0,'',,,,),</v>
      </c>
    </row>
    <row r="374" spans="1:8" ht="20.100000000000001" customHeight="1" x14ac:dyDescent="0.25">
      <c r="A374" s="3">
        <v>372</v>
      </c>
      <c r="B374" s="15">
        <v>0</v>
      </c>
      <c r="C374" s="13"/>
      <c r="D374" s="10"/>
      <c r="E374" s="10"/>
      <c r="F374" s="10"/>
      <c r="G374" s="7"/>
      <c r="H374" s="16" t="str">
        <f t="shared" si="5"/>
        <v>(372,0,'',,,,),</v>
      </c>
    </row>
    <row r="375" spans="1:8" ht="20.100000000000001" customHeight="1" x14ac:dyDescent="0.25">
      <c r="A375" s="3">
        <v>373</v>
      </c>
      <c r="B375" s="15">
        <v>0</v>
      </c>
      <c r="C375" s="13"/>
      <c r="D375" s="10"/>
      <c r="E375" s="10"/>
      <c r="F375" s="10"/>
      <c r="G375" s="7"/>
      <c r="H375" s="16" t="str">
        <f t="shared" si="5"/>
        <v>(373,0,'',,,,),</v>
      </c>
    </row>
    <row r="376" spans="1:8" ht="20.100000000000001" customHeight="1" x14ac:dyDescent="0.25">
      <c r="A376" s="3">
        <v>374</v>
      </c>
      <c r="B376" s="15">
        <v>0</v>
      </c>
      <c r="C376" s="13"/>
      <c r="D376" s="10"/>
      <c r="E376" s="10"/>
      <c r="F376" s="10"/>
      <c r="G376" s="7"/>
      <c r="H376" s="16" t="str">
        <f t="shared" si="5"/>
        <v>(374,0,'',,,,),</v>
      </c>
    </row>
    <row r="377" spans="1:8" ht="20.100000000000001" customHeight="1" x14ac:dyDescent="0.25">
      <c r="A377" s="3">
        <v>375</v>
      </c>
      <c r="B377" s="15">
        <v>0</v>
      </c>
      <c r="C377" s="13"/>
      <c r="D377" s="10"/>
      <c r="E377" s="10"/>
      <c r="F377" s="10"/>
      <c r="G377" s="7"/>
      <c r="H377" s="16" t="str">
        <f t="shared" si="5"/>
        <v>(375,0,'',,,,),</v>
      </c>
    </row>
    <row r="378" spans="1:8" ht="20.100000000000001" customHeight="1" x14ac:dyDescent="0.25">
      <c r="A378" s="3">
        <v>376</v>
      </c>
      <c r="B378" s="15">
        <v>0</v>
      </c>
      <c r="C378" s="13"/>
      <c r="D378" s="10"/>
      <c r="E378" s="10"/>
      <c r="F378" s="10"/>
      <c r="G378" s="7"/>
      <c r="H378" s="16" t="str">
        <f t="shared" si="5"/>
        <v>(376,0,'',,,,),</v>
      </c>
    </row>
    <row r="379" spans="1:8" ht="20.100000000000001" customHeight="1" x14ac:dyDescent="0.25">
      <c r="A379" s="3">
        <v>377</v>
      </c>
      <c r="B379" s="15">
        <v>0</v>
      </c>
      <c r="C379" s="13"/>
      <c r="D379" s="10"/>
      <c r="E379" s="10"/>
      <c r="F379" s="10"/>
      <c r="G379" s="7"/>
      <c r="H379" s="16" t="str">
        <f t="shared" si="5"/>
        <v>(377,0,'',,,,),</v>
      </c>
    </row>
    <row r="380" spans="1:8" ht="20.100000000000001" customHeight="1" x14ac:dyDescent="0.25">
      <c r="A380" s="3">
        <v>378</v>
      </c>
      <c r="B380" s="15">
        <v>0</v>
      </c>
      <c r="C380" s="13"/>
      <c r="D380" s="10"/>
      <c r="E380" s="10"/>
      <c r="F380" s="10"/>
      <c r="G380" s="7"/>
      <c r="H380" s="16" t="str">
        <f t="shared" si="5"/>
        <v>(378,0,'',,,,),</v>
      </c>
    </row>
    <row r="381" spans="1:8" ht="20.100000000000001" customHeight="1" x14ac:dyDescent="0.25">
      <c r="A381" s="3">
        <v>379</v>
      </c>
      <c r="B381" s="15">
        <v>0</v>
      </c>
      <c r="C381" s="13"/>
      <c r="D381" s="10"/>
      <c r="E381" s="10"/>
      <c r="F381" s="10"/>
      <c r="G381" s="7"/>
      <c r="H381" s="16" t="str">
        <f t="shared" si="5"/>
        <v>(379,0,'',,,,),</v>
      </c>
    </row>
    <row r="382" spans="1:8" ht="20.100000000000001" customHeight="1" x14ac:dyDescent="0.25">
      <c r="A382" s="3">
        <v>380</v>
      </c>
      <c r="B382" s="15">
        <v>0</v>
      </c>
      <c r="C382" s="13"/>
      <c r="D382" s="10"/>
      <c r="E382" s="10"/>
      <c r="F382" s="10"/>
      <c r="G382" s="7"/>
      <c r="H382" s="16" t="str">
        <f t="shared" si="5"/>
        <v>(380,0,'',,,,),</v>
      </c>
    </row>
    <row r="383" spans="1:8" ht="20.100000000000001" customHeight="1" x14ac:dyDescent="0.25">
      <c r="A383" s="3">
        <v>381</v>
      </c>
      <c r="B383" s="15">
        <v>0</v>
      </c>
      <c r="C383" s="13"/>
      <c r="D383" s="10"/>
      <c r="E383" s="10"/>
      <c r="F383" s="10"/>
      <c r="G383" s="7"/>
      <c r="H383" s="16" t="str">
        <f t="shared" si="5"/>
        <v>(381,0,'',,,,),</v>
      </c>
    </row>
    <row r="384" spans="1:8" ht="20.100000000000001" customHeight="1" x14ac:dyDescent="0.25">
      <c r="A384" s="3">
        <v>382</v>
      </c>
      <c r="B384" s="15">
        <v>0</v>
      </c>
      <c r="C384" s="13"/>
      <c r="D384" s="10"/>
      <c r="E384" s="10"/>
      <c r="F384" s="10"/>
      <c r="G384" s="7"/>
      <c r="H384" s="16" t="str">
        <f t="shared" si="5"/>
        <v>(382,0,'',,,,),</v>
      </c>
    </row>
    <row r="385" spans="1:8" ht="20.100000000000001" customHeight="1" x14ac:dyDescent="0.25">
      <c r="A385" s="3">
        <v>383</v>
      </c>
      <c r="B385" s="15">
        <v>0</v>
      </c>
      <c r="C385" s="13"/>
      <c r="D385" s="10"/>
      <c r="E385" s="10"/>
      <c r="F385" s="10"/>
      <c r="G385" s="7"/>
      <c r="H385" s="16" t="str">
        <f t="shared" si="5"/>
        <v>(383,0,'',,,,),</v>
      </c>
    </row>
    <row r="386" spans="1:8" ht="20.100000000000001" customHeight="1" x14ac:dyDescent="0.25">
      <c r="A386" s="3">
        <v>384</v>
      </c>
      <c r="B386" s="15">
        <v>0</v>
      </c>
      <c r="C386" s="13"/>
      <c r="D386" s="10"/>
      <c r="E386" s="10"/>
      <c r="F386" s="10"/>
      <c r="G386" s="7"/>
      <c r="H386" s="16" t="str">
        <f t="shared" si="5"/>
        <v>(384,0,'',,,,),</v>
      </c>
    </row>
    <row r="387" spans="1:8" ht="20.100000000000001" customHeight="1" x14ac:dyDescent="0.25">
      <c r="A387" s="3">
        <v>385</v>
      </c>
      <c r="B387" s="15">
        <v>0</v>
      </c>
      <c r="C387" s="13"/>
      <c r="D387" s="10"/>
      <c r="E387" s="10"/>
      <c r="F387" s="10"/>
      <c r="G387" s="7"/>
      <c r="H387" s="16" t="str">
        <f t="shared" si="5"/>
        <v>(385,0,'',,,,),</v>
      </c>
    </row>
    <row r="388" spans="1:8" ht="20.100000000000001" customHeight="1" x14ac:dyDescent="0.25">
      <c r="A388" s="3">
        <v>386</v>
      </c>
      <c r="B388" s="15">
        <v>0</v>
      </c>
      <c r="C388" s="13"/>
      <c r="D388" s="10"/>
      <c r="E388" s="10"/>
      <c r="F388" s="10"/>
      <c r="G388" s="7"/>
      <c r="H388" s="16" t="str">
        <f t="shared" ref="H388:H451" si="6">CONCATENATE("(",A388,",",B388,",'",C388,"',",D388,",",E388,",",F388,",",G388,"),")</f>
        <v>(386,0,'',,,,),</v>
      </c>
    </row>
    <row r="389" spans="1:8" ht="20.100000000000001" customHeight="1" x14ac:dyDescent="0.25">
      <c r="A389" s="3">
        <v>387</v>
      </c>
      <c r="B389" s="15">
        <v>0</v>
      </c>
      <c r="C389" s="13"/>
      <c r="D389" s="10"/>
      <c r="E389" s="10"/>
      <c r="F389" s="10"/>
      <c r="G389" s="7"/>
      <c r="H389" s="16" t="str">
        <f t="shared" si="6"/>
        <v>(387,0,'',,,,),</v>
      </c>
    </row>
    <row r="390" spans="1:8" ht="20.100000000000001" customHeight="1" x14ac:dyDescent="0.25">
      <c r="A390" s="3">
        <v>388</v>
      </c>
      <c r="B390" s="15">
        <v>0</v>
      </c>
      <c r="C390" s="13"/>
      <c r="D390" s="10"/>
      <c r="E390" s="10"/>
      <c r="F390" s="10"/>
      <c r="G390" s="7"/>
      <c r="H390" s="16" t="str">
        <f t="shared" si="6"/>
        <v>(388,0,'',,,,),</v>
      </c>
    </row>
    <row r="391" spans="1:8" ht="20.100000000000001" customHeight="1" x14ac:dyDescent="0.25">
      <c r="A391" s="3">
        <v>389</v>
      </c>
      <c r="B391" s="15">
        <v>0</v>
      </c>
      <c r="C391" s="13"/>
      <c r="D391" s="10"/>
      <c r="E391" s="10"/>
      <c r="F391" s="10"/>
      <c r="G391" s="7"/>
      <c r="H391" s="16" t="str">
        <f t="shared" si="6"/>
        <v>(389,0,'',,,,),</v>
      </c>
    </row>
    <row r="392" spans="1:8" ht="20.100000000000001" customHeight="1" x14ac:dyDescent="0.25">
      <c r="A392" s="3">
        <v>390</v>
      </c>
      <c r="B392" s="15">
        <v>0</v>
      </c>
      <c r="C392" s="13"/>
      <c r="D392" s="10"/>
      <c r="E392" s="10"/>
      <c r="F392" s="10"/>
      <c r="G392" s="7"/>
      <c r="H392" s="16" t="str">
        <f t="shared" si="6"/>
        <v>(390,0,'',,,,),</v>
      </c>
    </row>
    <row r="393" spans="1:8" ht="20.100000000000001" customHeight="1" x14ac:dyDescent="0.25">
      <c r="A393" s="3">
        <v>391</v>
      </c>
      <c r="B393" s="15">
        <v>0</v>
      </c>
      <c r="C393" s="13"/>
      <c r="D393" s="10"/>
      <c r="E393" s="10"/>
      <c r="F393" s="10"/>
      <c r="G393" s="7"/>
      <c r="H393" s="16" t="str">
        <f t="shared" si="6"/>
        <v>(391,0,'',,,,),</v>
      </c>
    </row>
    <row r="394" spans="1:8" ht="20.100000000000001" customHeight="1" x14ac:dyDescent="0.25">
      <c r="A394" s="3">
        <v>392</v>
      </c>
      <c r="B394" s="15">
        <v>0</v>
      </c>
      <c r="C394" s="13"/>
      <c r="D394" s="10"/>
      <c r="E394" s="10"/>
      <c r="F394" s="10"/>
      <c r="G394" s="7"/>
      <c r="H394" s="16" t="str">
        <f t="shared" si="6"/>
        <v>(392,0,'',,,,),</v>
      </c>
    </row>
    <row r="395" spans="1:8" ht="20.100000000000001" customHeight="1" x14ac:dyDescent="0.25">
      <c r="A395" s="3">
        <v>393</v>
      </c>
      <c r="B395" s="15">
        <v>0</v>
      </c>
      <c r="C395" s="13"/>
      <c r="D395" s="10"/>
      <c r="E395" s="10"/>
      <c r="F395" s="10"/>
      <c r="G395" s="7"/>
      <c r="H395" s="16" t="str">
        <f t="shared" si="6"/>
        <v>(393,0,'',,,,),</v>
      </c>
    </row>
    <row r="396" spans="1:8" ht="20.100000000000001" customHeight="1" x14ac:dyDescent="0.25">
      <c r="A396" s="3">
        <v>394</v>
      </c>
      <c r="B396" s="15">
        <v>0</v>
      </c>
      <c r="C396" s="13"/>
      <c r="D396" s="10"/>
      <c r="E396" s="10"/>
      <c r="F396" s="10"/>
      <c r="G396" s="7"/>
      <c r="H396" s="16" t="str">
        <f t="shared" si="6"/>
        <v>(394,0,'',,,,),</v>
      </c>
    </row>
    <row r="397" spans="1:8" ht="20.100000000000001" customHeight="1" x14ac:dyDescent="0.25">
      <c r="A397" s="3">
        <v>395</v>
      </c>
      <c r="B397" s="15">
        <v>0</v>
      </c>
      <c r="C397" s="13"/>
      <c r="D397" s="10"/>
      <c r="E397" s="10"/>
      <c r="F397" s="10"/>
      <c r="G397" s="7"/>
      <c r="H397" s="16" t="str">
        <f t="shared" si="6"/>
        <v>(395,0,'',,,,),</v>
      </c>
    </row>
    <row r="398" spans="1:8" ht="20.100000000000001" customHeight="1" x14ac:dyDescent="0.25">
      <c r="A398" s="3">
        <v>396</v>
      </c>
      <c r="B398" s="15">
        <v>0</v>
      </c>
      <c r="C398" s="13"/>
      <c r="D398" s="10"/>
      <c r="E398" s="10"/>
      <c r="F398" s="10"/>
      <c r="G398" s="7"/>
      <c r="H398" s="16" t="str">
        <f t="shared" si="6"/>
        <v>(396,0,'',,,,),</v>
      </c>
    </row>
    <row r="399" spans="1:8" ht="20.100000000000001" customHeight="1" x14ac:dyDescent="0.25">
      <c r="A399" s="3">
        <v>397</v>
      </c>
      <c r="B399" s="15">
        <v>0</v>
      </c>
      <c r="C399" s="13"/>
      <c r="D399" s="10"/>
      <c r="E399" s="10"/>
      <c r="F399" s="10"/>
      <c r="G399" s="7"/>
      <c r="H399" s="16" t="str">
        <f t="shared" si="6"/>
        <v>(397,0,'',,,,),</v>
      </c>
    </row>
    <row r="400" spans="1:8" ht="20.100000000000001" customHeight="1" x14ac:dyDescent="0.25">
      <c r="A400" s="3">
        <v>398</v>
      </c>
      <c r="B400" s="15">
        <v>0</v>
      </c>
      <c r="C400" s="13"/>
      <c r="D400" s="10"/>
      <c r="E400" s="10"/>
      <c r="F400" s="10"/>
      <c r="G400" s="7"/>
      <c r="H400" s="16" t="str">
        <f t="shared" si="6"/>
        <v>(398,0,'',,,,),</v>
      </c>
    </row>
    <row r="401" spans="1:8" ht="20.100000000000001" customHeight="1" x14ac:dyDescent="0.25">
      <c r="A401" s="3">
        <v>399</v>
      </c>
      <c r="B401" s="15">
        <v>0</v>
      </c>
      <c r="C401" s="13"/>
      <c r="D401" s="10"/>
      <c r="E401" s="10"/>
      <c r="F401" s="10"/>
      <c r="G401" s="7"/>
      <c r="H401" s="16" t="str">
        <f t="shared" si="6"/>
        <v>(399,0,'',,,,),</v>
      </c>
    </row>
    <row r="402" spans="1:8" ht="20.100000000000001" customHeight="1" x14ac:dyDescent="0.25">
      <c r="A402" s="3">
        <v>400</v>
      </c>
      <c r="B402" s="15">
        <v>0</v>
      </c>
      <c r="C402" s="13"/>
      <c r="D402" s="10"/>
      <c r="E402" s="10"/>
      <c r="F402" s="10"/>
      <c r="G402" s="7"/>
      <c r="H402" s="16" t="str">
        <f t="shared" si="6"/>
        <v>(400,0,'',,,,),</v>
      </c>
    </row>
    <row r="403" spans="1:8" ht="20.100000000000001" customHeight="1" x14ac:dyDescent="0.25">
      <c r="A403" s="3">
        <v>401</v>
      </c>
      <c r="B403" s="8"/>
      <c r="C403" s="13"/>
      <c r="D403" s="10"/>
      <c r="E403" s="10"/>
      <c r="F403" s="10"/>
      <c r="G403" s="7"/>
      <c r="H403" s="16" t="str">
        <f t="shared" si="6"/>
        <v>(401,,'',,,,),</v>
      </c>
    </row>
    <row r="404" spans="1:8" ht="20.100000000000001" customHeight="1" x14ac:dyDescent="0.25">
      <c r="A404" s="3">
        <v>402</v>
      </c>
      <c r="B404" s="8"/>
      <c r="C404" s="13"/>
      <c r="D404" s="10"/>
      <c r="E404" s="10"/>
      <c r="F404" s="10"/>
      <c r="G404" s="7"/>
      <c r="H404" s="16" t="str">
        <f t="shared" si="6"/>
        <v>(402,,'',,,,),</v>
      </c>
    </row>
    <row r="405" spans="1:8" ht="20.100000000000001" customHeight="1" x14ac:dyDescent="0.25">
      <c r="A405" s="3">
        <v>403</v>
      </c>
      <c r="B405" s="8"/>
      <c r="C405" s="13"/>
      <c r="D405" s="10"/>
      <c r="E405" s="10"/>
      <c r="F405" s="10"/>
      <c r="G405" s="7"/>
      <c r="H405" s="16" t="str">
        <f t="shared" si="6"/>
        <v>(403,,'',,,,),</v>
      </c>
    </row>
    <row r="406" spans="1:8" ht="20.100000000000001" customHeight="1" x14ac:dyDescent="0.25">
      <c r="A406" s="3">
        <v>404</v>
      </c>
      <c r="B406" s="8"/>
      <c r="C406" s="13"/>
      <c r="D406" s="10"/>
      <c r="E406" s="10"/>
      <c r="F406" s="10"/>
      <c r="G406" s="7"/>
      <c r="H406" s="16" t="str">
        <f t="shared" si="6"/>
        <v>(404,,'',,,,),</v>
      </c>
    </row>
    <row r="407" spans="1:8" ht="20.100000000000001" customHeight="1" x14ac:dyDescent="0.25">
      <c r="A407" s="3">
        <v>405</v>
      </c>
      <c r="B407" s="8"/>
      <c r="C407" s="13"/>
      <c r="D407" s="10"/>
      <c r="E407" s="10"/>
      <c r="F407" s="10"/>
      <c r="G407" s="7"/>
      <c r="H407" s="16" t="str">
        <f t="shared" si="6"/>
        <v>(405,,'',,,,),</v>
      </c>
    </row>
    <row r="408" spans="1:8" ht="20.100000000000001" customHeight="1" x14ac:dyDescent="0.25">
      <c r="A408" s="3">
        <v>406</v>
      </c>
      <c r="B408" s="8"/>
      <c r="C408" s="13"/>
      <c r="D408" s="10"/>
      <c r="E408" s="10"/>
      <c r="F408" s="10"/>
      <c r="G408" s="7"/>
      <c r="H408" s="16" t="str">
        <f t="shared" si="6"/>
        <v>(406,,'',,,,),</v>
      </c>
    </row>
    <row r="409" spans="1:8" ht="20.100000000000001" customHeight="1" x14ac:dyDescent="0.25">
      <c r="A409" s="3">
        <v>407</v>
      </c>
      <c r="B409" s="8"/>
      <c r="C409" s="13"/>
      <c r="D409" s="10"/>
      <c r="E409" s="10"/>
      <c r="F409" s="10"/>
      <c r="G409" s="7"/>
      <c r="H409" s="16" t="str">
        <f t="shared" si="6"/>
        <v>(407,,'',,,,),</v>
      </c>
    </row>
    <row r="410" spans="1:8" ht="20.100000000000001" customHeight="1" x14ac:dyDescent="0.25">
      <c r="A410" s="3">
        <v>408</v>
      </c>
      <c r="B410" s="8"/>
      <c r="C410" s="13"/>
      <c r="D410" s="10"/>
      <c r="E410" s="10"/>
      <c r="F410" s="10"/>
      <c r="G410" s="7"/>
      <c r="H410" s="16" t="str">
        <f t="shared" si="6"/>
        <v>(408,,'',,,,),</v>
      </c>
    </row>
    <row r="411" spans="1:8" ht="20.100000000000001" customHeight="1" x14ac:dyDescent="0.25">
      <c r="A411" s="3">
        <v>409</v>
      </c>
      <c r="B411" s="8"/>
      <c r="C411" s="13"/>
      <c r="D411" s="10"/>
      <c r="E411" s="10"/>
      <c r="F411" s="10"/>
      <c r="G411" s="7"/>
      <c r="H411" s="16" t="str">
        <f t="shared" si="6"/>
        <v>(409,,'',,,,),</v>
      </c>
    </row>
    <row r="412" spans="1:8" ht="20.100000000000001" customHeight="1" x14ac:dyDescent="0.25">
      <c r="A412" s="3">
        <v>410</v>
      </c>
      <c r="B412" s="8"/>
      <c r="C412" s="13"/>
      <c r="D412" s="10"/>
      <c r="E412" s="10"/>
      <c r="F412" s="10"/>
      <c r="G412" s="7"/>
      <c r="H412" s="16" t="str">
        <f t="shared" si="6"/>
        <v>(410,,'',,,,),</v>
      </c>
    </row>
    <row r="413" spans="1:8" ht="20.100000000000001" customHeight="1" x14ac:dyDescent="0.25">
      <c r="A413" s="3">
        <v>411</v>
      </c>
      <c r="B413" s="8"/>
      <c r="C413" s="13"/>
      <c r="D413" s="10"/>
      <c r="E413" s="10"/>
      <c r="F413" s="10"/>
      <c r="G413" s="7"/>
      <c r="H413" s="16" t="str">
        <f t="shared" si="6"/>
        <v>(411,,'',,,,),</v>
      </c>
    </row>
    <row r="414" spans="1:8" ht="20.100000000000001" customHeight="1" x14ac:dyDescent="0.25">
      <c r="A414" s="3">
        <v>412</v>
      </c>
      <c r="B414" s="8"/>
      <c r="C414" s="13"/>
      <c r="D414" s="10"/>
      <c r="E414" s="10"/>
      <c r="F414" s="10"/>
      <c r="G414" s="7"/>
      <c r="H414" s="16" t="str">
        <f t="shared" si="6"/>
        <v>(412,,'',,,,),</v>
      </c>
    </row>
    <row r="415" spans="1:8" ht="20.100000000000001" customHeight="1" x14ac:dyDescent="0.25">
      <c r="A415" s="3">
        <v>413</v>
      </c>
      <c r="B415" s="8"/>
      <c r="C415" s="13"/>
      <c r="D415" s="10"/>
      <c r="E415" s="10"/>
      <c r="F415" s="10"/>
      <c r="G415" s="7"/>
      <c r="H415" s="16" t="str">
        <f t="shared" si="6"/>
        <v>(413,,'',,,,),</v>
      </c>
    </row>
    <row r="416" spans="1:8" ht="20.100000000000001" customHeight="1" x14ac:dyDescent="0.25">
      <c r="A416" s="3">
        <v>414</v>
      </c>
      <c r="B416" s="8"/>
      <c r="C416" s="13"/>
      <c r="D416" s="10"/>
      <c r="E416" s="10"/>
      <c r="F416" s="10"/>
      <c r="G416" s="7"/>
      <c r="H416" s="16" t="str">
        <f t="shared" si="6"/>
        <v>(414,,'',,,,),</v>
      </c>
    </row>
    <row r="417" spans="1:8" ht="20.100000000000001" customHeight="1" x14ac:dyDescent="0.25">
      <c r="A417" s="3">
        <v>415</v>
      </c>
      <c r="B417" s="8"/>
      <c r="C417" s="13"/>
      <c r="D417" s="10"/>
      <c r="E417" s="10"/>
      <c r="F417" s="10"/>
      <c r="G417" s="7"/>
      <c r="H417" s="16" t="str">
        <f t="shared" si="6"/>
        <v>(415,,'',,,,),</v>
      </c>
    </row>
    <row r="418" spans="1:8" ht="20.100000000000001" customHeight="1" x14ac:dyDescent="0.25">
      <c r="A418" s="3">
        <v>416</v>
      </c>
      <c r="B418" s="8"/>
      <c r="C418" s="13"/>
      <c r="D418" s="10"/>
      <c r="E418" s="10"/>
      <c r="F418" s="10"/>
      <c r="G418" s="7"/>
      <c r="H418" s="16" t="str">
        <f t="shared" si="6"/>
        <v>(416,,'',,,,),</v>
      </c>
    </row>
    <row r="419" spans="1:8" ht="20.100000000000001" customHeight="1" x14ac:dyDescent="0.25">
      <c r="A419" s="3">
        <v>417</v>
      </c>
      <c r="B419" s="8"/>
      <c r="C419" s="13"/>
      <c r="D419" s="10"/>
      <c r="E419" s="10"/>
      <c r="F419" s="10"/>
      <c r="G419" s="7"/>
      <c r="H419" s="16" t="str">
        <f t="shared" si="6"/>
        <v>(417,,'',,,,),</v>
      </c>
    </row>
    <row r="420" spans="1:8" ht="20.100000000000001" customHeight="1" x14ac:dyDescent="0.25">
      <c r="A420" s="3">
        <v>418</v>
      </c>
      <c r="B420" s="8"/>
      <c r="C420" s="13"/>
      <c r="D420" s="10"/>
      <c r="E420" s="10"/>
      <c r="F420" s="10"/>
      <c r="G420" s="7"/>
      <c r="H420" s="16" t="str">
        <f t="shared" si="6"/>
        <v>(418,,'',,,,),</v>
      </c>
    </row>
    <row r="421" spans="1:8" ht="20.100000000000001" customHeight="1" x14ac:dyDescent="0.25">
      <c r="A421" s="3">
        <v>419</v>
      </c>
      <c r="B421" s="8"/>
      <c r="C421" s="13"/>
      <c r="D421" s="10"/>
      <c r="E421" s="10"/>
      <c r="F421" s="10"/>
      <c r="G421" s="7"/>
      <c r="H421" s="16" t="str">
        <f t="shared" si="6"/>
        <v>(419,,'',,,,),</v>
      </c>
    </row>
    <row r="422" spans="1:8" ht="20.100000000000001" customHeight="1" x14ac:dyDescent="0.25">
      <c r="A422" s="3">
        <v>420</v>
      </c>
      <c r="B422" s="8"/>
      <c r="C422" s="13"/>
      <c r="D422" s="10"/>
      <c r="E422" s="10"/>
      <c r="F422" s="10"/>
      <c r="G422" s="7"/>
      <c r="H422" s="16" t="str">
        <f t="shared" si="6"/>
        <v>(420,,'',,,,),</v>
      </c>
    </row>
    <row r="423" spans="1:8" ht="20.100000000000001" customHeight="1" x14ac:dyDescent="0.25">
      <c r="A423" s="3">
        <v>421</v>
      </c>
      <c r="B423" s="8"/>
      <c r="C423" s="13"/>
      <c r="D423" s="10"/>
      <c r="E423" s="10"/>
      <c r="F423" s="10"/>
      <c r="G423" s="7"/>
      <c r="H423" s="16" t="str">
        <f t="shared" si="6"/>
        <v>(421,,'',,,,),</v>
      </c>
    </row>
    <row r="424" spans="1:8" ht="20.100000000000001" customHeight="1" x14ac:dyDescent="0.25">
      <c r="A424" s="3">
        <v>422</v>
      </c>
      <c r="B424" s="8"/>
      <c r="C424" s="13"/>
      <c r="D424" s="10"/>
      <c r="E424" s="10"/>
      <c r="F424" s="10"/>
      <c r="G424" s="7"/>
      <c r="H424" s="16" t="str">
        <f t="shared" si="6"/>
        <v>(422,,'',,,,),</v>
      </c>
    </row>
    <row r="425" spans="1:8" ht="20.100000000000001" customHeight="1" x14ac:dyDescent="0.25">
      <c r="A425" s="3">
        <v>423</v>
      </c>
      <c r="B425" s="8"/>
      <c r="C425" s="13"/>
      <c r="D425" s="10"/>
      <c r="E425" s="10"/>
      <c r="F425" s="10"/>
      <c r="G425" s="7"/>
      <c r="H425" s="16" t="str">
        <f t="shared" si="6"/>
        <v>(423,,'',,,,),</v>
      </c>
    </row>
    <row r="426" spans="1:8" ht="20.100000000000001" customHeight="1" x14ac:dyDescent="0.25">
      <c r="A426" s="3">
        <v>424</v>
      </c>
      <c r="B426" s="8"/>
      <c r="C426" s="13"/>
      <c r="D426" s="10"/>
      <c r="E426" s="10"/>
      <c r="F426" s="10"/>
      <c r="G426" s="7"/>
      <c r="H426" s="16" t="str">
        <f t="shared" si="6"/>
        <v>(424,,'',,,,),</v>
      </c>
    </row>
    <row r="427" spans="1:8" ht="20.100000000000001" customHeight="1" x14ac:dyDescent="0.25">
      <c r="A427" s="3">
        <v>425</v>
      </c>
      <c r="B427" s="8"/>
      <c r="C427" s="13"/>
      <c r="D427" s="10"/>
      <c r="E427" s="10"/>
      <c r="F427" s="10"/>
      <c r="G427" s="7"/>
      <c r="H427" s="16" t="str">
        <f t="shared" si="6"/>
        <v>(425,,'',,,,),</v>
      </c>
    </row>
    <row r="428" spans="1:8" ht="20.100000000000001" customHeight="1" x14ac:dyDescent="0.25">
      <c r="A428" s="3">
        <v>426</v>
      </c>
      <c r="B428" s="8"/>
      <c r="C428" s="13"/>
      <c r="D428" s="10"/>
      <c r="E428" s="10"/>
      <c r="F428" s="10"/>
      <c r="G428" s="7"/>
      <c r="H428" s="16" t="str">
        <f t="shared" si="6"/>
        <v>(426,,'',,,,),</v>
      </c>
    </row>
    <row r="429" spans="1:8" ht="20.100000000000001" customHeight="1" x14ac:dyDescent="0.25">
      <c r="A429" s="3">
        <v>427</v>
      </c>
      <c r="B429" s="8"/>
      <c r="C429" s="13"/>
      <c r="D429" s="10"/>
      <c r="E429" s="10"/>
      <c r="F429" s="10"/>
      <c r="G429" s="7"/>
      <c r="H429" s="16" t="str">
        <f t="shared" si="6"/>
        <v>(427,,'',,,,),</v>
      </c>
    </row>
    <row r="430" spans="1:8" ht="20.100000000000001" customHeight="1" x14ac:dyDescent="0.25">
      <c r="A430" s="3">
        <v>428</v>
      </c>
      <c r="B430" s="8"/>
      <c r="C430" s="13"/>
      <c r="D430" s="10"/>
      <c r="E430" s="10"/>
      <c r="F430" s="10"/>
      <c r="G430" s="7"/>
      <c r="H430" s="16" t="str">
        <f t="shared" si="6"/>
        <v>(428,,'',,,,),</v>
      </c>
    </row>
    <row r="431" spans="1:8" ht="20.100000000000001" customHeight="1" x14ac:dyDescent="0.25">
      <c r="A431" s="3">
        <v>429</v>
      </c>
      <c r="B431" s="8"/>
      <c r="C431" s="13"/>
      <c r="D431" s="10"/>
      <c r="E431" s="10"/>
      <c r="F431" s="10"/>
      <c r="G431" s="7"/>
      <c r="H431" s="16" t="str">
        <f t="shared" si="6"/>
        <v>(429,,'',,,,),</v>
      </c>
    </row>
    <row r="432" spans="1:8" ht="20.100000000000001" customHeight="1" x14ac:dyDescent="0.25">
      <c r="A432" s="3">
        <v>430</v>
      </c>
      <c r="B432" s="8"/>
      <c r="C432" s="13"/>
      <c r="D432" s="10"/>
      <c r="E432" s="10"/>
      <c r="F432" s="10"/>
      <c r="G432" s="7"/>
      <c r="H432" s="16" t="str">
        <f t="shared" si="6"/>
        <v>(430,,'',,,,),</v>
      </c>
    </row>
    <row r="433" spans="1:8" ht="20.100000000000001" customHeight="1" x14ac:dyDescent="0.25">
      <c r="A433" s="3">
        <v>431</v>
      </c>
      <c r="B433" s="8"/>
      <c r="C433" s="13"/>
      <c r="D433" s="10"/>
      <c r="E433" s="10"/>
      <c r="F433" s="10"/>
      <c r="G433" s="7"/>
      <c r="H433" s="16" t="str">
        <f t="shared" si="6"/>
        <v>(431,,'',,,,),</v>
      </c>
    </row>
    <row r="434" spans="1:8" ht="20.100000000000001" customHeight="1" x14ac:dyDescent="0.25">
      <c r="A434" s="3">
        <v>432</v>
      </c>
      <c r="B434" s="8"/>
      <c r="C434" s="13"/>
      <c r="D434" s="10"/>
      <c r="E434" s="10"/>
      <c r="F434" s="10"/>
      <c r="G434" s="7"/>
      <c r="H434" s="16" t="str">
        <f t="shared" si="6"/>
        <v>(432,,'',,,,),</v>
      </c>
    </row>
    <row r="435" spans="1:8" ht="20.100000000000001" customHeight="1" x14ac:dyDescent="0.25">
      <c r="A435" s="3">
        <v>433</v>
      </c>
      <c r="B435" s="8"/>
      <c r="C435" s="13"/>
      <c r="D435" s="10"/>
      <c r="E435" s="10"/>
      <c r="F435" s="10"/>
      <c r="G435" s="7"/>
      <c r="H435" s="16" t="str">
        <f t="shared" si="6"/>
        <v>(433,,'',,,,),</v>
      </c>
    </row>
    <row r="436" spans="1:8" ht="20.100000000000001" customHeight="1" x14ac:dyDescent="0.25">
      <c r="A436" s="3">
        <v>434</v>
      </c>
      <c r="B436" s="8"/>
      <c r="C436" s="13"/>
      <c r="D436" s="10"/>
      <c r="E436" s="10"/>
      <c r="F436" s="10"/>
      <c r="G436" s="7"/>
      <c r="H436" s="16" t="str">
        <f t="shared" si="6"/>
        <v>(434,,'',,,,),</v>
      </c>
    </row>
    <row r="437" spans="1:8" ht="20.100000000000001" customHeight="1" x14ac:dyDescent="0.25">
      <c r="A437" s="3">
        <v>435</v>
      </c>
      <c r="B437" s="8"/>
      <c r="C437" s="13"/>
      <c r="D437" s="10"/>
      <c r="E437" s="10"/>
      <c r="F437" s="10"/>
      <c r="G437" s="7"/>
      <c r="H437" s="16" t="str">
        <f t="shared" si="6"/>
        <v>(435,,'',,,,),</v>
      </c>
    </row>
    <row r="438" spans="1:8" ht="20.100000000000001" customHeight="1" x14ac:dyDescent="0.25">
      <c r="A438" s="3">
        <v>436</v>
      </c>
      <c r="B438" s="8"/>
      <c r="C438" s="13"/>
      <c r="D438" s="10"/>
      <c r="E438" s="10"/>
      <c r="F438" s="10"/>
      <c r="G438" s="7"/>
      <c r="H438" s="16" t="str">
        <f t="shared" si="6"/>
        <v>(436,,'',,,,),</v>
      </c>
    </row>
    <row r="439" spans="1:8" ht="20.100000000000001" customHeight="1" x14ac:dyDescent="0.25">
      <c r="A439" s="3">
        <v>437</v>
      </c>
      <c r="B439" s="8"/>
      <c r="C439" s="13"/>
      <c r="D439" s="10"/>
      <c r="E439" s="10"/>
      <c r="F439" s="10"/>
      <c r="G439" s="7"/>
      <c r="H439" s="16" t="str">
        <f t="shared" si="6"/>
        <v>(437,,'',,,,),</v>
      </c>
    </row>
    <row r="440" spans="1:8" ht="20.100000000000001" customHeight="1" x14ac:dyDescent="0.25">
      <c r="A440" s="3">
        <v>438</v>
      </c>
      <c r="B440" s="8"/>
      <c r="C440" s="13"/>
      <c r="D440" s="10"/>
      <c r="E440" s="10"/>
      <c r="F440" s="10"/>
      <c r="G440" s="7"/>
      <c r="H440" s="16" t="str">
        <f t="shared" si="6"/>
        <v>(438,,'',,,,),</v>
      </c>
    </row>
    <row r="441" spans="1:8" ht="20.100000000000001" customHeight="1" x14ac:dyDescent="0.25">
      <c r="A441" s="3">
        <v>439</v>
      </c>
      <c r="B441" s="8"/>
      <c r="C441" s="13"/>
      <c r="D441" s="10"/>
      <c r="E441" s="10"/>
      <c r="F441" s="10"/>
      <c r="G441" s="7"/>
      <c r="H441" s="16" t="str">
        <f t="shared" si="6"/>
        <v>(439,,'',,,,),</v>
      </c>
    </row>
    <row r="442" spans="1:8" ht="20.100000000000001" customHeight="1" x14ac:dyDescent="0.25">
      <c r="A442" s="3">
        <v>440</v>
      </c>
      <c r="B442" s="8"/>
      <c r="C442" s="13"/>
      <c r="D442" s="10"/>
      <c r="E442" s="10"/>
      <c r="F442" s="10"/>
      <c r="G442" s="7"/>
      <c r="H442" s="16" t="str">
        <f t="shared" si="6"/>
        <v>(440,,'',,,,),</v>
      </c>
    </row>
    <row r="443" spans="1:8" ht="20.100000000000001" customHeight="1" x14ac:dyDescent="0.25">
      <c r="A443" s="3">
        <v>441</v>
      </c>
      <c r="B443" s="8"/>
      <c r="C443" s="13"/>
      <c r="D443" s="10"/>
      <c r="E443" s="10"/>
      <c r="F443" s="10"/>
      <c r="G443" s="7"/>
      <c r="H443" s="16" t="str">
        <f t="shared" si="6"/>
        <v>(441,,'',,,,),</v>
      </c>
    </row>
    <row r="444" spans="1:8" ht="20.100000000000001" customHeight="1" x14ac:dyDescent="0.25">
      <c r="A444" s="3">
        <v>442</v>
      </c>
      <c r="B444" s="8"/>
      <c r="C444" s="13"/>
      <c r="D444" s="10"/>
      <c r="E444" s="10"/>
      <c r="F444" s="10"/>
      <c r="G444" s="7"/>
      <c r="H444" s="16" t="str">
        <f t="shared" si="6"/>
        <v>(442,,'',,,,),</v>
      </c>
    </row>
    <row r="445" spans="1:8" ht="20.100000000000001" customHeight="1" x14ac:dyDescent="0.25">
      <c r="A445" s="3">
        <v>443</v>
      </c>
      <c r="B445" s="8"/>
      <c r="C445" s="13"/>
      <c r="D445" s="10"/>
      <c r="E445" s="10"/>
      <c r="F445" s="10"/>
      <c r="G445" s="7"/>
      <c r="H445" s="16" t="str">
        <f t="shared" si="6"/>
        <v>(443,,'',,,,),</v>
      </c>
    </row>
    <row r="446" spans="1:8" ht="20.100000000000001" customHeight="1" x14ac:dyDescent="0.25">
      <c r="A446" s="3">
        <v>444</v>
      </c>
      <c r="B446" s="8"/>
      <c r="C446" s="13"/>
      <c r="D446" s="10"/>
      <c r="E446" s="10"/>
      <c r="F446" s="10"/>
      <c r="G446" s="7"/>
      <c r="H446" s="16" t="str">
        <f t="shared" si="6"/>
        <v>(444,,'',,,,),</v>
      </c>
    </row>
    <row r="447" spans="1:8" ht="20.100000000000001" customHeight="1" x14ac:dyDescent="0.25">
      <c r="A447" s="3">
        <v>445</v>
      </c>
      <c r="B447" s="8"/>
      <c r="C447" s="13"/>
      <c r="D447" s="10"/>
      <c r="E447" s="10"/>
      <c r="F447" s="10"/>
      <c r="G447" s="7"/>
      <c r="H447" s="16" t="str">
        <f t="shared" si="6"/>
        <v>(445,,'',,,,),</v>
      </c>
    </row>
    <row r="448" spans="1:8" ht="20.100000000000001" customHeight="1" x14ac:dyDescent="0.25">
      <c r="A448" s="3">
        <v>446</v>
      </c>
      <c r="B448" s="8"/>
      <c r="C448" s="13"/>
      <c r="D448" s="10"/>
      <c r="E448" s="10"/>
      <c r="F448" s="10"/>
      <c r="G448" s="7"/>
      <c r="H448" s="16" t="str">
        <f t="shared" si="6"/>
        <v>(446,,'',,,,),</v>
      </c>
    </row>
    <row r="449" spans="1:8" ht="20.100000000000001" customHeight="1" x14ac:dyDescent="0.25">
      <c r="A449" s="3">
        <v>447</v>
      </c>
      <c r="B449" s="8"/>
      <c r="C449" s="13"/>
      <c r="D449" s="10"/>
      <c r="E449" s="10"/>
      <c r="F449" s="10"/>
      <c r="G449" s="7"/>
      <c r="H449" s="16" t="str">
        <f t="shared" si="6"/>
        <v>(447,,'',,,,),</v>
      </c>
    </row>
    <row r="450" spans="1:8" ht="20.100000000000001" customHeight="1" x14ac:dyDescent="0.25">
      <c r="A450" s="3">
        <v>448</v>
      </c>
      <c r="B450" s="8"/>
      <c r="C450" s="13"/>
      <c r="D450" s="10"/>
      <c r="E450" s="10"/>
      <c r="F450" s="10"/>
      <c r="G450" s="7"/>
      <c r="H450" s="16" t="str">
        <f t="shared" si="6"/>
        <v>(448,,'',,,,),</v>
      </c>
    </row>
    <row r="451" spans="1:8" ht="20.100000000000001" customHeight="1" x14ac:dyDescent="0.25">
      <c r="A451" s="3">
        <v>449</v>
      </c>
      <c r="B451" s="8"/>
      <c r="C451" s="13"/>
      <c r="D451" s="10"/>
      <c r="E451" s="10"/>
      <c r="F451" s="10"/>
      <c r="G451" s="7"/>
      <c r="H451" s="16" t="str">
        <f t="shared" si="6"/>
        <v>(449,,'',,,,),</v>
      </c>
    </row>
    <row r="452" spans="1:8" ht="20.100000000000001" customHeight="1" x14ac:dyDescent="0.25">
      <c r="A452" s="3">
        <v>450</v>
      </c>
      <c r="B452" s="8"/>
      <c r="C452" s="13"/>
      <c r="D452" s="10"/>
      <c r="E452" s="10"/>
      <c r="F452" s="10"/>
      <c r="G452" s="7"/>
      <c r="H452" s="16" t="str">
        <f t="shared" ref="H452:H515" si="7">CONCATENATE("(",A452,",",B452,",'",C452,"',",D452,",",E452,",",F452,",",G452,"),")</f>
        <v>(450,,'',,,,),</v>
      </c>
    </row>
    <row r="453" spans="1:8" ht="20.100000000000001" customHeight="1" x14ac:dyDescent="0.25">
      <c r="A453" s="3">
        <v>451</v>
      </c>
      <c r="B453" s="8"/>
      <c r="C453" s="13"/>
      <c r="D453" s="10"/>
      <c r="E453" s="10"/>
      <c r="F453" s="10"/>
      <c r="G453" s="7"/>
      <c r="H453" s="16" t="str">
        <f t="shared" si="7"/>
        <v>(451,,'',,,,),</v>
      </c>
    </row>
    <row r="454" spans="1:8" ht="20.100000000000001" customHeight="1" x14ac:dyDescent="0.25">
      <c r="A454" s="3">
        <v>452</v>
      </c>
      <c r="B454" s="8"/>
      <c r="C454" s="13"/>
      <c r="D454" s="10"/>
      <c r="E454" s="10"/>
      <c r="F454" s="10"/>
      <c r="G454" s="7"/>
      <c r="H454" s="16" t="str">
        <f t="shared" si="7"/>
        <v>(452,,'',,,,),</v>
      </c>
    </row>
    <row r="455" spans="1:8" ht="20.100000000000001" customHeight="1" x14ac:dyDescent="0.25">
      <c r="A455" s="3">
        <v>453</v>
      </c>
      <c r="B455" s="8"/>
      <c r="C455" s="13"/>
      <c r="D455" s="10"/>
      <c r="E455" s="10"/>
      <c r="F455" s="10"/>
      <c r="G455" s="7"/>
      <c r="H455" s="16" t="str">
        <f t="shared" si="7"/>
        <v>(453,,'',,,,),</v>
      </c>
    </row>
    <row r="456" spans="1:8" ht="20.100000000000001" customHeight="1" x14ac:dyDescent="0.25">
      <c r="A456" s="3">
        <v>454</v>
      </c>
      <c r="B456" s="8"/>
      <c r="C456" s="13"/>
      <c r="D456" s="10"/>
      <c r="E456" s="10"/>
      <c r="F456" s="10"/>
      <c r="G456" s="7"/>
      <c r="H456" s="16" t="str">
        <f t="shared" si="7"/>
        <v>(454,,'',,,,),</v>
      </c>
    </row>
    <row r="457" spans="1:8" ht="20.100000000000001" customHeight="1" x14ac:dyDescent="0.25">
      <c r="A457" s="3">
        <v>455</v>
      </c>
      <c r="B457" s="8"/>
      <c r="C457" s="13"/>
      <c r="D457" s="10"/>
      <c r="E457" s="10"/>
      <c r="F457" s="10"/>
      <c r="G457" s="7"/>
      <c r="H457" s="16" t="str">
        <f t="shared" si="7"/>
        <v>(455,,'',,,,),</v>
      </c>
    </row>
    <row r="458" spans="1:8" ht="20.100000000000001" customHeight="1" x14ac:dyDescent="0.25">
      <c r="A458" s="3">
        <v>456</v>
      </c>
      <c r="B458" s="8"/>
      <c r="C458" s="13"/>
      <c r="D458" s="10"/>
      <c r="E458" s="10"/>
      <c r="F458" s="10"/>
      <c r="G458" s="7"/>
      <c r="H458" s="16" t="str">
        <f t="shared" si="7"/>
        <v>(456,,'',,,,),</v>
      </c>
    </row>
    <row r="459" spans="1:8" ht="20.100000000000001" customHeight="1" x14ac:dyDescent="0.25">
      <c r="A459" s="3">
        <v>457</v>
      </c>
      <c r="B459" s="8"/>
      <c r="C459" s="13"/>
      <c r="D459" s="10"/>
      <c r="E459" s="10"/>
      <c r="F459" s="10"/>
      <c r="G459" s="7"/>
      <c r="H459" s="16" t="str">
        <f t="shared" si="7"/>
        <v>(457,,'',,,,),</v>
      </c>
    </row>
    <row r="460" spans="1:8" ht="20.100000000000001" customHeight="1" x14ac:dyDescent="0.25">
      <c r="A460" s="3">
        <v>458</v>
      </c>
      <c r="B460" s="8"/>
      <c r="C460" s="13"/>
      <c r="D460" s="10"/>
      <c r="E460" s="10"/>
      <c r="F460" s="10"/>
      <c r="G460" s="7"/>
      <c r="H460" s="16" t="str">
        <f t="shared" si="7"/>
        <v>(458,,'',,,,),</v>
      </c>
    </row>
    <row r="461" spans="1:8" ht="20.100000000000001" customHeight="1" x14ac:dyDescent="0.25">
      <c r="A461" s="3">
        <v>459</v>
      </c>
      <c r="B461" s="8"/>
      <c r="C461" s="13"/>
      <c r="D461" s="10"/>
      <c r="E461" s="10"/>
      <c r="F461" s="10"/>
      <c r="G461" s="7"/>
      <c r="H461" s="16" t="str">
        <f t="shared" si="7"/>
        <v>(459,,'',,,,),</v>
      </c>
    </row>
    <row r="462" spans="1:8" ht="20.100000000000001" customHeight="1" x14ac:dyDescent="0.25">
      <c r="A462" s="3">
        <v>460</v>
      </c>
      <c r="B462" s="8"/>
      <c r="C462" s="13"/>
      <c r="D462" s="10"/>
      <c r="E462" s="10"/>
      <c r="F462" s="10"/>
      <c r="G462" s="7"/>
      <c r="H462" s="16" t="str">
        <f t="shared" si="7"/>
        <v>(460,,'',,,,),</v>
      </c>
    </row>
    <row r="463" spans="1:8" ht="20.100000000000001" customHeight="1" x14ac:dyDescent="0.25">
      <c r="A463" s="3">
        <v>461</v>
      </c>
      <c r="B463" s="8"/>
      <c r="C463" s="13"/>
      <c r="D463" s="10"/>
      <c r="E463" s="10"/>
      <c r="F463" s="10"/>
      <c r="G463" s="7"/>
      <c r="H463" s="16" t="str">
        <f t="shared" si="7"/>
        <v>(461,,'',,,,),</v>
      </c>
    </row>
    <row r="464" spans="1:8" ht="20.100000000000001" customHeight="1" x14ac:dyDescent="0.25">
      <c r="A464" s="3">
        <v>462</v>
      </c>
      <c r="B464" s="8"/>
      <c r="C464" s="13"/>
      <c r="D464" s="10"/>
      <c r="E464" s="10"/>
      <c r="F464" s="10"/>
      <c r="G464" s="7"/>
      <c r="H464" s="16" t="str">
        <f t="shared" si="7"/>
        <v>(462,,'',,,,),</v>
      </c>
    </row>
    <row r="465" spans="1:8" ht="20.100000000000001" customHeight="1" x14ac:dyDescent="0.25">
      <c r="A465" s="3">
        <v>463</v>
      </c>
      <c r="B465" s="8"/>
      <c r="C465" s="13"/>
      <c r="D465" s="10"/>
      <c r="E465" s="10"/>
      <c r="F465" s="10"/>
      <c r="G465" s="7"/>
      <c r="H465" s="16" t="str">
        <f t="shared" si="7"/>
        <v>(463,,'',,,,),</v>
      </c>
    </row>
    <row r="466" spans="1:8" ht="20.100000000000001" customHeight="1" x14ac:dyDescent="0.25">
      <c r="A466" s="3">
        <v>464</v>
      </c>
      <c r="B466" s="8"/>
      <c r="C466" s="13"/>
      <c r="D466" s="10"/>
      <c r="E466" s="10"/>
      <c r="F466" s="10"/>
      <c r="G466" s="7"/>
      <c r="H466" s="16" t="str">
        <f t="shared" si="7"/>
        <v>(464,,'',,,,),</v>
      </c>
    </row>
    <row r="467" spans="1:8" ht="20.100000000000001" customHeight="1" x14ac:dyDescent="0.25">
      <c r="A467" s="3">
        <v>465</v>
      </c>
      <c r="B467" s="8"/>
      <c r="C467" s="13"/>
      <c r="D467" s="10"/>
      <c r="E467" s="10"/>
      <c r="F467" s="10"/>
      <c r="G467" s="7"/>
      <c r="H467" s="16" t="str">
        <f t="shared" si="7"/>
        <v>(465,,'',,,,),</v>
      </c>
    </row>
    <row r="468" spans="1:8" ht="20.100000000000001" customHeight="1" x14ac:dyDescent="0.25">
      <c r="A468" s="3">
        <v>466</v>
      </c>
      <c r="B468" s="8"/>
      <c r="C468" s="13"/>
      <c r="D468" s="10"/>
      <c r="E468" s="10"/>
      <c r="F468" s="10"/>
      <c r="G468" s="7"/>
      <c r="H468" s="16" t="str">
        <f t="shared" si="7"/>
        <v>(466,,'',,,,),</v>
      </c>
    </row>
    <row r="469" spans="1:8" ht="20.100000000000001" customHeight="1" x14ac:dyDescent="0.25">
      <c r="A469" s="3">
        <v>467</v>
      </c>
      <c r="B469" s="8"/>
      <c r="C469" s="13"/>
      <c r="D469" s="10"/>
      <c r="E469" s="10"/>
      <c r="F469" s="10"/>
      <c r="G469" s="7"/>
      <c r="H469" s="16" t="str">
        <f t="shared" si="7"/>
        <v>(467,,'',,,,),</v>
      </c>
    </row>
    <row r="470" spans="1:8" ht="20.100000000000001" customHeight="1" x14ac:dyDescent="0.25">
      <c r="A470" s="3">
        <v>468</v>
      </c>
      <c r="B470" s="8"/>
      <c r="C470" s="13"/>
      <c r="D470" s="10"/>
      <c r="E470" s="10"/>
      <c r="F470" s="10"/>
      <c r="G470" s="7"/>
      <c r="H470" s="16" t="str">
        <f t="shared" si="7"/>
        <v>(468,,'',,,,),</v>
      </c>
    </row>
    <row r="471" spans="1:8" ht="20.100000000000001" customHeight="1" x14ac:dyDescent="0.25">
      <c r="A471" s="3">
        <v>469</v>
      </c>
      <c r="B471" s="8"/>
      <c r="C471" s="13"/>
      <c r="D471" s="10"/>
      <c r="E471" s="10"/>
      <c r="F471" s="10"/>
      <c r="G471" s="7"/>
      <c r="H471" s="16" t="str">
        <f t="shared" si="7"/>
        <v>(469,,'',,,,),</v>
      </c>
    </row>
    <row r="472" spans="1:8" ht="20.100000000000001" customHeight="1" x14ac:dyDescent="0.25">
      <c r="A472" s="3">
        <v>470</v>
      </c>
      <c r="B472" s="8"/>
      <c r="C472" s="13"/>
      <c r="D472" s="10"/>
      <c r="E472" s="10"/>
      <c r="F472" s="10"/>
      <c r="G472" s="7"/>
      <c r="H472" s="16" t="str">
        <f t="shared" si="7"/>
        <v>(470,,'',,,,),</v>
      </c>
    </row>
    <row r="473" spans="1:8" ht="20.100000000000001" customHeight="1" x14ac:dyDescent="0.25">
      <c r="A473" s="3">
        <v>471</v>
      </c>
      <c r="B473" s="8"/>
      <c r="C473" s="13"/>
      <c r="D473" s="10"/>
      <c r="E473" s="10"/>
      <c r="F473" s="10"/>
      <c r="G473" s="7"/>
      <c r="H473" s="16" t="str">
        <f t="shared" si="7"/>
        <v>(471,,'',,,,),</v>
      </c>
    </row>
    <row r="474" spans="1:8" ht="20.100000000000001" customHeight="1" x14ac:dyDescent="0.25">
      <c r="A474" s="3">
        <v>472</v>
      </c>
      <c r="B474" s="8"/>
      <c r="C474" s="13"/>
      <c r="D474" s="10"/>
      <c r="E474" s="10"/>
      <c r="F474" s="10"/>
      <c r="G474" s="7"/>
      <c r="H474" s="16" t="str">
        <f t="shared" si="7"/>
        <v>(472,,'',,,,),</v>
      </c>
    </row>
    <row r="475" spans="1:8" ht="20.100000000000001" customHeight="1" x14ac:dyDescent="0.25">
      <c r="A475" s="3">
        <v>473</v>
      </c>
      <c r="B475" s="8"/>
      <c r="C475" s="13"/>
      <c r="D475" s="10"/>
      <c r="E475" s="10"/>
      <c r="F475" s="10"/>
      <c r="G475" s="7"/>
      <c r="H475" s="16" t="str">
        <f t="shared" si="7"/>
        <v>(473,,'',,,,),</v>
      </c>
    </row>
    <row r="476" spans="1:8" ht="20.100000000000001" customHeight="1" x14ac:dyDescent="0.25">
      <c r="A476" s="3">
        <v>474</v>
      </c>
      <c r="B476" s="8"/>
      <c r="C476" s="13"/>
      <c r="D476" s="10"/>
      <c r="E476" s="10"/>
      <c r="F476" s="10"/>
      <c r="G476" s="7"/>
      <c r="H476" s="16" t="str">
        <f t="shared" si="7"/>
        <v>(474,,'',,,,),</v>
      </c>
    </row>
    <row r="477" spans="1:8" ht="20.100000000000001" customHeight="1" x14ac:dyDescent="0.25">
      <c r="A477" s="3">
        <v>475</v>
      </c>
      <c r="B477" s="8"/>
      <c r="C477" s="13"/>
      <c r="D477" s="10"/>
      <c r="E477" s="10"/>
      <c r="F477" s="10"/>
      <c r="G477" s="7"/>
      <c r="H477" s="16" t="str">
        <f t="shared" si="7"/>
        <v>(475,,'',,,,),</v>
      </c>
    </row>
    <row r="478" spans="1:8" ht="20.100000000000001" customHeight="1" x14ac:dyDescent="0.25">
      <c r="A478" s="3">
        <v>476</v>
      </c>
      <c r="B478" s="8"/>
      <c r="C478" s="13"/>
      <c r="D478" s="10"/>
      <c r="E478" s="10"/>
      <c r="F478" s="10"/>
      <c r="G478" s="7"/>
      <c r="H478" s="16" t="str">
        <f t="shared" si="7"/>
        <v>(476,,'',,,,),</v>
      </c>
    </row>
    <row r="479" spans="1:8" ht="20.100000000000001" customHeight="1" x14ac:dyDescent="0.25">
      <c r="A479" s="3">
        <v>477</v>
      </c>
      <c r="B479" s="8"/>
      <c r="C479" s="13"/>
      <c r="D479" s="10"/>
      <c r="E479" s="10"/>
      <c r="F479" s="10"/>
      <c r="G479" s="7"/>
      <c r="H479" s="16" t="str">
        <f t="shared" si="7"/>
        <v>(477,,'',,,,),</v>
      </c>
    </row>
    <row r="480" spans="1:8" ht="20.100000000000001" customHeight="1" x14ac:dyDescent="0.25">
      <c r="A480" s="3">
        <v>478</v>
      </c>
      <c r="B480" s="8"/>
      <c r="C480" s="13"/>
      <c r="D480" s="10"/>
      <c r="E480" s="10"/>
      <c r="F480" s="10"/>
      <c r="G480" s="7"/>
      <c r="H480" s="16" t="str">
        <f t="shared" si="7"/>
        <v>(478,,'',,,,),</v>
      </c>
    </row>
    <row r="481" spans="1:8" ht="20.100000000000001" customHeight="1" x14ac:dyDescent="0.25">
      <c r="A481" s="3">
        <v>479</v>
      </c>
      <c r="B481" s="8"/>
      <c r="C481" s="13"/>
      <c r="D481" s="10"/>
      <c r="E481" s="10"/>
      <c r="F481" s="10"/>
      <c r="G481" s="7"/>
      <c r="H481" s="16" t="str">
        <f t="shared" si="7"/>
        <v>(479,,'',,,,),</v>
      </c>
    </row>
    <row r="482" spans="1:8" ht="20.100000000000001" customHeight="1" x14ac:dyDescent="0.25">
      <c r="A482" s="3">
        <v>480</v>
      </c>
      <c r="B482" s="8"/>
      <c r="C482" s="13"/>
      <c r="D482" s="10"/>
      <c r="E482" s="10"/>
      <c r="F482" s="10"/>
      <c r="G482" s="7"/>
      <c r="H482" s="16" t="str">
        <f t="shared" si="7"/>
        <v>(480,,'',,,,),</v>
      </c>
    </row>
    <row r="483" spans="1:8" ht="20.100000000000001" customHeight="1" x14ac:dyDescent="0.25">
      <c r="A483" s="3">
        <v>481</v>
      </c>
      <c r="B483" s="8"/>
      <c r="C483" s="13"/>
      <c r="D483" s="10"/>
      <c r="E483" s="10"/>
      <c r="F483" s="10"/>
      <c r="G483" s="7"/>
      <c r="H483" s="16" t="str">
        <f t="shared" si="7"/>
        <v>(481,,'',,,,),</v>
      </c>
    </row>
    <row r="484" spans="1:8" ht="20.100000000000001" customHeight="1" x14ac:dyDescent="0.25">
      <c r="A484" s="3">
        <v>482</v>
      </c>
      <c r="B484" s="8"/>
      <c r="C484" s="13"/>
      <c r="D484" s="10"/>
      <c r="E484" s="10"/>
      <c r="F484" s="10"/>
      <c r="G484" s="7"/>
      <c r="H484" s="16" t="str">
        <f t="shared" si="7"/>
        <v>(482,,'',,,,),</v>
      </c>
    </row>
    <row r="485" spans="1:8" ht="20.100000000000001" customHeight="1" x14ac:dyDescent="0.25">
      <c r="A485" s="3">
        <v>483</v>
      </c>
      <c r="B485" s="8"/>
      <c r="C485" s="13"/>
      <c r="D485" s="10"/>
      <c r="E485" s="10"/>
      <c r="F485" s="10"/>
      <c r="G485" s="7"/>
      <c r="H485" s="16" t="str">
        <f t="shared" si="7"/>
        <v>(483,,'',,,,),</v>
      </c>
    </row>
    <row r="486" spans="1:8" ht="20.100000000000001" customHeight="1" x14ac:dyDescent="0.25">
      <c r="A486" s="3">
        <v>484</v>
      </c>
      <c r="B486" s="8"/>
      <c r="C486" s="13"/>
      <c r="D486" s="10"/>
      <c r="E486" s="10"/>
      <c r="F486" s="10"/>
      <c r="G486" s="7"/>
      <c r="H486" s="16" t="str">
        <f t="shared" si="7"/>
        <v>(484,,'',,,,),</v>
      </c>
    </row>
    <row r="487" spans="1:8" ht="20.100000000000001" customHeight="1" x14ac:dyDescent="0.25">
      <c r="A487" s="3">
        <v>485</v>
      </c>
      <c r="B487" s="8"/>
      <c r="C487" s="13"/>
      <c r="D487" s="10"/>
      <c r="E487" s="10"/>
      <c r="F487" s="10"/>
      <c r="G487" s="7"/>
      <c r="H487" s="16" t="str">
        <f t="shared" si="7"/>
        <v>(485,,'',,,,),</v>
      </c>
    </row>
    <row r="488" spans="1:8" ht="20.100000000000001" customHeight="1" x14ac:dyDescent="0.25">
      <c r="A488" s="3">
        <v>486</v>
      </c>
      <c r="B488" s="8"/>
      <c r="C488" s="13"/>
      <c r="D488" s="10"/>
      <c r="E488" s="10"/>
      <c r="F488" s="10"/>
      <c r="G488" s="7"/>
      <c r="H488" s="16" t="str">
        <f t="shared" si="7"/>
        <v>(486,,'',,,,),</v>
      </c>
    </row>
    <row r="489" spans="1:8" ht="20.100000000000001" customHeight="1" x14ac:dyDescent="0.25">
      <c r="A489" s="3">
        <v>487</v>
      </c>
      <c r="B489" s="8"/>
      <c r="C489" s="13"/>
      <c r="D489" s="10"/>
      <c r="E489" s="10"/>
      <c r="F489" s="10"/>
      <c r="G489" s="7"/>
      <c r="H489" s="16" t="str">
        <f t="shared" si="7"/>
        <v>(487,,'',,,,),</v>
      </c>
    </row>
    <row r="490" spans="1:8" ht="20.100000000000001" customHeight="1" x14ac:dyDescent="0.25">
      <c r="A490" s="3">
        <v>488</v>
      </c>
      <c r="B490" s="8"/>
      <c r="C490" s="13"/>
      <c r="D490" s="10"/>
      <c r="E490" s="10"/>
      <c r="F490" s="10"/>
      <c r="G490" s="7"/>
      <c r="H490" s="16" t="str">
        <f t="shared" si="7"/>
        <v>(488,,'',,,,),</v>
      </c>
    </row>
    <row r="491" spans="1:8" ht="20.100000000000001" customHeight="1" x14ac:dyDescent="0.25">
      <c r="A491" s="3">
        <v>489</v>
      </c>
      <c r="B491" s="8"/>
      <c r="C491" s="13"/>
      <c r="D491" s="10"/>
      <c r="E491" s="10"/>
      <c r="F491" s="10"/>
      <c r="G491" s="7"/>
      <c r="H491" s="16" t="str">
        <f t="shared" si="7"/>
        <v>(489,,'',,,,),</v>
      </c>
    </row>
    <row r="492" spans="1:8" ht="20.100000000000001" customHeight="1" x14ac:dyDescent="0.25">
      <c r="A492" s="3">
        <v>490</v>
      </c>
      <c r="B492" s="8"/>
      <c r="C492" s="13"/>
      <c r="D492" s="10"/>
      <c r="E492" s="10"/>
      <c r="F492" s="10"/>
      <c r="G492" s="7"/>
      <c r="H492" s="16" t="str">
        <f t="shared" si="7"/>
        <v>(490,,'',,,,),</v>
      </c>
    </row>
    <row r="493" spans="1:8" ht="20.100000000000001" customHeight="1" x14ac:dyDescent="0.25">
      <c r="A493" s="3">
        <v>491</v>
      </c>
      <c r="B493" s="8"/>
      <c r="C493" s="13"/>
      <c r="D493" s="10"/>
      <c r="E493" s="10"/>
      <c r="F493" s="10"/>
      <c r="G493" s="7"/>
      <c r="H493" s="16" t="str">
        <f t="shared" si="7"/>
        <v>(491,,'',,,,),</v>
      </c>
    </row>
    <row r="494" spans="1:8" ht="20.100000000000001" customHeight="1" x14ac:dyDescent="0.25">
      <c r="A494" s="3">
        <v>492</v>
      </c>
      <c r="B494" s="8"/>
      <c r="C494" s="13"/>
      <c r="D494" s="10"/>
      <c r="E494" s="10"/>
      <c r="F494" s="10"/>
      <c r="G494" s="7"/>
      <c r="H494" s="16" t="str">
        <f t="shared" si="7"/>
        <v>(492,,'',,,,),</v>
      </c>
    </row>
    <row r="495" spans="1:8" ht="20.100000000000001" customHeight="1" x14ac:dyDescent="0.25">
      <c r="A495" s="3">
        <v>493</v>
      </c>
      <c r="B495" s="8"/>
      <c r="C495" s="13"/>
      <c r="D495" s="10"/>
      <c r="E495" s="10"/>
      <c r="F495" s="10"/>
      <c r="G495" s="7"/>
      <c r="H495" s="16" t="str">
        <f t="shared" si="7"/>
        <v>(493,,'',,,,),</v>
      </c>
    </row>
    <row r="496" spans="1:8" ht="20.100000000000001" customHeight="1" x14ac:dyDescent="0.25">
      <c r="A496" s="3">
        <v>494</v>
      </c>
      <c r="B496" s="8"/>
      <c r="C496" s="13"/>
      <c r="D496" s="10"/>
      <c r="E496" s="10"/>
      <c r="F496" s="10"/>
      <c r="G496" s="7"/>
      <c r="H496" s="16" t="str">
        <f t="shared" si="7"/>
        <v>(494,,'',,,,),</v>
      </c>
    </row>
    <row r="497" spans="1:8" ht="20.100000000000001" customHeight="1" x14ac:dyDescent="0.25">
      <c r="A497" s="3">
        <v>495</v>
      </c>
      <c r="B497" s="8"/>
      <c r="C497" s="13"/>
      <c r="D497" s="10"/>
      <c r="E497" s="10"/>
      <c r="F497" s="10"/>
      <c r="G497" s="7"/>
      <c r="H497" s="16" t="str">
        <f t="shared" si="7"/>
        <v>(495,,'',,,,),</v>
      </c>
    </row>
    <row r="498" spans="1:8" ht="20.100000000000001" customHeight="1" x14ac:dyDescent="0.25">
      <c r="A498" s="3">
        <v>496</v>
      </c>
      <c r="B498" s="8"/>
      <c r="C498" s="13"/>
      <c r="D498" s="10"/>
      <c r="E498" s="10"/>
      <c r="F498" s="10"/>
      <c r="G498" s="7"/>
      <c r="H498" s="16" t="str">
        <f t="shared" si="7"/>
        <v>(496,,'',,,,),</v>
      </c>
    </row>
    <row r="499" spans="1:8" ht="20.100000000000001" customHeight="1" x14ac:dyDescent="0.25">
      <c r="A499" s="3">
        <v>497</v>
      </c>
      <c r="B499" s="8"/>
      <c r="C499" s="13"/>
      <c r="D499" s="10"/>
      <c r="E499" s="10"/>
      <c r="F499" s="10"/>
      <c r="G499" s="7"/>
      <c r="H499" s="16" t="str">
        <f t="shared" si="7"/>
        <v>(497,,'',,,,),</v>
      </c>
    </row>
    <row r="500" spans="1:8" ht="20.100000000000001" customHeight="1" x14ac:dyDescent="0.25">
      <c r="A500" s="3">
        <v>498</v>
      </c>
      <c r="B500" s="8"/>
      <c r="C500" s="13"/>
      <c r="D500" s="10"/>
      <c r="E500" s="10"/>
      <c r="F500" s="10"/>
      <c r="G500" s="7"/>
      <c r="H500" s="16" t="str">
        <f t="shared" si="7"/>
        <v>(498,,'',,,,),</v>
      </c>
    </row>
    <row r="501" spans="1:8" ht="20.100000000000001" customHeight="1" x14ac:dyDescent="0.25">
      <c r="A501" s="3">
        <v>499</v>
      </c>
      <c r="B501" s="8"/>
      <c r="C501" s="13"/>
      <c r="D501" s="10"/>
      <c r="E501" s="10"/>
      <c r="F501" s="10"/>
      <c r="G501" s="7"/>
      <c r="H501" s="16" t="str">
        <f t="shared" si="7"/>
        <v>(499,,'',,,,),</v>
      </c>
    </row>
    <row r="502" spans="1:8" ht="20.100000000000001" customHeight="1" x14ac:dyDescent="0.25">
      <c r="A502" s="3">
        <v>500</v>
      </c>
      <c r="B502" s="8"/>
      <c r="C502" s="13"/>
      <c r="D502" s="10"/>
      <c r="E502" s="10"/>
      <c r="F502" s="10"/>
      <c r="G502" s="7"/>
      <c r="H502" s="16" t="str">
        <f t="shared" si="7"/>
        <v>(500,,'',,,,),</v>
      </c>
    </row>
    <row r="503" spans="1:8" ht="20.100000000000001" customHeight="1" x14ac:dyDescent="0.25">
      <c r="A503" s="3">
        <v>501</v>
      </c>
      <c r="B503" s="8"/>
      <c r="C503" s="13"/>
      <c r="D503" s="10"/>
      <c r="E503" s="10"/>
      <c r="F503" s="10"/>
      <c r="G503" s="7"/>
      <c r="H503" s="16" t="str">
        <f t="shared" si="7"/>
        <v>(501,,'',,,,),</v>
      </c>
    </row>
    <row r="504" spans="1:8" ht="20.100000000000001" customHeight="1" x14ac:dyDescent="0.25">
      <c r="A504" s="3">
        <v>502</v>
      </c>
      <c r="B504" s="8"/>
      <c r="C504" s="13"/>
      <c r="D504" s="10"/>
      <c r="E504" s="10"/>
      <c r="F504" s="10"/>
      <c r="G504" s="7"/>
      <c r="H504" s="16" t="str">
        <f t="shared" si="7"/>
        <v>(502,,'',,,,),</v>
      </c>
    </row>
    <row r="505" spans="1:8" ht="20.100000000000001" customHeight="1" x14ac:dyDescent="0.25">
      <c r="A505" s="3">
        <v>503</v>
      </c>
      <c r="B505" s="8"/>
      <c r="C505" s="13"/>
      <c r="D505" s="10"/>
      <c r="E505" s="10"/>
      <c r="F505" s="10"/>
      <c r="G505" s="7"/>
      <c r="H505" s="16" t="str">
        <f t="shared" si="7"/>
        <v>(503,,'',,,,),</v>
      </c>
    </row>
    <row r="506" spans="1:8" ht="20.100000000000001" customHeight="1" x14ac:dyDescent="0.25">
      <c r="A506" s="3">
        <v>504</v>
      </c>
      <c r="B506" s="8"/>
      <c r="C506" s="13"/>
      <c r="D506" s="10"/>
      <c r="E506" s="10"/>
      <c r="F506" s="10"/>
      <c r="G506" s="7"/>
      <c r="H506" s="16" t="str">
        <f t="shared" si="7"/>
        <v>(504,,'',,,,),</v>
      </c>
    </row>
    <row r="507" spans="1:8" ht="20.100000000000001" customHeight="1" x14ac:dyDescent="0.25">
      <c r="A507" s="3">
        <v>505</v>
      </c>
      <c r="B507" s="8"/>
      <c r="C507" s="13"/>
      <c r="D507" s="10"/>
      <c r="E507" s="10"/>
      <c r="F507" s="10"/>
      <c r="G507" s="7"/>
      <c r="H507" s="16" t="str">
        <f t="shared" si="7"/>
        <v>(505,,'',,,,),</v>
      </c>
    </row>
    <row r="508" spans="1:8" ht="20.100000000000001" customHeight="1" x14ac:dyDescent="0.25">
      <c r="A508" s="3">
        <v>506</v>
      </c>
      <c r="B508" s="8"/>
      <c r="C508" s="13"/>
      <c r="D508" s="10"/>
      <c r="E508" s="10"/>
      <c r="F508" s="10"/>
      <c r="G508" s="7"/>
      <c r="H508" s="16" t="str">
        <f t="shared" si="7"/>
        <v>(506,,'',,,,),</v>
      </c>
    </row>
    <row r="509" spans="1:8" ht="20.100000000000001" customHeight="1" x14ac:dyDescent="0.25">
      <c r="A509" s="3">
        <v>507</v>
      </c>
      <c r="B509" s="8"/>
      <c r="C509" s="13"/>
      <c r="D509" s="10"/>
      <c r="E509" s="10"/>
      <c r="F509" s="10"/>
      <c r="G509" s="7"/>
      <c r="H509" s="16" t="str">
        <f t="shared" si="7"/>
        <v>(507,,'',,,,),</v>
      </c>
    </row>
    <row r="510" spans="1:8" ht="20.100000000000001" customHeight="1" x14ac:dyDescent="0.25">
      <c r="A510" s="3">
        <v>508</v>
      </c>
      <c r="B510" s="8"/>
      <c r="C510" s="13"/>
      <c r="D510" s="10"/>
      <c r="E510" s="10"/>
      <c r="F510" s="10"/>
      <c r="G510" s="7"/>
      <c r="H510" s="16" t="str">
        <f t="shared" si="7"/>
        <v>(508,,'',,,,),</v>
      </c>
    </row>
    <row r="511" spans="1:8" ht="20.100000000000001" customHeight="1" x14ac:dyDescent="0.25">
      <c r="A511" s="3">
        <v>509</v>
      </c>
      <c r="B511" s="8"/>
      <c r="C511" s="13"/>
      <c r="D511" s="10"/>
      <c r="E511" s="10"/>
      <c r="F511" s="10"/>
      <c r="G511" s="7"/>
      <c r="H511" s="16" t="str">
        <f t="shared" si="7"/>
        <v>(509,,'',,,,),</v>
      </c>
    </row>
    <row r="512" spans="1:8" ht="20.100000000000001" customHeight="1" x14ac:dyDescent="0.25">
      <c r="A512" s="3">
        <v>510</v>
      </c>
      <c r="B512" s="8"/>
      <c r="C512" s="13"/>
      <c r="D512" s="10"/>
      <c r="E512" s="10"/>
      <c r="F512" s="10"/>
      <c r="G512" s="7"/>
      <c r="H512" s="16" t="str">
        <f t="shared" si="7"/>
        <v>(510,,'',,,,),</v>
      </c>
    </row>
    <row r="513" spans="1:8" ht="20.100000000000001" customHeight="1" x14ac:dyDescent="0.25">
      <c r="A513" s="3">
        <v>511</v>
      </c>
      <c r="B513" s="8"/>
      <c r="C513" s="13"/>
      <c r="D513" s="10"/>
      <c r="E513" s="10"/>
      <c r="F513" s="10"/>
      <c r="G513" s="7"/>
      <c r="H513" s="16" t="str">
        <f t="shared" si="7"/>
        <v>(511,,'',,,,),</v>
      </c>
    </row>
    <row r="514" spans="1:8" ht="20.100000000000001" customHeight="1" x14ac:dyDescent="0.25">
      <c r="A514" s="3">
        <v>512</v>
      </c>
      <c r="B514" s="8"/>
      <c r="C514" s="13"/>
      <c r="D514" s="10"/>
      <c r="E514" s="10"/>
      <c r="F514" s="10"/>
      <c r="G514" s="7"/>
      <c r="H514" s="16" t="str">
        <f t="shared" si="7"/>
        <v>(512,,'',,,,),</v>
      </c>
    </row>
    <row r="515" spans="1:8" ht="20.100000000000001" customHeight="1" x14ac:dyDescent="0.25">
      <c r="A515" s="3">
        <v>513</v>
      </c>
      <c r="B515" s="8"/>
      <c r="C515" s="13"/>
      <c r="D515" s="10"/>
      <c r="E515" s="10"/>
      <c r="F515" s="10"/>
      <c r="G515" s="7"/>
      <c r="H515" s="16" t="str">
        <f t="shared" si="7"/>
        <v>(513,,'',,,,),</v>
      </c>
    </row>
    <row r="516" spans="1:8" ht="20.100000000000001" customHeight="1" x14ac:dyDescent="0.25">
      <c r="A516" s="3">
        <v>514</v>
      </c>
      <c r="B516" s="8"/>
      <c r="C516" s="13"/>
      <c r="D516" s="10"/>
      <c r="E516" s="10"/>
      <c r="F516" s="10"/>
      <c r="G516" s="7"/>
      <c r="H516" s="16" t="str">
        <f t="shared" ref="H516:H579" si="8">CONCATENATE("(",A516,",",B516,",'",C516,"',",D516,",",E516,",",F516,",",G516,"),")</f>
        <v>(514,,'',,,,),</v>
      </c>
    </row>
    <row r="517" spans="1:8" ht="20.100000000000001" customHeight="1" x14ac:dyDescent="0.25">
      <c r="A517" s="3">
        <v>515</v>
      </c>
      <c r="B517" s="8"/>
      <c r="C517" s="13"/>
      <c r="D517" s="10"/>
      <c r="E517" s="10"/>
      <c r="F517" s="10"/>
      <c r="G517" s="7"/>
      <c r="H517" s="16" t="str">
        <f t="shared" si="8"/>
        <v>(515,,'',,,,),</v>
      </c>
    </row>
    <row r="518" spans="1:8" ht="20.100000000000001" customHeight="1" x14ac:dyDescent="0.25">
      <c r="A518" s="3">
        <v>516</v>
      </c>
      <c r="B518" s="8"/>
      <c r="C518" s="13"/>
      <c r="D518" s="10"/>
      <c r="E518" s="10"/>
      <c r="F518" s="10"/>
      <c r="G518" s="7"/>
      <c r="H518" s="16" t="str">
        <f t="shared" si="8"/>
        <v>(516,,'',,,,),</v>
      </c>
    </row>
    <row r="519" spans="1:8" ht="20.100000000000001" customHeight="1" x14ac:dyDescent="0.25">
      <c r="A519" s="3">
        <v>517</v>
      </c>
      <c r="B519" s="8"/>
      <c r="C519" s="13"/>
      <c r="D519" s="10"/>
      <c r="E519" s="10"/>
      <c r="F519" s="10"/>
      <c r="G519" s="7"/>
      <c r="H519" s="16" t="str">
        <f t="shared" si="8"/>
        <v>(517,,'',,,,),</v>
      </c>
    </row>
    <row r="520" spans="1:8" ht="20.100000000000001" customHeight="1" x14ac:dyDescent="0.25">
      <c r="A520" s="3">
        <v>518</v>
      </c>
      <c r="B520" s="8"/>
      <c r="C520" s="13"/>
      <c r="D520" s="10"/>
      <c r="E520" s="10"/>
      <c r="F520" s="10"/>
      <c r="G520" s="7"/>
      <c r="H520" s="16" t="str">
        <f t="shared" si="8"/>
        <v>(518,,'',,,,),</v>
      </c>
    </row>
    <row r="521" spans="1:8" ht="20.100000000000001" customHeight="1" x14ac:dyDescent="0.25">
      <c r="A521" s="3">
        <v>519</v>
      </c>
      <c r="B521" s="8"/>
      <c r="C521" s="13"/>
      <c r="D521" s="10"/>
      <c r="E521" s="10"/>
      <c r="F521" s="10"/>
      <c r="G521" s="7"/>
      <c r="H521" s="16" t="str">
        <f t="shared" si="8"/>
        <v>(519,,'',,,,),</v>
      </c>
    </row>
    <row r="522" spans="1:8" ht="20.100000000000001" customHeight="1" x14ac:dyDescent="0.25">
      <c r="A522" s="3">
        <v>520</v>
      </c>
      <c r="B522" s="8"/>
      <c r="C522" s="13"/>
      <c r="D522" s="10"/>
      <c r="E522" s="10"/>
      <c r="F522" s="10"/>
      <c r="G522" s="7"/>
      <c r="H522" s="16" t="str">
        <f t="shared" si="8"/>
        <v>(520,,'',,,,),</v>
      </c>
    </row>
    <row r="523" spans="1:8" ht="20.100000000000001" customHeight="1" x14ac:dyDescent="0.25">
      <c r="A523" s="3">
        <v>521</v>
      </c>
      <c r="B523" s="8"/>
      <c r="C523" s="13"/>
      <c r="D523" s="10"/>
      <c r="E523" s="10"/>
      <c r="F523" s="10"/>
      <c r="G523" s="7"/>
      <c r="H523" s="16" t="str">
        <f t="shared" si="8"/>
        <v>(521,,'',,,,),</v>
      </c>
    </row>
    <row r="524" spans="1:8" ht="20.100000000000001" customHeight="1" x14ac:dyDescent="0.25">
      <c r="A524" s="3">
        <v>522</v>
      </c>
      <c r="B524" s="8"/>
      <c r="C524" s="13"/>
      <c r="D524" s="10"/>
      <c r="E524" s="10"/>
      <c r="F524" s="10"/>
      <c r="G524" s="7"/>
      <c r="H524" s="16" t="str">
        <f t="shared" si="8"/>
        <v>(522,,'',,,,),</v>
      </c>
    </row>
    <row r="525" spans="1:8" ht="20.100000000000001" customHeight="1" x14ac:dyDescent="0.25">
      <c r="A525" s="3">
        <v>523</v>
      </c>
      <c r="B525" s="8"/>
      <c r="C525" s="13"/>
      <c r="D525" s="10"/>
      <c r="E525" s="10"/>
      <c r="F525" s="10"/>
      <c r="G525" s="7"/>
      <c r="H525" s="16" t="str">
        <f t="shared" si="8"/>
        <v>(523,,'',,,,),</v>
      </c>
    </row>
    <row r="526" spans="1:8" ht="20.100000000000001" customHeight="1" x14ac:dyDescent="0.25">
      <c r="A526" s="3">
        <v>524</v>
      </c>
      <c r="B526" s="8"/>
      <c r="C526" s="13"/>
      <c r="D526" s="10"/>
      <c r="E526" s="10"/>
      <c r="F526" s="10"/>
      <c r="G526" s="7"/>
      <c r="H526" s="16" t="str">
        <f t="shared" si="8"/>
        <v>(524,,'',,,,),</v>
      </c>
    </row>
    <row r="527" spans="1:8" ht="20.100000000000001" customHeight="1" x14ac:dyDescent="0.25">
      <c r="A527" s="3">
        <v>525</v>
      </c>
      <c r="B527" s="8"/>
      <c r="C527" s="13"/>
      <c r="D527" s="10"/>
      <c r="E527" s="10"/>
      <c r="F527" s="10"/>
      <c r="G527" s="7"/>
      <c r="H527" s="16" t="str">
        <f t="shared" si="8"/>
        <v>(525,,'',,,,),</v>
      </c>
    </row>
    <row r="528" spans="1:8" ht="20.100000000000001" customHeight="1" x14ac:dyDescent="0.25">
      <c r="A528" s="3">
        <v>526</v>
      </c>
      <c r="B528" s="8"/>
      <c r="C528" s="13"/>
      <c r="D528" s="10"/>
      <c r="E528" s="10"/>
      <c r="F528" s="10"/>
      <c r="G528" s="7"/>
      <c r="H528" s="16" t="str">
        <f t="shared" si="8"/>
        <v>(526,,'',,,,),</v>
      </c>
    </row>
    <row r="529" spans="1:8" ht="20.100000000000001" customHeight="1" x14ac:dyDescent="0.25">
      <c r="A529" s="3">
        <v>527</v>
      </c>
      <c r="B529" s="8"/>
      <c r="C529" s="13"/>
      <c r="D529" s="10"/>
      <c r="E529" s="10"/>
      <c r="F529" s="10"/>
      <c r="G529" s="7"/>
      <c r="H529" s="16" t="str">
        <f t="shared" si="8"/>
        <v>(527,,'',,,,),</v>
      </c>
    </row>
    <row r="530" spans="1:8" ht="20.100000000000001" customHeight="1" x14ac:dyDescent="0.25">
      <c r="A530" s="3">
        <v>528</v>
      </c>
      <c r="B530" s="8"/>
      <c r="C530" s="13"/>
      <c r="D530" s="10"/>
      <c r="E530" s="10"/>
      <c r="F530" s="10"/>
      <c r="G530" s="7"/>
      <c r="H530" s="16" t="str">
        <f t="shared" si="8"/>
        <v>(528,,'',,,,),</v>
      </c>
    </row>
    <row r="531" spans="1:8" ht="20.100000000000001" customHeight="1" x14ac:dyDescent="0.25">
      <c r="A531" s="3">
        <v>529</v>
      </c>
      <c r="B531" s="8"/>
      <c r="C531" s="13"/>
      <c r="D531" s="10"/>
      <c r="E531" s="10"/>
      <c r="F531" s="10"/>
      <c r="G531" s="7"/>
      <c r="H531" s="16" t="str">
        <f t="shared" si="8"/>
        <v>(529,,'',,,,),</v>
      </c>
    </row>
    <row r="532" spans="1:8" ht="20.100000000000001" customHeight="1" x14ac:dyDescent="0.25">
      <c r="A532" s="3">
        <v>530</v>
      </c>
      <c r="B532" s="8"/>
      <c r="C532" s="13"/>
      <c r="D532" s="10"/>
      <c r="E532" s="10"/>
      <c r="F532" s="10"/>
      <c r="G532" s="7"/>
      <c r="H532" s="16" t="str">
        <f t="shared" si="8"/>
        <v>(530,,'',,,,),</v>
      </c>
    </row>
    <row r="533" spans="1:8" ht="20.100000000000001" customHeight="1" x14ac:dyDescent="0.25">
      <c r="A533" s="3">
        <v>531</v>
      </c>
      <c r="B533" s="8"/>
      <c r="C533" s="13"/>
      <c r="D533" s="10"/>
      <c r="E533" s="10"/>
      <c r="F533" s="10"/>
      <c r="G533" s="7"/>
      <c r="H533" s="16" t="str">
        <f t="shared" si="8"/>
        <v>(531,,'',,,,),</v>
      </c>
    </row>
    <row r="534" spans="1:8" ht="20.100000000000001" customHeight="1" x14ac:dyDescent="0.25">
      <c r="A534" s="3">
        <v>532</v>
      </c>
      <c r="B534" s="8"/>
      <c r="C534" s="13"/>
      <c r="D534" s="10"/>
      <c r="E534" s="10"/>
      <c r="F534" s="10"/>
      <c r="G534" s="7"/>
      <c r="H534" s="16" t="str">
        <f t="shared" si="8"/>
        <v>(532,,'',,,,),</v>
      </c>
    </row>
    <row r="535" spans="1:8" ht="20.100000000000001" customHeight="1" x14ac:dyDescent="0.25">
      <c r="A535" s="3">
        <v>533</v>
      </c>
      <c r="B535" s="8"/>
      <c r="C535" s="13"/>
      <c r="D535" s="10"/>
      <c r="E535" s="10"/>
      <c r="F535" s="10"/>
      <c r="G535" s="7"/>
      <c r="H535" s="16" t="str">
        <f t="shared" si="8"/>
        <v>(533,,'',,,,),</v>
      </c>
    </row>
    <row r="536" spans="1:8" ht="20.100000000000001" customHeight="1" x14ac:dyDescent="0.25">
      <c r="A536" s="3">
        <v>534</v>
      </c>
      <c r="B536" s="8"/>
      <c r="C536" s="13"/>
      <c r="D536" s="10"/>
      <c r="E536" s="10"/>
      <c r="F536" s="10"/>
      <c r="G536" s="7"/>
      <c r="H536" s="16" t="str">
        <f t="shared" si="8"/>
        <v>(534,,'',,,,),</v>
      </c>
    </row>
    <row r="537" spans="1:8" ht="20.100000000000001" customHeight="1" x14ac:dyDescent="0.25">
      <c r="A537" s="3">
        <v>535</v>
      </c>
      <c r="B537" s="8"/>
      <c r="C537" s="13"/>
      <c r="D537" s="10"/>
      <c r="E537" s="10"/>
      <c r="F537" s="10"/>
      <c r="G537" s="7"/>
      <c r="H537" s="16" t="str">
        <f t="shared" si="8"/>
        <v>(535,,'',,,,),</v>
      </c>
    </row>
    <row r="538" spans="1:8" ht="20.100000000000001" customHeight="1" x14ac:dyDescent="0.25">
      <c r="A538" s="3">
        <v>536</v>
      </c>
      <c r="B538" s="8"/>
      <c r="C538" s="13"/>
      <c r="D538" s="10"/>
      <c r="E538" s="10"/>
      <c r="F538" s="10"/>
      <c r="G538" s="7"/>
      <c r="H538" s="16" t="str">
        <f t="shared" si="8"/>
        <v>(536,,'',,,,),</v>
      </c>
    </row>
    <row r="539" spans="1:8" ht="20.100000000000001" customHeight="1" x14ac:dyDescent="0.25">
      <c r="A539" s="3">
        <v>537</v>
      </c>
      <c r="B539" s="8"/>
      <c r="C539" s="13"/>
      <c r="D539" s="10"/>
      <c r="E539" s="10"/>
      <c r="F539" s="10"/>
      <c r="G539" s="7"/>
      <c r="H539" s="16" t="str">
        <f t="shared" si="8"/>
        <v>(537,,'',,,,),</v>
      </c>
    </row>
    <row r="540" spans="1:8" ht="20.100000000000001" customHeight="1" x14ac:dyDescent="0.25">
      <c r="A540" s="3">
        <v>538</v>
      </c>
      <c r="B540" s="8"/>
      <c r="C540" s="13"/>
      <c r="D540" s="10"/>
      <c r="E540" s="10"/>
      <c r="F540" s="10"/>
      <c r="G540" s="7"/>
      <c r="H540" s="16" t="str">
        <f t="shared" si="8"/>
        <v>(538,,'',,,,),</v>
      </c>
    </row>
    <row r="541" spans="1:8" ht="20.100000000000001" customHeight="1" x14ac:dyDescent="0.25">
      <c r="A541" s="3">
        <v>539</v>
      </c>
      <c r="B541" s="8"/>
      <c r="C541" s="13"/>
      <c r="D541" s="10"/>
      <c r="E541" s="10"/>
      <c r="F541" s="10"/>
      <c r="G541" s="7"/>
      <c r="H541" s="16" t="str">
        <f t="shared" si="8"/>
        <v>(539,,'',,,,),</v>
      </c>
    </row>
    <row r="542" spans="1:8" ht="20.100000000000001" customHeight="1" x14ac:dyDescent="0.25">
      <c r="A542" s="3">
        <v>540</v>
      </c>
      <c r="B542" s="8"/>
      <c r="C542" s="13"/>
      <c r="D542" s="10"/>
      <c r="E542" s="10"/>
      <c r="F542" s="10"/>
      <c r="G542" s="7"/>
      <c r="H542" s="16" t="str">
        <f t="shared" si="8"/>
        <v>(540,,'',,,,),</v>
      </c>
    </row>
    <row r="543" spans="1:8" ht="20.100000000000001" customHeight="1" x14ac:dyDescent="0.25">
      <c r="A543" s="3">
        <v>541</v>
      </c>
      <c r="B543" s="8"/>
      <c r="C543" s="13"/>
      <c r="D543" s="10"/>
      <c r="E543" s="10"/>
      <c r="F543" s="10"/>
      <c r="G543" s="7"/>
      <c r="H543" s="16" t="str">
        <f t="shared" si="8"/>
        <v>(541,,'',,,,),</v>
      </c>
    </row>
    <row r="544" spans="1:8" ht="20.100000000000001" customHeight="1" x14ac:dyDescent="0.25">
      <c r="A544" s="3">
        <v>542</v>
      </c>
      <c r="B544" s="8"/>
      <c r="C544" s="13"/>
      <c r="D544" s="10"/>
      <c r="E544" s="10"/>
      <c r="F544" s="10"/>
      <c r="G544" s="7"/>
      <c r="H544" s="16" t="str">
        <f t="shared" si="8"/>
        <v>(542,,'',,,,),</v>
      </c>
    </row>
    <row r="545" spans="1:8" ht="20.100000000000001" customHeight="1" x14ac:dyDescent="0.25">
      <c r="A545" s="3">
        <v>543</v>
      </c>
      <c r="B545" s="8"/>
      <c r="C545" s="13"/>
      <c r="D545" s="10"/>
      <c r="E545" s="10"/>
      <c r="F545" s="10"/>
      <c r="G545" s="7"/>
      <c r="H545" s="16" t="str">
        <f t="shared" si="8"/>
        <v>(543,,'',,,,),</v>
      </c>
    </row>
    <row r="546" spans="1:8" ht="20.100000000000001" customHeight="1" x14ac:dyDescent="0.25">
      <c r="A546" s="3">
        <v>544</v>
      </c>
      <c r="B546" s="8"/>
      <c r="C546" s="13"/>
      <c r="D546" s="10"/>
      <c r="E546" s="10"/>
      <c r="F546" s="10"/>
      <c r="G546" s="7"/>
      <c r="H546" s="16" t="str">
        <f t="shared" si="8"/>
        <v>(544,,'',,,,),</v>
      </c>
    </row>
    <row r="547" spans="1:8" ht="20.100000000000001" customHeight="1" x14ac:dyDescent="0.25">
      <c r="A547" s="3">
        <v>545</v>
      </c>
      <c r="B547" s="8"/>
      <c r="C547" s="13"/>
      <c r="D547" s="10"/>
      <c r="E547" s="10"/>
      <c r="F547" s="10"/>
      <c r="G547" s="7"/>
      <c r="H547" s="16" t="str">
        <f t="shared" si="8"/>
        <v>(545,,'',,,,),</v>
      </c>
    </row>
    <row r="548" spans="1:8" ht="20.100000000000001" customHeight="1" x14ac:dyDescent="0.25">
      <c r="A548" s="3">
        <v>546</v>
      </c>
      <c r="B548" s="8"/>
      <c r="C548" s="13"/>
      <c r="D548" s="10"/>
      <c r="E548" s="10"/>
      <c r="F548" s="10"/>
      <c r="G548" s="7"/>
      <c r="H548" s="16" t="str">
        <f t="shared" si="8"/>
        <v>(546,,'',,,,),</v>
      </c>
    </row>
    <row r="549" spans="1:8" ht="20.100000000000001" customHeight="1" x14ac:dyDescent="0.25">
      <c r="A549" s="3">
        <v>547</v>
      </c>
      <c r="B549" s="8"/>
      <c r="C549" s="13"/>
      <c r="D549" s="10"/>
      <c r="E549" s="10"/>
      <c r="F549" s="10"/>
      <c r="G549" s="7"/>
      <c r="H549" s="16" t="str">
        <f t="shared" si="8"/>
        <v>(547,,'',,,,),</v>
      </c>
    </row>
    <row r="550" spans="1:8" ht="20.100000000000001" customHeight="1" x14ac:dyDescent="0.25">
      <c r="A550" s="3">
        <v>548</v>
      </c>
      <c r="B550" s="8"/>
      <c r="C550" s="13"/>
      <c r="D550" s="10"/>
      <c r="E550" s="10"/>
      <c r="F550" s="10"/>
      <c r="G550" s="7"/>
      <c r="H550" s="16" t="str">
        <f t="shared" si="8"/>
        <v>(548,,'',,,,),</v>
      </c>
    </row>
    <row r="551" spans="1:8" ht="20.100000000000001" customHeight="1" x14ac:dyDescent="0.25">
      <c r="A551" s="3">
        <v>549</v>
      </c>
      <c r="B551" s="8"/>
      <c r="C551" s="13"/>
      <c r="D551" s="10"/>
      <c r="E551" s="10"/>
      <c r="F551" s="10"/>
      <c r="G551" s="7"/>
      <c r="H551" s="16" t="str">
        <f t="shared" si="8"/>
        <v>(549,,'',,,,),</v>
      </c>
    </row>
    <row r="552" spans="1:8" ht="20.100000000000001" customHeight="1" x14ac:dyDescent="0.25">
      <c r="A552" s="3">
        <v>550</v>
      </c>
      <c r="B552" s="8"/>
      <c r="C552" s="13"/>
      <c r="D552" s="10"/>
      <c r="E552" s="10"/>
      <c r="F552" s="10"/>
      <c r="G552" s="7"/>
      <c r="H552" s="16" t="str">
        <f t="shared" si="8"/>
        <v>(550,,'',,,,),</v>
      </c>
    </row>
    <row r="553" spans="1:8" ht="20.100000000000001" customHeight="1" x14ac:dyDescent="0.25">
      <c r="A553" s="3">
        <v>551</v>
      </c>
      <c r="B553" s="8"/>
      <c r="C553" s="13"/>
      <c r="D553" s="10"/>
      <c r="E553" s="10"/>
      <c r="F553" s="10"/>
      <c r="G553" s="7"/>
      <c r="H553" s="16" t="str">
        <f t="shared" si="8"/>
        <v>(551,,'',,,,),</v>
      </c>
    </row>
    <row r="554" spans="1:8" ht="20.100000000000001" customHeight="1" x14ac:dyDescent="0.25">
      <c r="A554" s="3">
        <v>552</v>
      </c>
      <c r="B554" s="8"/>
      <c r="C554" s="13"/>
      <c r="D554" s="10"/>
      <c r="E554" s="10"/>
      <c r="F554" s="10"/>
      <c r="G554" s="7"/>
      <c r="H554" s="16" t="str">
        <f t="shared" si="8"/>
        <v>(552,,'',,,,),</v>
      </c>
    </row>
    <row r="555" spans="1:8" ht="20.100000000000001" customHeight="1" x14ac:dyDescent="0.25">
      <c r="A555" s="3">
        <v>553</v>
      </c>
      <c r="B555" s="8"/>
      <c r="C555" s="13"/>
      <c r="D555" s="10"/>
      <c r="E555" s="10"/>
      <c r="F555" s="10"/>
      <c r="G555" s="7"/>
      <c r="H555" s="16" t="str">
        <f t="shared" si="8"/>
        <v>(553,,'',,,,),</v>
      </c>
    </row>
    <row r="556" spans="1:8" ht="20.100000000000001" customHeight="1" x14ac:dyDescent="0.25">
      <c r="A556" s="3">
        <v>554</v>
      </c>
      <c r="B556" s="8"/>
      <c r="C556" s="13"/>
      <c r="D556" s="10"/>
      <c r="E556" s="10"/>
      <c r="F556" s="10"/>
      <c r="G556" s="7"/>
      <c r="H556" s="16" t="str">
        <f t="shared" si="8"/>
        <v>(554,,'',,,,),</v>
      </c>
    </row>
    <row r="557" spans="1:8" ht="20.100000000000001" customHeight="1" x14ac:dyDescent="0.25">
      <c r="A557" s="3">
        <v>555</v>
      </c>
      <c r="B557" s="8"/>
      <c r="C557" s="13"/>
      <c r="D557" s="10"/>
      <c r="E557" s="10"/>
      <c r="F557" s="10"/>
      <c r="G557" s="7"/>
      <c r="H557" s="16" t="str">
        <f t="shared" si="8"/>
        <v>(555,,'',,,,),</v>
      </c>
    </row>
    <row r="558" spans="1:8" ht="20.100000000000001" customHeight="1" x14ac:dyDescent="0.25">
      <c r="A558" s="3">
        <v>556</v>
      </c>
      <c r="B558" s="8"/>
      <c r="C558" s="13"/>
      <c r="D558" s="10"/>
      <c r="E558" s="10"/>
      <c r="F558" s="10"/>
      <c r="G558" s="7"/>
      <c r="H558" s="16" t="str">
        <f t="shared" si="8"/>
        <v>(556,,'',,,,),</v>
      </c>
    </row>
    <row r="559" spans="1:8" ht="20.100000000000001" customHeight="1" x14ac:dyDescent="0.25">
      <c r="A559" s="3">
        <v>557</v>
      </c>
      <c r="B559" s="8"/>
      <c r="C559" s="13"/>
      <c r="D559" s="10"/>
      <c r="E559" s="10"/>
      <c r="F559" s="10"/>
      <c r="G559" s="7"/>
      <c r="H559" s="16" t="str">
        <f t="shared" si="8"/>
        <v>(557,,'',,,,),</v>
      </c>
    </row>
    <row r="560" spans="1:8" ht="20.100000000000001" customHeight="1" x14ac:dyDescent="0.25">
      <c r="A560" s="3">
        <v>558</v>
      </c>
      <c r="B560" s="8"/>
      <c r="C560" s="13"/>
      <c r="D560" s="10"/>
      <c r="E560" s="10"/>
      <c r="F560" s="10"/>
      <c r="G560" s="7"/>
      <c r="H560" s="16" t="str">
        <f t="shared" si="8"/>
        <v>(558,,'',,,,),</v>
      </c>
    </row>
    <row r="561" spans="1:8" ht="20.100000000000001" customHeight="1" x14ac:dyDescent="0.25">
      <c r="A561" s="3">
        <v>559</v>
      </c>
      <c r="B561" s="8"/>
      <c r="C561" s="13"/>
      <c r="D561" s="10"/>
      <c r="E561" s="10"/>
      <c r="F561" s="10"/>
      <c r="G561" s="7"/>
      <c r="H561" s="16" t="str">
        <f t="shared" si="8"/>
        <v>(559,,'',,,,),</v>
      </c>
    </row>
    <row r="562" spans="1:8" ht="20.100000000000001" customHeight="1" x14ac:dyDescent="0.25">
      <c r="A562" s="3">
        <v>560</v>
      </c>
      <c r="B562" s="8"/>
      <c r="C562" s="13"/>
      <c r="D562" s="10"/>
      <c r="E562" s="10"/>
      <c r="F562" s="10"/>
      <c r="G562" s="7"/>
      <c r="H562" s="16" t="str">
        <f t="shared" si="8"/>
        <v>(560,,'',,,,),</v>
      </c>
    </row>
    <row r="563" spans="1:8" ht="20.100000000000001" customHeight="1" x14ac:dyDescent="0.25">
      <c r="A563" s="3">
        <v>561</v>
      </c>
      <c r="B563" s="8"/>
      <c r="C563" s="13"/>
      <c r="D563" s="10"/>
      <c r="E563" s="10"/>
      <c r="F563" s="10"/>
      <c r="G563" s="7"/>
      <c r="H563" s="16" t="str">
        <f t="shared" si="8"/>
        <v>(561,,'',,,,),</v>
      </c>
    </row>
    <row r="564" spans="1:8" ht="20.100000000000001" customHeight="1" x14ac:dyDescent="0.25">
      <c r="A564" s="3">
        <v>562</v>
      </c>
      <c r="B564" s="8"/>
      <c r="C564" s="13"/>
      <c r="D564" s="10"/>
      <c r="E564" s="10"/>
      <c r="F564" s="10"/>
      <c r="G564" s="7"/>
      <c r="H564" s="16" t="str">
        <f t="shared" si="8"/>
        <v>(562,,'',,,,),</v>
      </c>
    </row>
    <row r="565" spans="1:8" ht="20.100000000000001" customHeight="1" x14ac:dyDescent="0.25">
      <c r="A565" s="3">
        <v>563</v>
      </c>
      <c r="B565" s="8"/>
      <c r="C565" s="13"/>
      <c r="D565" s="10"/>
      <c r="E565" s="10"/>
      <c r="F565" s="10"/>
      <c r="G565" s="7"/>
      <c r="H565" s="16" t="str">
        <f t="shared" si="8"/>
        <v>(563,,'',,,,),</v>
      </c>
    </row>
    <row r="566" spans="1:8" ht="20.100000000000001" customHeight="1" x14ac:dyDescent="0.25">
      <c r="A566" s="3">
        <v>564</v>
      </c>
      <c r="B566" s="8"/>
      <c r="C566" s="13"/>
      <c r="D566" s="10"/>
      <c r="E566" s="10"/>
      <c r="F566" s="10"/>
      <c r="G566" s="7"/>
      <c r="H566" s="16" t="str">
        <f t="shared" si="8"/>
        <v>(564,,'',,,,),</v>
      </c>
    </row>
    <row r="567" spans="1:8" ht="20.100000000000001" customHeight="1" x14ac:dyDescent="0.25">
      <c r="A567" s="3">
        <v>565</v>
      </c>
      <c r="B567" s="8"/>
      <c r="C567" s="13"/>
      <c r="D567" s="10"/>
      <c r="E567" s="10"/>
      <c r="F567" s="10"/>
      <c r="G567" s="7"/>
      <c r="H567" s="16" t="str">
        <f t="shared" si="8"/>
        <v>(565,,'',,,,),</v>
      </c>
    </row>
    <row r="568" spans="1:8" ht="20.100000000000001" customHeight="1" x14ac:dyDescent="0.25">
      <c r="A568" s="3">
        <v>566</v>
      </c>
      <c r="B568" s="8"/>
      <c r="C568" s="13"/>
      <c r="D568" s="10"/>
      <c r="E568" s="10"/>
      <c r="F568" s="10"/>
      <c r="G568" s="7"/>
      <c r="H568" s="16" t="str">
        <f t="shared" si="8"/>
        <v>(566,,'',,,,),</v>
      </c>
    </row>
    <row r="569" spans="1:8" ht="20.100000000000001" customHeight="1" x14ac:dyDescent="0.25">
      <c r="A569" s="3">
        <v>567</v>
      </c>
      <c r="B569" s="8"/>
      <c r="C569" s="13"/>
      <c r="D569" s="10"/>
      <c r="E569" s="10"/>
      <c r="F569" s="10"/>
      <c r="G569" s="7"/>
      <c r="H569" s="16" t="str">
        <f t="shared" si="8"/>
        <v>(567,,'',,,,),</v>
      </c>
    </row>
    <row r="570" spans="1:8" ht="20.100000000000001" customHeight="1" x14ac:dyDescent="0.25">
      <c r="A570" s="3">
        <v>568</v>
      </c>
      <c r="B570" s="8"/>
      <c r="C570" s="13"/>
      <c r="D570" s="10"/>
      <c r="E570" s="10"/>
      <c r="F570" s="10"/>
      <c r="G570" s="7"/>
      <c r="H570" s="16" t="str">
        <f t="shared" si="8"/>
        <v>(568,,'',,,,),</v>
      </c>
    </row>
    <row r="571" spans="1:8" ht="20.100000000000001" customHeight="1" x14ac:dyDescent="0.25">
      <c r="A571" s="3">
        <v>569</v>
      </c>
      <c r="B571" s="8"/>
      <c r="C571" s="13"/>
      <c r="D571" s="10"/>
      <c r="E571" s="10"/>
      <c r="F571" s="10"/>
      <c r="G571" s="7"/>
      <c r="H571" s="16" t="str">
        <f t="shared" si="8"/>
        <v>(569,,'',,,,),</v>
      </c>
    </row>
    <row r="572" spans="1:8" ht="20.100000000000001" customHeight="1" x14ac:dyDescent="0.25">
      <c r="A572" s="3">
        <v>570</v>
      </c>
      <c r="B572" s="8"/>
      <c r="C572" s="13"/>
      <c r="D572" s="10"/>
      <c r="E572" s="10"/>
      <c r="F572" s="10"/>
      <c r="G572" s="7"/>
      <c r="H572" s="16" t="str">
        <f t="shared" si="8"/>
        <v>(570,,'',,,,),</v>
      </c>
    </row>
    <row r="573" spans="1:8" ht="20.100000000000001" customHeight="1" x14ac:dyDescent="0.25">
      <c r="A573" s="3">
        <v>571</v>
      </c>
      <c r="B573" s="8"/>
      <c r="C573" s="13"/>
      <c r="D573" s="10"/>
      <c r="E573" s="10"/>
      <c r="F573" s="10"/>
      <c r="G573" s="7"/>
      <c r="H573" s="16" t="str">
        <f t="shared" si="8"/>
        <v>(571,,'',,,,),</v>
      </c>
    </row>
    <row r="574" spans="1:8" ht="20.100000000000001" customHeight="1" x14ac:dyDescent="0.25">
      <c r="A574" s="3">
        <v>572</v>
      </c>
      <c r="B574" s="8"/>
      <c r="C574" s="13"/>
      <c r="D574" s="10"/>
      <c r="E574" s="10"/>
      <c r="F574" s="10"/>
      <c r="G574" s="7"/>
      <c r="H574" s="16" t="str">
        <f t="shared" si="8"/>
        <v>(572,,'',,,,),</v>
      </c>
    </row>
    <row r="575" spans="1:8" ht="20.100000000000001" customHeight="1" x14ac:dyDescent="0.25">
      <c r="A575" s="3">
        <v>573</v>
      </c>
      <c r="B575" s="8"/>
      <c r="C575" s="13"/>
      <c r="D575" s="10"/>
      <c r="E575" s="10"/>
      <c r="F575" s="10"/>
      <c r="G575" s="7"/>
      <c r="H575" s="16" t="str">
        <f t="shared" si="8"/>
        <v>(573,,'',,,,),</v>
      </c>
    </row>
    <row r="576" spans="1:8" ht="20.100000000000001" customHeight="1" x14ac:dyDescent="0.25">
      <c r="A576" s="3">
        <v>574</v>
      </c>
      <c r="B576" s="8"/>
      <c r="C576" s="13"/>
      <c r="D576" s="10"/>
      <c r="E576" s="10"/>
      <c r="F576" s="10"/>
      <c r="G576" s="7"/>
      <c r="H576" s="16" t="str">
        <f t="shared" si="8"/>
        <v>(574,,'',,,,),</v>
      </c>
    </row>
    <row r="577" spans="1:8" ht="20.100000000000001" customHeight="1" x14ac:dyDescent="0.25">
      <c r="A577" s="3">
        <v>575</v>
      </c>
      <c r="B577" s="8"/>
      <c r="C577" s="13"/>
      <c r="D577" s="10"/>
      <c r="E577" s="10"/>
      <c r="F577" s="10"/>
      <c r="G577" s="7"/>
      <c r="H577" s="16" t="str">
        <f t="shared" si="8"/>
        <v>(575,,'',,,,),</v>
      </c>
    </row>
    <row r="578" spans="1:8" ht="20.100000000000001" customHeight="1" x14ac:dyDescent="0.25">
      <c r="A578" s="3">
        <v>576</v>
      </c>
      <c r="B578" s="8"/>
      <c r="C578" s="13"/>
      <c r="D578" s="10"/>
      <c r="E578" s="10"/>
      <c r="F578" s="10"/>
      <c r="G578" s="7"/>
      <c r="H578" s="16" t="str">
        <f t="shared" si="8"/>
        <v>(576,,'',,,,),</v>
      </c>
    </row>
    <row r="579" spans="1:8" ht="20.100000000000001" customHeight="1" x14ac:dyDescent="0.25">
      <c r="A579" s="3">
        <v>577</v>
      </c>
      <c r="B579" s="8"/>
      <c r="C579" s="13"/>
      <c r="D579" s="10"/>
      <c r="E579" s="10"/>
      <c r="F579" s="10"/>
      <c r="G579" s="7"/>
      <c r="H579" s="16" t="str">
        <f t="shared" si="8"/>
        <v>(577,,'',,,,),</v>
      </c>
    </row>
    <row r="580" spans="1:8" ht="20.100000000000001" customHeight="1" x14ac:dyDescent="0.25">
      <c r="A580" s="3">
        <v>578</v>
      </c>
      <c r="B580" s="8"/>
      <c r="C580" s="13"/>
      <c r="D580" s="10"/>
      <c r="E580" s="10"/>
      <c r="F580" s="10"/>
      <c r="G580" s="7"/>
      <c r="H580" s="16" t="str">
        <f t="shared" ref="H580:H643" si="9">CONCATENATE("(",A580,",",B580,",'",C580,"',",D580,",",E580,",",F580,",",G580,"),")</f>
        <v>(578,,'',,,,),</v>
      </c>
    </row>
    <row r="581" spans="1:8" ht="20.100000000000001" customHeight="1" x14ac:dyDescent="0.25">
      <c r="A581" s="3">
        <v>579</v>
      </c>
      <c r="B581" s="8"/>
      <c r="C581" s="13"/>
      <c r="D581" s="10"/>
      <c r="E581" s="10"/>
      <c r="F581" s="10"/>
      <c r="G581" s="7"/>
      <c r="H581" s="16" t="str">
        <f t="shared" si="9"/>
        <v>(579,,'',,,,),</v>
      </c>
    </row>
    <row r="582" spans="1:8" ht="20.100000000000001" customHeight="1" x14ac:dyDescent="0.25">
      <c r="A582" s="3">
        <v>580</v>
      </c>
      <c r="B582" s="8"/>
      <c r="C582" s="13"/>
      <c r="D582" s="10"/>
      <c r="E582" s="10"/>
      <c r="F582" s="10"/>
      <c r="G582" s="7"/>
      <c r="H582" s="16" t="str">
        <f t="shared" si="9"/>
        <v>(580,,'',,,,),</v>
      </c>
    </row>
    <row r="583" spans="1:8" ht="20.100000000000001" customHeight="1" x14ac:dyDescent="0.25">
      <c r="A583" s="3">
        <v>581</v>
      </c>
      <c r="B583" s="8"/>
      <c r="C583" s="13"/>
      <c r="D583" s="10"/>
      <c r="E583" s="10"/>
      <c r="F583" s="10"/>
      <c r="G583" s="7"/>
      <c r="H583" s="16" t="str">
        <f t="shared" si="9"/>
        <v>(581,,'',,,,),</v>
      </c>
    </row>
    <row r="584" spans="1:8" ht="20.100000000000001" customHeight="1" x14ac:dyDescent="0.25">
      <c r="A584" s="3">
        <v>582</v>
      </c>
      <c r="B584" s="8"/>
      <c r="C584" s="13"/>
      <c r="D584" s="10"/>
      <c r="E584" s="10"/>
      <c r="F584" s="10"/>
      <c r="G584" s="7"/>
      <c r="H584" s="16" t="str">
        <f t="shared" si="9"/>
        <v>(582,,'',,,,),</v>
      </c>
    </row>
    <row r="585" spans="1:8" ht="20.100000000000001" customHeight="1" x14ac:dyDescent="0.25">
      <c r="A585" s="3">
        <v>583</v>
      </c>
      <c r="B585" s="8"/>
      <c r="C585" s="13"/>
      <c r="D585" s="10"/>
      <c r="E585" s="10"/>
      <c r="F585" s="10"/>
      <c r="G585" s="7"/>
      <c r="H585" s="16" t="str">
        <f t="shared" si="9"/>
        <v>(583,,'',,,,),</v>
      </c>
    </row>
    <row r="586" spans="1:8" ht="20.100000000000001" customHeight="1" x14ac:dyDescent="0.25">
      <c r="A586" s="3">
        <v>584</v>
      </c>
      <c r="B586" s="8"/>
      <c r="C586" s="13"/>
      <c r="D586" s="10"/>
      <c r="E586" s="10"/>
      <c r="F586" s="10"/>
      <c r="G586" s="7"/>
      <c r="H586" s="16" t="str">
        <f t="shared" si="9"/>
        <v>(584,,'',,,,),</v>
      </c>
    </row>
    <row r="587" spans="1:8" ht="20.100000000000001" customHeight="1" x14ac:dyDescent="0.25">
      <c r="A587" s="3">
        <v>585</v>
      </c>
      <c r="B587" s="8"/>
      <c r="C587" s="13"/>
      <c r="D587" s="10"/>
      <c r="E587" s="10"/>
      <c r="F587" s="10"/>
      <c r="G587" s="7"/>
      <c r="H587" s="16" t="str">
        <f t="shared" si="9"/>
        <v>(585,,'',,,,),</v>
      </c>
    </row>
    <row r="588" spans="1:8" ht="20.100000000000001" customHeight="1" x14ac:dyDescent="0.25">
      <c r="A588" s="3">
        <v>586</v>
      </c>
      <c r="B588" s="8"/>
      <c r="C588" s="13"/>
      <c r="D588" s="10"/>
      <c r="E588" s="10"/>
      <c r="F588" s="10"/>
      <c r="G588" s="7"/>
      <c r="H588" s="16" t="str">
        <f t="shared" si="9"/>
        <v>(586,,'',,,,),</v>
      </c>
    </row>
    <row r="589" spans="1:8" ht="20.100000000000001" customHeight="1" x14ac:dyDescent="0.25">
      <c r="A589" s="3">
        <v>587</v>
      </c>
      <c r="B589" s="8"/>
      <c r="C589" s="13"/>
      <c r="D589" s="10"/>
      <c r="E589" s="10"/>
      <c r="F589" s="10"/>
      <c r="G589" s="7"/>
      <c r="H589" s="16" t="str">
        <f t="shared" si="9"/>
        <v>(587,,'',,,,),</v>
      </c>
    </row>
    <row r="590" spans="1:8" ht="20.100000000000001" customHeight="1" x14ac:dyDescent="0.25">
      <c r="A590" s="3">
        <v>588</v>
      </c>
      <c r="B590" s="8"/>
      <c r="C590" s="13"/>
      <c r="D590" s="10"/>
      <c r="E590" s="10"/>
      <c r="F590" s="10"/>
      <c r="G590" s="7"/>
      <c r="H590" s="16" t="str">
        <f t="shared" si="9"/>
        <v>(588,,'',,,,),</v>
      </c>
    </row>
    <row r="591" spans="1:8" ht="20.100000000000001" customHeight="1" x14ac:dyDescent="0.25">
      <c r="A591" s="3">
        <v>589</v>
      </c>
      <c r="B591" s="8"/>
      <c r="C591" s="13"/>
      <c r="D591" s="10"/>
      <c r="E591" s="10"/>
      <c r="F591" s="10"/>
      <c r="G591" s="7"/>
      <c r="H591" s="16" t="str">
        <f t="shared" si="9"/>
        <v>(589,,'',,,,),</v>
      </c>
    </row>
    <row r="592" spans="1:8" ht="20.100000000000001" customHeight="1" x14ac:dyDescent="0.25">
      <c r="A592" s="3">
        <v>590</v>
      </c>
      <c r="B592" s="8"/>
      <c r="C592" s="13"/>
      <c r="D592" s="10"/>
      <c r="E592" s="10"/>
      <c r="F592" s="10"/>
      <c r="G592" s="7"/>
      <c r="H592" s="16" t="str">
        <f t="shared" si="9"/>
        <v>(590,,'',,,,),</v>
      </c>
    </row>
    <row r="593" spans="1:8" ht="20.100000000000001" customHeight="1" x14ac:dyDescent="0.25">
      <c r="A593" s="3">
        <v>591</v>
      </c>
      <c r="B593" s="8"/>
      <c r="C593" s="13"/>
      <c r="D593" s="10"/>
      <c r="E593" s="10"/>
      <c r="F593" s="10"/>
      <c r="G593" s="7"/>
      <c r="H593" s="16" t="str">
        <f t="shared" si="9"/>
        <v>(591,,'',,,,),</v>
      </c>
    </row>
    <row r="594" spans="1:8" ht="20.100000000000001" customHeight="1" x14ac:dyDescent="0.25">
      <c r="A594" s="3">
        <v>592</v>
      </c>
      <c r="B594" s="8"/>
      <c r="C594" s="13"/>
      <c r="D594" s="10"/>
      <c r="E594" s="10"/>
      <c r="F594" s="10"/>
      <c r="G594" s="7"/>
      <c r="H594" s="16" t="str">
        <f t="shared" si="9"/>
        <v>(592,,'',,,,),</v>
      </c>
    </row>
    <row r="595" spans="1:8" ht="20.100000000000001" customHeight="1" x14ac:dyDescent="0.25">
      <c r="A595" s="3">
        <v>593</v>
      </c>
      <c r="B595" s="8"/>
      <c r="C595" s="13"/>
      <c r="D595" s="10"/>
      <c r="E595" s="10"/>
      <c r="F595" s="10"/>
      <c r="G595" s="7"/>
      <c r="H595" s="16" t="str">
        <f t="shared" si="9"/>
        <v>(593,,'',,,,),</v>
      </c>
    </row>
    <row r="596" spans="1:8" ht="20.100000000000001" customHeight="1" x14ac:dyDescent="0.25">
      <c r="A596" s="3">
        <v>594</v>
      </c>
      <c r="B596" s="8"/>
      <c r="C596" s="13"/>
      <c r="D596" s="10"/>
      <c r="E596" s="10"/>
      <c r="F596" s="10"/>
      <c r="G596" s="7"/>
      <c r="H596" s="16" t="str">
        <f t="shared" si="9"/>
        <v>(594,,'',,,,),</v>
      </c>
    </row>
    <row r="597" spans="1:8" ht="20.100000000000001" customHeight="1" x14ac:dyDescent="0.25">
      <c r="A597" s="3">
        <v>595</v>
      </c>
      <c r="B597" s="8"/>
      <c r="C597" s="13"/>
      <c r="D597" s="10"/>
      <c r="E597" s="10"/>
      <c r="F597" s="10"/>
      <c r="G597" s="7"/>
      <c r="H597" s="16" t="str">
        <f t="shared" si="9"/>
        <v>(595,,'',,,,),</v>
      </c>
    </row>
    <row r="598" spans="1:8" ht="20.100000000000001" customHeight="1" x14ac:dyDescent="0.25">
      <c r="A598" s="3">
        <v>596</v>
      </c>
      <c r="B598" s="8"/>
      <c r="C598" s="13"/>
      <c r="D598" s="10"/>
      <c r="E598" s="10"/>
      <c r="F598" s="10"/>
      <c r="G598" s="7"/>
      <c r="H598" s="16" t="str">
        <f t="shared" si="9"/>
        <v>(596,,'',,,,),</v>
      </c>
    </row>
    <row r="599" spans="1:8" ht="20.100000000000001" customHeight="1" x14ac:dyDescent="0.25">
      <c r="A599" s="3">
        <v>597</v>
      </c>
      <c r="B599" s="8"/>
      <c r="C599" s="13"/>
      <c r="D599" s="10"/>
      <c r="E599" s="10"/>
      <c r="F599" s="10"/>
      <c r="G599" s="7"/>
      <c r="H599" s="16" t="str">
        <f t="shared" si="9"/>
        <v>(597,,'',,,,),</v>
      </c>
    </row>
    <row r="600" spans="1:8" ht="20.100000000000001" customHeight="1" x14ac:dyDescent="0.25">
      <c r="A600" s="3">
        <v>598</v>
      </c>
      <c r="B600" s="8"/>
      <c r="C600" s="13"/>
      <c r="D600" s="10"/>
      <c r="E600" s="10"/>
      <c r="F600" s="10"/>
      <c r="G600" s="7"/>
      <c r="H600" s="16" t="str">
        <f t="shared" si="9"/>
        <v>(598,,'',,,,),</v>
      </c>
    </row>
    <row r="601" spans="1:8" ht="20.100000000000001" customHeight="1" x14ac:dyDescent="0.25">
      <c r="A601" s="3">
        <v>599</v>
      </c>
      <c r="B601" s="8"/>
      <c r="C601" s="13"/>
      <c r="D601" s="10"/>
      <c r="E601" s="10"/>
      <c r="F601" s="10"/>
      <c r="G601" s="7"/>
      <c r="H601" s="16" t="str">
        <f t="shared" si="9"/>
        <v>(599,,'',,,,),</v>
      </c>
    </row>
    <row r="602" spans="1:8" ht="20.100000000000001" customHeight="1" x14ac:dyDescent="0.25">
      <c r="A602" s="3">
        <v>600</v>
      </c>
      <c r="B602" s="8"/>
      <c r="C602" s="13"/>
      <c r="D602" s="10"/>
      <c r="E602" s="10"/>
      <c r="F602" s="10"/>
      <c r="G602" s="7"/>
      <c r="H602" s="16" t="str">
        <f t="shared" si="9"/>
        <v>(600,,'',,,,),</v>
      </c>
    </row>
    <row r="603" spans="1:8" ht="20.100000000000001" customHeight="1" x14ac:dyDescent="0.25">
      <c r="A603" s="3">
        <v>601</v>
      </c>
      <c r="B603" s="8"/>
      <c r="C603" s="13"/>
      <c r="D603" s="10"/>
      <c r="E603" s="10"/>
      <c r="F603" s="10"/>
      <c r="G603" s="7"/>
      <c r="H603" s="16" t="str">
        <f t="shared" si="9"/>
        <v>(601,,'',,,,),</v>
      </c>
    </row>
    <row r="604" spans="1:8" ht="20.100000000000001" customHeight="1" x14ac:dyDescent="0.25">
      <c r="A604" s="3">
        <v>602</v>
      </c>
      <c r="B604" s="8"/>
      <c r="C604" s="13"/>
      <c r="D604" s="10"/>
      <c r="E604" s="10"/>
      <c r="F604" s="10"/>
      <c r="G604" s="7"/>
      <c r="H604" s="16" t="str">
        <f t="shared" si="9"/>
        <v>(602,,'',,,,),</v>
      </c>
    </row>
    <row r="605" spans="1:8" ht="20.100000000000001" customHeight="1" x14ac:dyDescent="0.25">
      <c r="A605" s="3">
        <v>603</v>
      </c>
      <c r="B605" s="8"/>
      <c r="C605" s="13"/>
      <c r="D605" s="10"/>
      <c r="E605" s="10"/>
      <c r="F605" s="10"/>
      <c r="G605" s="7"/>
      <c r="H605" s="16" t="str">
        <f t="shared" si="9"/>
        <v>(603,,'',,,,),</v>
      </c>
    </row>
    <row r="606" spans="1:8" ht="20.100000000000001" customHeight="1" x14ac:dyDescent="0.25">
      <c r="A606" s="3">
        <v>604</v>
      </c>
      <c r="B606" s="8"/>
      <c r="C606" s="13"/>
      <c r="D606" s="10"/>
      <c r="E606" s="10"/>
      <c r="F606" s="10"/>
      <c r="G606" s="7"/>
      <c r="H606" s="16" t="str">
        <f t="shared" si="9"/>
        <v>(604,,'',,,,),</v>
      </c>
    </row>
    <row r="607" spans="1:8" ht="20.100000000000001" customHeight="1" x14ac:dyDescent="0.25">
      <c r="A607" s="3">
        <v>605</v>
      </c>
      <c r="B607" s="8"/>
      <c r="C607" s="13"/>
      <c r="D607" s="10"/>
      <c r="E607" s="10"/>
      <c r="F607" s="10"/>
      <c r="G607" s="7"/>
      <c r="H607" s="16" t="str">
        <f t="shared" si="9"/>
        <v>(605,,'',,,,),</v>
      </c>
    </row>
    <row r="608" spans="1:8" ht="20.100000000000001" customHeight="1" x14ac:dyDescent="0.25">
      <c r="A608" s="3">
        <v>606</v>
      </c>
      <c r="B608" s="8"/>
      <c r="C608" s="13"/>
      <c r="D608" s="10"/>
      <c r="E608" s="10"/>
      <c r="F608" s="10"/>
      <c r="G608" s="7"/>
      <c r="H608" s="16" t="str">
        <f t="shared" si="9"/>
        <v>(606,,'',,,,),</v>
      </c>
    </row>
    <row r="609" spans="1:8" ht="20.100000000000001" customHeight="1" x14ac:dyDescent="0.25">
      <c r="A609" s="3">
        <v>607</v>
      </c>
      <c r="B609" s="8"/>
      <c r="C609" s="13"/>
      <c r="D609" s="10"/>
      <c r="E609" s="10"/>
      <c r="F609" s="10"/>
      <c r="G609" s="7"/>
      <c r="H609" s="16" t="str">
        <f t="shared" si="9"/>
        <v>(607,,'',,,,),</v>
      </c>
    </row>
    <row r="610" spans="1:8" ht="20.100000000000001" customHeight="1" x14ac:dyDescent="0.25">
      <c r="A610" s="3">
        <v>608</v>
      </c>
      <c r="B610" s="8"/>
      <c r="C610" s="13"/>
      <c r="D610" s="10"/>
      <c r="E610" s="10"/>
      <c r="F610" s="10"/>
      <c r="G610" s="7"/>
      <c r="H610" s="16" t="str">
        <f t="shared" si="9"/>
        <v>(608,,'',,,,),</v>
      </c>
    </row>
    <row r="611" spans="1:8" ht="20.100000000000001" customHeight="1" x14ac:dyDescent="0.25">
      <c r="A611" s="3">
        <v>609</v>
      </c>
      <c r="B611" s="8"/>
      <c r="C611" s="13"/>
      <c r="D611" s="10"/>
      <c r="E611" s="10"/>
      <c r="F611" s="10"/>
      <c r="G611" s="7"/>
      <c r="H611" s="16" t="str">
        <f t="shared" si="9"/>
        <v>(609,,'',,,,),</v>
      </c>
    </row>
    <row r="612" spans="1:8" ht="20.100000000000001" customHeight="1" x14ac:dyDescent="0.25">
      <c r="A612" s="3">
        <v>610</v>
      </c>
      <c r="B612" s="8"/>
      <c r="C612" s="13"/>
      <c r="D612" s="10"/>
      <c r="E612" s="10"/>
      <c r="F612" s="10"/>
      <c r="G612" s="7"/>
      <c r="H612" s="16" t="str">
        <f t="shared" si="9"/>
        <v>(610,,'',,,,),</v>
      </c>
    </row>
    <row r="613" spans="1:8" ht="20.100000000000001" customHeight="1" x14ac:dyDescent="0.25">
      <c r="A613" s="3">
        <v>611</v>
      </c>
      <c r="B613" s="8"/>
      <c r="C613" s="13"/>
      <c r="D613" s="10"/>
      <c r="E613" s="10"/>
      <c r="F613" s="10"/>
      <c r="G613" s="7"/>
      <c r="H613" s="16" t="str">
        <f t="shared" si="9"/>
        <v>(611,,'',,,,),</v>
      </c>
    </row>
    <row r="614" spans="1:8" ht="20.100000000000001" customHeight="1" x14ac:dyDescent="0.25">
      <c r="A614" s="3">
        <v>612</v>
      </c>
      <c r="B614" s="8"/>
      <c r="C614" s="13"/>
      <c r="D614" s="10"/>
      <c r="E614" s="10"/>
      <c r="F614" s="10"/>
      <c r="G614" s="7"/>
      <c r="H614" s="16" t="str">
        <f t="shared" si="9"/>
        <v>(612,,'',,,,),</v>
      </c>
    </row>
    <row r="615" spans="1:8" ht="20.100000000000001" customHeight="1" x14ac:dyDescent="0.25">
      <c r="A615" s="3">
        <v>613</v>
      </c>
      <c r="B615" s="8"/>
      <c r="C615" s="13"/>
      <c r="D615" s="10"/>
      <c r="E615" s="10"/>
      <c r="F615" s="10"/>
      <c r="G615" s="7"/>
      <c r="H615" s="16" t="str">
        <f t="shared" si="9"/>
        <v>(613,,'',,,,),</v>
      </c>
    </row>
    <row r="616" spans="1:8" ht="20.100000000000001" customHeight="1" x14ac:dyDescent="0.25">
      <c r="A616" s="3">
        <v>614</v>
      </c>
      <c r="B616" s="8"/>
      <c r="C616" s="13"/>
      <c r="D616" s="10"/>
      <c r="E616" s="10"/>
      <c r="F616" s="10"/>
      <c r="G616" s="7"/>
      <c r="H616" s="16" t="str">
        <f t="shared" si="9"/>
        <v>(614,,'',,,,),</v>
      </c>
    </row>
    <row r="617" spans="1:8" ht="20.100000000000001" customHeight="1" x14ac:dyDescent="0.25">
      <c r="A617" s="3">
        <v>615</v>
      </c>
      <c r="B617" s="8"/>
      <c r="C617" s="13"/>
      <c r="D617" s="10"/>
      <c r="E617" s="10"/>
      <c r="F617" s="10"/>
      <c r="G617" s="7"/>
      <c r="H617" s="16" t="str">
        <f t="shared" si="9"/>
        <v>(615,,'',,,,),</v>
      </c>
    </row>
    <row r="618" spans="1:8" ht="20.100000000000001" customHeight="1" x14ac:dyDescent="0.25">
      <c r="A618" s="3">
        <v>616</v>
      </c>
      <c r="B618" s="8"/>
      <c r="C618" s="13"/>
      <c r="D618" s="10"/>
      <c r="E618" s="10"/>
      <c r="F618" s="10"/>
      <c r="G618" s="7"/>
      <c r="H618" s="16" t="str">
        <f t="shared" si="9"/>
        <v>(616,,'',,,,),</v>
      </c>
    </row>
    <row r="619" spans="1:8" ht="20.100000000000001" customHeight="1" x14ac:dyDescent="0.25">
      <c r="A619" s="3">
        <v>617</v>
      </c>
      <c r="B619" s="8"/>
      <c r="C619" s="13"/>
      <c r="D619" s="10"/>
      <c r="E619" s="10"/>
      <c r="F619" s="10"/>
      <c r="G619" s="7"/>
      <c r="H619" s="16" t="str">
        <f t="shared" si="9"/>
        <v>(617,,'',,,,),</v>
      </c>
    </row>
    <row r="620" spans="1:8" ht="20.100000000000001" customHeight="1" x14ac:dyDescent="0.25">
      <c r="A620" s="3">
        <v>618</v>
      </c>
      <c r="B620" s="8"/>
      <c r="C620" s="13"/>
      <c r="D620" s="10"/>
      <c r="E620" s="10"/>
      <c r="F620" s="10"/>
      <c r="G620" s="7"/>
      <c r="H620" s="16" t="str">
        <f t="shared" si="9"/>
        <v>(618,,'',,,,),</v>
      </c>
    </row>
    <row r="621" spans="1:8" ht="20.100000000000001" customHeight="1" x14ac:dyDescent="0.25">
      <c r="A621" s="3">
        <v>619</v>
      </c>
      <c r="B621" s="8"/>
      <c r="C621" s="13"/>
      <c r="D621" s="10"/>
      <c r="E621" s="10"/>
      <c r="F621" s="10"/>
      <c r="G621" s="7"/>
      <c r="H621" s="16" t="str">
        <f t="shared" si="9"/>
        <v>(619,,'',,,,),</v>
      </c>
    </row>
    <row r="622" spans="1:8" ht="20.100000000000001" customHeight="1" x14ac:dyDescent="0.25">
      <c r="A622" s="3">
        <v>620</v>
      </c>
      <c r="B622" s="8"/>
      <c r="C622" s="13"/>
      <c r="D622" s="10"/>
      <c r="E622" s="10"/>
      <c r="F622" s="10"/>
      <c r="G622" s="7"/>
      <c r="H622" s="16" t="str">
        <f t="shared" si="9"/>
        <v>(620,,'',,,,),</v>
      </c>
    </row>
    <row r="623" spans="1:8" ht="20.100000000000001" customHeight="1" x14ac:dyDescent="0.25">
      <c r="A623" s="3">
        <v>621</v>
      </c>
      <c r="B623" s="8"/>
      <c r="C623" s="13"/>
      <c r="D623" s="10"/>
      <c r="E623" s="10"/>
      <c r="F623" s="10"/>
      <c r="G623" s="7"/>
      <c r="H623" s="16" t="str">
        <f t="shared" si="9"/>
        <v>(621,,'',,,,),</v>
      </c>
    </row>
    <row r="624" spans="1:8" ht="20.100000000000001" customHeight="1" x14ac:dyDescent="0.25">
      <c r="A624" s="3">
        <v>622</v>
      </c>
      <c r="B624" s="8"/>
      <c r="C624" s="13"/>
      <c r="D624" s="10"/>
      <c r="E624" s="10"/>
      <c r="F624" s="10"/>
      <c r="G624" s="7"/>
      <c r="H624" s="16" t="str">
        <f t="shared" si="9"/>
        <v>(622,,'',,,,),</v>
      </c>
    </row>
    <row r="625" spans="1:8" ht="20.100000000000001" customHeight="1" x14ac:dyDescent="0.25">
      <c r="A625" s="3">
        <v>623</v>
      </c>
      <c r="B625" s="8"/>
      <c r="C625" s="13"/>
      <c r="D625" s="10"/>
      <c r="E625" s="10"/>
      <c r="F625" s="10"/>
      <c r="G625" s="7"/>
      <c r="H625" s="16" t="str">
        <f t="shared" si="9"/>
        <v>(623,,'',,,,),</v>
      </c>
    </row>
    <row r="626" spans="1:8" ht="20.100000000000001" customHeight="1" x14ac:dyDescent="0.25">
      <c r="A626" s="3">
        <v>624</v>
      </c>
      <c r="B626" s="8"/>
      <c r="C626" s="13"/>
      <c r="D626" s="10"/>
      <c r="E626" s="10"/>
      <c r="F626" s="10"/>
      <c r="G626" s="7"/>
      <c r="H626" s="16" t="str">
        <f t="shared" si="9"/>
        <v>(624,,'',,,,),</v>
      </c>
    </row>
    <row r="627" spans="1:8" ht="20.100000000000001" customHeight="1" x14ac:dyDescent="0.25">
      <c r="A627" s="3">
        <v>625</v>
      </c>
      <c r="B627" s="8"/>
      <c r="C627" s="13"/>
      <c r="D627" s="10"/>
      <c r="E627" s="10"/>
      <c r="F627" s="10"/>
      <c r="G627" s="7"/>
      <c r="H627" s="16" t="str">
        <f t="shared" si="9"/>
        <v>(625,,'',,,,),</v>
      </c>
    </row>
    <row r="628" spans="1:8" ht="20.100000000000001" customHeight="1" x14ac:dyDescent="0.25">
      <c r="A628" s="3">
        <v>626</v>
      </c>
      <c r="B628" s="8"/>
      <c r="C628" s="13"/>
      <c r="D628" s="10"/>
      <c r="E628" s="10"/>
      <c r="F628" s="10"/>
      <c r="G628" s="7"/>
      <c r="H628" s="16" t="str">
        <f t="shared" si="9"/>
        <v>(626,,'',,,,),</v>
      </c>
    </row>
    <row r="629" spans="1:8" ht="20.100000000000001" customHeight="1" x14ac:dyDescent="0.25">
      <c r="A629" s="3">
        <v>627</v>
      </c>
      <c r="B629" s="8"/>
      <c r="C629" s="13"/>
      <c r="D629" s="10"/>
      <c r="E629" s="10"/>
      <c r="F629" s="10"/>
      <c r="G629" s="7"/>
      <c r="H629" s="16" t="str">
        <f t="shared" si="9"/>
        <v>(627,,'',,,,),</v>
      </c>
    </row>
    <row r="630" spans="1:8" ht="20.100000000000001" customHeight="1" x14ac:dyDescent="0.25">
      <c r="A630" s="3">
        <v>628</v>
      </c>
      <c r="B630" s="8"/>
      <c r="C630" s="13"/>
      <c r="D630" s="10"/>
      <c r="E630" s="10"/>
      <c r="F630" s="10"/>
      <c r="G630" s="7"/>
      <c r="H630" s="16" t="str">
        <f t="shared" si="9"/>
        <v>(628,,'',,,,),</v>
      </c>
    </row>
    <row r="631" spans="1:8" ht="20.100000000000001" customHeight="1" x14ac:dyDescent="0.25">
      <c r="A631" s="3">
        <v>629</v>
      </c>
      <c r="B631" s="8"/>
      <c r="C631" s="13"/>
      <c r="D631" s="10"/>
      <c r="E631" s="10"/>
      <c r="F631" s="10"/>
      <c r="G631" s="7"/>
      <c r="H631" s="16" t="str">
        <f t="shared" si="9"/>
        <v>(629,,'',,,,),</v>
      </c>
    </row>
    <row r="632" spans="1:8" ht="20.100000000000001" customHeight="1" x14ac:dyDescent="0.25">
      <c r="A632" s="3">
        <v>630</v>
      </c>
      <c r="B632" s="8"/>
      <c r="C632" s="13"/>
      <c r="D632" s="10"/>
      <c r="E632" s="10"/>
      <c r="F632" s="10"/>
      <c r="G632" s="7"/>
      <c r="H632" s="16" t="str">
        <f t="shared" si="9"/>
        <v>(630,,'',,,,),</v>
      </c>
    </row>
    <row r="633" spans="1:8" ht="20.100000000000001" customHeight="1" x14ac:dyDescent="0.25">
      <c r="A633" s="3">
        <v>631</v>
      </c>
      <c r="B633" s="8"/>
      <c r="C633" s="13"/>
      <c r="D633" s="10"/>
      <c r="E633" s="10"/>
      <c r="F633" s="10"/>
      <c r="G633" s="7"/>
      <c r="H633" s="16" t="str">
        <f t="shared" si="9"/>
        <v>(631,,'',,,,),</v>
      </c>
    </row>
    <row r="634" spans="1:8" ht="20.100000000000001" customHeight="1" x14ac:dyDescent="0.25">
      <c r="A634" s="3">
        <v>632</v>
      </c>
      <c r="B634" s="8"/>
      <c r="C634" s="13"/>
      <c r="D634" s="10"/>
      <c r="E634" s="10"/>
      <c r="F634" s="10"/>
      <c r="G634" s="7"/>
      <c r="H634" s="16" t="str">
        <f t="shared" si="9"/>
        <v>(632,,'',,,,),</v>
      </c>
    </row>
    <row r="635" spans="1:8" ht="20.100000000000001" customHeight="1" x14ac:dyDescent="0.25">
      <c r="A635" s="3">
        <v>633</v>
      </c>
      <c r="B635" s="8"/>
      <c r="C635" s="13"/>
      <c r="D635" s="10"/>
      <c r="E635" s="10"/>
      <c r="F635" s="10"/>
      <c r="G635" s="7"/>
      <c r="H635" s="16" t="str">
        <f t="shared" si="9"/>
        <v>(633,,'',,,,),</v>
      </c>
    </row>
    <row r="636" spans="1:8" ht="20.100000000000001" customHeight="1" x14ac:dyDescent="0.25">
      <c r="A636" s="3">
        <v>634</v>
      </c>
      <c r="B636" s="8"/>
      <c r="C636" s="13"/>
      <c r="D636" s="10"/>
      <c r="E636" s="10"/>
      <c r="F636" s="10"/>
      <c r="G636" s="7"/>
      <c r="H636" s="16" t="str">
        <f t="shared" si="9"/>
        <v>(634,,'',,,,),</v>
      </c>
    </row>
    <row r="637" spans="1:8" ht="20.100000000000001" customHeight="1" x14ac:dyDescent="0.25">
      <c r="A637" s="3">
        <v>635</v>
      </c>
      <c r="B637" s="8"/>
      <c r="C637" s="13"/>
      <c r="D637" s="10"/>
      <c r="E637" s="10"/>
      <c r="F637" s="10"/>
      <c r="G637" s="7"/>
      <c r="H637" s="16" t="str">
        <f t="shared" si="9"/>
        <v>(635,,'',,,,),</v>
      </c>
    </row>
    <row r="638" spans="1:8" ht="20.100000000000001" customHeight="1" x14ac:dyDescent="0.25">
      <c r="A638" s="3">
        <v>636</v>
      </c>
      <c r="B638" s="8"/>
      <c r="C638" s="13"/>
      <c r="D638" s="10"/>
      <c r="E638" s="10"/>
      <c r="F638" s="10"/>
      <c r="G638" s="7"/>
      <c r="H638" s="16" t="str">
        <f t="shared" si="9"/>
        <v>(636,,'',,,,),</v>
      </c>
    </row>
    <row r="639" spans="1:8" ht="20.100000000000001" customHeight="1" x14ac:dyDescent="0.25">
      <c r="A639" s="3">
        <v>637</v>
      </c>
      <c r="B639" s="8"/>
      <c r="C639" s="13"/>
      <c r="D639" s="10"/>
      <c r="E639" s="10"/>
      <c r="F639" s="10"/>
      <c r="G639" s="7"/>
      <c r="H639" s="16" t="str">
        <f t="shared" si="9"/>
        <v>(637,,'',,,,),</v>
      </c>
    </row>
    <row r="640" spans="1:8" ht="20.100000000000001" customHeight="1" x14ac:dyDescent="0.25">
      <c r="A640" s="3">
        <v>638</v>
      </c>
      <c r="B640" s="8"/>
      <c r="C640" s="13"/>
      <c r="D640" s="10"/>
      <c r="E640" s="10"/>
      <c r="F640" s="10"/>
      <c r="G640" s="7"/>
      <c r="H640" s="16" t="str">
        <f t="shared" si="9"/>
        <v>(638,,'',,,,),</v>
      </c>
    </row>
    <row r="641" spans="1:8" ht="20.100000000000001" customHeight="1" x14ac:dyDescent="0.25">
      <c r="A641" s="3">
        <v>639</v>
      </c>
      <c r="B641" s="8"/>
      <c r="C641" s="13"/>
      <c r="D641" s="10"/>
      <c r="E641" s="10"/>
      <c r="F641" s="10"/>
      <c r="G641" s="7"/>
      <c r="H641" s="16" t="str">
        <f t="shared" si="9"/>
        <v>(639,,'',,,,),</v>
      </c>
    </row>
    <row r="642" spans="1:8" ht="20.100000000000001" customHeight="1" x14ac:dyDescent="0.25">
      <c r="A642" s="3">
        <v>640</v>
      </c>
      <c r="B642" s="8"/>
      <c r="C642" s="13"/>
      <c r="D642" s="10"/>
      <c r="E642" s="10"/>
      <c r="F642" s="10"/>
      <c r="G642" s="7"/>
      <c r="H642" s="16" t="str">
        <f t="shared" si="9"/>
        <v>(640,,'',,,,),</v>
      </c>
    </row>
    <row r="643" spans="1:8" ht="20.100000000000001" customHeight="1" x14ac:dyDescent="0.25">
      <c r="A643" s="3">
        <v>641</v>
      </c>
      <c r="B643" s="8"/>
      <c r="C643" s="13"/>
      <c r="D643" s="10"/>
      <c r="E643" s="10"/>
      <c r="F643" s="10"/>
      <c r="G643" s="7"/>
      <c r="H643" s="16" t="str">
        <f t="shared" si="9"/>
        <v>(641,,'',,,,),</v>
      </c>
    </row>
    <row r="644" spans="1:8" ht="20.100000000000001" customHeight="1" x14ac:dyDescent="0.25">
      <c r="A644" s="3">
        <v>642</v>
      </c>
      <c r="B644" s="8"/>
      <c r="C644" s="13"/>
      <c r="D644" s="10"/>
      <c r="E644" s="10"/>
      <c r="F644" s="10"/>
      <c r="G644" s="7"/>
      <c r="H644" s="16" t="str">
        <f t="shared" ref="H644:H707" si="10">CONCATENATE("(",A644,",",B644,",'",C644,"',",D644,",",E644,",",F644,",",G644,"),")</f>
        <v>(642,,'',,,,),</v>
      </c>
    </row>
    <row r="645" spans="1:8" ht="20.100000000000001" customHeight="1" x14ac:dyDescent="0.25">
      <c r="A645" s="3">
        <v>643</v>
      </c>
      <c r="B645" s="8"/>
      <c r="C645" s="13"/>
      <c r="D645" s="10"/>
      <c r="E645" s="10"/>
      <c r="F645" s="10"/>
      <c r="G645" s="7"/>
      <c r="H645" s="16" t="str">
        <f t="shared" si="10"/>
        <v>(643,,'',,,,),</v>
      </c>
    </row>
    <row r="646" spans="1:8" ht="20.100000000000001" customHeight="1" x14ac:dyDescent="0.25">
      <c r="A646" s="3">
        <v>644</v>
      </c>
      <c r="B646" s="8"/>
      <c r="C646" s="13"/>
      <c r="D646" s="10"/>
      <c r="E646" s="10"/>
      <c r="F646" s="10"/>
      <c r="G646" s="7"/>
      <c r="H646" s="16" t="str">
        <f t="shared" si="10"/>
        <v>(644,,'',,,,),</v>
      </c>
    </row>
    <row r="647" spans="1:8" ht="20.100000000000001" customHeight="1" x14ac:dyDescent="0.25">
      <c r="A647" s="3">
        <v>645</v>
      </c>
      <c r="B647" s="8"/>
      <c r="C647" s="13"/>
      <c r="D647" s="10"/>
      <c r="E647" s="10"/>
      <c r="F647" s="10"/>
      <c r="G647" s="7"/>
      <c r="H647" s="16" t="str">
        <f t="shared" si="10"/>
        <v>(645,,'',,,,),</v>
      </c>
    </row>
    <row r="648" spans="1:8" ht="20.100000000000001" customHeight="1" x14ac:dyDescent="0.25">
      <c r="A648" s="3">
        <v>646</v>
      </c>
      <c r="B648" s="8"/>
      <c r="C648" s="13"/>
      <c r="D648" s="10"/>
      <c r="E648" s="10"/>
      <c r="F648" s="10"/>
      <c r="G648" s="7"/>
      <c r="H648" s="16" t="str">
        <f t="shared" si="10"/>
        <v>(646,,'',,,,),</v>
      </c>
    </row>
    <row r="649" spans="1:8" ht="20.100000000000001" customHeight="1" x14ac:dyDescent="0.25">
      <c r="A649" s="3">
        <v>647</v>
      </c>
      <c r="B649" s="8"/>
      <c r="C649" s="13"/>
      <c r="D649" s="10"/>
      <c r="E649" s="10"/>
      <c r="F649" s="10"/>
      <c r="G649" s="7"/>
      <c r="H649" s="16" t="str">
        <f t="shared" si="10"/>
        <v>(647,,'',,,,),</v>
      </c>
    </row>
    <row r="650" spans="1:8" ht="20.100000000000001" customHeight="1" x14ac:dyDescent="0.25">
      <c r="A650" s="3">
        <v>648</v>
      </c>
      <c r="B650" s="8"/>
      <c r="C650" s="13"/>
      <c r="D650" s="10"/>
      <c r="E650" s="10"/>
      <c r="F650" s="10"/>
      <c r="G650" s="7"/>
      <c r="H650" s="16" t="str">
        <f t="shared" si="10"/>
        <v>(648,,'',,,,),</v>
      </c>
    </row>
    <row r="651" spans="1:8" ht="20.100000000000001" customHeight="1" x14ac:dyDescent="0.25">
      <c r="A651" s="3">
        <v>649</v>
      </c>
      <c r="B651" s="8"/>
      <c r="C651" s="13"/>
      <c r="D651" s="10"/>
      <c r="E651" s="10"/>
      <c r="F651" s="10"/>
      <c r="G651" s="7"/>
      <c r="H651" s="16" t="str">
        <f t="shared" si="10"/>
        <v>(649,,'',,,,),</v>
      </c>
    </row>
    <row r="652" spans="1:8" ht="20.100000000000001" customHeight="1" x14ac:dyDescent="0.25">
      <c r="A652" s="3">
        <v>650</v>
      </c>
      <c r="B652" s="8"/>
      <c r="C652" s="13"/>
      <c r="D652" s="10"/>
      <c r="E652" s="10"/>
      <c r="F652" s="10"/>
      <c r="G652" s="7"/>
      <c r="H652" s="16" t="str">
        <f t="shared" si="10"/>
        <v>(650,,'',,,,),</v>
      </c>
    </row>
    <row r="653" spans="1:8" ht="20.100000000000001" customHeight="1" x14ac:dyDescent="0.25">
      <c r="A653" s="3">
        <v>651</v>
      </c>
      <c r="B653" s="8"/>
      <c r="C653" s="13"/>
      <c r="D653" s="10"/>
      <c r="E653" s="10"/>
      <c r="F653" s="10"/>
      <c r="G653" s="7"/>
      <c r="H653" s="16" t="str">
        <f t="shared" si="10"/>
        <v>(651,,'',,,,),</v>
      </c>
    </row>
    <row r="654" spans="1:8" ht="20.100000000000001" customHeight="1" x14ac:dyDescent="0.25">
      <c r="A654" s="3">
        <v>652</v>
      </c>
      <c r="B654" s="8"/>
      <c r="C654" s="13"/>
      <c r="D654" s="10"/>
      <c r="E654" s="10"/>
      <c r="F654" s="10"/>
      <c r="G654" s="7"/>
      <c r="H654" s="16" t="str">
        <f t="shared" si="10"/>
        <v>(652,,'',,,,),</v>
      </c>
    </row>
    <row r="655" spans="1:8" ht="20.100000000000001" customHeight="1" x14ac:dyDescent="0.25">
      <c r="A655" s="3">
        <v>653</v>
      </c>
      <c r="B655" s="8"/>
      <c r="C655" s="13"/>
      <c r="D655" s="10"/>
      <c r="E655" s="10"/>
      <c r="F655" s="10"/>
      <c r="G655" s="7"/>
      <c r="H655" s="16" t="str">
        <f t="shared" si="10"/>
        <v>(653,,'',,,,),</v>
      </c>
    </row>
    <row r="656" spans="1:8" ht="20.100000000000001" customHeight="1" x14ac:dyDescent="0.25">
      <c r="A656" s="3">
        <v>654</v>
      </c>
      <c r="B656" s="8"/>
      <c r="C656" s="13"/>
      <c r="D656" s="10"/>
      <c r="E656" s="10"/>
      <c r="F656" s="10"/>
      <c r="G656" s="7"/>
      <c r="H656" s="16" t="str">
        <f t="shared" si="10"/>
        <v>(654,,'',,,,),</v>
      </c>
    </row>
    <row r="657" spans="1:8" ht="20.100000000000001" customHeight="1" x14ac:dyDescent="0.25">
      <c r="A657" s="3">
        <v>655</v>
      </c>
      <c r="B657" s="8"/>
      <c r="C657" s="13"/>
      <c r="D657" s="10"/>
      <c r="E657" s="10"/>
      <c r="F657" s="10"/>
      <c r="G657" s="7"/>
      <c r="H657" s="16" t="str">
        <f t="shared" si="10"/>
        <v>(655,,'',,,,),</v>
      </c>
    </row>
    <row r="658" spans="1:8" ht="20.100000000000001" customHeight="1" x14ac:dyDescent="0.25">
      <c r="A658" s="3">
        <v>656</v>
      </c>
      <c r="B658" s="8"/>
      <c r="C658" s="13"/>
      <c r="D658" s="10"/>
      <c r="E658" s="10"/>
      <c r="F658" s="10"/>
      <c r="G658" s="7"/>
      <c r="H658" s="16" t="str">
        <f t="shared" si="10"/>
        <v>(656,,'',,,,),</v>
      </c>
    </row>
    <row r="659" spans="1:8" ht="20.100000000000001" customHeight="1" x14ac:dyDescent="0.25">
      <c r="A659" s="3">
        <v>657</v>
      </c>
      <c r="B659" s="8"/>
      <c r="C659" s="13"/>
      <c r="D659" s="10"/>
      <c r="E659" s="10"/>
      <c r="F659" s="10"/>
      <c r="G659" s="7"/>
      <c r="H659" s="16" t="str">
        <f t="shared" si="10"/>
        <v>(657,,'',,,,),</v>
      </c>
    </row>
    <row r="660" spans="1:8" ht="20.100000000000001" customHeight="1" x14ac:dyDescent="0.25">
      <c r="A660" s="3">
        <v>658</v>
      </c>
      <c r="B660" s="8"/>
      <c r="C660" s="13"/>
      <c r="D660" s="10"/>
      <c r="E660" s="10"/>
      <c r="F660" s="10"/>
      <c r="G660" s="7"/>
      <c r="H660" s="16" t="str">
        <f t="shared" si="10"/>
        <v>(658,,'',,,,),</v>
      </c>
    </row>
    <row r="661" spans="1:8" ht="20.100000000000001" customHeight="1" x14ac:dyDescent="0.25">
      <c r="A661" s="3">
        <v>659</v>
      </c>
      <c r="B661" s="8"/>
      <c r="C661" s="13"/>
      <c r="D661" s="10"/>
      <c r="E661" s="10"/>
      <c r="F661" s="10"/>
      <c r="G661" s="7"/>
      <c r="H661" s="16" t="str">
        <f t="shared" si="10"/>
        <v>(659,,'',,,,),</v>
      </c>
    </row>
    <row r="662" spans="1:8" ht="20.100000000000001" customHeight="1" x14ac:dyDescent="0.25">
      <c r="A662" s="3">
        <v>660</v>
      </c>
      <c r="B662" s="8"/>
      <c r="C662" s="13"/>
      <c r="D662" s="10"/>
      <c r="E662" s="10"/>
      <c r="F662" s="10"/>
      <c r="G662" s="7"/>
      <c r="H662" s="16" t="str">
        <f t="shared" si="10"/>
        <v>(660,,'',,,,),</v>
      </c>
    </row>
    <row r="663" spans="1:8" ht="20.100000000000001" customHeight="1" x14ac:dyDescent="0.25">
      <c r="A663" s="3">
        <v>661</v>
      </c>
      <c r="B663" s="8"/>
      <c r="C663" s="13"/>
      <c r="D663" s="10"/>
      <c r="E663" s="10"/>
      <c r="F663" s="10"/>
      <c r="G663" s="7"/>
      <c r="H663" s="16" t="str">
        <f t="shared" si="10"/>
        <v>(661,,'',,,,),</v>
      </c>
    </row>
    <row r="664" spans="1:8" ht="20.100000000000001" customHeight="1" x14ac:dyDescent="0.25">
      <c r="A664" s="3">
        <v>662</v>
      </c>
      <c r="B664" s="8"/>
      <c r="C664" s="13"/>
      <c r="D664" s="10"/>
      <c r="E664" s="10"/>
      <c r="F664" s="10"/>
      <c r="G664" s="7"/>
      <c r="H664" s="16" t="str">
        <f t="shared" si="10"/>
        <v>(662,,'',,,,),</v>
      </c>
    </row>
    <row r="665" spans="1:8" ht="20.100000000000001" customHeight="1" x14ac:dyDescent="0.25">
      <c r="A665" s="3">
        <v>663</v>
      </c>
      <c r="B665" s="8"/>
      <c r="C665" s="13"/>
      <c r="D665" s="10"/>
      <c r="E665" s="10"/>
      <c r="F665" s="10"/>
      <c r="G665" s="7"/>
      <c r="H665" s="16" t="str">
        <f t="shared" si="10"/>
        <v>(663,,'',,,,),</v>
      </c>
    </row>
    <row r="666" spans="1:8" ht="20.100000000000001" customHeight="1" x14ac:dyDescent="0.25">
      <c r="A666" s="3">
        <v>664</v>
      </c>
      <c r="B666" s="8"/>
      <c r="C666" s="13"/>
      <c r="D666" s="10"/>
      <c r="E666" s="10"/>
      <c r="F666" s="10"/>
      <c r="G666" s="7"/>
      <c r="H666" s="16" t="str">
        <f t="shared" si="10"/>
        <v>(664,,'',,,,),</v>
      </c>
    </row>
    <row r="667" spans="1:8" ht="20.100000000000001" customHeight="1" x14ac:dyDescent="0.25">
      <c r="A667" s="3">
        <v>665</v>
      </c>
      <c r="B667" s="8"/>
      <c r="C667" s="13"/>
      <c r="D667" s="10"/>
      <c r="E667" s="10"/>
      <c r="F667" s="10"/>
      <c r="G667" s="7"/>
      <c r="H667" s="16" t="str">
        <f t="shared" si="10"/>
        <v>(665,,'',,,,),</v>
      </c>
    </row>
    <row r="668" spans="1:8" ht="20.100000000000001" customHeight="1" x14ac:dyDescent="0.25">
      <c r="A668" s="3">
        <v>666</v>
      </c>
      <c r="B668" s="8"/>
      <c r="C668" s="13"/>
      <c r="D668" s="10"/>
      <c r="E668" s="10"/>
      <c r="F668" s="10"/>
      <c r="G668" s="7"/>
      <c r="H668" s="16" t="str">
        <f t="shared" si="10"/>
        <v>(666,,'',,,,),</v>
      </c>
    </row>
    <row r="669" spans="1:8" ht="20.100000000000001" customHeight="1" x14ac:dyDescent="0.25">
      <c r="A669" s="3">
        <v>667</v>
      </c>
      <c r="B669" s="8"/>
      <c r="C669" s="13"/>
      <c r="D669" s="10"/>
      <c r="E669" s="10"/>
      <c r="F669" s="10"/>
      <c r="G669" s="7"/>
      <c r="H669" s="16" t="str">
        <f t="shared" si="10"/>
        <v>(667,,'',,,,),</v>
      </c>
    </row>
    <row r="670" spans="1:8" ht="20.100000000000001" customHeight="1" x14ac:dyDescent="0.25">
      <c r="A670" s="3">
        <v>668</v>
      </c>
      <c r="B670" s="8"/>
      <c r="C670" s="13"/>
      <c r="D670" s="10"/>
      <c r="E670" s="10"/>
      <c r="F670" s="10"/>
      <c r="G670" s="7"/>
      <c r="H670" s="16" t="str">
        <f t="shared" si="10"/>
        <v>(668,,'',,,,),</v>
      </c>
    </row>
    <row r="671" spans="1:8" ht="20.100000000000001" customHeight="1" x14ac:dyDescent="0.25">
      <c r="A671" s="3">
        <v>669</v>
      </c>
      <c r="B671" s="8"/>
      <c r="C671" s="13"/>
      <c r="D671" s="10"/>
      <c r="E671" s="10"/>
      <c r="F671" s="10"/>
      <c r="G671" s="7"/>
      <c r="H671" s="16" t="str">
        <f t="shared" si="10"/>
        <v>(669,,'',,,,),</v>
      </c>
    </row>
    <row r="672" spans="1:8" ht="20.100000000000001" customHeight="1" x14ac:dyDescent="0.25">
      <c r="A672" s="3">
        <v>670</v>
      </c>
      <c r="B672" s="8"/>
      <c r="C672" s="13"/>
      <c r="D672" s="10"/>
      <c r="E672" s="10"/>
      <c r="F672" s="10"/>
      <c r="G672" s="7"/>
      <c r="H672" s="16" t="str">
        <f t="shared" si="10"/>
        <v>(670,,'',,,,),</v>
      </c>
    </row>
    <row r="673" spans="1:8" ht="20.100000000000001" customHeight="1" x14ac:dyDescent="0.25">
      <c r="A673" s="3">
        <v>671</v>
      </c>
      <c r="B673" s="8"/>
      <c r="C673" s="13"/>
      <c r="D673" s="10"/>
      <c r="E673" s="10"/>
      <c r="F673" s="10"/>
      <c r="G673" s="7"/>
      <c r="H673" s="16" t="str">
        <f t="shared" si="10"/>
        <v>(671,,'',,,,),</v>
      </c>
    </row>
    <row r="674" spans="1:8" ht="20.100000000000001" customHeight="1" x14ac:dyDescent="0.25">
      <c r="A674" s="3">
        <v>672</v>
      </c>
      <c r="B674" s="8"/>
      <c r="C674" s="13"/>
      <c r="D674" s="10"/>
      <c r="E674" s="10"/>
      <c r="F674" s="10"/>
      <c r="G674" s="7"/>
      <c r="H674" s="16" t="str">
        <f t="shared" si="10"/>
        <v>(672,,'',,,,),</v>
      </c>
    </row>
    <row r="675" spans="1:8" ht="20.100000000000001" customHeight="1" x14ac:dyDescent="0.25">
      <c r="A675" s="3">
        <v>673</v>
      </c>
      <c r="B675" s="8"/>
      <c r="C675" s="13"/>
      <c r="D675" s="10"/>
      <c r="E675" s="10"/>
      <c r="F675" s="10"/>
      <c r="G675" s="7"/>
      <c r="H675" s="16" t="str">
        <f t="shared" si="10"/>
        <v>(673,,'',,,,),</v>
      </c>
    </row>
    <row r="676" spans="1:8" ht="20.100000000000001" customHeight="1" x14ac:dyDescent="0.25">
      <c r="A676" s="3">
        <v>674</v>
      </c>
      <c r="B676" s="8"/>
      <c r="C676" s="13"/>
      <c r="D676" s="10"/>
      <c r="E676" s="10"/>
      <c r="F676" s="10"/>
      <c r="G676" s="7"/>
      <c r="H676" s="16" t="str">
        <f t="shared" si="10"/>
        <v>(674,,'',,,,),</v>
      </c>
    </row>
    <row r="677" spans="1:8" ht="20.100000000000001" customHeight="1" x14ac:dyDescent="0.25">
      <c r="A677" s="3">
        <v>675</v>
      </c>
      <c r="B677" s="8"/>
      <c r="C677" s="13"/>
      <c r="D677" s="10"/>
      <c r="E677" s="10"/>
      <c r="F677" s="10"/>
      <c r="G677" s="7"/>
      <c r="H677" s="16" t="str">
        <f t="shared" si="10"/>
        <v>(675,,'',,,,),</v>
      </c>
    </row>
    <row r="678" spans="1:8" ht="20.100000000000001" customHeight="1" x14ac:dyDescent="0.25">
      <c r="A678" s="3">
        <v>676</v>
      </c>
      <c r="B678" s="8"/>
      <c r="C678" s="13"/>
      <c r="D678" s="10"/>
      <c r="E678" s="10"/>
      <c r="F678" s="10"/>
      <c r="G678" s="7"/>
      <c r="H678" s="16" t="str">
        <f t="shared" si="10"/>
        <v>(676,,'',,,,),</v>
      </c>
    </row>
    <row r="679" spans="1:8" ht="20.100000000000001" customHeight="1" x14ac:dyDescent="0.25">
      <c r="A679" s="3">
        <v>677</v>
      </c>
      <c r="B679" s="8"/>
      <c r="C679" s="13"/>
      <c r="D679" s="10"/>
      <c r="E679" s="10"/>
      <c r="F679" s="10"/>
      <c r="G679" s="7"/>
      <c r="H679" s="16" t="str">
        <f t="shared" si="10"/>
        <v>(677,,'',,,,),</v>
      </c>
    </row>
    <row r="680" spans="1:8" ht="20.100000000000001" customHeight="1" x14ac:dyDescent="0.25">
      <c r="A680" s="3">
        <v>678</v>
      </c>
      <c r="B680" s="8"/>
      <c r="C680" s="13"/>
      <c r="D680" s="10"/>
      <c r="E680" s="10"/>
      <c r="F680" s="10"/>
      <c r="G680" s="7"/>
      <c r="H680" s="16" t="str">
        <f t="shared" si="10"/>
        <v>(678,,'',,,,),</v>
      </c>
    </row>
    <row r="681" spans="1:8" ht="20.100000000000001" customHeight="1" x14ac:dyDescent="0.25">
      <c r="A681" s="3">
        <v>679</v>
      </c>
      <c r="B681" s="8"/>
      <c r="C681" s="13"/>
      <c r="D681" s="10"/>
      <c r="E681" s="10"/>
      <c r="F681" s="10"/>
      <c r="G681" s="7"/>
      <c r="H681" s="16" t="str">
        <f t="shared" si="10"/>
        <v>(679,,'',,,,),</v>
      </c>
    </row>
    <row r="682" spans="1:8" ht="20.100000000000001" customHeight="1" x14ac:dyDescent="0.25">
      <c r="A682" s="3">
        <v>680</v>
      </c>
      <c r="B682" s="8"/>
      <c r="C682" s="13"/>
      <c r="D682" s="10"/>
      <c r="E682" s="10"/>
      <c r="F682" s="10"/>
      <c r="G682" s="7"/>
      <c r="H682" s="16" t="str">
        <f t="shared" si="10"/>
        <v>(680,,'',,,,),</v>
      </c>
    </row>
    <row r="683" spans="1:8" ht="20.100000000000001" customHeight="1" x14ac:dyDescent="0.25">
      <c r="A683" s="3">
        <v>681</v>
      </c>
      <c r="B683" s="8"/>
      <c r="C683" s="13"/>
      <c r="D683" s="10"/>
      <c r="E683" s="10"/>
      <c r="F683" s="10"/>
      <c r="G683" s="7"/>
      <c r="H683" s="16" t="str">
        <f t="shared" si="10"/>
        <v>(681,,'',,,,),</v>
      </c>
    </row>
    <row r="684" spans="1:8" ht="20.100000000000001" customHeight="1" x14ac:dyDescent="0.25">
      <c r="A684" s="3">
        <v>682</v>
      </c>
      <c r="B684" s="8"/>
      <c r="C684" s="13"/>
      <c r="D684" s="10"/>
      <c r="E684" s="10"/>
      <c r="F684" s="10"/>
      <c r="G684" s="7"/>
      <c r="H684" s="16" t="str">
        <f t="shared" si="10"/>
        <v>(682,,'',,,,),</v>
      </c>
    </row>
    <row r="685" spans="1:8" ht="20.100000000000001" customHeight="1" x14ac:dyDescent="0.25">
      <c r="A685" s="3">
        <v>683</v>
      </c>
      <c r="B685" s="8"/>
      <c r="C685" s="13"/>
      <c r="D685" s="10"/>
      <c r="E685" s="10"/>
      <c r="F685" s="10"/>
      <c r="G685" s="7"/>
      <c r="H685" s="16" t="str">
        <f t="shared" si="10"/>
        <v>(683,,'',,,,),</v>
      </c>
    </row>
    <row r="686" spans="1:8" ht="20.100000000000001" customHeight="1" x14ac:dyDescent="0.25">
      <c r="A686" s="3">
        <v>684</v>
      </c>
      <c r="B686" s="8"/>
      <c r="C686" s="13"/>
      <c r="D686" s="10"/>
      <c r="E686" s="10"/>
      <c r="F686" s="10"/>
      <c r="G686" s="7"/>
      <c r="H686" s="16" t="str">
        <f t="shared" si="10"/>
        <v>(684,,'',,,,),</v>
      </c>
    </row>
    <row r="687" spans="1:8" ht="20.100000000000001" customHeight="1" x14ac:dyDescent="0.25">
      <c r="A687" s="3">
        <v>685</v>
      </c>
      <c r="B687" s="8"/>
      <c r="C687" s="13"/>
      <c r="D687" s="10"/>
      <c r="E687" s="10"/>
      <c r="F687" s="10"/>
      <c r="G687" s="7"/>
      <c r="H687" s="16" t="str">
        <f t="shared" si="10"/>
        <v>(685,,'',,,,),</v>
      </c>
    </row>
    <row r="688" spans="1:8" ht="20.100000000000001" customHeight="1" x14ac:dyDescent="0.25">
      <c r="A688" s="3">
        <v>686</v>
      </c>
      <c r="B688" s="8"/>
      <c r="C688" s="13"/>
      <c r="D688" s="10"/>
      <c r="E688" s="10"/>
      <c r="F688" s="10"/>
      <c r="G688" s="7"/>
      <c r="H688" s="16" t="str">
        <f t="shared" si="10"/>
        <v>(686,,'',,,,),</v>
      </c>
    </row>
    <row r="689" spans="1:8" ht="20.100000000000001" customHeight="1" x14ac:dyDescent="0.25">
      <c r="A689" s="3">
        <v>687</v>
      </c>
      <c r="B689" s="8"/>
      <c r="C689" s="13"/>
      <c r="D689" s="10"/>
      <c r="E689" s="10"/>
      <c r="F689" s="10"/>
      <c r="G689" s="7"/>
      <c r="H689" s="16" t="str">
        <f t="shared" si="10"/>
        <v>(687,,'',,,,),</v>
      </c>
    </row>
    <row r="690" spans="1:8" ht="20.100000000000001" customHeight="1" x14ac:dyDescent="0.25">
      <c r="A690" s="3">
        <v>688</v>
      </c>
      <c r="B690" s="8"/>
      <c r="C690" s="13"/>
      <c r="D690" s="10"/>
      <c r="E690" s="10"/>
      <c r="F690" s="10"/>
      <c r="G690" s="7"/>
      <c r="H690" s="16" t="str">
        <f t="shared" si="10"/>
        <v>(688,,'',,,,),</v>
      </c>
    </row>
    <row r="691" spans="1:8" ht="20.100000000000001" customHeight="1" x14ac:dyDescent="0.25">
      <c r="A691" s="3">
        <v>689</v>
      </c>
      <c r="B691" s="8"/>
      <c r="C691" s="13"/>
      <c r="D691" s="10"/>
      <c r="E691" s="10"/>
      <c r="F691" s="10"/>
      <c r="G691" s="7"/>
      <c r="H691" s="16" t="str">
        <f t="shared" si="10"/>
        <v>(689,,'',,,,),</v>
      </c>
    </row>
    <row r="692" spans="1:8" ht="20.100000000000001" customHeight="1" x14ac:dyDescent="0.25">
      <c r="A692" s="3">
        <v>690</v>
      </c>
      <c r="B692" s="8"/>
      <c r="C692" s="13"/>
      <c r="D692" s="10"/>
      <c r="E692" s="10"/>
      <c r="F692" s="10"/>
      <c r="G692" s="7"/>
      <c r="H692" s="16" t="str">
        <f t="shared" si="10"/>
        <v>(690,,'',,,,),</v>
      </c>
    </row>
    <row r="693" spans="1:8" ht="20.100000000000001" customHeight="1" x14ac:dyDescent="0.25">
      <c r="A693" s="3">
        <v>691</v>
      </c>
      <c r="B693" s="8"/>
      <c r="C693" s="13"/>
      <c r="D693" s="10"/>
      <c r="E693" s="10"/>
      <c r="F693" s="10"/>
      <c r="G693" s="7"/>
      <c r="H693" s="16" t="str">
        <f t="shared" si="10"/>
        <v>(691,,'',,,,),</v>
      </c>
    </row>
    <row r="694" spans="1:8" ht="20.100000000000001" customHeight="1" x14ac:dyDescent="0.25">
      <c r="A694" s="3">
        <v>692</v>
      </c>
      <c r="B694" s="8"/>
      <c r="C694" s="13"/>
      <c r="D694" s="10"/>
      <c r="E694" s="10"/>
      <c r="F694" s="10"/>
      <c r="G694" s="7"/>
      <c r="H694" s="16" t="str">
        <f t="shared" si="10"/>
        <v>(692,,'',,,,),</v>
      </c>
    </row>
    <row r="695" spans="1:8" ht="20.100000000000001" customHeight="1" x14ac:dyDescent="0.25">
      <c r="A695" s="3">
        <v>693</v>
      </c>
      <c r="B695" s="8"/>
      <c r="C695" s="13"/>
      <c r="D695" s="10"/>
      <c r="E695" s="10"/>
      <c r="F695" s="10"/>
      <c r="G695" s="7"/>
      <c r="H695" s="16" t="str">
        <f t="shared" si="10"/>
        <v>(693,,'',,,,),</v>
      </c>
    </row>
    <row r="696" spans="1:8" ht="20.100000000000001" customHeight="1" x14ac:dyDescent="0.25">
      <c r="A696" s="3">
        <v>694</v>
      </c>
      <c r="B696" s="8"/>
      <c r="C696" s="13"/>
      <c r="D696" s="10"/>
      <c r="E696" s="10"/>
      <c r="F696" s="10"/>
      <c r="G696" s="7"/>
      <c r="H696" s="16" t="str">
        <f t="shared" si="10"/>
        <v>(694,,'',,,,),</v>
      </c>
    </row>
    <row r="697" spans="1:8" ht="20.100000000000001" customHeight="1" x14ac:dyDescent="0.25">
      <c r="A697" s="3">
        <v>695</v>
      </c>
      <c r="B697" s="8"/>
      <c r="C697" s="13"/>
      <c r="D697" s="10"/>
      <c r="E697" s="10"/>
      <c r="F697" s="10"/>
      <c r="G697" s="7"/>
      <c r="H697" s="16" t="str">
        <f t="shared" si="10"/>
        <v>(695,,'',,,,),</v>
      </c>
    </row>
    <row r="698" spans="1:8" ht="20.100000000000001" customHeight="1" x14ac:dyDescent="0.25">
      <c r="A698" s="3">
        <v>696</v>
      </c>
      <c r="B698" s="8"/>
      <c r="C698" s="13"/>
      <c r="D698" s="10"/>
      <c r="E698" s="10"/>
      <c r="F698" s="10"/>
      <c r="G698" s="7"/>
      <c r="H698" s="16" t="str">
        <f t="shared" si="10"/>
        <v>(696,,'',,,,),</v>
      </c>
    </row>
    <row r="699" spans="1:8" ht="20.100000000000001" customHeight="1" x14ac:dyDescent="0.25">
      <c r="A699" s="3">
        <v>697</v>
      </c>
      <c r="B699" s="8"/>
      <c r="C699" s="13"/>
      <c r="D699" s="10"/>
      <c r="E699" s="10"/>
      <c r="F699" s="10"/>
      <c r="G699" s="7"/>
      <c r="H699" s="16" t="str">
        <f t="shared" si="10"/>
        <v>(697,,'',,,,),</v>
      </c>
    </row>
    <row r="700" spans="1:8" ht="20.100000000000001" customHeight="1" x14ac:dyDescent="0.25">
      <c r="A700" s="3">
        <v>698</v>
      </c>
      <c r="B700" s="8"/>
      <c r="C700" s="13"/>
      <c r="D700" s="10"/>
      <c r="E700" s="10"/>
      <c r="F700" s="10"/>
      <c r="G700" s="7"/>
      <c r="H700" s="16" t="str">
        <f t="shared" si="10"/>
        <v>(698,,'',,,,),</v>
      </c>
    </row>
    <row r="701" spans="1:8" ht="20.100000000000001" customHeight="1" x14ac:dyDescent="0.25">
      <c r="A701" s="3">
        <v>699</v>
      </c>
      <c r="B701" s="8"/>
      <c r="C701" s="13"/>
      <c r="D701" s="10"/>
      <c r="E701" s="10"/>
      <c r="F701" s="10"/>
      <c r="G701" s="7"/>
      <c r="H701" s="16" t="str">
        <f t="shared" si="10"/>
        <v>(699,,'',,,,),</v>
      </c>
    </row>
    <row r="702" spans="1:8" ht="20.100000000000001" customHeight="1" x14ac:dyDescent="0.25">
      <c r="A702" s="3">
        <v>700</v>
      </c>
      <c r="B702" s="8"/>
      <c r="C702" s="13"/>
      <c r="D702" s="10"/>
      <c r="E702" s="10"/>
      <c r="F702" s="10"/>
      <c r="G702" s="7"/>
      <c r="H702" s="16" t="str">
        <f t="shared" si="10"/>
        <v>(700,,'',,,,),</v>
      </c>
    </row>
    <row r="703" spans="1:8" ht="20.100000000000001" customHeight="1" x14ac:dyDescent="0.25">
      <c r="A703" s="3">
        <v>701</v>
      </c>
      <c r="B703" s="8"/>
      <c r="C703" s="13"/>
      <c r="D703" s="10"/>
      <c r="E703" s="10"/>
      <c r="F703" s="10"/>
      <c r="G703" s="7"/>
      <c r="H703" s="16" t="str">
        <f t="shared" si="10"/>
        <v>(701,,'',,,,),</v>
      </c>
    </row>
    <row r="704" spans="1:8" ht="20.100000000000001" customHeight="1" x14ac:dyDescent="0.25">
      <c r="A704" s="3">
        <v>702</v>
      </c>
      <c r="B704" s="8"/>
      <c r="C704" s="13"/>
      <c r="D704" s="10"/>
      <c r="E704" s="10"/>
      <c r="F704" s="10"/>
      <c r="G704" s="7"/>
      <c r="H704" s="16" t="str">
        <f t="shared" si="10"/>
        <v>(702,,'',,,,),</v>
      </c>
    </row>
    <row r="705" spans="1:8" ht="20.100000000000001" customHeight="1" x14ac:dyDescent="0.25">
      <c r="A705" s="3">
        <v>703</v>
      </c>
      <c r="B705" s="8"/>
      <c r="C705" s="13"/>
      <c r="D705" s="10"/>
      <c r="E705" s="10"/>
      <c r="F705" s="10"/>
      <c r="G705" s="7"/>
      <c r="H705" s="16" t="str">
        <f t="shared" si="10"/>
        <v>(703,,'',,,,),</v>
      </c>
    </row>
    <row r="706" spans="1:8" ht="20.100000000000001" customHeight="1" x14ac:dyDescent="0.25">
      <c r="A706" s="3">
        <v>704</v>
      </c>
      <c r="B706" s="8"/>
      <c r="C706" s="13"/>
      <c r="D706" s="10"/>
      <c r="E706" s="10"/>
      <c r="F706" s="10"/>
      <c r="G706" s="7"/>
      <c r="H706" s="16" t="str">
        <f t="shared" si="10"/>
        <v>(704,,'',,,,),</v>
      </c>
    </row>
    <row r="707" spans="1:8" ht="20.100000000000001" customHeight="1" x14ac:dyDescent="0.25">
      <c r="A707" s="3">
        <v>705</v>
      </c>
      <c r="B707" s="8"/>
      <c r="C707" s="13"/>
      <c r="D707" s="10"/>
      <c r="E707" s="10"/>
      <c r="F707" s="10"/>
      <c r="G707" s="7"/>
      <c r="H707" s="16" t="str">
        <f t="shared" si="10"/>
        <v>(705,,'',,,,),</v>
      </c>
    </row>
    <row r="708" spans="1:8" ht="20.100000000000001" customHeight="1" x14ac:dyDescent="0.25">
      <c r="A708" s="3">
        <v>706</v>
      </c>
      <c r="B708" s="8"/>
      <c r="C708" s="13"/>
      <c r="D708" s="10"/>
      <c r="E708" s="10"/>
      <c r="F708" s="10"/>
      <c r="G708" s="7"/>
      <c r="H708" s="16" t="str">
        <f t="shared" ref="H708:H771" si="11">CONCATENATE("(",A708,",",B708,",'",C708,"',",D708,",",E708,",",F708,",",G708,"),")</f>
        <v>(706,,'',,,,),</v>
      </c>
    </row>
    <row r="709" spans="1:8" ht="20.100000000000001" customHeight="1" x14ac:dyDescent="0.25">
      <c r="A709" s="3">
        <v>707</v>
      </c>
      <c r="B709" s="8"/>
      <c r="C709" s="13"/>
      <c r="D709" s="10"/>
      <c r="E709" s="10"/>
      <c r="F709" s="10"/>
      <c r="G709" s="7"/>
      <c r="H709" s="16" t="str">
        <f t="shared" si="11"/>
        <v>(707,,'',,,,),</v>
      </c>
    </row>
    <row r="710" spans="1:8" ht="20.100000000000001" customHeight="1" x14ac:dyDescent="0.25">
      <c r="A710" s="3">
        <v>708</v>
      </c>
      <c r="B710" s="8"/>
      <c r="C710" s="13"/>
      <c r="D710" s="10"/>
      <c r="E710" s="10"/>
      <c r="F710" s="10"/>
      <c r="G710" s="7"/>
      <c r="H710" s="16" t="str">
        <f t="shared" si="11"/>
        <v>(708,,'',,,,),</v>
      </c>
    </row>
    <row r="711" spans="1:8" ht="20.100000000000001" customHeight="1" x14ac:dyDescent="0.25">
      <c r="A711" s="3">
        <v>709</v>
      </c>
      <c r="B711" s="8"/>
      <c r="C711" s="13"/>
      <c r="D711" s="10"/>
      <c r="E711" s="10"/>
      <c r="F711" s="10"/>
      <c r="G711" s="7"/>
      <c r="H711" s="16" t="str">
        <f t="shared" si="11"/>
        <v>(709,,'',,,,),</v>
      </c>
    </row>
    <row r="712" spans="1:8" ht="20.100000000000001" customHeight="1" x14ac:dyDescent="0.25">
      <c r="A712" s="3">
        <v>710</v>
      </c>
      <c r="B712" s="8"/>
      <c r="C712" s="13"/>
      <c r="D712" s="10"/>
      <c r="E712" s="10"/>
      <c r="F712" s="10"/>
      <c r="G712" s="7"/>
      <c r="H712" s="16" t="str">
        <f t="shared" si="11"/>
        <v>(710,,'',,,,),</v>
      </c>
    </row>
    <row r="713" spans="1:8" ht="20.100000000000001" customHeight="1" x14ac:dyDescent="0.25">
      <c r="A713" s="3">
        <v>711</v>
      </c>
      <c r="B713" s="8"/>
      <c r="C713" s="13"/>
      <c r="D713" s="10"/>
      <c r="E713" s="10"/>
      <c r="F713" s="10"/>
      <c r="G713" s="7"/>
      <c r="H713" s="16" t="str">
        <f t="shared" si="11"/>
        <v>(711,,'',,,,),</v>
      </c>
    </row>
    <row r="714" spans="1:8" ht="20.100000000000001" customHeight="1" x14ac:dyDescent="0.25">
      <c r="A714" s="3">
        <v>712</v>
      </c>
      <c r="B714" s="8"/>
      <c r="C714" s="13"/>
      <c r="D714" s="10"/>
      <c r="E714" s="10"/>
      <c r="F714" s="10"/>
      <c r="G714" s="7"/>
      <c r="H714" s="16" t="str">
        <f t="shared" si="11"/>
        <v>(712,,'',,,,),</v>
      </c>
    </row>
    <row r="715" spans="1:8" ht="20.100000000000001" customHeight="1" x14ac:dyDescent="0.25">
      <c r="A715" s="3">
        <v>713</v>
      </c>
      <c r="B715" s="8"/>
      <c r="C715" s="13"/>
      <c r="D715" s="10"/>
      <c r="E715" s="10"/>
      <c r="F715" s="10"/>
      <c r="G715" s="7"/>
      <c r="H715" s="16" t="str">
        <f t="shared" si="11"/>
        <v>(713,,'',,,,),</v>
      </c>
    </row>
    <row r="716" spans="1:8" ht="20.100000000000001" customHeight="1" x14ac:dyDescent="0.25">
      <c r="A716" s="3">
        <v>714</v>
      </c>
      <c r="B716" s="8"/>
      <c r="C716" s="13"/>
      <c r="D716" s="10"/>
      <c r="E716" s="10"/>
      <c r="F716" s="10"/>
      <c r="G716" s="7"/>
      <c r="H716" s="16" t="str">
        <f t="shared" si="11"/>
        <v>(714,,'',,,,),</v>
      </c>
    </row>
    <row r="717" spans="1:8" ht="20.100000000000001" customHeight="1" x14ac:dyDescent="0.25">
      <c r="A717" s="3">
        <v>715</v>
      </c>
      <c r="B717" s="8"/>
      <c r="C717" s="13"/>
      <c r="D717" s="10"/>
      <c r="E717" s="10"/>
      <c r="F717" s="10"/>
      <c r="G717" s="7"/>
      <c r="H717" s="16" t="str">
        <f t="shared" si="11"/>
        <v>(715,,'',,,,),</v>
      </c>
    </row>
    <row r="718" spans="1:8" ht="20.100000000000001" customHeight="1" x14ac:dyDescent="0.25">
      <c r="A718" s="3">
        <v>716</v>
      </c>
      <c r="B718" s="8"/>
      <c r="C718" s="13"/>
      <c r="D718" s="10"/>
      <c r="E718" s="10"/>
      <c r="F718" s="10"/>
      <c r="G718" s="7"/>
      <c r="H718" s="16" t="str">
        <f t="shared" si="11"/>
        <v>(716,,'',,,,),</v>
      </c>
    </row>
    <row r="719" spans="1:8" ht="20.100000000000001" customHeight="1" x14ac:dyDescent="0.25">
      <c r="A719" s="3">
        <v>717</v>
      </c>
      <c r="B719" s="8"/>
      <c r="C719" s="13"/>
      <c r="D719" s="10"/>
      <c r="E719" s="10"/>
      <c r="F719" s="10"/>
      <c r="G719" s="7"/>
      <c r="H719" s="16" t="str">
        <f t="shared" si="11"/>
        <v>(717,,'',,,,),</v>
      </c>
    </row>
    <row r="720" spans="1:8" ht="20.100000000000001" customHeight="1" x14ac:dyDescent="0.25">
      <c r="A720" s="3">
        <v>718</v>
      </c>
      <c r="B720" s="8"/>
      <c r="C720" s="13"/>
      <c r="D720" s="10"/>
      <c r="E720" s="10"/>
      <c r="F720" s="10"/>
      <c r="G720" s="7"/>
      <c r="H720" s="16" t="str">
        <f t="shared" si="11"/>
        <v>(718,,'',,,,),</v>
      </c>
    </row>
    <row r="721" spans="1:8" ht="20.100000000000001" customHeight="1" x14ac:dyDescent="0.25">
      <c r="A721" s="3">
        <v>719</v>
      </c>
      <c r="B721" s="8"/>
      <c r="C721" s="13"/>
      <c r="D721" s="10"/>
      <c r="E721" s="10"/>
      <c r="F721" s="10"/>
      <c r="G721" s="7"/>
      <c r="H721" s="16" t="str">
        <f t="shared" si="11"/>
        <v>(719,,'',,,,),</v>
      </c>
    </row>
    <row r="722" spans="1:8" ht="20.100000000000001" customHeight="1" x14ac:dyDescent="0.25">
      <c r="A722" s="3">
        <v>720</v>
      </c>
      <c r="B722" s="8"/>
      <c r="C722" s="13"/>
      <c r="D722" s="10"/>
      <c r="E722" s="10"/>
      <c r="F722" s="10"/>
      <c r="G722" s="7"/>
      <c r="H722" s="16" t="str">
        <f t="shared" si="11"/>
        <v>(720,,'',,,,),</v>
      </c>
    </row>
    <row r="723" spans="1:8" ht="20.100000000000001" customHeight="1" x14ac:dyDescent="0.25">
      <c r="A723" s="3">
        <v>721</v>
      </c>
      <c r="B723" s="8"/>
      <c r="C723" s="13"/>
      <c r="D723" s="10"/>
      <c r="E723" s="10"/>
      <c r="F723" s="10"/>
      <c r="G723" s="7"/>
      <c r="H723" s="16" t="str">
        <f t="shared" si="11"/>
        <v>(721,,'',,,,),</v>
      </c>
    </row>
    <row r="724" spans="1:8" ht="20.100000000000001" customHeight="1" x14ac:dyDescent="0.25">
      <c r="A724" s="3">
        <v>722</v>
      </c>
      <c r="B724" s="8"/>
      <c r="C724" s="13"/>
      <c r="D724" s="10"/>
      <c r="E724" s="10"/>
      <c r="F724" s="10"/>
      <c r="G724" s="7"/>
      <c r="H724" s="16" t="str">
        <f t="shared" si="11"/>
        <v>(722,,'',,,,),</v>
      </c>
    </row>
    <row r="725" spans="1:8" ht="20.100000000000001" customHeight="1" x14ac:dyDescent="0.25">
      <c r="A725" s="3">
        <v>723</v>
      </c>
      <c r="B725" s="8"/>
      <c r="C725" s="13"/>
      <c r="D725" s="10"/>
      <c r="E725" s="10"/>
      <c r="F725" s="10"/>
      <c r="G725" s="7"/>
      <c r="H725" s="16" t="str">
        <f t="shared" si="11"/>
        <v>(723,,'',,,,),</v>
      </c>
    </row>
    <row r="726" spans="1:8" ht="20.100000000000001" customHeight="1" x14ac:dyDescent="0.25">
      <c r="A726" s="3">
        <v>724</v>
      </c>
      <c r="B726" s="8"/>
      <c r="C726" s="13"/>
      <c r="D726" s="10"/>
      <c r="E726" s="10"/>
      <c r="F726" s="10"/>
      <c r="G726" s="7"/>
      <c r="H726" s="16" t="str">
        <f t="shared" si="11"/>
        <v>(724,,'',,,,),</v>
      </c>
    </row>
    <row r="727" spans="1:8" ht="20.100000000000001" customHeight="1" x14ac:dyDescent="0.25">
      <c r="A727" s="3">
        <v>725</v>
      </c>
      <c r="B727" s="8"/>
      <c r="C727" s="13"/>
      <c r="D727" s="10"/>
      <c r="E727" s="10"/>
      <c r="F727" s="10"/>
      <c r="G727" s="7"/>
      <c r="H727" s="16" t="str">
        <f t="shared" si="11"/>
        <v>(725,,'',,,,),</v>
      </c>
    </row>
    <row r="728" spans="1:8" ht="20.100000000000001" customHeight="1" x14ac:dyDescent="0.25">
      <c r="A728" s="3">
        <v>726</v>
      </c>
      <c r="B728" s="8"/>
      <c r="C728" s="13"/>
      <c r="D728" s="10"/>
      <c r="E728" s="10"/>
      <c r="F728" s="10"/>
      <c r="G728" s="7"/>
      <c r="H728" s="16" t="str">
        <f t="shared" si="11"/>
        <v>(726,,'',,,,),</v>
      </c>
    </row>
    <row r="729" spans="1:8" ht="20.100000000000001" customHeight="1" x14ac:dyDescent="0.25">
      <c r="A729" s="3">
        <v>727</v>
      </c>
      <c r="B729" s="8"/>
      <c r="C729" s="13"/>
      <c r="D729" s="10"/>
      <c r="E729" s="10"/>
      <c r="F729" s="10"/>
      <c r="G729" s="7"/>
      <c r="H729" s="16" t="str">
        <f t="shared" si="11"/>
        <v>(727,,'',,,,),</v>
      </c>
    </row>
    <row r="730" spans="1:8" ht="20.100000000000001" customHeight="1" x14ac:dyDescent="0.25">
      <c r="A730" s="3">
        <v>728</v>
      </c>
      <c r="B730" s="8"/>
      <c r="C730" s="13"/>
      <c r="D730" s="10"/>
      <c r="E730" s="10"/>
      <c r="F730" s="10"/>
      <c r="G730" s="7"/>
      <c r="H730" s="16" t="str">
        <f t="shared" si="11"/>
        <v>(728,,'',,,,),</v>
      </c>
    </row>
    <row r="731" spans="1:8" ht="20.100000000000001" customHeight="1" x14ac:dyDescent="0.25">
      <c r="A731" s="3">
        <v>729</v>
      </c>
      <c r="B731" s="8"/>
      <c r="C731" s="13"/>
      <c r="D731" s="10"/>
      <c r="E731" s="10"/>
      <c r="F731" s="10"/>
      <c r="G731" s="7"/>
      <c r="H731" s="16" t="str">
        <f t="shared" si="11"/>
        <v>(729,,'',,,,),</v>
      </c>
    </row>
    <row r="732" spans="1:8" ht="20.100000000000001" customHeight="1" x14ac:dyDescent="0.25">
      <c r="A732" s="3">
        <v>730</v>
      </c>
      <c r="B732" s="8"/>
      <c r="C732" s="13"/>
      <c r="D732" s="10"/>
      <c r="E732" s="10"/>
      <c r="F732" s="10"/>
      <c r="G732" s="7"/>
      <c r="H732" s="16" t="str">
        <f t="shared" si="11"/>
        <v>(730,,'',,,,),</v>
      </c>
    </row>
    <row r="733" spans="1:8" ht="20.100000000000001" customHeight="1" x14ac:dyDescent="0.25">
      <c r="A733" s="3">
        <v>731</v>
      </c>
      <c r="B733" s="8"/>
      <c r="C733" s="13"/>
      <c r="D733" s="10"/>
      <c r="E733" s="10"/>
      <c r="F733" s="10"/>
      <c r="G733" s="7"/>
      <c r="H733" s="16" t="str">
        <f t="shared" si="11"/>
        <v>(731,,'',,,,),</v>
      </c>
    </row>
    <row r="734" spans="1:8" ht="20.100000000000001" customHeight="1" x14ac:dyDescent="0.25">
      <c r="A734" s="3">
        <v>732</v>
      </c>
      <c r="B734" s="8"/>
      <c r="C734" s="13"/>
      <c r="D734" s="10"/>
      <c r="E734" s="10"/>
      <c r="F734" s="10"/>
      <c r="G734" s="7"/>
      <c r="H734" s="16" t="str">
        <f t="shared" si="11"/>
        <v>(732,,'',,,,),</v>
      </c>
    </row>
    <row r="735" spans="1:8" ht="20.100000000000001" customHeight="1" x14ac:dyDescent="0.25">
      <c r="A735" s="3">
        <v>733</v>
      </c>
      <c r="B735" s="8"/>
      <c r="C735" s="13"/>
      <c r="D735" s="10"/>
      <c r="E735" s="10"/>
      <c r="F735" s="10"/>
      <c r="G735" s="7"/>
      <c r="H735" s="16" t="str">
        <f t="shared" si="11"/>
        <v>(733,,'',,,,),</v>
      </c>
    </row>
    <row r="736" spans="1:8" ht="20.100000000000001" customHeight="1" x14ac:dyDescent="0.25">
      <c r="A736" s="3">
        <v>734</v>
      </c>
      <c r="B736" s="8"/>
      <c r="C736" s="13"/>
      <c r="D736" s="10"/>
      <c r="E736" s="10"/>
      <c r="F736" s="10"/>
      <c r="G736" s="7"/>
      <c r="H736" s="16" t="str">
        <f t="shared" si="11"/>
        <v>(734,,'',,,,),</v>
      </c>
    </row>
    <row r="737" spans="1:8" ht="20.100000000000001" customHeight="1" x14ac:dyDescent="0.25">
      <c r="A737" s="3">
        <v>735</v>
      </c>
      <c r="B737" s="8"/>
      <c r="C737" s="13"/>
      <c r="D737" s="10"/>
      <c r="E737" s="10"/>
      <c r="F737" s="10"/>
      <c r="G737" s="7"/>
      <c r="H737" s="16" t="str">
        <f t="shared" si="11"/>
        <v>(735,,'',,,,),</v>
      </c>
    </row>
    <row r="738" spans="1:8" ht="20.100000000000001" customHeight="1" x14ac:dyDescent="0.25">
      <c r="A738" s="3">
        <v>736</v>
      </c>
      <c r="B738" s="8"/>
      <c r="C738" s="13"/>
      <c r="D738" s="10"/>
      <c r="E738" s="10"/>
      <c r="F738" s="10"/>
      <c r="G738" s="7"/>
      <c r="H738" s="16" t="str">
        <f t="shared" si="11"/>
        <v>(736,,'',,,,),</v>
      </c>
    </row>
    <row r="739" spans="1:8" ht="20.100000000000001" customHeight="1" x14ac:dyDescent="0.25">
      <c r="A739" s="3">
        <v>737</v>
      </c>
      <c r="B739" s="8"/>
      <c r="C739" s="13"/>
      <c r="D739" s="10"/>
      <c r="E739" s="10"/>
      <c r="F739" s="10"/>
      <c r="G739" s="7"/>
      <c r="H739" s="16" t="str">
        <f t="shared" si="11"/>
        <v>(737,,'',,,,),</v>
      </c>
    </row>
    <row r="740" spans="1:8" ht="20.100000000000001" customHeight="1" x14ac:dyDescent="0.25">
      <c r="A740" s="3">
        <v>738</v>
      </c>
      <c r="B740" s="8"/>
      <c r="C740" s="13"/>
      <c r="D740" s="10"/>
      <c r="E740" s="10"/>
      <c r="F740" s="10"/>
      <c r="G740" s="7"/>
      <c r="H740" s="16" t="str">
        <f t="shared" si="11"/>
        <v>(738,,'',,,,),</v>
      </c>
    </row>
    <row r="741" spans="1:8" ht="20.100000000000001" customHeight="1" x14ac:dyDescent="0.25">
      <c r="A741" s="3">
        <v>739</v>
      </c>
      <c r="B741" s="8"/>
      <c r="C741" s="13"/>
      <c r="D741" s="10"/>
      <c r="E741" s="10"/>
      <c r="F741" s="10"/>
      <c r="G741" s="7"/>
      <c r="H741" s="16" t="str">
        <f t="shared" si="11"/>
        <v>(739,,'',,,,),</v>
      </c>
    </row>
    <row r="742" spans="1:8" ht="20.100000000000001" customHeight="1" x14ac:dyDescent="0.25">
      <c r="A742" s="3">
        <v>740</v>
      </c>
      <c r="B742" s="8"/>
      <c r="C742" s="13"/>
      <c r="D742" s="10"/>
      <c r="E742" s="10"/>
      <c r="F742" s="10"/>
      <c r="G742" s="7"/>
      <c r="H742" s="16" t="str">
        <f t="shared" si="11"/>
        <v>(740,,'',,,,),</v>
      </c>
    </row>
    <row r="743" spans="1:8" ht="20.100000000000001" customHeight="1" x14ac:dyDescent="0.25">
      <c r="A743" s="3">
        <v>741</v>
      </c>
      <c r="B743" s="8"/>
      <c r="C743" s="13"/>
      <c r="D743" s="10"/>
      <c r="E743" s="10"/>
      <c r="F743" s="10"/>
      <c r="G743" s="7"/>
      <c r="H743" s="16" t="str">
        <f t="shared" si="11"/>
        <v>(741,,'',,,,),</v>
      </c>
    </row>
    <row r="744" spans="1:8" ht="20.100000000000001" customHeight="1" x14ac:dyDescent="0.25">
      <c r="A744" s="3">
        <v>742</v>
      </c>
      <c r="B744" s="8"/>
      <c r="C744" s="13"/>
      <c r="D744" s="10"/>
      <c r="E744" s="10"/>
      <c r="F744" s="10"/>
      <c r="G744" s="7"/>
      <c r="H744" s="16" t="str">
        <f t="shared" si="11"/>
        <v>(742,,'',,,,),</v>
      </c>
    </row>
    <row r="745" spans="1:8" ht="20.100000000000001" customHeight="1" x14ac:dyDescent="0.25">
      <c r="A745" s="3">
        <v>743</v>
      </c>
      <c r="B745" s="8"/>
      <c r="C745" s="13"/>
      <c r="D745" s="10"/>
      <c r="E745" s="10"/>
      <c r="F745" s="10"/>
      <c r="G745" s="7"/>
      <c r="H745" s="16" t="str">
        <f t="shared" si="11"/>
        <v>(743,,'',,,,),</v>
      </c>
    </row>
    <row r="746" spans="1:8" ht="20.100000000000001" customHeight="1" x14ac:dyDescent="0.25">
      <c r="A746" s="3">
        <v>744</v>
      </c>
      <c r="B746" s="8"/>
      <c r="C746" s="13"/>
      <c r="D746" s="10"/>
      <c r="E746" s="10"/>
      <c r="F746" s="10"/>
      <c r="G746" s="7"/>
      <c r="H746" s="16" t="str">
        <f t="shared" si="11"/>
        <v>(744,,'',,,,),</v>
      </c>
    </row>
    <row r="747" spans="1:8" ht="20.100000000000001" customHeight="1" x14ac:dyDescent="0.25">
      <c r="A747" s="3">
        <v>745</v>
      </c>
      <c r="B747" s="8"/>
      <c r="C747" s="13"/>
      <c r="D747" s="10"/>
      <c r="E747" s="10"/>
      <c r="F747" s="10"/>
      <c r="G747" s="7"/>
      <c r="H747" s="16" t="str">
        <f t="shared" si="11"/>
        <v>(745,,'',,,,),</v>
      </c>
    </row>
    <row r="748" spans="1:8" ht="20.100000000000001" customHeight="1" x14ac:dyDescent="0.25">
      <c r="A748" s="3">
        <v>746</v>
      </c>
      <c r="B748" s="8"/>
      <c r="C748" s="13"/>
      <c r="D748" s="10"/>
      <c r="E748" s="10"/>
      <c r="F748" s="10"/>
      <c r="G748" s="7"/>
      <c r="H748" s="16" t="str">
        <f t="shared" si="11"/>
        <v>(746,,'',,,,),</v>
      </c>
    </row>
    <row r="749" spans="1:8" ht="20.100000000000001" customHeight="1" x14ac:dyDescent="0.25">
      <c r="A749" s="3">
        <v>747</v>
      </c>
      <c r="B749" s="8"/>
      <c r="C749" s="13"/>
      <c r="D749" s="10"/>
      <c r="E749" s="10"/>
      <c r="F749" s="10"/>
      <c r="G749" s="7"/>
      <c r="H749" s="16" t="str">
        <f t="shared" si="11"/>
        <v>(747,,'',,,,),</v>
      </c>
    </row>
    <row r="750" spans="1:8" ht="20.100000000000001" customHeight="1" x14ac:dyDescent="0.25">
      <c r="A750" s="3">
        <v>748</v>
      </c>
      <c r="B750" s="8"/>
      <c r="C750" s="13"/>
      <c r="D750" s="10"/>
      <c r="E750" s="10"/>
      <c r="F750" s="10"/>
      <c r="G750" s="7"/>
      <c r="H750" s="16" t="str">
        <f t="shared" si="11"/>
        <v>(748,,'',,,,),</v>
      </c>
    </row>
    <row r="751" spans="1:8" ht="20.100000000000001" customHeight="1" x14ac:dyDescent="0.25">
      <c r="A751" s="3">
        <v>749</v>
      </c>
      <c r="B751" s="8"/>
      <c r="C751" s="13"/>
      <c r="D751" s="10"/>
      <c r="E751" s="10"/>
      <c r="F751" s="10"/>
      <c r="G751" s="7"/>
      <c r="H751" s="16" t="str">
        <f t="shared" si="11"/>
        <v>(749,,'',,,,),</v>
      </c>
    </row>
    <row r="752" spans="1:8" ht="20.100000000000001" customHeight="1" x14ac:dyDescent="0.25">
      <c r="A752" s="3">
        <v>750</v>
      </c>
      <c r="B752" s="8"/>
      <c r="C752" s="13"/>
      <c r="D752" s="10"/>
      <c r="E752" s="10"/>
      <c r="F752" s="10"/>
      <c r="G752" s="7"/>
      <c r="H752" s="16" t="str">
        <f t="shared" si="11"/>
        <v>(750,,'',,,,),</v>
      </c>
    </row>
    <row r="753" spans="1:8" ht="20.100000000000001" customHeight="1" x14ac:dyDescent="0.25">
      <c r="A753" s="3">
        <v>751</v>
      </c>
      <c r="B753" s="8"/>
      <c r="C753" s="13"/>
      <c r="D753" s="10"/>
      <c r="E753" s="10"/>
      <c r="F753" s="10"/>
      <c r="G753" s="7"/>
      <c r="H753" s="16" t="str">
        <f t="shared" si="11"/>
        <v>(751,,'',,,,),</v>
      </c>
    </row>
    <row r="754" spans="1:8" ht="20.100000000000001" customHeight="1" x14ac:dyDescent="0.25">
      <c r="A754" s="3">
        <v>752</v>
      </c>
      <c r="B754" s="8"/>
      <c r="C754" s="13"/>
      <c r="D754" s="10"/>
      <c r="E754" s="10"/>
      <c r="F754" s="10"/>
      <c r="G754" s="7"/>
      <c r="H754" s="16" t="str">
        <f t="shared" si="11"/>
        <v>(752,,'',,,,),</v>
      </c>
    </row>
    <row r="755" spans="1:8" ht="20.100000000000001" customHeight="1" x14ac:dyDescent="0.25">
      <c r="A755" s="3">
        <v>753</v>
      </c>
      <c r="B755" s="8"/>
      <c r="C755" s="13"/>
      <c r="D755" s="10"/>
      <c r="E755" s="10"/>
      <c r="F755" s="10"/>
      <c r="G755" s="7"/>
      <c r="H755" s="16" t="str">
        <f t="shared" si="11"/>
        <v>(753,,'',,,,),</v>
      </c>
    </row>
    <row r="756" spans="1:8" ht="20.100000000000001" customHeight="1" x14ac:dyDescent="0.25">
      <c r="A756" s="3">
        <v>754</v>
      </c>
      <c r="B756" s="8"/>
      <c r="C756" s="13"/>
      <c r="D756" s="10"/>
      <c r="E756" s="10"/>
      <c r="F756" s="10"/>
      <c r="G756" s="7"/>
      <c r="H756" s="16" t="str">
        <f t="shared" si="11"/>
        <v>(754,,'',,,,),</v>
      </c>
    </row>
    <row r="757" spans="1:8" ht="20.100000000000001" customHeight="1" x14ac:dyDescent="0.25">
      <c r="A757" s="3">
        <v>755</v>
      </c>
      <c r="B757" s="8"/>
      <c r="C757" s="13"/>
      <c r="D757" s="10"/>
      <c r="E757" s="10"/>
      <c r="F757" s="10"/>
      <c r="G757" s="7"/>
      <c r="H757" s="16" t="str">
        <f t="shared" si="11"/>
        <v>(755,,'',,,,),</v>
      </c>
    </row>
    <row r="758" spans="1:8" ht="20.100000000000001" customHeight="1" x14ac:dyDescent="0.25">
      <c r="A758" s="3">
        <v>756</v>
      </c>
      <c r="B758" s="8"/>
      <c r="C758" s="13"/>
      <c r="D758" s="10"/>
      <c r="E758" s="10"/>
      <c r="F758" s="10"/>
      <c r="G758" s="7"/>
      <c r="H758" s="16" t="str">
        <f t="shared" si="11"/>
        <v>(756,,'',,,,),</v>
      </c>
    </row>
    <row r="759" spans="1:8" ht="20.100000000000001" customHeight="1" x14ac:dyDescent="0.25">
      <c r="A759" s="3">
        <v>757</v>
      </c>
      <c r="B759" s="8"/>
      <c r="C759" s="13"/>
      <c r="D759" s="10"/>
      <c r="E759" s="10"/>
      <c r="F759" s="10"/>
      <c r="G759" s="7"/>
      <c r="H759" s="16" t="str">
        <f t="shared" si="11"/>
        <v>(757,,'',,,,),</v>
      </c>
    </row>
    <row r="760" spans="1:8" ht="20.100000000000001" customHeight="1" x14ac:dyDescent="0.25">
      <c r="A760" s="3">
        <v>758</v>
      </c>
      <c r="B760" s="8"/>
      <c r="C760" s="13"/>
      <c r="D760" s="10"/>
      <c r="E760" s="10"/>
      <c r="F760" s="10"/>
      <c r="G760" s="7"/>
      <c r="H760" s="16" t="str">
        <f t="shared" si="11"/>
        <v>(758,,'',,,,),</v>
      </c>
    </row>
    <row r="761" spans="1:8" ht="20.100000000000001" customHeight="1" x14ac:dyDescent="0.25">
      <c r="A761" s="3">
        <v>759</v>
      </c>
      <c r="B761" s="8"/>
      <c r="C761" s="13"/>
      <c r="D761" s="10"/>
      <c r="E761" s="10"/>
      <c r="F761" s="10"/>
      <c r="G761" s="7"/>
      <c r="H761" s="16" t="str">
        <f t="shared" si="11"/>
        <v>(759,,'',,,,),</v>
      </c>
    </row>
    <row r="762" spans="1:8" ht="20.100000000000001" customHeight="1" x14ac:dyDescent="0.25">
      <c r="A762" s="3">
        <v>760</v>
      </c>
      <c r="B762" s="8"/>
      <c r="C762" s="13"/>
      <c r="D762" s="10"/>
      <c r="E762" s="10"/>
      <c r="F762" s="10"/>
      <c r="G762" s="7"/>
      <c r="H762" s="16" t="str">
        <f t="shared" si="11"/>
        <v>(760,,'',,,,),</v>
      </c>
    </row>
    <row r="763" spans="1:8" ht="20.100000000000001" customHeight="1" x14ac:dyDescent="0.25">
      <c r="A763" s="3">
        <v>761</v>
      </c>
      <c r="B763" s="8"/>
      <c r="C763" s="13"/>
      <c r="D763" s="10"/>
      <c r="E763" s="10"/>
      <c r="F763" s="10"/>
      <c r="G763" s="7"/>
      <c r="H763" s="16" t="str">
        <f t="shared" si="11"/>
        <v>(761,,'',,,,),</v>
      </c>
    </row>
    <row r="764" spans="1:8" ht="20.100000000000001" customHeight="1" x14ac:dyDescent="0.25">
      <c r="A764" s="3">
        <v>762</v>
      </c>
      <c r="B764" s="8"/>
      <c r="C764" s="13"/>
      <c r="D764" s="10"/>
      <c r="E764" s="10"/>
      <c r="F764" s="10"/>
      <c r="G764" s="7"/>
      <c r="H764" s="16" t="str">
        <f t="shared" si="11"/>
        <v>(762,,'',,,,),</v>
      </c>
    </row>
    <row r="765" spans="1:8" ht="20.100000000000001" customHeight="1" x14ac:dyDescent="0.25">
      <c r="A765" s="3">
        <v>763</v>
      </c>
      <c r="B765" s="8"/>
      <c r="C765" s="13"/>
      <c r="D765" s="10"/>
      <c r="E765" s="10"/>
      <c r="F765" s="10"/>
      <c r="G765" s="7"/>
      <c r="H765" s="16" t="str">
        <f t="shared" si="11"/>
        <v>(763,,'',,,,),</v>
      </c>
    </row>
    <row r="766" spans="1:8" ht="20.100000000000001" customHeight="1" x14ac:dyDescent="0.25">
      <c r="A766" s="3">
        <v>764</v>
      </c>
      <c r="B766" s="8"/>
      <c r="C766" s="13"/>
      <c r="D766" s="10"/>
      <c r="E766" s="10"/>
      <c r="F766" s="10"/>
      <c r="G766" s="7"/>
      <c r="H766" s="16" t="str">
        <f t="shared" si="11"/>
        <v>(764,,'',,,,),</v>
      </c>
    </row>
    <row r="767" spans="1:8" ht="20.100000000000001" customHeight="1" x14ac:dyDescent="0.25">
      <c r="A767" s="3">
        <v>765</v>
      </c>
      <c r="B767" s="8"/>
      <c r="C767" s="13"/>
      <c r="D767" s="10"/>
      <c r="E767" s="10"/>
      <c r="F767" s="10"/>
      <c r="G767" s="7"/>
      <c r="H767" s="16" t="str">
        <f t="shared" si="11"/>
        <v>(765,,'',,,,),</v>
      </c>
    </row>
    <row r="768" spans="1:8" ht="20.100000000000001" customHeight="1" x14ac:dyDescent="0.25">
      <c r="A768" s="3">
        <v>766</v>
      </c>
      <c r="B768" s="8"/>
      <c r="C768" s="13"/>
      <c r="D768" s="10"/>
      <c r="E768" s="10"/>
      <c r="F768" s="10"/>
      <c r="G768" s="7"/>
      <c r="H768" s="16" t="str">
        <f t="shared" si="11"/>
        <v>(766,,'',,,,),</v>
      </c>
    </row>
    <row r="769" spans="1:8" ht="20.100000000000001" customHeight="1" x14ac:dyDescent="0.25">
      <c r="A769" s="3">
        <v>767</v>
      </c>
      <c r="B769" s="8"/>
      <c r="C769" s="13"/>
      <c r="D769" s="10"/>
      <c r="E769" s="10"/>
      <c r="F769" s="10"/>
      <c r="G769" s="7"/>
      <c r="H769" s="16" t="str">
        <f t="shared" si="11"/>
        <v>(767,,'',,,,),</v>
      </c>
    </row>
    <row r="770" spans="1:8" ht="20.100000000000001" customHeight="1" x14ac:dyDescent="0.25">
      <c r="A770" s="3">
        <v>768</v>
      </c>
      <c r="B770" s="8"/>
      <c r="C770" s="13"/>
      <c r="D770" s="10"/>
      <c r="E770" s="10"/>
      <c r="F770" s="10"/>
      <c r="G770" s="7"/>
      <c r="H770" s="16" t="str">
        <f t="shared" si="11"/>
        <v>(768,,'',,,,),</v>
      </c>
    </row>
    <row r="771" spans="1:8" ht="20.100000000000001" customHeight="1" x14ac:dyDescent="0.25">
      <c r="A771" s="3">
        <v>769</v>
      </c>
      <c r="B771" s="8"/>
      <c r="C771" s="13"/>
      <c r="D771" s="10"/>
      <c r="E771" s="10"/>
      <c r="F771" s="10"/>
      <c r="G771" s="7"/>
      <c r="H771" s="16" t="str">
        <f t="shared" si="11"/>
        <v>(769,,'',,,,),</v>
      </c>
    </row>
    <row r="772" spans="1:8" ht="20.100000000000001" customHeight="1" x14ac:dyDescent="0.25">
      <c r="A772" s="3">
        <v>770</v>
      </c>
      <c r="B772" s="8"/>
      <c r="C772" s="13"/>
      <c r="D772" s="10"/>
      <c r="E772" s="10"/>
      <c r="F772" s="10"/>
      <c r="G772" s="7"/>
      <c r="H772" s="16" t="str">
        <f t="shared" ref="H772:H835" si="12">CONCATENATE("(",A772,",",B772,",'",C772,"',",D772,",",E772,",",F772,",",G772,"),")</f>
        <v>(770,,'',,,,),</v>
      </c>
    </row>
    <row r="773" spans="1:8" ht="20.100000000000001" customHeight="1" x14ac:dyDescent="0.25">
      <c r="A773" s="3">
        <v>771</v>
      </c>
      <c r="B773" s="8"/>
      <c r="C773" s="13"/>
      <c r="D773" s="10"/>
      <c r="E773" s="10"/>
      <c r="F773" s="10"/>
      <c r="G773" s="7"/>
      <c r="H773" s="16" t="str">
        <f t="shared" si="12"/>
        <v>(771,,'',,,,),</v>
      </c>
    </row>
    <row r="774" spans="1:8" ht="20.100000000000001" customHeight="1" x14ac:dyDescent="0.25">
      <c r="A774" s="3">
        <v>772</v>
      </c>
      <c r="B774" s="8"/>
      <c r="C774" s="13"/>
      <c r="D774" s="10"/>
      <c r="E774" s="10"/>
      <c r="F774" s="10"/>
      <c r="G774" s="7"/>
      <c r="H774" s="16" t="str">
        <f t="shared" si="12"/>
        <v>(772,,'',,,,),</v>
      </c>
    </row>
    <row r="775" spans="1:8" ht="20.100000000000001" customHeight="1" x14ac:dyDescent="0.25">
      <c r="A775" s="3">
        <v>773</v>
      </c>
      <c r="B775" s="8"/>
      <c r="C775" s="13"/>
      <c r="D775" s="10"/>
      <c r="E775" s="10"/>
      <c r="F775" s="10"/>
      <c r="G775" s="7"/>
      <c r="H775" s="16" t="str">
        <f t="shared" si="12"/>
        <v>(773,,'',,,,),</v>
      </c>
    </row>
    <row r="776" spans="1:8" ht="20.100000000000001" customHeight="1" x14ac:dyDescent="0.25">
      <c r="A776" s="3">
        <v>774</v>
      </c>
      <c r="B776" s="8"/>
      <c r="C776" s="13"/>
      <c r="D776" s="10"/>
      <c r="E776" s="10"/>
      <c r="F776" s="10"/>
      <c r="G776" s="7"/>
      <c r="H776" s="16" t="str">
        <f t="shared" si="12"/>
        <v>(774,,'',,,,),</v>
      </c>
    </row>
    <row r="777" spans="1:8" ht="20.100000000000001" customHeight="1" x14ac:dyDescent="0.25">
      <c r="A777" s="3">
        <v>775</v>
      </c>
      <c r="B777" s="8"/>
      <c r="C777" s="13"/>
      <c r="D777" s="10"/>
      <c r="E777" s="10"/>
      <c r="F777" s="10"/>
      <c r="G777" s="7"/>
      <c r="H777" s="16" t="str">
        <f t="shared" si="12"/>
        <v>(775,,'',,,,),</v>
      </c>
    </row>
    <row r="778" spans="1:8" ht="20.100000000000001" customHeight="1" x14ac:dyDescent="0.25">
      <c r="A778" s="3">
        <v>776</v>
      </c>
      <c r="B778" s="8"/>
      <c r="C778" s="13"/>
      <c r="D778" s="10"/>
      <c r="E778" s="10"/>
      <c r="F778" s="10"/>
      <c r="G778" s="7"/>
      <c r="H778" s="16" t="str">
        <f t="shared" si="12"/>
        <v>(776,,'',,,,),</v>
      </c>
    </row>
    <row r="779" spans="1:8" ht="20.100000000000001" customHeight="1" x14ac:dyDescent="0.25">
      <c r="A779" s="3">
        <v>777</v>
      </c>
      <c r="B779" s="8"/>
      <c r="C779" s="13"/>
      <c r="D779" s="10"/>
      <c r="E779" s="10"/>
      <c r="F779" s="10"/>
      <c r="G779" s="7"/>
      <c r="H779" s="16" t="str">
        <f t="shared" si="12"/>
        <v>(777,,'',,,,),</v>
      </c>
    </row>
    <row r="780" spans="1:8" ht="20.100000000000001" customHeight="1" x14ac:dyDescent="0.25">
      <c r="A780" s="3">
        <v>778</v>
      </c>
      <c r="B780" s="8"/>
      <c r="C780" s="13"/>
      <c r="D780" s="10"/>
      <c r="E780" s="10"/>
      <c r="F780" s="10"/>
      <c r="G780" s="7"/>
      <c r="H780" s="16" t="str">
        <f t="shared" si="12"/>
        <v>(778,,'',,,,),</v>
      </c>
    </row>
    <row r="781" spans="1:8" ht="20.100000000000001" customHeight="1" x14ac:dyDescent="0.25">
      <c r="A781" s="3">
        <v>779</v>
      </c>
      <c r="B781" s="8"/>
      <c r="C781" s="13"/>
      <c r="D781" s="10"/>
      <c r="E781" s="10"/>
      <c r="F781" s="10"/>
      <c r="G781" s="7"/>
      <c r="H781" s="16" t="str">
        <f t="shared" si="12"/>
        <v>(779,,'',,,,),</v>
      </c>
    </row>
    <row r="782" spans="1:8" ht="20.100000000000001" customHeight="1" x14ac:dyDescent="0.25">
      <c r="A782" s="3">
        <v>780</v>
      </c>
      <c r="B782" s="8"/>
      <c r="C782" s="13"/>
      <c r="D782" s="10"/>
      <c r="E782" s="10"/>
      <c r="F782" s="10"/>
      <c r="G782" s="7"/>
      <c r="H782" s="16" t="str">
        <f t="shared" si="12"/>
        <v>(780,,'',,,,),</v>
      </c>
    </row>
    <row r="783" spans="1:8" ht="20.100000000000001" customHeight="1" x14ac:dyDescent="0.25">
      <c r="A783" s="3">
        <v>781</v>
      </c>
      <c r="B783" s="8"/>
      <c r="C783" s="13"/>
      <c r="D783" s="10"/>
      <c r="E783" s="10"/>
      <c r="F783" s="10"/>
      <c r="G783" s="7"/>
      <c r="H783" s="16" t="str">
        <f t="shared" si="12"/>
        <v>(781,,'',,,,),</v>
      </c>
    </row>
    <row r="784" spans="1:8" ht="20.100000000000001" customHeight="1" x14ac:dyDescent="0.25">
      <c r="A784" s="3">
        <v>782</v>
      </c>
      <c r="B784" s="8"/>
      <c r="C784" s="13"/>
      <c r="D784" s="10"/>
      <c r="E784" s="10"/>
      <c r="F784" s="10"/>
      <c r="G784" s="7"/>
      <c r="H784" s="16" t="str">
        <f t="shared" si="12"/>
        <v>(782,,'',,,,),</v>
      </c>
    </row>
    <row r="785" spans="1:8" ht="20.100000000000001" customHeight="1" x14ac:dyDescent="0.25">
      <c r="A785" s="3">
        <v>783</v>
      </c>
      <c r="B785" s="8"/>
      <c r="C785" s="13"/>
      <c r="D785" s="10"/>
      <c r="E785" s="10"/>
      <c r="F785" s="10"/>
      <c r="G785" s="7"/>
      <c r="H785" s="16" t="str">
        <f t="shared" si="12"/>
        <v>(783,,'',,,,),</v>
      </c>
    </row>
    <row r="786" spans="1:8" ht="20.100000000000001" customHeight="1" x14ac:dyDescent="0.25">
      <c r="A786" s="3">
        <v>784</v>
      </c>
      <c r="B786" s="8"/>
      <c r="C786" s="13"/>
      <c r="D786" s="10"/>
      <c r="E786" s="10"/>
      <c r="F786" s="10"/>
      <c r="G786" s="7"/>
      <c r="H786" s="16" t="str">
        <f t="shared" si="12"/>
        <v>(784,,'',,,,),</v>
      </c>
    </row>
    <row r="787" spans="1:8" ht="20.100000000000001" customHeight="1" x14ac:dyDescent="0.25">
      <c r="A787" s="3">
        <v>785</v>
      </c>
      <c r="B787" s="8"/>
      <c r="C787" s="13"/>
      <c r="D787" s="10"/>
      <c r="E787" s="10"/>
      <c r="F787" s="10"/>
      <c r="G787" s="7"/>
      <c r="H787" s="16" t="str">
        <f t="shared" si="12"/>
        <v>(785,,'',,,,),</v>
      </c>
    </row>
    <row r="788" spans="1:8" ht="20.100000000000001" customHeight="1" x14ac:dyDescent="0.25">
      <c r="A788" s="3">
        <v>786</v>
      </c>
      <c r="B788" s="8"/>
      <c r="C788" s="13"/>
      <c r="D788" s="10"/>
      <c r="E788" s="10"/>
      <c r="F788" s="10"/>
      <c r="G788" s="7"/>
      <c r="H788" s="16" t="str">
        <f t="shared" si="12"/>
        <v>(786,,'',,,,),</v>
      </c>
    </row>
    <row r="789" spans="1:8" ht="20.100000000000001" customHeight="1" x14ac:dyDescent="0.25">
      <c r="A789" s="3">
        <v>787</v>
      </c>
      <c r="B789" s="8"/>
      <c r="C789" s="13"/>
      <c r="D789" s="10"/>
      <c r="E789" s="10"/>
      <c r="F789" s="10"/>
      <c r="G789" s="7"/>
      <c r="H789" s="16" t="str">
        <f t="shared" si="12"/>
        <v>(787,,'',,,,),</v>
      </c>
    </row>
    <row r="790" spans="1:8" ht="20.100000000000001" customHeight="1" x14ac:dyDescent="0.25">
      <c r="A790" s="3">
        <v>788</v>
      </c>
      <c r="B790" s="8"/>
      <c r="C790" s="13"/>
      <c r="D790" s="10"/>
      <c r="E790" s="10"/>
      <c r="F790" s="10"/>
      <c r="G790" s="7"/>
      <c r="H790" s="16" t="str">
        <f t="shared" si="12"/>
        <v>(788,,'',,,,),</v>
      </c>
    </row>
    <row r="791" spans="1:8" ht="20.100000000000001" customHeight="1" x14ac:dyDescent="0.25">
      <c r="A791" s="3">
        <v>789</v>
      </c>
      <c r="B791" s="8"/>
      <c r="C791" s="13"/>
      <c r="D791" s="10"/>
      <c r="E791" s="10"/>
      <c r="F791" s="10"/>
      <c r="G791" s="7"/>
      <c r="H791" s="16" t="str">
        <f t="shared" si="12"/>
        <v>(789,,'',,,,),</v>
      </c>
    </row>
    <row r="792" spans="1:8" ht="20.100000000000001" customHeight="1" x14ac:dyDescent="0.25">
      <c r="A792" s="3">
        <v>790</v>
      </c>
      <c r="B792" s="8"/>
      <c r="C792" s="13"/>
      <c r="D792" s="10"/>
      <c r="E792" s="10"/>
      <c r="F792" s="10"/>
      <c r="G792" s="7"/>
      <c r="H792" s="16" t="str">
        <f t="shared" si="12"/>
        <v>(790,,'',,,,),</v>
      </c>
    </row>
    <row r="793" spans="1:8" ht="20.100000000000001" customHeight="1" x14ac:dyDescent="0.25">
      <c r="A793" s="3">
        <v>791</v>
      </c>
      <c r="B793" s="8"/>
      <c r="C793" s="13"/>
      <c r="D793" s="10"/>
      <c r="E793" s="10"/>
      <c r="F793" s="10"/>
      <c r="G793" s="7"/>
      <c r="H793" s="16" t="str">
        <f t="shared" si="12"/>
        <v>(791,,'',,,,),</v>
      </c>
    </row>
    <row r="794" spans="1:8" ht="20.100000000000001" customHeight="1" x14ac:dyDescent="0.25">
      <c r="A794" s="3">
        <v>792</v>
      </c>
      <c r="B794" s="8"/>
      <c r="C794" s="13"/>
      <c r="D794" s="10"/>
      <c r="E794" s="10"/>
      <c r="F794" s="10"/>
      <c r="G794" s="7"/>
      <c r="H794" s="16" t="str">
        <f t="shared" si="12"/>
        <v>(792,,'',,,,),</v>
      </c>
    </row>
    <row r="795" spans="1:8" ht="20.100000000000001" customHeight="1" x14ac:dyDescent="0.25">
      <c r="A795" s="3">
        <v>793</v>
      </c>
      <c r="B795" s="8"/>
      <c r="C795" s="13"/>
      <c r="D795" s="10"/>
      <c r="E795" s="10"/>
      <c r="F795" s="10"/>
      <c r="G795" s="7"/>
      <c r="H795" s="16" t="str">
        <f t="shared" si="12"/>
        <v>(793,,'',,,,),</v>
      </c>
    </row>
    <row r="796" spans="1:8" ht="20.100000000000001" customHeight="1" x14ac:dyDescent="0.25">
      <c r="A796" s="3">
        <v>794</v>
      </c>
      <c r="B796" s="8"/>
      <c r="C796" s="13"/>
      <c r="D796" s="10"/>
      <c r="E796" s="10"/>
      <c r="F796" s="10"/>
      <c r="G796" s="7"/>
      <c r="H796" s="16" t="str">
        <f t="shared" si="12"/>
        <v>(794,,'',,,,),</v>
      </c>
    </row>
    <row r="797" spans="1:8" ht="20.100000000000001" customHeight="1" x14ac:dyDescent="0.25">
      <c r="A797" s="3">
        <v>795</v>
      </c>
      <c r="B797" s="8"/>
      <c r="C797" s="13"/>
      <c r="D797" s="10"/>
      <c r="E797" s="10"/>
      <c r="F797" s="10"/>
      <c r="G797" s="7"/>
      <c r="H797" s="16" t="str">
        <f t="shared" si="12"/>
        <v>(795,,'',,,,),</v>
      </c>
    </row>
    <row r="798" spans="1:8" ht="20.100000000000001" customHeight="1" x14ac:dyDescent="0.25">
      <c r="A798" s="3">
        <v>796</v>
      </c>
      <c r="B798" s="8"/>
      <c r="C798" s="13"/>
      <c r="D798" s="10"/>
      <c r="E798" s="10"/>
      <c r="F798" s="10"/>
      <c r="G798" s="7"/>
      <c r="H798" s="16" t="str">
        <f t="shared" si="12"/>
        <v>(796,,'',,,,),</v>
      </c>
    </row>
    <row r="799" spans="1:8" ht="20.100000000000001" customHeight="1" x14ac:dyDescent="0.25">
      <c r="A799" s="3">
        <v>797</v>
      </c>
      <c r="B799" s="8"/>
      <c r="C799" s="13"/>
      <c r="D799" s="10"/>
      <c r="E799" s="10"/>
      <c r="F799" s="10"/>
      <c r="G799" s="7"/>
      <c r="H799" s="16" t="str">
        <f t="shared" si="12"/>
        <v>(797,,'',,,,),</v>
      </c>
    </row>
    <row r="800" spans="1:8" ht="20.100000000000001" customHeight="1" x14ac:dyDescent="0.25">
      <c r="A800" s="3">
        <v>798</v>
      </c>
      <c r="B800" s="8"/>
      <c r="C800" s="13"/>
      <c r="D800" s="10"/>
      <c r="E800" s="10"/>
      <c r="F800" s="10"/>
      <c r="G800" s="7"/>
      <c r="H800" s="16" t="str">
        <f t="shared" si="12"/>
        <v>(798,,'',,,,),</v>
      </c>
    </row>
    <row r="801" spans="1:8" ht="20.100000000000001" customHeight="1" x14ac:dyDescent="0.25">
      <c r="A801" s="3">
        <v>799</v>
      </c>
      <c r="B801" s="8"/>
      <c r="C801" s="13"/>
      <c r="D801" s="10"/>
      <c r="E801" s="10"/>
      <c r="F801" s="10"/>
      <c r="G801" s="7"/>
      <c r="H801" s="16" t="str">
        <f t="shared" si="12"/>
        <v>(799,,'',,,,),</v>
      </c>
    </row>
    <row r="802" spans="1:8" ht="20.100000000000001" customHeight="1" x14ac:dyDescent="0.25">
      <c r="A802" s="3">
        <v>800</v>
      </c>
      <c r="B802" s="8"/>
      <c r="C802" s="13"/>
      <c r="D802" s="10"/>
      <c r="E802" s="10"/>
      <c r="F802" s="10"/>
      <c r="G802" s="7"/>
      <c r="H802" s="16" t="str">
        <f t="shared" si="12"/>
        <v>(800,,'',,,,),</v>
      </c>
    </row>
    <row r="803" spans="1:8" ht="20.100000000000001" customHeight="1" x14ac:dyDescent="0.25">
      <c r="A803" s="3">
        <v>801</v>
      </c>
      <c r="B803" s="8"/>
      <c r="C803" s="13"/>
      <c r="D803" s="10"/>
      <c r="E803" s="10"/>
      <c r="F803" s="10"/>
      <c r="G803" s="7"/>
      <c r="H803" s="16" t="str">
        <f t="shared" si="12"/>
        <v>(801,,'',,,,),</v>
      </c>
    </row>
    <row r="804" spans="1:8" ht="20.100000000000001" customHeight="1" x14ac:dyDescent="0.25">
      <c r="A804" s="3">
        <v>802</v>
      </c>
      <c r="B804" s="8"/>
      <c r="C804" s="13"/>
      <c r="D804" s="10"/>
      <c r="E804" s="10"/>
      <c r="F804" s="10"/>
      <c r="G804" s="7"/>
      <c r="H804" s="16" t="str">
        <f t="shared" si="12"/>
        <v>(802,,'',,,,),</v>
      </c>
    </row>
    <row r="805" spans="1:8" ht="20.100000000000001" customHeight="1" x14ac:dyDescent="0.25">
      <c r="A805" s="3">
        <v>803</v>
      </c>
      <c r="B805" s="8"/>
      <c r="C805" s="13"/>
      <c r="D805" s="10"/>
      <c r="E805" s="10"/>
      <c r="F805" s="10"/>
      <c r="G805" s="7"/>
      <c r="H805" s="16" t="str">
        <f t="shared" si="12"/>
        <v>(803,,'',,,,),</v>
      </c>
    </row>
    <row r="806" spans="1:8" ht="20.100000000000001" customHeight="1" x14ac:dyDescent="0.25">
      <c r="A806" s="3">
        <v>804</v>
      </c>
      <c r="B806" s="8"/>
      <c r="C806" s="13"/>
      <c r="D806" s="10"/>
      <c r="E806" s="10"/>
      <c r="F806" s="10"/>
      <c r="G806" s="7"/>
      <c r="H806" s="16" t="str">
        <f t="shared" si="12"/>
        <v>(804,,'',,,,),</v>
      </c>
    </row>
    <row r="807" spans="1:8" ht="20.100000000000001" customHeight="1" x14ac:dyDescent="0.25">
      <c r="A807" s="3">
        <v>805</v>
      </c>
      <c r="B807" s="8"/>
      <c r="C807" s="13"/>
      <c r="D807" s="10"/>
      <c r="E807" s="10"/>
      <c r="F807" s="10"/>
      <c r="G807" s="7"/>
      <c r="H807" s="16" t="str">
        <f t="shared" si="12"/>
        <v>(805,,'',,,,),</v>
      </c>
    </row>
    <row r="808" spans="1:8" ht="20.100000000000001" customHeight="1" x14ac:dyDescent="0.25">
      <c r="A808" s="3">
        <v>806</v>
      </c>
      <c r="B808" s="8"/>
      <c r="C808" s="13"/>
      <c r="D808" s="10"/>
      <c r="E808" s="10"/>
      <c r="F808" s="10"/>
      <c r="G808" s="7"/>
      <c r="H808" s="16" t="str">
        <f t="shared" si="12"/>
        <v>(806,,'',,,,),</v>
      </c>
    </row>
    <row r="809" spans="1:8" ht="20.100000000000001" customHeight="1" x14ac:dyDescent="0.25">
      <c r="A809" s="3">
        <v>807</v>
      </c>
      <c r="B809" s="8"/>
      <c r="C809" s="13"/>
      <c r="D809" s="10"/>
      <c r="E809" s="10"/>
      <c r="F809" s="10"/>
      <c r="G809" s="7"/>
      <c r="H809" s="16" t="str">
        <f t="shared" si="12"/>
        <v>(807,,'',,,,),</v>
      </c>
    </row>
    <row r="810" spans="1:8" ht="20.100000000000001" customHeight="1" x14ac:dyDescent="0.25">
      <c r="A810" s="3">
        <v>808</v>
      </c>
      <c r="B810" s="8"/>
      <c r="C810" s="13"/>
      <c r="D810" s="10"/>
      <c r="E810" s="10"/>
      <c r="F810" s="10"/>
      <c r="G810" s="7"/>
      <c r="H810" s="16" t="str">
        <f t="shared" si="12"/>
        <v>(808,,'',,,,),</v>
      </c>
    </row>
    <row r="811" spans="1:8" ht="20.100000000000001" customHeight="1" x14ac:dyDescent="0.25">
      <c r="A811" s="3">
        <v>809</v>
      </c>
      <c r="B811" s="8"/>
      <c r="C811" s="13"/>
      <c r="D811" s="10"/>
      <c r="E811" s="10"/>
      <c r="F811" s="10"/>
      <c r="G811" s="7"/>
      <c r="H811" s="16" t="str">
        <f t="shared" si="12"/>
        <v>(809,,'',,,,),</v>
      </c>
    </row>
    <row r="812" spans="1:8" ht="20.100000000000001" customHeight="1" x14ac:dyDescent="0.25">
      <c r="A812" s="3">
        <v>810</v>
      </c>
      <c r="B812" s="8"/>
      <c r="C812" s="13"/>
      <c r="D812" s="10"/>
      <c r="E812" s="10"/>
      <c r="F812" s="10"/>
      <c r="G812" s="7"/>
      <c r="H812" s="16" t="str">
        <f t="shared" si="12"/>
        <v>(810,,'',,,,),</v>
      </c>
    </row>
    <row r="813" spans="1:8" ht="20.100000000000001" customHeight="1" x14ac:dyDescent="0.25">
      <c r="A813" s="3">
        <v>811</v>
      </c>
      <c r="B813" s="8"/>
      <c r="C813" s="13"/>
      <c r="D813" s="10"/>
      <c r="E813" s="10"/>
      <c r="F813" s="10"/>
      <c r="G813" s="7"/>
      <c r="H813" s="16" t="str">
        <f t="shared" si="12"/>
        <v>(811,,'',,,,),</v>
      </c>
    </row>
    <row r="814" spans="1:8" ht="20.100000000000001" customHeight="1" x14ac:dyDescent="0.25">
      <c r="A814" s="3">
        <v>812</v>
      </c>
      <c r="B814" s="8"/>
      <c r="C814" s="13"/>
      <c r="D814" s="10"/>
      <c r="E814" s="10"/>
      <c r="F814" s="10"/>
      <c r="G814" s="7"/>
      <c r="H814" s="16" t="str">
        <f t="shared" si="12"/>
        <v>(812,,'',,,,),</v>
      </c>
    </row>
    <row r="815" spans="1:8" ht="20.100000000000001" customHeight="1" x14ac:dyDescent="0.25">
      <c r="A815" s="3">
        <v>813</v>
      </c>
      <c r="B815" s="8"/>
      <c r="C815" s="13"/>
      <c r="D815" s="10"/>
      <c r="E815" s="10"/>
      <c r="F815" s="10"/>
      <c r="G815" s="7"/>
      <c r="H815" s="16" t="str">
        <f t="shared" si="12"/>
        <v>(813,,'',,,,),</v>
      </c>
    </row>
    <row r="816" spans="1:8" ht="20.100000000000001" customHeight="1" x14ac:dyDescent="0.25">
      <c r="A816" s="3">
        <v>814</v>
      </c>
      <c r="B816" s="8"/>
      <c r="C816" s="13"/>
      <c r="D816" s="10"/>
      <c r="E816" s="10"/>
      <c r="F816" s="10"/>
      <c r="G816" s="7"/>
      <c r="H816" s="16" t="str">
        <f t="shared" si="12"/>
        <v>(814,,'',,,,),</v>
      </c>
    </row>
    <row r="817" spans="1:8" ht="20.100000000000001" customHeight="1" x14ac:dyDescent="0.25">
      <c r="A817" s="3">
        <v>815</v>
      </c>
      <c r="B817" s="8"/>
      <c r="C817" s="13"/>
      <c r="D817" s="10"/>
      <c r="E817" s="10"/>
      <c r="F817" s="10"/>
      <c r="G817" s="7"/>
      <c r="H817" s="16" t="str">
        <f t="shared" si="12"/>
        <v>(815,,'',,,,),</v>
      </c>
    </row>
    <row r="818" spans="1:8" ht="20.100000000000001" customHeight="1" x14ac:dyDescent="0.25">
      <c r="A818" s="3">
        <v>816</v>
      </c>
      <c r="B818" s="8"/>
      <c r="C818" s="13"/>
      <c r="D818" s="10"/>
      <c r="E818" s="10"/>
      <c r="F818" s="10"/>
      <c r="G818" s="7"/>
      <c r="H818" s="16" t="str">
        <f t="shared" si="12"/>
        <v>(816,,'',,,,),</v>
      </c>
    </row>
    <row r="819" spans="1:8" ht="20.100000000000001" customHeight="1" x14ac:dyDescent="0.25">
      <c r="A819" s="3">
        <v>817</v>
      </c>
      <c r="B819" s="8"/>
      <c r="C819" s="13"/>
      <c r="D819" s="10"/>
      <c r="E819" s="10"/>
      <c r="F819" s="10"/>
      <c r="G819" s="7"/>
      <c r="H819" s="16" t="str">
        <f t="shared" si="12"/>
        <v>(817,,'',,,,),</v>
      </c>
    </row>
    <row r="820" spans="1:8" ht="20.100000000000001" customHeight="1" x14ac:dyDescent="0.25">
      <c r="A820" s="3">
        <v>818</v>
      </c>
      <c r="B820" s="8"/>
      <c r="C820" s="13"/>
      <c r="D820" s="10"/>
      <c r="E820" s="10"/>
      <c r="F820" s="10"/>
      <c r="G820" s="7"/>
      <c r="H820" s="16" t="str">
        <f t="shared" si="12"/>
        <v>(818,,'',,,,),</v>
      </c>
    </row>
    <row r="821" spans="1:8" ht="20.100000000000001" customHeight="1" x14ac:dyDescent="0.25">
      <c r="A821" s="3">
        <v>819</v>
      </c>
      <c r="B821" s="8"/>
      <c r="C821" s="13"/>
      <c r="D821" s="10"/>
      <c r="E821" s="10"/>
      <c r="F821" s="10"/>
      <c r="G821" s="7"/>
      <c r="H821" s="16" t="str">
        <f t="shared" si="12"/>
        <v>(819,,'',,,,),</v>
      </c>
    </row>
    <row r="822" spans="1:8" ht="20.100000000000001" customHeight="1" x14ac:dyDescent="0.25">
      <c r="A822" s="3">
        <v>820</v>
      </c>
      <c r="B822" s="8"/>
      <c r="C822" s="13"/>
      <c r="D822" s="10"/>
      <c r="E822" s="10"/>
      <c r="F822" s="10"/>
      <c r="G822" s="7"/>
      <c r="H822" s="16" t="str">
        <f t="shared" si="12"/>
        <v>(820,,'',,,,),</v>
      </c>
    </row>
    <row r="823" spans="1:8" ht="20.100000000000001" customHeight="1" x14ac:dyDescent="0.25">
      <c r="A823" s="3">
        <v>821</v>
      </c>
      <c r="B823" s="8"/>
      <c r="C823" s="13"/>
      <c r="D823" s="10"/>
      <c r="E823" s="10"/>
      <c r="F823" s="10"/>
      <c r="G823" s="7"/>
      <c r="H823" s="16" t="str">
        <f t="shared" si="12"/>
        <v>(821,,'',,,,),</v>
      </c>
    </row>
    <row r="824" spans="1:8" ht="20.100000000000001" customHeight="1" x14ac:dyDescent="0.25">
      <c r="A824" s="3">
        <v>822</v>
      </c>
      <c r="B824" s="8"/>
      <c r="C824" s="13"/>
      <c r="D824" s="10"/>
      <c r="E824" s="10"/>
      <c r="F824" s="10"/>
      <c r="G824" s="7"/>
      <c r="H824" s="16" t="str">
        <f t="shared" si="12"/>
        <v>(822,,'',,,,),</v>
      </c>
    </row>
    <row r="825" spans="1:8" ht="20.100000000000001" customHeight="1" x14ac:dyDescent="0.25">
      <c r="A825" s="3">
        <v>823</v>
      </c>
      <c r="B825" s="8"/>
      <c r="C825" s="13"/>
      <c r="D825" s="10"/>
      <c r="E825" s="10"/>
      <c r="F825" s="10"/>
      <c r="G825" s="7"/>
      <c r="H825" s="16" t="str">
        <f t="shared" si="12"/>
        <v>(823,,'',,,,),</v>
      </c>
    </row>
    <row r="826" spans="1:8" ht="20.100000000000001" customHeight="1" x14ac:dyDescent="0.25">
      <c r="A826" s="3">
        <v>824</v>
      </c>
      <c r="B826" s="8"/>
      <c r="C826" s="13"/>
      <c r="D826" s="10"/>
      <c r="E826" s="10"/>
      <c r="F826" s="10"/>
      <c r="G826" s="7"/>
      <c r="H826" s="16" t="str">
        <f t="shared" si="12"/>
        <v>(824,,'',,,,),</v>
      </c>
    </row>
    <row r="827" spans="1:8" ht="20.100000000000001" customHeight="1" x14ac:dyDescent="0.25">
      <c r="A827" s="3">
        <v>825</v>
      </c>
      <c r="B827" s="8"/>
      <c r="C827" s="13"/>
      <c r="D827" s="10"/>
      <c r="E827" s="10"/>
      <c r="F827" s="10"/>
      <c r="G827" s="7"/>
      <c r="H827" s="16" t="str">
        <f t="shared" si="12"/>
        <v>(825,,'',,,,),</v>
      </c>
    </row>
    <row r="828" spans="1:8" ht="20.100000000000001" customHeight="1" x14ac:dyDescent="0.25">
      <c r="A828" s="3">
        <v>826</v>
      </c>
      <c r="B828" s="8"/>
      <c r="C828" s="13"/>
      <c r="D828" s="10"/>
      <c r="E828" s="10"/>
      <c r="F828" s="10"/>
      <c r="G828" s="7"/>
      <c r="H828" s="16" t="str">
        <f t="shared" si="12"/>
        <v>(826,,'',,,,),</v>
      </c>
    </row>
    <row r="829" spans="1:8" ht="20.100000000000001" customHeight="1" x14ac:dyDescent="0.25">
      <c r="A829" s="3">
        <v>827</v>
      </c>
      <c r="B829" s="8"/>
      <c r="C829" s="13"/>
      <c r="D829" s="10"/>
      <c r="E829" s="10"/>
      <c r="F829" s="10"/>
      <c r="G829" s="7"/>
      <c r="H829" s="16" t="str">
        <f t="shared" si="12"/>
        <v>(827,,'',,,,),</v>
      </c>
    </row>
    <row r="830" spans="1:8" ht="20.100000000000001" customHeight="1" x14ac:dyDescent="0.25">
      <c r="A830" s="3">
        <v>828</v>
      </c>
      <c r="B830" s="8"/>
      <c r="C830" s="13"/>
      <c r="D830" s="10"/>
      <c r="E830" s="10"/>
      <c r="F830" s="10"/>
      <c r="G830" s="7"/>
      <c r="H830" s="16" t="str">
        <f t="shared" si="12"/>
        <v>(828,,'',,,,),</v>
      </c>
    </row>
    <row r="831" spans="1:8" ht="20.100000000000001" customHeight="1" x14ac:dyDescent="0.25">
      <c r="A831" s="3">
        <v>829</v>
      </c>
      <c r="B831" s="8"/>
      <c r="C831" s="13"/>
      <c r="D831" s="10"/>
      <c r="E831" s="10"/>
      <c r="F831" s="10"/>
      <c r="G831" s="7"/>
      <c r="H831" s="16" t="str">
        <f t="shared" si="12"/>
        <v>(829,,'',,,,),</v>
      </c>
    </row>
    <row r="832" spans="1:8" ht="20.100000000000001" customHeight="1" x14ac:dyDescent="0.25">
      <c r="A832" s="3">
        <v>830</v>
      </c>
      <c r="B832" s="8"/>
      <c r="C832" s="13"/>
      <c r="D832" s="10"/>
      <c r="E832" s="10"/>
      <c r="F832" s="10"/>
      <c r="G832" s="7"/>
      <c r="H832" s="16" t="str">
        <f t="shared" si="12"/>
        <v>(830,,'',,,,),</v>
      </c>
    </row>
    <row r="833" spans="1:8" ht="20.100000000000001" customHeight="1" x14ac:dyDescent="0.25">
      <c r="A833" s="3">
        <v>831</v>
      </c>
      <c r="B833" s="8"/>
      <c r="C833" s="13"/>
      <c r="D833" s="10"/>
      <c r="E833" s="10"/>
      <c r="F833" s="10"/>
      <c r="G833" s="7"/>
      <c r="H833" s="16" t="str">
        <f t="shared" si="12"/>
        <v>(831,,'',,,,),</v>
      </c>
    </row>
    <row r="834" spans="1:8" ht="20.100000000000001" customHeight="1" x14ac:dyDescent="0.25">
      <c r="A834" s="3">
        <v>832</v>
      </c>
      <c r="B834" s="8"/>
      <c r="C834" s="13"/>
      <c r="D834" s="10"/>
      <c r="E834" s="10"/>
      <c r="F834" s="10"/>
      <c r="G834" s="7"/>
      <c r="H834" s="16" t="str">
        <f t="shared" si="12"/>
        <v>(832,,'',,,,),</v>
      </c>
    </row>
    <row r="835" spans="1:8" ht="20.100000000000001" customHeight="1" x14ac:dyDescent="0.25">
      <c r="A835" s="3">
        <v>833</v>
      </c>
      <c r="B835" s="8"/>
      <c r="C835" s="13"/>
      <c r="D835" s="10"/>
      <c r="E835" s="10"/>
      <c r="F835" s="10"/>
      <c r="G835" s="7"/>
      <c r="H835" s="16" t="str">
        <f t="shared" si="12"/>
        <v>(833,,'',,,,),</v>
      </c>
    </row>
    <row r="836" spans="1:8" ht="20.100000000000001" customHeight="1" x14ac:dyDescent="0.25">
      <c r="A836" s="3">
        <v>834</v>
      </c>
      <c r="B836" s="8"/>
      <c r="C836" s="13"/>
      <c r="D836" s="10"/>
      <c r="E836" s="10"/>
      <c r="F836" s="10"/>
      <c r="G836" s="7"/>
      <c r="H836" s="16" t="str">
        <f t="shared" ref="H836:H899" si="13">CONCATENATE("(",A836,",",B836,",'",C836,"',",D836,",",E836,",",F836,",",G836,"),")</f>
        <v>(834,,'',,,,),</v>
      </c>
    </row>
    <row r="837" spans="1:8" ht="20.100000000000001" customHeight="1" x14ac:dyDescent="0.25">
      <c r="A837" s="3">
        <v>835</v>
      </c>
      <c r="B837" s="8"/>
      <c r="C837" s="13"/>
      <c r="D837" s="10"/>
      <c r="E837" s="10"/>
      <c r="F837" s="10"/>
      <c r="G837" s="7"/>
      <c r="H837" s="16" t="str">
        <f t="shared" si="13"/>
        <v>(835,,'',,,,),</v>
      </c>
    </row>
    <row r="838" spans="1:8" ht="20.100000000000001" customHeight="1" x14ac:dyDescent="0.25">
      <c r="A838" s="3">
        <v>836</v>
      </c>
      <c r="B838" s="8"/>
      <c r="C838" s="13"/>
      <c r="D838" s="10"/>
      <c r="E838" s="10"/>
      <c r="F838" s="10"/>
      <c r="G838" s="7"/>
      <c r="H838" s="16" t="str">
        <f t="shared" si="13"/>
        <v>(836,,'',,,,),</v>
      </c>
    </row>
    <row r="839" spans="1:8" ht="20.100000000000001" customHeight="1" x14ac:dyDescent="0.25">
      <c r="A839" s="3">
        <v>837</v>
      </c>
      <c r="B839" s="8"/>
      <c r="C839" s="13"/>
      <c r="D839" s="10"/>
      <c r="E839" s="10"/>
      <c r="F839" s="10"/>
      <c r="G839" s="7"/>
      <c r="H839" s="16" t="str">
        <f t="shared" si="13"/>
        <v>(837,,'',,,,),</v>
      </c>
    </row>
    <row r="840" spans="1:8" ht="20.100000000000001" customHeight="1" x14ac:dyDescent="0.25">
      <c r="A840" s="3">
        <v>838</v>
      </c>
      <c r="B840" s="8"/>
      <c r="C840" s="13"/>
      <c r="D840" s="10"/>
      <c r="E840" s="10"/>
      <c r="F840" s="10"/>
      <c r="G840" s="7"/>
      <c r="H840" s="16" t="str">
        <f t="shared" si="13"/>
        <v>(838,,'',,,,),</v>
      </c>
    </row>
    <row r="841" spans="1:8" ht="20.100000000000001" customHeight="1" x14ac:dyDescent="0.25">
      <c r="A841" s="3">
        <v>839</v>
      </c>
      <c r="B841" s="8"/>
      <c r="C841" s="13"/>
      <c r="D841" s="10"/>
      <c r="E841" s="10"/>
      <c r="F841" s="10"/>
      <c r="G841" s="7"/>
      <c r="H841" s="16" t="str">
        <f t="shared" si="13"/>
        <v>(839,,'',,,,),</v>
      </c>
    </row>
    <row r="842" spans="1:8" ht="20.100000000000001" customHeight="1" x14ac:dyDescent="0.25">
      <c r="A842" s="3">
        <v>840</v>
      </c>
      <c r="B842" s="8"/>
      <c r="C842" s="13"/>
      <c r="D842" s="10"/>
      <c r="E842" s="10"/>
      <c r="F842" s="10"/>
      <c r="G842" s="7"/>
      <c r="H842" s="16" t="str">
        <f t="shared" si="13"/>
        <v>(840,,'',,,,),</v>
      </c>
    </row>
    <row r="843" spans="1:8" ht="20.100000000000001" customHeight="1" x14ac:dyDescent="0.25">
      <c r="A843" s="3">
        <v>841</v>
      </c>
      <c r="B843" s="8"/>
      <c r="C843" s="13"/>
      <c r="D843" s="10"/>
      <c r="E843" s="10"/>
      <c r="F843" s="10"/>
      <c r="G843" s="7"/>
      <c r="H843" s="16" t="str">
        <f t="shared" si="13"/>
        <v>(841,,'',,,,),</v>
      </c>
    </row>
    <row r="844" spans="1:8" ht="20.100000000000001" customHeight="1" x14ac:dyDescent="0.25">
      <c r="A844" s="3">
        <v>842</v>
      </c>
      <c r="B844" s="8"/>
      <c r="C844" s="13"/>
      <c r="D844" s="10"/>
      <c r="E844" s="10"/>
      <c r="F844" s="10"/>
      <c r="G844" s="7"/>
      <c r="H844" s="16" t="str">
        <f t="shared" si="13"/>
        <v>(842,,'',,,,),</v>
      </c>
    </row>
    <row r="845" spans="1:8" ht="20.100000000000001" customHeight="1" x14ac:dyDescent="0.25">
      <c r="A845" s="3">
        <v>843</v>
      </c>
      <c r="B845" s="8"/>
      <c r="C845" s="13"/>
      <c r="D845" s="10"/>
      <c r="E845" s="10"/>
      <c r="F845" s="10"/>
      <c r="G845" s="7"/>
      <c r="H845" s="16" t="str">
        <f t="shared" si="13"/>
        <v>(843,,'',,,,),</v>
      </c>
    </row>
    <row r="846" spans="1:8" ht="20.100000000000001" customHeight="1" x14ac:dyDescent="0.25">
      <c r="A846" s="3">
        <v>844</v>
      </c>
      <c r="B846" s="8"/>
      <c r="C846" s="13"/>
      <c r="D846" s="10"/>
      <c r="E846" s="10"/>
      <c r="F846" s="10"/>
      <c r="G846" s="7"/>
      <c r="H846" s="16" t="str">
        <f t="shared" si="13"/>
        <v>(844,,'',,,,),</v>
      </c>
    </row>
    <row r="847" spans="1:8" ht="20.100000000000001" customHeight="1" x14ac:dyDescent="0.25">
      <c r="A847" s="3">
        <v>845</v>
      </c>
      <c r="B847" s="8"/>
      <c r="C847" s="13"/>
      <c r="D847" s="10"/>
      <c r="E847" s="10"/>
      <c r="F847" s="10"/>
      <c r="G847" s="7"/>
      <c r="H847" s="16" t="str">
        <f t="shared" si="13"/>
        <v>(845,,'',,,,),</v>
      </c>
    </row>
    <row r="848" spans="1:8" ht="20.100000000000001" customHeight="1" x14ac:dyDescent="0.25">
      <c r="A848" s="3">
        <v>846</v>
      </c>
      <c r="B848" s="8"/>
      <c r="C848" s="13"/>
      <c r="D848" s="10"/>
      <c r="E848" s="10"/>
      <c r="F848" s="10"/>
      <c r="G848" s="7"/>
      <c r="H848" s="16" t="str">
        <f t="shared" si="13"/>
        <v>(846,,'',,,,),</v>
      </c>
    </row>
    <row r="849" spans="1:8" ht="20.100000000000001" customHeight="1" x14ac:dyDescent="0.25">
      <c r="A849" s="3">
        <v>847</v>
      </c>
      <c r="B849" s="8"/>
      <c r="C849" s="13"/>
      <c r="D849" s="10"/>
      <c r="E849" s="10"/>
      <c r="F849" s="10"/>
      <c r="G849" s="7"/>
      <c r="H849" s="16" t="str">
        <f t="shared" si="13"/>
        <v>(847,,'',,,,),</v>
      </c>
    </row>
    <row r="850" spans="1:8" ht="20.100000000000001" customHeight="1" x14ac:dyDescent="0.25">
      <c r="A850" s="3">
        <v>848</v>
      </c>
      <c r="B850" s="8"/>
      <c r="C850" s="13"/>
      <c r="D850" s="10"/>
      <c r="E850" s="10"/>
      <c r="F850" s="10"/>
      <c r="G850" s="7"/>
      <c r="H850" s="16" t="str">
        <f t="shared" si="13"/>
        <v>(848,,'',,,,),</v>
      </c>
    </row>
    <row r="851" spans="1:8" ht="20.100000000000001" customHeight="1" x14ac:dyDescent="0.25">
      <c r="A851" s="3">
        <v>849</v>
      </c>
      <c r="B851" s="8"/>
      <c r="C851" s="13"/>
      <c r="D851" s="10"/>
      <c r="E851" s="10"/>
      <c r="F851" s="10"/>
      <c r="G851" s="7"/>
      <c r="H851" s="16" t="str">
        <f t="shared" si="13"/>
        <v>(849,,'',,,,),</v>
      </c>
    </row>
    <row r="852" spans="1:8" ht="20.100000000000001" customHeight="1" x14ac:dyDescent="0.25">
      <c r="A852" s="3">
        <v>850</v>
      </c>
      <c r="B852" s="8"/>
      <c r="C852" s="13"/>
      <c r="D852" s="10"/>
      <c r="E852" s="10"/>
      <c r="F852" s="10"/>
      <c r="G852" s="7"/>
      <c r="H852" s="16" t="str">
        <f t="shared" si="13"/>
        <v>(850,,'',,,,),</v>
      </c>
    </row>
    <row r="853" spans="1:8" ht="20.100000000000001" customHeight="1" x14ac:dyDescent="0.25">
      <c r="A853" s="3">
        <v>851</v>
      </c>
      <c r="B853" s="8"/>
      <c r="C853" s="13"/>
      <c r="D853" s="10"/>
      <c r="E853" s="10"/>
      <c r="F853" s="10"/>
      <c r="G853" s="7"/>
      <c r="H853" s="16" t="str">
        <f t="shared" si="13"/>
        <v>(851,,'',,,,),</v>
      </c>
    </row>
    <row r="854" spans="1:8" ht="20.100000000000001" customHeight="1" x14ac:dyDescent="0.25">
      <c r="A854" s="3">
        <v>852</v>
      </c>
      <c r="B854" s="8"/>
      <c r="C854" s="13"/>
      <c r="D854" s="10"/>
      <c r="E854" s="10"/>
      <c r="F854" s="10"/>
      <c r="G854" s="7"/>
      <c r="H854" s="16" t="str">
        <f t="shared" si="13"/>
        <v>(852,,'',,,,),</v>
      </c>
    </row>
    <row r="855" spans="1:8" ht="20.100000000000001" customHeight="1" x14ac:dyDescent="0.25">
      <c r="A855" s="3">
        <v>853</v>
      </c>
      <c r="B855" s="8"/>
      <c r="C855" s="13"/>
      <c r="D855" s="10"/>
      <c r="E855" s="10"/>
      <c r="F855" s="10"/>
      <c r="G855" s="7"/>
      <c r="H855" s="16" t="str">
        <f t="shared" si="13"/>
        <v>(853,,'',,,,),</v>
      </c>
    </row>
    <row r="856" spans="1:8" ht="20.100000000000001" customHeight="1" x14ac:dyDescent="0.25">
      <c r="A856" s="3">
        <v>854</v>
      </c>
      <c r="B856" s="8"/>
      <c r="C856" s="13"/>
      <c r="D856" s="10"/>
      <c r="E856" s="10"/>
      <c r="F856" s="10"/>
      <c r="G856" s="7"/>
      <c r="H856" s="16" t="str">
        <f t="shared" si="13"/>
        <v>(854,,'',,,,),</v>
      </c>
    </row>
    <row r="857" spans="1:8" ht="20.100000000000001" customHeight="1" x14ac:dyDescent="0.25">
      <c r="A857" s="3">
        <v>855</v>
      </c>
      <c r="B857" s="8"/>
      <c r="C857" s="13"/>
      <c r="D857" s="10"/>
      <c r="E857" s="10"/>
      <c r="F857" s="10"/>
      <c r="G857" s="7"/>
      <c r="H857" s="16" t="str">
        <f t="shared" si="13"/>
        <v>(855,,'',,,,),</v>
      </c>
    </row>
    <row r="858" spans="1:8" ht="20.100000000000001" customHeight="1" x14ac:dyDescent="0.25">
      <c r="A858" s="3">
        <v>856</v>
      </c>
      <c r="B858" s="8"/>
      <c r="C858" s="13"/>
      <c r="D858" s="10"/>
      <c r="E858" s="10"/>
      <c r="F858" s="10"/>
      <c r="G858" s="7"/>
      <c r="H858" s="16" t="str">
        <f t="shared" si="13"/>
        <v>(856,,'',,,,),</v>
      </c>
    </row>
    <row r="859" spans="1:8" ht="20.100000000000001" customHeight="1" x14ac:dyDescent="0.25">
      <c r="A859" s="3">
        <v>857</v>
      </c>
      <c r="B859" s="8"/>
      <c r="C859" s="13"/>
      <c r="D859" s="10"/>
      <c r="E859" s="10"/>
      <c r="F859" s="10"/>
      <c r="G859" s="7"/>
      <c r="H859" s="16" t="str">
        <f t="shared" si="13"/>
        <v>(857,,'',,,,),</v>
      </c>
    </row>
    <row r="860" spans="1:8" ht="20.100000000000001" customHeight="1" x14ac:dyDescent="0.25">
      <c r="A860" s="3">
        <v>858</v>
      </c>
      <c r="B860" s="8"/>
      <c r="C860" s="13"/>
      <c r="D860" s="10"/>
      <c r="E860" s="10"/>
      <c r="F860" s="10"/>
      <c r="G860" s="7"/>
      <c r="H860" s="16" t="str">
        <f t="shared" si="13"/>
        <v>(858,,'',,,,),</v>
      </c>
    </row>
    <row r="861" spans="1:8" ht="20.100000000000001" customHeight="1" x14ac:dyDescent="0.25">
      <c r="A861" s="3">
        <v>859</v>
      </c>
      <c r="B861" s="8"/>
      <c r="C861" s="13"/>
      <c r="D861" s="10"/>
      <c r="E861" s="10"/>
      <c r="F861" s="10"/>
      <c r="G861" s="7"/>
      <c r="H861" s="16" t="str">
        <f t="shared" si="13"/>
        <v>(859,,'',,,,),</v>
      </c>
    </row>
    <row r="862" spans="1:8" ht="20.100000000000001" customHeight="1" x14ac:dyDescent="0.25">
      <c r="A862" s="3">
        <v>860</v>
      </c>
      <c r="B862" s="8"/>
      <c r="C862" s="13"/>
      <c r="D862" s="10"/>
      <c r="E862" s="10"/>
      <c r="F862" s="10"/>
      <c r="G862" s="7"/>
      <c r="H862" s="16" t="str">
        <f t="shared" si="13"/>
        <v>(860,,'',,,,),</v>
      </c>
    </row>
    <row r="863" spans="1:8" ht="20.100000000000001" customHeight="1" x14ac:dyDescent="0.25">
      <c r="A863" s="3">
        <v>861</v>
      </c>
      <c r="B863" s="8"/>
      <c r="C863" s="13"/>
      <c r="D863" s="10"/>
      <c r="E863" s="10"/>
      <c r="F863" s="10"/>
      <c r="G863" s="7"/>
      <c r="H863" s="16" t="str">
        <f t="shared" si="13"/>
        <v>(861,,'',,,,),</v>
      </c>
    </row>
    <row r="864" spans="1:8" ht="20.100000000000001" customHeight="1" x14ac:dyDescent="0.25">
      <c r="A864" s="3">
        <v>862</v>
      </c>
      <c r="B864" s="8"/>
      <c r="C864" s="13"/>
      <c r="D864" s="10"/>
      <c r="E864" s="10"/>
      <c r="F864" s="10"/>
      <c r="G864" s="7"/>
      <c r="H864" s="16" t="str">
        <f t="shared" si="13"/>
        <v>(862,,'',,,,),</v>
      </c>
    </row>
    <row r="865" spans="1:8" ht="20.100000000000001" customHeight="1" x14ac:dyDescent="0.25">
      <c r="A865" s="3">
        <v>863</v>
      </c>
      <c r="B865" s="8"/>
      <c r="C865" s="13"/>
      <c r="D865" s="10"/>
      <c r="E865" s="10"/>
      <c r="F865" s="10"/>
      <c r="G865" s="7"/>
      <c r="H865" s="16" t="str">
        <f t="shared" si="13"/>
        <v>(863,,'',,,,),</v>
      </c>
    </row>
    <row r="866" spans="1:8" ht="20.100000000000001" customHeight="1" x14ac:dyDescent="0.25">
      <c r="A866" s="3">
        <v>864</v>
      </c>
      <c r="B866" s="8"/>
      <c r="C866" s="13"/>
      <c r="D866" s="10"/>
      <c r="E866" s="10"/>
      <c r="F866" s="10"/>
      <c r="G866" s="7"/>
      <c r="H866" s="16" t="str">
        <f t="shared" si="13"/>
        <v>(864,,'',,,,),</v>
      </c>
    </row>
    <row r="867" spans="1:8" ht="20.100000000000001" customHeight="1" x14ac:dyDescent="0.25">
      <c r="A867" s="3">
        <v>865</v>
      </c>
      <c r="B867" s="8"/>
      <c r="C867" s="13"/>
      <c r="D867" s="10"/>
      <c r="E867" s="10"/>
      <c r="F867" s="10"/>
      <c r="G867" s="7"/>
      <c r="H867" s="16" t="str">
        <f t="shared" si="13"/>
        <v>(865,,'',,,,),</v>
      </c>
    </row>
    <row r="868" spans="1:8" ht="20.100000000000001" customHeight="1" x14ac:dyDescent="0.25">
      <c r="A868" s="3">
        <v>866</v>
      </c>
      <c r="B868" s="8"/>
      <c r="C868" s="13"/>
      <c r="D868" s="10"/>
      <c r="E868" s="10"/>
      <c r="F868" s="10"/>
      <c r="G868" s="7"/>
      <c r="H868" s="16" t="str">
        <f t="shared" si="13"/>
        <v>(866,,'',,,,),</v>
      </c>
    </row>
    <row r="869" spans="1:8" ht="20.100000000000001" customHeight="1" x14ac:dyDescent="0.25">
      <c r="A869" s="3">
        <v>867</v>
      </c>
      <c r="B869" s="8"/>
      <c r="C869" s="13"/>
      <c r="D869" s="10"/>
      <c r="E869" s="10"/>
      <c r="F869" s="10"/>
      <c r="G869" s="7"/>
      <c r="H869" s="16" t="str">
        <f t="shared" si="13"/>
        <v>(867,,'',,,,),</v>
      </c>
    </row>
    <row r="870" spans="1:8" ht="20.100000000000001" customHeight="1" x14ac:dyDescent="0.25">
      <c r="A870" s="3">
        <v>868</v>
      </c>
      <c r="B870" s="8"/>
      <c r="C870" s="13"/>
      <c r="D870" s="10"/>
      <c r="E870" s="10"/>
      <c r="F870" s="10"/>
      <c r="G870" s="7"/>
      <c r="H870" s="16" t="str">
        <f t="shared" si="13"/>
        <v>(868,,'',,,,),</v>
      </c>
    </row>
    <row r="871" spans="1:8" ht="20.100000000000001" customHeight="1" x14ac:dyDescent="0.25">
      <c r="A871" s="3">
        <v>869</v>
      </c>
      <c r="B871" s="8"/>
      <c r="C871" s="13"/>
      <c r="D871" s="10"/>
      <c r="E871" s="10"/>
      <c r="F871" s="10"/>
      <c r="G871" s="7"/>
      <c r="H871" s="16" t="str">
        <f t="shared" si="13"/>
        <v>(869,,'',,,,),</v>
      </c>
    </row>
    <row r="872" spans="1:8" ht="20.100000000000001" customHeight="1" x14ac:dyDescent="0.25">
      <c r="A872" s="3">
        <v>870</v>
      </c>
      <c r="B872" s="8"/>
      <c r="C872" s="13"/>
      <c r="D872" s="10"/>
      <c r="E872" s="10"/>
      <c r="F872" s="10"/>
      <c r="G872" s="7"/>
      <c r="H872" s="16" t="str">
        <f t="shared" si="13"/>
        <v>(870,,'',,,,),</v>
      </c>
    </row>
    <row r="873" spans="1:8" ht="20.100000000000001" customHeight="1" x14ac:dyDescent="0.25">
      <c r="A873" s="3">
        <v>871</v>
      </c>
      <c r="B873" s="8"/>
      <c r="C873" s="13"/>
      <c r="D873" s="10"/>
      <c r="E873" s="10"/>
      <c r="F873" s="10"/>
      <c r="G873" s="7"/>
      <c r="H873" s="16" t="str">
        <f t="shared" si="13"/>
        <v>(871,,'',,,,),</v>
      </c>
    </row>
    <row r="874" spans="1:8" ht="20.100000000000001" customHeight="1" x14ac:dyDescent="0.25">
      <c r="A874" s="3">
        <v>872</v>
      </c>
      <c r="B874" s="8"/>
      <c r="C874" s="13"/>
      <c r="D874" s="10"/>
      <c r="E874" s="10"/>
      <c r="F874" s="10"/>
      <c r="G874" s="7"/>
      <c r="H874" s="16" t="str">
        <f t="shared" si="13"/>
        <v>(872,,'',,,,),</v>
      </c>
    </row>
    <row r="875" spans="1:8" ht="20.100000000000001" customHeight="1" x14ac:dyDescent="0.25">
      <c r="A875" s="3">
        <v>873</v>
      </c>
      <c r="B875" s="8"/>
      <c r="C875" s="13"/>
      <c r="D875" s="10"/>
      <c r="E875" s="10"/>
      <c r="F875" s="10"/>
      <c r="G875" s="7"/>
      <c r="H875" s="16" t="str">
        <f t="shared" si="13"/>
        <v>(873,,'',,,,),</v>
      </c>
    </row>
    <row r="876" spans="1:8" ht="20.100000000000001" customHeight="1" x14ac:dyDescent="0.25">
      <c r="A876" s="3">
        <v>874</v>
      </c>
      <c r="B876" s="8"/>
      <c r="C876" s="13"/>
      <c r="D876" s="10"/>
      <c r="E876" s="10"/>
      <c r="F876" s="10"/>
      <c r="G876" s="7"/>
      <c r="H876" s="16" t="str">
        <f t="shared" si="13"/>
        <v>(874,,'',,,,),</v>
      </c>
    </row>
    <row r="877" spans="1:8" ht="20.100000000000001" customHeight="1" x14ac:dyDescent="0.25">
      <c r="A877" s="3">
        <v>875</v>
      </c>
      <c r="B877" s="8"/>
      <c r="C877" s="13"/>
      <c r="D877" s="10"/>
      <c r="E877" s="10"/>
      <c r="F877" s="10"/>
      <c r="G877" s="7"/>
      <c r="H877" s="16" t="str">
        <f t="shared" si="13"/>
        <v>(875,,'',,,,),</v>
      </c>
    </row>
    <row r="878" spans="1:8" ht="20.100000000000001" customHeight="1" x14ac:dyDescent="0.25">
      <c r="A878" s="3">
        <v>876</v>
      </c>
      <c r="B878" s="8"/>
      <c r="C878" s="13"/>
      <c r="D878" s="10"/>
      <c r="E878" s="10"/>
      <c r="F878" s="10"/>
      <c r="G878" s="7"/>
      <c r="H878" s="16" t="str">
        <f t="shared" si="13"/>
        <v>(876,,'',,,,),</v>
      </c>
    </row>
    <row r="879" spans="1:8" ht="20.100000000000001" customHeight="1" x14ac:dyDescent="0.25">
      <c r="A879" s="3">
        <v>877</v>
      </c>
      <c r="B879" s="8"/>
      <c r="C879" s="13"/>
      <c r="D879" s="10"/>
      <c r="E879" s="10"/>
      <c r="F879" s="10"/>
      <c r="G879" s="7"/>
      <c r="H879" s="16" t="str">
        <f t="shared" si="13"/>
        <v>(877,,'',,,,),</v>
      </c>
    </row>
    <row r="880" spans="1:8" ht="20.100000000000001" customHeight="1" x14ac:dyDescent="0.25">
      <c r="A880" s="3">
        <v>878</v>
      </c>
      <c r="B880" s="8"/>
      <c r="C880" s="13"/>
      <c r="D880" s="10"/>
      <c r="E880" s="10"/>
      <c r="F880" s="10"/>
      <c r="G880" s="7"/>
      <c r="H880" s="16" t="str">
        <f t="shared" si="13"/>
        <v>(878,,'',,,,),</v>
      </c>
    </row>
    <row r="881" spans="1:8" ht="20.100000000000001" customHeight="1" x14ac:dyDescent="0.25">
      <c r="A881" s="3">
        <v>879</v>
      </c>
      <c r="B881" s="8"/>
      <c r="C881" s="13"/>
      <c r="D881" s="10"/>
      <c r="E881" s="10"/>
      <c r="F881" s="10"/>
      <c r="G881" s="7"/>
      <c r="H881" s="16" t="str">
        <f t="shared" si="13"/>
        <v>(879,,'',,,,),</v>
      </c>
    </row>
    <row r="882" spans="1:8" ht="20.100000000000001" customHeight="1" x14ac:dyDescent="0.25">
      <c r="A882" s="3">
        <v>880</v>
      </c>
      <c r="B882" s="8"/>
      <c r="C882" s="13"/>
      <c r="D882" s="10"/>
      <c r="E882" s="10"/>
      <c r="F882" s="10"/>
      <c r="G882" s="7"/>
      <c r="H882" s="16" t="str">
        <f t="shared" si="13"/>
        <v>(880,,'',,,,),</v>
      </c>
    </row>
    <row r="883" spans="1:8" ht="20.100000000000001" customHeight="1" x14ac:dyDescent="0.25">
      <c r="A883" s="3">
        <v>881</v>
      </c>
      <c r="B883" s="8"/>
      <c r="C883" s="13"/>
      <c r="D883" s="10"/>
      <c r="E883" s="10"/>
      <c r="F883" s="10"/>
      <c r="G883" s="7"/>
      <c r="H883" s="16" t="str">
        <f t="shared" si="13"/>
        <v>(881,,'',,,,),</v>
      </c>
    </row>
    <row r="884" spans="1:8" ht="20.100000000000001" customHeight="1" x14ac:dyDescent="0.25">
      <c r="A884" s="3">
        <v>882</v>
      </c>
      <c r="B884" s="8"/>
      <c r="C884" s="13"/>
      <c r="D884" s="10"/>
      <c r="E884" s="10"/>
      <c r="F884" s="10"/>
      <c r="G884" s="7"/>
      <c r="H884" s="16" t="str">
        <f t="shared" si="13"/>
        <v>(882,,'',,,,),</v>
      </c>
    </row>
    <row r="885" spans="1:8" ht="20.100000000000001" customHeight="1" x14ac:dyDescent="0.25">
      <c r="A885" s="3">
        <v>883</v>
      </c>
      <c r="B885" s="8"/>
      <c r="C885" s="13"/>
      <c r="D885" s="10"/>
      <c r="E885" s="10"/>
      <c r="F885" s="10"/>
      <c r="G885" s="7"/>
      <c r="H885" s="16" t="str">
        <f t="shared" si="13"/>
        <v>(883,,'',,,,),</v>
      </c>
    </row>
    <row r="886" spans="1:8" ht="20.100000000000001" customHeight="1" x14ac:dyDescent="0.25">
      <c r="A886" s="3">
        <v>884</v>
      </c>
      <c r="B886" s="8"/>
      <c r="C886" s="13"/>
      <c r="D886" s="10"/>
      <c r="E886" s="10"/>
      <c r="F886" s="10"/>
      <c r="G886" s="7"/>
      <c r="H886" s="16" t="str">
        <f t="shared" si="13"/>
        <v>(884,,'',,,,),</v>
      </c>
    </row>
    <row r="887" spans="1:8" ht="20.100000000000001" customHeight="1" x14ac:dyDescent="0.25">
      <c r="A887" s="3">
        <v>885</v>
      </c>
      <c r="B887" s="8"/>
      <c r="C887" s="13"/>
      <c r="D887" s="10"/>
      <c r="E887" s="10"/>
      <c r="F887" s="10"/>
      <c r="G887" s="7"/>
      <c r="H887" s="16" t="str">
        <f t="shared" si="13"/>
        <v>(885,,'',,,,),</v>
      </c>
    </row>
    <row r="888" spans="1:8" ht="20.100000000000001" customHeight="1" x14ac:dyDescent="0.25">
      <c r="A888" s="3">
        <v>886</v>
      </c>
      <c r="B888" s="8"/>
      <c r="C888" s="13"/>
      <c r="D888" s="10"/>
      <c r="E888" s="10"/>
      <c r="F888" s="10"/>
      <c r="G888" s="7"/>
      <c r="H888" s="16" t="str">
        <f t="shared" si="13"/>
        <v>(886,,'',,,,),</v>
      </c>
    </row>
    <row r="889" spans="1:8" ht="20.100000000000001" customHeight="1" x14ac:dyDescent="0.25">
      <c r="A889" s="3">
        <v>887</v>
      </c>
      <c r="B889" s="8"/>
      <c r="C889" s="13"/>
      <c r="D889" s="10"/>
      <c r="E889" s="10"/>
      <c r="F889" s="10"/>
      <c r="G889" s="7"/>
      <c r="H889" s="16" t="str">
        <f t="shared" si="13"/>
        <v>(887,,'',,,,),</v>
      </c>
    </row>
    <row r="890" spans="1:8" ht="20.100000000000001" customHeight="1" x14ac:dyDescent="0.25">
      <c r="A890" s="3">
        <v>888</v>
      </c>
      <c r="B890" s="8"/>
      <c r="C890" s="13"/>
      <c r="D890" s="10"/>
      <c r="E890" s="10"/>
      <c r="F890" s="10"/>
      <c r="G890" s="7"/>
      <c r="H890" s="16" t="str">
        <f t="shared" si="13"/>
        <v>(888,,'',,,,),</v>
      </c>
    </row>
    <row r="891" spans="1:8" ht="20.100000000000001" customHeight="1" x14ac:dyDescent="0.25">
      <c r="A891" s="3">
        <v>889</v>
      </c>
      <c r="B891" s="8"/>
      <c r="C891" s="13"/>
      <c r="D891" s="10"/>
      <c r="E891" s="10"/>
      <c r="F891" s="10"/>
      <c r="G891" s="7"/>
      <c r="H891" s="16" t="str">
        <f t="shared" si="13"/>
        <v>(889,,'',,,,),</v>
      </c>
    </row>
    <row r="892" spans="1:8" ht="20.100000000000001" customHeight="1" x14ac:dyDescent="0.25">
      <c r="A892" s="3">
        <v>890</v>
      </c>
      <c r="B892" s="8"/>
      <c r="C892" s="13"/>
      <c r="D892" s="10"/>
      <c r="E892" s="10"/>
      <c r="F892" s="10"/>
      <c r="G892" s="7"/>
      <c r="H892" s="16" t="str">
        <f t="shared" si="13"/>
        <v>(890,,'',,,,),</v>
      </c>
    </row>
    <row r="893" spans="1:8" ht="20.100000000000001" customHeight="1" x14ac:dyDescent="0.25">
      <c r="A893" s="3">
        <v>891</v>
      </c>
      <c r="B893" s="8"/>
      <c r="C893" s="13"/>
      <c r="D893" s="10"/>
      <c r="E893" s="10"/>
      <c r="F893" s="10"/>
      <c r="G893" s="7"/>
      <c r="H893" s="16" t="str">
        <f t="shared" si="13"/>
        <v>(891,,'',,,,),</v>
      </c>
    </row>
    <row r="894" spans="1:8" ht="20.100000000000001" customHeight="1" x14ac:dyDescent="0.25">
      <c r="A894" s="3">
        <v>892</v>
      </c>
      <c r="B894" s="8"/>
      <c r="C894" s="13"/>
      <c r="D894" s="10"/>
      <c r="E894" s="10"/>
      <c r="F894" s="10"/>
      <c r="G894" s="7"/>
      <c r="H894" s="16" t="str">
        <f t="shared" si="13"/>
        <v>(892,,'',,,,),</v>
      </c>
    </row>
    <row r="895" spans="1:8" ht="20.100000000000001" customHeight="1" x14ac:dyDescent="0.25">
      <c r="A895" s="3">
        <v>893</v>
      </c>
      <c r="B895" s="8"/>
      <c r="C895" s="13"/>
      <c r="D895" s="10"/>
      <c r="E895" s="10"/>
      <c r="F895" s="10"/>
      <c r="G895" s="7"/>
      <c r="H895" s="16" t="str">
        <f t="shared" si="13"/>
        <v>(893,,'',,,,),</v>
      </c>
    </row>
    <row r="896" spans="1:8" ht="20.100000000000001" customHeight="1" x14ac:dyDescent="0.25">
      <c r="A896" s="3">
        <v>894</v>
      </c>
      <c r="B896" s="8"/>
      <c r="C896" s="13"/>
      <c r="D896" s="10"/>
      <c r="E896" s="10"/>
      <c r="F896" s="10"/>
      <c r="G896" s="7"/>
      <c r="H896" s="16" t="str">
        <f t="shared" si="13"/>
        <v>(894,,'',,,,),</v>
      </c>
    </row>
    <row r="897" spans="1:8" ht="20.100000000000001" customHeight="1" x14ac:dyDescent="0.25">
      <c r="A897" s="3">
        <v>895</v>
      </c>
      <c r="B897" s="8"/>
      <c r="C897" s="13"/>
      <c r="D897" s="10"/>
      <c r="E897" s="10"/>
      <c r="F897" s="10"/>
      <c r="G897" s="7"/>
      <c r="H897" s="16" t="str">
        <f t="shared" si="13"/>
        <v>(895,,'',,,,),</v>
      </c>
    </row>
    <row r="898" spans="1:8" ht="20.100000000000001" customHeight="1" x14ac:dyDescent="0.25">
      <c r="A898" s="3">
        <v>896</v>
      </c>
      <c r="B898" s="8"/>
      <c r="C898" s="13"/>
      <c r="D898" s="10"/>
      <c r="E898" s="10"/>
      <c r="F898" s="10"/>
      <c r="G898" s="7"/>
      <c r="H898" s="16" t="str">
        <f t="shared" si="13"/>
        <v>(896,,'',,,,),</v>
      </c>
    </row>
    <row r="899" spans="1:8" ht="20.100000000000001" customHeight="1" x14ac:dyDescent="0.25">
      <c r="A899" s="3">
        <v>897</v>
      </c>
      <c r="B899" s="8"/>
      <c r="C899" s="13"/>
      <c r="D899" s="10"/>
      <c r="E899" s="10"/>
      <c r="F899" s="10"/>
      <c r="G899" s="7"/>
      <c r="H899" s="16" t="str">
        <f t="shared" si="13"/>
        <v>(897,,'',,,,),</v>
      </c>
    </row>
    <row r="900" spans="1:8" ht="20.100000000000001" customHeight="1" x14ac:dyDescent="0.25">
      <c r="A900" s="3">
        <v>898</v>
      </c>
      <c r="B900" s="8"/>
      <c r="C900" s="13"/>
      <c r="D900" s="10"/>
      <c r="E900" s="10"/>
      <c r="F900" s="10"/>
      <c r="G900" s="7"/>
      <c r="H900" s="16" t="str">
        <f t="shared" ref="H900:H963" si="14">CONCATENATE("(",A900,",",B900,",'",C900,"',",D900,",",E900,",",F900,",",G900,"),")</f>
        <v>(898,,'',,,,),</v>
      </c>
    </row>
    <row r="901" spans="1:8" ht="20.100000000000001" customHeight="1" x14ac:dyDescent="0.25">
      <c r="A901" s="3">
        <v>899</v>
      </c>
      <c r="B901" s="8"/>
      <c r="C901" s="13"/>
      <c r="D901" s="10"/>
      <c r="E901" s="10"/>
      <c r="F901" s="10"/>
      <c r="G901" s="7"/>
      <c r="H901" s="16" t="str">
        <f t="shared" si="14"/>
        <v>(899,,'',,,,),</v>
      </c>
    </row>
    <row r="902" spans="1:8" ht="20.100000000000001" customHeight="1" x14ac:dyDescent="0.25">
      <c r="A902" s="3">
        <v>900</v>
      </c>
      <c r="B902" s="8"/>
      <c r="C902" s="13"/>
      <c r="D902" s="10"/>
      <c r="E902" s="10"/>
      <c r="F902" s="10"/>
      <c r="G902" s="7"/>
      <c r="H902" s="16" t="str">
        <f t="shared" si="14"/>
        <v>(900,,'',,,,),</v>
      </c>
    </row>
    <row r="903" spans="1:8" ht="20.100000000000001" customHeight="1" x14ac:dyDescent="0.25">
      <c r="A903" s="3">
        <v>901</v>
      </c>
      <c r="B903" s="8"/>
      <c r="C903" s="13"/>
      <c r="D903" s="10"/>
      <c r="E903" s="10"/>
      <c r="F903" s="10"/>
      <c r="G903" s="7"/>
      <c r="H903" s="16" t="str">
        <f t="shared" si="14"/>
        <v>(901,,'',,,,),</v>
      </c>
    </row>
    <row r="904" spans="1:8" ht="20.100000000000001" customHeight="1" x14ac:dyDescent="0.25">
      <c r="A904" s="3">
        <v>902</v>
      </c>
      <c r="B904" s="8"/>
      <c r="C904" s="13"/>
      <c r="D904" s="10"/>
      <c r="E904" s="10"/>
      <c r="F904" s="10"/>
      <c r="G904" s="7"/>
      <c r="H904" s="16" t="str">
        <f t="shared" si="14"/>
        <v>(902,,'',,,,),</v>
      </c>
    </row>
    <row r="905" spans="1:8" ht="20.100000000000001" customHeight="1" x14ac:dyDescent="0.25">
      <c r="A905" s="3">
        <v>903</v>
      </c>
      <c r="B905" s="8"/>
      <c r="C905" s="13"/>
      <c r="D905" s="10"/>
      <c r="E905" s="10"/>
      <c r="F905" s="10"/>
      <c r="G905" s="7"/>
      <c r="H905" s="16" t="str">
        <f t="shared" si="14"/>
        <v>(903,,'',,,,),</v>
      </c>
    </row>
    <row r="906" spans="1:8" ht="20.100000000000001" customHeight="1" x14ac:dyDescent="0.25">
      <c r="A906" s="3">
        <v>904</v>
      </c>
      <c r="B906" s="8"/>
      <c r="C906" s="13"/>
      <c r="D906" s="10"/>
      <c r="E906" s="10"/>
      <c r="F906" s="10"/>
      <c r="G906" s="7"/>
      <c r="H906" s="16" t="str">
        <f t="shared" si="14"/>
        <v>(904,,'',,,,),</v>
      </c>
    </row>
    <row r="907" spans="1:8" ht="20.100000000000001" customHeight="1" x14ac:dyDescent="0.25">
      <c r="A907" s="3">
        <v>905</v>
      </c>
      <c r="B907" s="8"/>
      <c r="C907" s="13"/>
      <c r="D907" s="10"/>
      <c r="E907" s="10"/>
      <c r="F907" s="10"/>
      <c r="G907" s="7"/>
      <c r="H907" s="16" t="str">
        <f t="shared" si="14"/>
        <v>(905,,'',,,,),</v>
      </c>
    </row>
    <row r="908" spans="1:8" ht="20.100000000000001" customHeight="1" x14ac:dyDescent="0.25">
      <c r="A908" s="3">
        <v>906</v>
      </c>
      <c r="B908" s="8"/>
      <c r="C908" s="13"/>
      <c r="D908" s="10"/>
      <c r="E908" s="10"/>
      <c r="F908" s="10"/>
      <c r="G908" s="7"/>
      <c r="H908" s="16" t="str">
        <f t="shared" si="14"/>
        <v>(906,,'',,,,),</v>
      </c>
    </row>
    <row r="909" spans="1:8" ht="20.100000000000001" customHeight="1" x14ac:dyDescent="0.25">
      <c r="A909" s="3">
        <v>907</v>
      </c>
      <c r="B909" s="8"/>
      <c r="C909" s="13"/>
      <c r="D909" s="10"/>
      <c r="E909" s="10"/>
      <c r="F909" s="10"/>
      <c r="G909" s="7"/>
      <c r="H909" s="16" t="str">
        <f t="shared" si="14"/>
        <v>(907,,'',,,,),</v>
      </c>
    </row>
    <row r="910" spans="1:8" ht="20.100000000000001" customHeight="1" x14ac:dyDescent="0.25">
      <c r="A910" s="3">
        <v>908</v>
      </c>
      <c r="B910" s="8"/>
      <c r="C910" s="13"/>
      <c r="D910" s="10"/>
      <c r="E910" s="10"/>
      <c r="F910" s="10"/>
      <c r="G910" s="7"/>
      <c r="H910" s="16" t="str">
        <f t="shared" si="14"/>
        <v>(908,,'',,,,),</v>
      </c>
    </row>
    <row r="911" spans="1:8" ht="20.100000000000001" customHeight="1" x14ac:dyDescent="0.25">
      <c r="A911" s="3">
        <v>909</v>
      </c>
      <c r="B911" s="8"/>
      <c r="C911" s="13"/>
      <c r="D911" s="10"/>
      <c r="E911" s="10"/>
      <c r="F911" s="10"/>
      <c r="G911" s="7"/>
      <c r="H911" s="16" t="str">
        <f t="shared" si="14"/>
        <v>(909,,'',,,,),</v>
      </c>
    </row>
    <row r="912" spans="1:8" ht="20.100000000000001" customHeight="1" x14ac:dyDescent="0.25">
      <c r="A912" s="3">
        <v>910</v>
      </c>
      <c r="B912" s="8"/>
      <c r="C912" s="13"/>
      <c r="D912" s="10"/>
      <c r="E912" s="10"/>
      <c r="F912" s="10"/>
      <c r="G912" s="7"/>
      <c r="H912" s="16" t="str">
        <f t="shared" si="14"/>
        <v>(910,,'',,,,),</v>
      </c>
    </row>
    <row r="913" spans="1:8" ht="20.100000000000001" customHeight="1" x14ac:dyDescent="0.25">
      <c r="A913" s="3">
        <v>911</v>
      </c>
      <c r="B913" s="8"/>
      <c r="C913" s="13"/>
      <c r="D913" s="10"/>
      <c r="E913" s="10"/>
      <c r="F913" s="10"/>
      <c r="G913" s="7"/>
      <c r="H913" s="16" t="str">
        <f t="shared" si="14"/>
        <v>(911,,'',,,,),</v>
      </c>
    </row>
    <row r="914" spans="1:8" ht="20.100000000000001" customHeight="1" x14ac:dyDescent="0.25">
      <c r="A914" s="3">
        <v>912</v>
      </c>
      <c r="B914" s="8"/>
      <c r="C914" s="13"/>
      <c r="D914" s="10"/>
      <c r="E914" s="10"/>
      <c r="F914" s="10"/>
      <c r="G914" s="7"/>
      <c r="H914" s="16" t="str">
        <f t="shared" si="14"/>
        <v>(912,,'',,,,),</v>
      </c>
    </row>
    <row r="915" spans="1:8" ht="20.100000000000001" customHeight="1" x14ac:dyDescent="0.25">
      <c r="A915" s="3">
        <v>913</v>
      </c>
      <c r="B915" s="8"/>
      <c r="C915" s="13"/>
      <c r="D915" s="10"/>
      <c r="E915" s="10"/>
      <c r="F915" s="10"/>
      <c r="G915" s="7"/>
      <c r="H915" s="16" t="str">
        <f t="shared" si="14"/>
        <v>(913,,'',,,,),</v>
      </c>
    </row>
    <row r="916" spans="1:8" ht="20.100000000000001" customHeight="1" x14ac:dyDescent="0.25">
      <c r="A916" s="3">
        <v>914</v>
      </c>
      <c r="B916" s="8"/>
      <c r="C916" s="13"/>
      <c r="D916" s="10"/>
      <c r="E916" s="10"/>
      <c r="F916" s="10"/>
      <c r="G916" s="7"/>
      <c r="H916" s="16" t="str">
        <f t="shared" si="14"/>
        <v>(914,,'',,,,),</v>
      </c>
    </row>
    <row r="917" spans="1:8" ht="20.100000000000001" customHeight="1" x14ac:dyDescent="0.25">
      <c r="A917" s="3">
        <v>915</v>
      </c>
      <c r="B917" s="8"/>
      <c r="C917" s="13"/>
      <c r="D917" s="10"/>
      <c r="E917" s="10"/>
      <c r="F917" s="10"/>
      <c r="G917" s="7"/>
      <c r="H917" s="16" t="str">
        <f t="shared" si="14"/>
        <v>(915,,'',,,,),</v>
      </c>
    </row>
    <row r="918" spans="1:8" ht="20.100000000000001" customHeight="1" x14ac:dyDescent="0.25">
      <c r="A918" s="3">
        <v>916</v>
      </c>
      <c r="B918" s="8"/>
      <c r="C918" s="13"/>
      <c r="D918" s="10"/>
      <c r="E918" s="10"/>
      <c r="F918" s="10"/>
      <c r="G918" s="7"/>
      <c r="H918" s="16" t="str">
        <f t="shared" si="14"/>
        <v>(916,,'',,,,),</v>
      </c>
    </row>
    <row r="919" spans="1:8" ht="20.100000000000001" customHeight="1" x14ac:dyDescent="0.25">
      <c r="A919" s="3">
        <v>917</v>
      </c>
      <c r="B919" s="8"/>
      <c r="C919" s="13"/>
      <c r="D919" s="10"/>
      <c r="E919" s="10"/>
      <c r="F919" s="10"/>
      <c r="G919" s="7"/>
      <c r="H919" s="16" t="str">
        <f t="shared" si="14"/>
        <v>(917,,'',,,,),</v>
      </c>
    </row>
    <row r="920" spans="1:8" ht="20.100000000000001" customHeight="1" x14ac:dyDescent="0.25">
      <c r="A920" s="3">
        <v>918</v>
      </c>
      <c r="B920" s="8"/>
      <c r="C920" s="13"/>
      <c r="D920" s="10"/>
      <c r="E920" s="10"/>
      <c r="F920" s="10"/>
      <c r="G920" s="7"/>
      <c r="H920" s="16" t="str">
        <f t="shared" si="14"/>
        <v>(918,,'',,,,),</v>
      </c>
    </row>
    <row r="921" spans="1:8" ht="20.100000000000001" customHeight="1" x14ac:dyDescent="0.25">
      <c r="A921" s="3">
        <v>919</v>
      </c>
      <c r="B921" s="8"/>
      <c r="C921" s="13"/>
      <c r="D921" s="10"/>
      <c r="E921" s="10"/>
      <c r="F921" s="10"/>
      <c r="G921" s="7"/>
      <c r="H921" s="16" t="str">
        <f t="shared" si="14"/>
        <v>(919,,'',,,,),</v>
      </c>
    </row>
    <row r="922" spans="1:8" ht="20.100000000000001" customHeight="1" x14ac:dyDescent="0.25">
      <c r="A922" s="3">
        <v>920</v>
      </c>
      <c r="B922" s="8"/>
      <c r="C922" s="13"/>
      <c r="D922" s="10"/>
      <c r="E922" s="10"/>
      <c r="F922" s="10"/>
      <c r="G922" s="7"/>
      <c r="H922" s="16" t="str">
        <f t="shared" si="14"/>
        <v>(920,,'',,,,),</v>
      </c>
    </row>
    <row r="923" spans="1:8" ht="20.100000000000001" customHeight="1" x14ac:dyDescent="0.25">
      <c r="A923" s="3">
        <v>921</v>
      </c>
      <c r="B923" s="8"/>
      <c r="C923" s="13"/>
      <c r="D923" s="10"/>
      <c r="E923" s="10"/>
      <c r="F923" s="10"/>
      <c r="G923" s="7"/>
      <c r="H923" s="16" t="str">
        <f t="shared" si="14"/>
        <v>(921,,'',,,,),</v>
      </c>
    </row>
    <row r="924" spans="1:8" ht="20.100000000000001" customHeight="1" x14ac:dyDescent="0.25">
      <c r="A924" s="3">
        <v>922</v>
      </c>
      <c r="B924" s="8"/>
      <c r="C924" s="13"/>
      <c r="D924" s="10"/>
      <c r="E924" s="10"/>
      <c r="F924" s="10"/>
      <c r="G924" s="7"/>
      <c r="H924" s="16" t="str">
        <f t="shared" si="14"/>
        <v>(922,,'',,,,),</v>
      </c>
    </row>
    <row r="925" spans="1:8" ht="20.100000000000001" customHeight="1" x14ac:dyDescent="0.25">
      <c r="A925" s="3">
        <v>923</v>
      </c>
      <c r="B925" s="8"/>
      <c r="C925" s="13"/>
      <c r="D925" s="10"/>
      <c r="E925" s="10"/>
      <c r="F925" s="10"/>
      <c r="G925" s="7"/>
      <c r="H925" s="16" t="str">
        <f t="shared" si="14"/>
        <v>(923,,'',,,,),</v>
      </c>
    </row>
    <row r="926" spans="1:8" ht="20.100000000000001" customHeight="1" x14ac:dyDescent="0.25">
      <c r="A926" s="3">
        <v>924</v>
      </c>
      <c r="B926" s="8"/>
      <c r="C926" s="13"/>
      <c r="D926" s="10"/>
      <c r="E926" s="10"/>
      <c r="F926" s="10"/>
      <c r="G926" s="7"/>
      <c r="H926" s="16" t="str">
        <f t="shared" si="14"/>
        <v>(924,,'',,,,),</v>
      </c>
    </row>
    <row r="927" spans="1:8" ht="20.100000000000001" customHeight="1" x14ac:dyDescent="0.25">
      <c r="A927" s="3">
        <v>925</v>
      </c>
      <c r="B927" s="8"/>
      <c r="C927" s="13"/>
      <c r="D927" s="10"/>
      <c r="E927" s="10"/>
      <c r="F927" s="10"/>
      <c r="G927" s="7"/>
      <c r="H927" s="16" t="str">
        <f t="shared" si="14"/>
        <v>(925,,'',,,,),</v>
      </c>
    </row>
    <row r="928" spans="1:8" ht="20.100000000000001" customHeight="1" x14ac:dyDescent="0.25">
      <c r="A928" s="3">
        <v>926</v>
      </c>
      <c r="B928" s="8"/>
      <c r="C928" s="13"/>
      <c r="D928" s="10"/>
      <c r="E928" s="10"/>
      <c r="F928" s="10"/>
      <c r="G928" s="7"/>
      <c r="H928" s="16" t="str">
        <f t="shared" si="14"/>
        <v>(926,,'',,,,),</v>
      </c>
    </row>
    <row r="929" spans="1:8" ht="20.100000000000001" customHeight="1" x14ac:dyDescent="0.25">
      <c r="A929" s="3">
        <v>927</v>
      </c>
      <c r="B929" s="8"/>
      <c r="C929" s="13"/>
      <c r="D929" s="10"/>
      <c r="E929" s="10"/>
      <c r="F929" s="10"/>
      <c r="G929" s="7"/>
      <c r="H929" s="16" t="str">
        <f t="shared" si="14"/>
        <v>(927,,'',,,,),</v>
      </c>
    </row>
    <row r="930" spans="1:8" ht="20.100000000000001" customHeight="1" x14ac:dyDescent="0.25">
      <c r="A930" s="3">
        <v>928</v>
      </c>
      <c r="B930" s="8"/>
      <c r="C930" s="13"/>
      <c r="D930" s="10"/>
      <c r="E930" s="10"/>
      <c r="F930" s="10"/>
      <c r="G930" s="7"/>
      <c r="H930" s="16" t="str">
        <f t="shared" si="14"/>
        <v>(928,,'',,,,),</v>
      </c>
    </row>
    <row r="931" spans="1:8" ht="20.100000000000001" customHeight="1" x14ac:dyDescent="0.25">
      <c r="A931" s="3">
        <v>929</v>
      </c>
      <c r="B931" s="8"/>
      <c r="C931" s="13"/>
      <c r="D931" s="10"/>
      <c r="E931" s="10"/>
      <c r="F931" s="10"/>
      <c r="G931" s="7"/>
      <c r="H931" s="16" t="str">
        <f t="shared" si="14"/>
        <v>(929,,'',,,,),</v>
      </c>
    </row>
    <row r="932" spans="1:8" ht="20.100000000000001" customHeight="1" x14ac:dyDescent="0.25">
      <c r="A932" s="3">
        <v>930</v>
      </c>
      <c r="B932" s="8"/>
      <c r="C932" s="13"/>
      <c r="D932" s="10"/>
      <c r="E932" s="10"/>
      <c r="F932" s="10"/>
      <c r="G932" s="7"/>
      <c r="H932" s="16" t="str">
        <f t="shared" si="14"/>
        <v>(930,,'',,,,),</v>
      </c>
    </row>
    <row r="933" spans="1:8" ht="20.100000000000001" customHeight="1" x14ac:dyDescent="0.25">
      <c r="A933" s="3">
        <v>931</v>
      </c>
      <c r="B933" s="8"/>
      <c r="C933" s="13"/>
      <c r="D933" s="10"/>
      <c r="E933" s="10"/>
      <c r="F933" s="10"/>
      <c r="G933" s="7"/>
      <c r="H933" s="16" t="str">
        <f t="shared" si="14"/>
        <v>(931,,'',,,,),</v>
      </c>
    </row>
    <row r="934" spans="1:8" ht="20.100000000000001" customHeight="1" x14ac:dyDescent="0.25">
      <c r="A934" s="3">
        <v>932</v>
      </c>
      <c r="B934" s="8"/>
      <c r="C934" s="13"/>
      <c r="D934" s="10"/>
      <c r="E934" s="10"/>
      <c r="F934" s="10"/>
      <c r="G934" s="7"/>
      <c r="H934" s="16" t="str">
        <f t="shared" si="14"/>
        <v>(932,,'',,,,),</v>
      </c>
    </row>
    <row r="935" spans="1:8" ht="20.100000000000001" customHeight="1" x14ac:dyDescent="0.25">
      <c r="A935" s="3">
        <v>933</v>
      </c>
      <c r="B935" s="8"/>
      <c r="C935" s="13"/>
      <c r="D935" s="10"/>
      <c r="E935" s="10"/>
      <c r="F935" s="10"/>
      <c r="G935" s="7"/>
      <c r="H935" s="16" t="str">
        <f t="shared" si="14"/>
        <v>(933,,'',,,,),</v>
      </c>
    </row>
    <row r="936" spans="1:8" ht="20.100000000000001" customHeight="1" x14ac:dyDescent="0.25">
      <c r="A936" s="3">
        <v>934</v>
      </c>
      <c r="B936" s="8"/>
      <c r="C936" s="13"/>
      <c r="D936" s="10"/>
      <c r="E936" s="10"/>
      <c r="F936" s="10"/>
      <c r="G936" s="7"/>
      <c r="H936" s="16" t="str">
        <f t="shared" si="14"/>
        <v>(934,,'',,,,),</v>
      </c>
    </row>
    <row r="937" spans="1:8" ht="20.100000000000001" customHeight="1" x14ac:dyDescent="0.25">
      <c r="A937" s="3">
        <v>935</v>
      </c>
      <c r="B937" s="8"/>
      <c r="C937" s="13"/>
      <c r="D937" s="10"/>
      <c r="E937" s="10"/>
      <c r="F937" s="10"/>
      <c r="G937" s="7"/>
      <c r="H937" s="16" t="str">
        <f t="shared" si="14"/>
        <v>(935,,'',,,,),</v>
      </c>
    </row>
    <row r="938" spans="1:8" ht="20.100000000000001" customHeight="1" x14ac:dyDescent="0.25">
      <c r="A938" s="3">
        <v>936</v>
      </c>
      <c r="B938" s="8"/>
      <c r="C938" s="13"/>
      <c r="D938" s="10"/>
      <c r="E938" s="10"/>
      <c r="F938" s="10"/>
      <c r="G938" s="7"/>
      <c r="H938" s="16" t="str">
        <f t="shared" si="14"/>
        <v>(936,,'',,,,),</v>
      </c>
    </row>
    <row r="939" spans="1:8" ht="20.100000000000001" customHeight="1" x14ac:dyDescent="0.25">
      <c r="A939" s="3">
        <v>937</v>
      </c>
      <c r="B939" s="8"/>
      <c r="C939" s="13"/>
      <c r="D939" s="10"/>
      <c r="E939" s="10"/>
      <c r="F939" s="10"/>
      <c r="G939" s="7"/>
      <c r="H939" s="16" t="str">
        <f t="shared" si="14"/>
        <v>(937,,'',,,,),</v>
      </c>
    </row>
    <row r="940" spans="1:8" ht="20.100000000000001" customHeight="1" x14ac:dyDescent="0.25">
      <c r="A940" s="3">
        <v>938</v>
      </c>
      <c r="B940" s="8"/>
      <c r="C940" s="13"/>
      <c r="D940" s="10"/>
      <c r="E940" s="10"/>
      <c r="F940" s="10"/>
      <c r="G940" s="7"/>
      <c r="H940" s="16" t="str">
        <f t="shared" si="14"/>
        <v>(938,,'',,,,),</v>
      </c>
    </row>
    <row r="941" spans="1:8" ht="20.100000000000001" customHeight="1" x14ac:dyDescent="0.25">
      <c r="A941" s="3">
        <v>939</v>
      </c>
      <c r="B941" s="8"/>
      <c r="C941" s="13"/>
      <c r="D941" s="10"/>
      <c r="E941" s="10"/>
      <c r="F941" s="10"/>
      <c r="G941" s="7"/>
      <c r="H941" s="16" t="str">
        <f t="shared" si="14"/>
        <v>(939,,'',,,,),</v>
      </c>
    </row>
    <row r="942" spans="1:8" ht="20.100000000000001" customHeight="1" x14ac:dyDescent="0.25">
      <c r="A942" s="3">
        <v>940</v>
      </c>
      <c r="B942" s="8"/>
      <c r="C942" s="13"/>
      <c r="D942" s="10"/>
      <c r="E942" s="10"/>
      <c r="F942" s="10"/>
      <c r="G942" s="7"/>
      <c r="H942" s="16" t="str">
        <f t="shared" si="14"/>
        <v>(940,,'',,,,),</v>
      </c>
    </row>
    <row r="943" spans="1:8" ht="20.100000000000001" customHeight="1" x14ac:dyDescent="0.25">
      <c r="A943" s="3">
        <v>941</v>
      </c>
      <c r="B943" s="8"/>
      <c r="C943" s="13"/>
      <c r="D943" s="10"/>
      <c r="E943" s="10"/>
      <c r="F943" s="10"/>
      <c r="G943" s="7"/>
      <c r="H943" s="16" t="str">
        <f t="shared" si="14"/>
        <v>(941,,'',,,,),</v>
      </c>
    </row>
    <row r="944" spans="1:8" ht="20.100000000000001" customHeight="1" x14ac:dyDescent="0.25">
      <c r="A944" s="3">
        <v>942</v>
      </c>
      <c r="B944" s="8"/>
      <c r="C944" s="13"/>
      <c r="D944" s="10"/>
      <c r="E944" s="10"/>
      <c r="F944" s="10"/>
      <c r="G944" s="7"/>
      <c r="H944" s="16" t="str">
        <f t="shared" si="14"/>
        <v>(942,,'',,,,),</v>
      </c>
    </row>
    <row r="945" spans="1:8" ht="20.100000000000001" customHeight="1" x14ac:dyDescent="0.25">
      <c r="A945" s="3">
        <v>943</v>
      </c>
      <c r="B945" s="8"/>
      <c r="C945" s="13"/>
      <c r="D945" s="10"/>
      <c r="E945" s="10"/>
      <c r="F945" s="10"/>
      <c r="G945" s="7"/>
      <c r="H945" s="16" t="str">
        <f t="shared" si="14"/>
        <v>(943,,'',,,,),</v>
      </c>
    </row>
    <row r="946" spans="1:8" ht="20.100000000000001" customHeight="1" x14ac:dyDescent="0.25">
      <c r="A946" s="3">
        <v>944</v>
      </c>
      <c r="B946" s="8"/>
      <c r="C946" s="13"/>
      <c r="D946" s="10"/>
      <c r="E946" s="10"/>
      <c r="F946" s="10"/>
      <c r="G946" s="7"/>
      <c r="H946" s="16" t="str">
        <f t="shared" si="14"/>
        <v>(944,,'',,,,),</v>
      </c>
    </row>
    <row r="947" spans="1:8" ht="20.100000000000001" customHeight="1" x14ac:dyDescent="0.25">
      <c r="A947" s="3">
        <v>945</v>
      </c>
      <c r="B947" s="8"/>
      <c r="C947" s="13"/>
      <c r="D947" s="10"/>
      <c r="E947" s="10"/>
      <c r="F947" s="10"/>
      <c r="G947" s="7"/>
      <c r="H947" s="16" t="str">
        <f t="shared" si="14"/>
        <v>(945,,'',,,,),</v>
      </c>
    </row>
    <row r="948" spans="1:8" ht="20.100000000000001" customHeight="1" x14ac:dyDescent="0.25">
      <c r="A948" s="3">
        <v>946</v>
      </c>
      <c r="B948" s="8"/>
      <c r="C948" s="13"/>
      <c r="D948" s="10"/>
      <c r="E948" s="10"/>
      <c r="F948" s="10"/>
      <c r="G948" s="7"/>
      <c r="H948" s="16" t="str">
        <f t="shared" si="14"/>
        <v>(946,,'',,,,),</v>
      </c>
    </row>
    <row r="949" spans="1:8" ht="20.100000000000001" customHeight="1" x14ac:dyDescent="0.25">
      <c r="A949" s="3">
        <v>947</v>
      </c>
      <c r="B949" s="8"/>
      <c r="C949" s="13"/>
      <c r="D949" s="10"/>
      <c r="E949" s="10"/>
      <c r="F949" s="10"/>
      <c r="G949" s="7"/>
      <c r="H949" s="16" t="str">
        <f t="shared" si="14"/>
        <v>(947,,'',,,,),</v>
      </c>
    </row>
    <row r="950" spans="1:8" ht="20.100000000000001" customHeight="1" x14ac:dyDescent="0.25">
      <c r="A950" s="3">
        <v>948</v>
      </c>
      <c r="B950" s="8"/>
      <c r="C950" s="13"/>
      <c r="D950" s="10"/>
      <c r="E950" s="10"/>
      <c r="F950" s="10"/>
      <c r="G950" s="7"/>
      <c r="H950" s="16" t="str">
        <f t="shared" si="14"/>
        <v>(948,,'',,,,),</v>
      </c>
    </row>
    <row r="951" spans="1:8" ht="20.100000000000001" customHeight="1" x14ac:dyDescent="0.25">
      <c r="A951" s="3">
        <v>949</v>
      </c>
      <c r="B951" s="8"/>
      <c r="C951" s="13"/>
      <c r="D951" s="10"/>
      <c r="E951" s="10"/>
      <c r="F951" s="10"/>
      <c r="G951" s="7"/>
      <c r="H951" s="16" t="str">
        <f t="shared" si="14"/>
        <v>(949,,'',,,,),</v>
      </c>
    </row>
    <row r="952" spans="1:8" ht="20.100000000000001" customHeight="1" x14ac:dyDescent="0.25">
      <c r="A952" s="3">
        <v>950</v>
      </c>
      <c r="B952" s="8"/>
      <c r="C952" s="13"/>
      <c r="D952" s="10"/>
      <c r="E952" s="10"/>
      <c r="F952" s="10"/>
      <c r="G952" s="7"/>
      <c r="H952" s="16" t="str">
        <f t="shared" si="14"/>
        <v>(950,,'',,,,),</v>
      </c>
    </row>
    <row r="953" spans="1:8" ht="20.100000000000001" customHeight="1" x14ac:dyDescent="0.25">
      <c r="A953" s="3">
        <v>951</v>
      </c>
      <c r="B953" s="8"/>
      <c r="C953" s="13"/>
      <c r="D953" s="10"/>
      <c r="E953" s="10"/>
      <c r="F953" s="10"/>
      <c r="G953" s="7"/>
      <c r="H953" s="16" t="str">
        <f t="shared" si="14"/>
        <v>(951,,'',,,,),</v>
      </c>
    </row>
    <row r="954" spans="1:8" ht="20.100000000000001" customHeight="1" x14ac:dyDescent="0.25">
      <c r="A954" s="3">
        <v>952</v>
      </c>
      <c r="B954" s="8"/>
      <c r="C954" s="13"/>
      <c r="D954" s="10"/>
      <c r="E954" s="10"/>
      <c r="F954" s="10"/>
      <c r="G954" s="7"/>
      <c r="H954" s="16" t="str">
        <f t="shared" si="14"/>
        <v>(952,,'',,,,),</v>
      </c>
    </row>
    <row r="955" spans="1:8" ht="20.100000000000001" customHeight="1" x14ac:dyDescent="0.25">
      <c r="A955" s="3">
        <v>953</v>
      </c>
      <c r="B955" s="8"/>
      <c r="C955" s="13"/>
      <c r="D955" s="10"/>
      <c r="E955" s="10"/>
      <c r="F955" s="10"/>
      <c r="G955" s="7"/>
      <c r="H955" s="16" t="str">
        <f t="shared" si="14"/>
        <v>(953,,'',,,,),</v>
      </c>
    </row>
    <row r="956" spans="1:8" ht="20.100000000000001" customHeight="1" x14ac:dyDescent="0.25">
      <c r="A956" s="3">
        <v>954</v>
      </c>
      <c r="B956" s="8"/>
      <c r="C956" s="13"/>
      <c r="D956" s="10"/>
      <c r="E956" s="10"/>
      <c r="F956" s="10"/>
      <c r="G956" s="7"/>
      <c r="H956" s="16" t="str">
        <f t="shared" si="14"/>
        <v>(954,,'',,,,),</v>
      </c>
    </row>
    <row r="957" spans="1:8" ht="20.100000000000001" customHeight="1" x14ac:dyDescent="0.25">
      <c r="A957" s="3">
        <v>955</v>
      </c>
      <c r="B957" s="8"/>
      <c r="C957" s="13"/>
      <c r="D957" s="10"/>
      <c r="E957" s="10"/>
      <c r="F957" s="10"/>
      <c r="G957" s="7"/>
      <c r="H957" s="16" t="str">
        <f t="shared" si="14"/>
        <v>(955,,'',,,,),</v>
      </c>
    </row>
    <row r="958" spans="1:8" ht="20.100000000000001" customHeight="1" x14ac:dyDescent="0.25">
      <c r="A958" s="3">
        <v>956</v>
      </c>
      <c r="B958" s="8"/>
      <c r="C958" s="13"/>
      <c r="D958" s="10"/>
      <c r="E958" s="10"/>
      <c r="F958" s="10"/>
      <c r="G958" s="7"/>
      <c r="H958" s="16" t="str">
        <f t="shared" si="14"/>
        <v>(956,,'',,,,),</v>
      </c>
    </row>
    <row r="959" spans="1:8" ht="20.100000000000001" customHeight="1" x14ac:dyDescent="0.25">
      <c r="A959" s="3">
        <v>957</v>
      </c>
      <c r="B959" s="8"/>
      <c r="C959" s="13"/>
      <c r="D959" s="10"/>
      <c r="E959" s="10"/>
      <c r="F959" s="10"/>
      <c r="G959" s="7"/>
      <c r="H959" s="16" t="str">
        <f t="shared" si="14"/>
        <v>(957,,'',,,,),</v>
      </c>
    </row>
    <row r="960" spans="1:8" ht="20.100000000000001" customHeight="1" x14ac:dyDescent="0.25">
      <c r="A960" s="3">
        <v>958</v>
      </c>
      <c r="B960" s="8"/>
      <c r="C960" s="13"/>
      <c r="D960" s="10"/>
      <c r="E960" s="10"/>
      <c r="F960" s="10"/>
      <c r="G960" s="7"/>
      <c r="H960" s="16" t="str">
        <f t="shared" si="14"/>
        <v>(958,,'',,,,),</v>
      </c>
    </row>
    <row r="961" spans="1:8" ht="20.100000000000001" customHeight="1" x14ac:dyDescent="0.25">
      <c r="A961" s="3">
        <v>959</v>
      </c>
      <c r="B961" s="8"/>
      <c r="C961" s="13"/>
      <c r="D961" s="10"/>
      <c r="E961" s="10"/>
      <c r="F961" s="10"/>
      <c r="G961" s="7"/>
      <c r="H961" s="16" t="str">
        <f t="shared" si="14"/>
        <v>(959,,'',,,,),</v>
      </c>
    </row>
    <row r="962" spans="1:8" ht="20.100000000000001" customHeight="1" x14ac:dyDescent="0.25">
      <c r="A962" s="3">
        <v>960</v>
      </c>
      <c r="B962" s="8"/>
      <c r="C962" s="13"/>
      <c r="D962" s="10"/>
      <c r="E962" s="10"/>
      <c r="F962" s="10"/>
      <c r="G962" s="7"/>
      <c r="H962" s="16" t="str">
        <f t="shared" si="14"/>
        <v>(960,,'',,,,),</v>
      </c>
    </row>
    <row r="963" spans="1:8" ht="20.100000000000001" customHeight="1" x14ac:dyDescent="0.25">
      <c r="A963" s="3">
        <v>961</v>
      </c>
      <c r="B963" s="8"/>
      <c r="C963" s="13"/>
      <c r="D963" s="10"/>
      <c r="E963" s="10"/>
      <c r="F963" s="10"/>
      <c r="G963" s="7"/>
      <c r="H963" s="16" t="str">
        <f t="shared" si="14"/>
        <v>(961,,'',,,,),</v>
      </c>
    </row>
    <row r="964" spans="1:8" ht="20.100000000000001" customHeight="1" x14ac:dyDescent="0.25">
      <c r="A964" s="3">
        <v>962</v>
      </c>
      <c r="B964" s="8"/>
      <c r="C964" s="13"/>
      <c r="D964" s="10"/>
      <c r="E964" s="10"/>
      <c r="F964" s="10"/>
      <c r="G964" s="7"/>
      <c r="H964" s="16" t="str">
        <f t="shared" ref="H964:H1027" si="15">CONCATENATE("(",A964,",",B964,",'",C964,"',",D964,",",E964,",",F964,",",G964,"),")</f>
        <v>(962,,'',,,,),</v>
      </c>
    </row>
    <row r="965" spans="1:8" ht="20.100000000000001" customHeight="1" x14ac:dyDescent="0.25">
      <c r="A965" s="3">
        <v>963</v>
      </c>
      <c r="B965" s="8"/>
      <c r="C965" s="13"/>
      <c r="D965" s="10"/>
      <c r="E965" s="10"/>
      <c r="F965" s="10"/>
      <c r="G965" s="7"/>
      <c r="H965" s="16" t="str">
        <f t="shared" si="15"/>
        <v>(963,,'',,,,),</v>
      </c>
    </row>
    <row r="966" spans="1:8" ht="20.100000000000001" customHeight="1" x14ac:dyDescent="0.25">
      <c r="A966" s="3">
        <v>964</v>
      </c>
      <c r="B966" s="8"/>
      <c r="C966" s="13"/>
      <c r="D966" s="10"/>
      <c r="E966" s="10"/>
      <c r="F966" s="10"/>
      <c r="G966" s="7"/>
      <c r="H966" s="16" t="str">
        <f t="shared" si="15"/>
        <v>(964,,'',,,,),</v>
      </c>
    </row>
    <row r="967" spans="1:8" ht="20.100000000000001" customHeight="1" x14ac:dyDescent="0.25">
      <c r="A967" s="3">
        <v>965</v>
      </c>
      <c r="B967" s="8"/>
      <c r="C967" s="13"/>
      <c r="D967" s="10"/>
      <c r="E967" s="10"/>
      <c r="F967" s="10"/>
      <c r="G967" s="7"/>
      <c r="H967" s="16" t="str">
        <f t="shared" si="15"/>
        <v>(965,,'',,,,),</v>
      </c>
    </row>
    <row r="968" spans="1:8" ht="20.100000000000001" customHeight="1" x14ac:dyDescent="0.25">
      <c r="A968" s="3">
        <v>966</v>
      </c>
      <c r="B968" s="8"/>
      <c r="C968" s="13"/>
      <c r="D968" s="10"/>
      <c r="E968" s="10"/>
      <c r="F968" s="10"/>
      <c r="G968" s="7"/>
      <c r="H968" s="16" t="str">
        <f t="shared" si="15"/>
        <v>(966,,'',,,,),</v>
      </c>
    </row>
    <row r="969" spans="1:8" ht="20.100000000000001" customHeight="1" x14ac:dyDescent="0.25">
      <c r="A969" s="3">
        <v>967</v>
      </c>
      <c r="B969" s="8"/>
      <c r="C969" s="13"/>
      <c r="D969" s="10"/>
      <c r="E969" s="10"/>
      <c r="F969" s="10"/>
      <c r="G969" s="7"/>
      <c r="H969" s="16" t="str">
        <f t="shared" si="15"/>
        <v>(967,,'',,,,),</v>
      </c>
    </row>
    <row r="970" spans="1:8" ht="20.100000000000001" customHeight="1" x14ac:dyDescent="0.25">
      <c r="A970" s="3">
        <v>968</v>
      </c>
      <c r="B970" s="8"/>
      <c r="C970" s="13"/>
      <c r="D970" s="10"/>
      <c r="E970" s="10"/>
      <c r="F970" s="10"/>
      <c r="G970" s="7"/>
      <c r="H970" s="16" t="str">
        <f t="shared" si="15"/>
        <v>(968,,'',,,,),</v>
      </c>
    </row>
    <row r="971" spans="1:8" ht="20.100000000000001" customHeight="1" x14ac:dyDescent="0.25">
      <c r="A971" s="3">
        <v>969</v>
      </c>
      <c r="B971" s="8"/>
      <c r="C971" s="13"/>
      <c r="D971" s="10"/>
      <c r="E971" s="10"/>
      <c r="F971" s="10"/>
      <c r="G971" s="7"/>
      <c r="H971" s="16" t="str">
        <f t="shared" si="15"/>
        <v>(969,,'',,,,),</v>
      </c>
    </row>
    <row r="972" spans="1:8" ht="20.100000000000001" customHeight="1" x14ac:dyDescent="0.25">
      <c r="A972" s="3">
        <v>970</v>
      </c>
      <c r="B972" s="8"/>
      <c r="C972" s="13"/>
      <c r="D972" s="10"/>
      <c r="E972" s="10"/>
      <c r="F972" s="10"/>
      <c r="G972" s="7"/>
      <c r="H972" s="16" t="str">
        <f t="shared" si="15"/>
        <v>(970,,'',,,,),</v>
      </c>
    </row>
    <row r="973" spans="1:8" ht="20.100000000000001" customHeight="1" x14ac:dyDescent="0.25">
      <c r="A973" s="3">
        <v>971</v>
      </c>
      <c r="B973" s="8"/>
      <c r="C973" s="13"/>
      <c r="D973" s="10"/>
      <c r="E973" s="10"/>
      <c r="F973" s="10"/>
      <c r="G973" s="7"/>
      <c r="H973" s="16" t="str">
        <f t="shared" si="15"/>
        <v>(971,,'',,,,),</v>
      </c>
    </row>
    <row r="974" spans="1:8" ht="20.100000000000001" customHeight="1" x14ac:dyDescent="0.25">
      <c r="A974" s="3">
        <v>972</v>
      </c>
      <c r="B974" s="8"/>
      <c r="C974" s="13"/>
      <c r="D974" s="10"/>
      <c r="E974" s="10"/>
      <c r="F974" s="10"/>
      <c r="G974" s="7"/>
      <c r="H974" s="16" t="str">
        <f t="shared" si="15"/>
        <v>(972,,'',,,,),</v>
      </c>
    </row>
    <row r="975" spans="1:8" ht="20.100000000000001" customHeight="1" x14ac:dyDescent="0.25">
      <c r="A975" s="3">
        <v>973</v>
      </c>
      <c r="B975" s="8"/>
      <c r="C975" s="13"/>
      <c r="D975" s="10"/>
      <c r="E975" s="10"/>
      <c r="F975" s="10"/>
      <c r="G975" s="7"/>
      <c r="H975" s="16" t="str">
        <f t="shared" si="15"/>
        <v>(973,,'',,,,),</v>
      </c>
    </row>
    <row r="976" spans="1:8" ht="20.100000000000001" customHeight="1" x14ac:dyDescent="0.25">
      <c r="A976" s="3">
        <v>974</v>
      </c>
      <c r="B976" s="8"/>
      <c r="C976" s="13"/>
      <c r="D976" s="10"/>
      <c r="E976" s="10"/>
      <c r="F976" s="10"/>
      <c r="G976" s="7"/>
      <c r="H976" s="16" t="str">
        <f t="shared" si="15"/>
        <v>(974,,'',,,,),</v>
      </c>
    </row>
    <row r="977" spans="1:8" ht="20.100000000000001" customHeight="1" x14ac:dyDescent="0.25">
      <c r="A977" s="3">
        <v>975</v>
      </c>
      <c r="B977" s="8"/>
      <c r="C977" s="13"/>
      <c r="D977" s="10"/>
      <c r="E977" s="10"/>
      <c r="F977" s="10"/>
      <c r="G977" s="7"/>
      <c r="H977" s="16" t="str">
        <f t="shared" si="15"/>
        <v>(975,,'',,,,),</v>
      </c>
    </row>
    <row r="978" spans="1:8" ht="20.100000000000001" customHeight="1" x14ac:dyDescent="0.25">
      <c r="A978" s="3">
        <v>976</v>
      </c>
      <c r="B978" s="8"/>
      <c r="C978" s="13"/>
      <c r="D978" s="10"/>
      <c r="E978" s="10"/>
      <c r="F978" s="10"/>
      <c r="G978" s="7"/>
      <c r="H978" s="16" t="str">
        <f t="shared" si="15"/>
        <v>(976,,'',,,,),</v>
      </c>
    </row>
    <row r="979" spans="1:8" ht="20.100000000000001" customHeight="1" x14ac:dyDescent="0.25">
      <c r="A979" s="3">
        <v>977</v>
      </c>
      <c r="B979" s="8"/>
      <c r="C979" s="13"/>
      <c r="D979" s="10"/>
      <c r="E979" s="10"/>
      <c r="F979" s="10"/>
      <c r="G979" s="7"/>
      <c r="H979" s="16" t="str">
        <f t="shared" si="15"/>
        <v>(977,,'',,,,),</v>
      </c>
    </row>
    <row r="980" spans="1:8" ht="20.100000000000001" customHeight="1" x14ac:dyDescent="0.25">
      <c r="A980" s="3">
        <v>978</v>
      </c>
      <c r="B980" s="8"/>
      <c r="C980" s="13"/>
      <c r="D980" s="10"/>
      <c r="E980" s="10"/>
      <c r="F980" s="10"/>
      <c r="G980" s="7"/>
      <c r="H980" s="16" t="str">
        <f t="shared" si="15"/>
        <v>(978,,'',,,,),</v>
      </c>
    </row>
    <row r="981" spans="1:8" ht="20.100000000000001" customHeight="1" x14ac:dyDescent="0.25">
      <c r="A981" s="3">
        <v>979</v>
      </c>
      <c r="B981" s="8"/>
      <c r="C981" s="13"/>
      <c r="D981" s="10"/>
      <c r="E981" s="10"/>
      <c r="F981" s="10"/>
      <c r="G981" s="7"/>
      <c r="H981" s="16" t="str">
        <f t="shared" si="15"/>
        <v>(979,,'',,,,),</v>
      </c>
    </row>
    <row r="982" spans="1:8" ht="20.100000000000001" customHeight="1" x14ac:dyDescent="0.25">
      <c r="A982" s="3">
        <v>980</v>
      </c>
      <c r="B982" s="8"/>
      <c r="C982" s="13"/>
      <c r="D982" s="10"/>
      <c r="E982" s="10"/>
      <c r="F982" s="10"/>
      <c r="G982" s="7"/>
      <c r="H982" s="16" t="str">
        <f t="shared" si="15"/>
        <v>(980,,'',,,,),</v>
      </c>
    </row>
    <row r="983" spans="1:8" ht="20.100000000000001" customHeight="1" x14ac:dyDescent="0.25">
      <c r="A983" s="3">
        <v>981</v>
      </c>
      <c r="B983" s="8"/>
      <c r="C983" s="13"/>
      <c r="D983" s="10"/>
      <c r="E983" s="10"/>
      <c r="F983" s="10"/>
      <c r="G983" s="7"/>
      <c r="H983" s="16" t="str">
        <f t="shared" si="15"/>
        <v>(981,,'',,,,),</v>
      </c>
    </row>
    <row r="984" spans="1:8" ht="20.100000000000001" customHeight="1" x14ac:dyDescent="0.25">
      <c r="A984" s="3">
        <v>982</v>
      </c>
      <c r="B984" s="8"/>
      <c r="C984" s="13"/>
      <c r="D984" s="10"/>
      <c r="E984" s="10"/>
      <c r="F984" s="10"/>
      <c r="G984" s="7"/>
      <c r="H984" s="16" t="str">
        <f t="shared" si="15"/>
        <v>(982,,'',,,,),</v>
      </c>
    </row>
    <row r="985" spans="1:8" ht="20.100000000000001" customHeight="1" x14ac:dyDescent="0.25">
      <c r="A985" s="3">
        <v>983</v>
      </c>
      <c r="B985" s="8"/>
      <c r="C985" s="13"/>
      <c r="D985" s="10"/>
      <c r="E985" s="10"/>
      <c r="F985" s="10"/>
      <c r="G985" s="7"/>
      <c r="H985" s="16" t="str">
        <f t="shared" si="15"/>
        <v>(983,,'',,,,),</v>
      </c>
    </row>
    <row r="986" spans="1:8" ht="20.100000000000001" customHeight="1" x14ac:dyDescent="0.25">
      <c r="A986" s="3">
        <v>984</v>
      </c>
      <c r="B986" s="8"/>
      <c r="C986" s="13"/>
      <c r="D986" s="10"/>
      <c r="E986" s="10"/>
      <c r="F986" s="10"/>
      <c r="G986" s="7"/>
      <c r="H986" s="16" t="str">
        <f t="shared" si="15"/>
        <v>(984,,'',,,,),</v>
      </c>
    </row>
    <row r="987" spans="1:8" ht="20.100000000000001" customHeight="1" x14ac:dyDescent="0.25">
      <c r="A987" s="3">
        <v>985</v>
      </c>
      <c r="B987" s="8"/>
      <c r="C987" s="13"/>
      <c r="D987" s="10"/>
      <c r="E987" s="10"/>
      <c r="F987" s="10"/>
      <c r="G987" s="7"/>
      <c r="H987" s="16" t="str">
        <f t="shared" si="15"/>
        <v>(985,,'',,,,),</v>
      </c>
    </row>
    <row r="988" spans="1:8" ht="20.100000000000001" customHeight="1" x14ac:dyDescent="0.25">
      <c r="A988" s="3">
        <v>986</v>
      </c>
      <c r="B988" s="8"/>
      <c r="C988" s="13"/>
      <c r="D988" s="10"/>
      <c r="E988" s="10"/>
      <c r="F988" s="10"/>
      <c r="G988" s="7"/>
      <c r="H988" s="16" t="str">
        <f t="shared" si="15"/>
        <v>(986,,'',,,,),</v>
      </c>
    </row>
    <row r="989" spans="1:8" ht="20.100000000000001" customHeight="1" x14ac:dyDescent="0.25">
      <c r="A989" s="3">
        <v>987</v>
      </c>
      <c r="B989" s="8"/>
      <c r="C989" s="13"/>
      <c r="D989" s="10"/>
      <c r="E989" s="10"/>
      <c r="F989" s="10"/>
      <c r="G989" s="7"/>
      <c r="H989" s="16" t="str">
        <f t="shared" si="15"/>
        <v>(987,,'',,,,),</v>
      </c>
    </row>
    <row r="990" spans="1:8" ht="20.100000000000001" customHeight="1" x14ac:dyDescent="0.25">
      <c r="A990" s="3">
        <v>988</v>
      </c>
      <c r="B990" s="8"/>
      <c r="C990" s="13"/>
      <c r="D990" s="10"/>
      <c r="E990" s="10"/>
      <c r="F990" s="10"/>
      <c r="G990" s="7"/>
      <c r="H990" s="16" t="str">
        <f t="shared" si="15"/>
        <v>(988,,'',,,,),</v>
      </c>
    </row>
    <row r="991" spans="1:8" ht="20.100000000000001" customHeight="1" x14ac:dyDescent="0.25">
      <c r="A991" s="3">
        <v>989</v>
      </c>
      <c r="B991" s="8"/>
      <c r="C991" s="13"/>
      <c r="D991" s="10"/>
      <c r="E991" s="10"/>
      <c r="F991" s="10"/>
      <c r="G991" s="7"/>
      <c r="H991" s="16" t="str">
        <f t="shared" si="15"/>
        <v>(989,,'',,,,),</v>
      </c>
    </row>
    <row r="992" spans="1:8" ht="20.100000000000001" customHeight="1" x14ac:dyDescent="0.25">
      <c r="A992" s="3">
        <v>990</v>
      </c>
      <c r="B992" s="8"/>
      <c r="C992" s="13"/>
      <c r="D992" s="10"/>
      <c r="E992" s="10"/>
      <c r="F992" s="10"/>
      <c r="G992" s="7"/>
      <c r="H992" s="16" t="str">
        <f t="shared" si="15"/>
        <v>(990,,'',,,,),</v>
      </c>
    </row>
    <row r="993" spans="1:8" ht="20.100000000000001" customHeight="1" x14ac:dyDescent="0.25">
      <c r="A993" s="3">
        <v>991</v>
      </c>
      <c r="B993" s="8"/>
      <c r="C993" s="13"/>
      <c r="D993" s="10"/>
      <c r="E993" s="10"/>
      <c r="F993" s="10"/>
      <c r="G993" s="7"/>
      <c r="H993" s="16" t="str">
        <f t="shared" si="15"/>
        <v>(991,,'',,,,),</v>
      </c>
    </row>
    <row r="994" spans="1:8" ht="20.100000000000001" customHeight="1" x14ac:dyDescent="0.25">
      <c r="A994" s="3">
        <v>992</v>
      </c>
      <c r="B994" s="8"/>
      <c r="C994" s="13"/>
      <c r="D994" s="10"/>
      <c r="E994" s="10"/>
      <c r="F994" s="10"/>
      <c r="G994" s="7"/>
      <c r="H994" s="16" t="str">
        <f t="shared" si="15"/>
        <v>(992,,'',,,,),</v>
      </c>
    </row>
    <row r="995" spans="1:8" ht="20.100000000000001" customHeight="1" x14ac:dyDescent="0.25">
      <c r="A995" s="3">
        <v>993</v>
      </c>
      <c r="B995" s="8"/>
      <c r="C995" s="13"/>
      <c r="D995" s="10"/>
      <c r="E995" s="10"/>
      <c r="F995" s="10"/>
      <c r="G995" s="7"/>
      <c r="H995" s="16" t="str">
        <f t="shared" si="15"/>
        <v>(993,,'',,,,),</v>
      </c>
    </row>
    <row r="996" spans="1:8" ht="20.100000000000001" customHeight="1" x14ac:dyDescent="0.25">
      <c r="A996" s="3">
        <v>994</v>
      </c>
      <c r="B996" s="8"/>
      <c r="C996" s="13"/>
      <c r="D996" s="10"/>
      <c r="E996" s="10"/>
      <c r="F996" s="10"/>
      <c r="G996" s="7"/>
      <c r="H996" s="16" t="str">
        <f t="shared" si="15"/>
        <v>(994,,'',,,,),</v>
      </c>
    </row>
    <row r="997" spans="1:8" ht="20.100000000000001" customHeight="1" x14ac:dyDescent="0.25">
      <c r="A997" s="3">
        <v>995</v>
      </c>
      <c r="B997" s="8"/>
      <c r="C997" s="13"/>
      <c r="D997" s="10"/>
      <c r="E997" s="10"/>
      <c r="F997" s="10"/>
      <c r="G997" s="7"/>
      <c r="H997" s="16" t="str">
        <f t="shared" si="15"/>
        <v>(995,,'',,,,),</v>
      </c>
    </row>
    <row r="998" spans="1:8" ht="20.100000000000001" customHeight="1" x14ac:dyDescent="0.25">
      <c r="A998" s="3">
        <v>996</v>
      </c>
      <c r="B998" s="8"/>
      <c r="C998" s="13"/>
      <c r="D998" s="10"/>
      <c r="E998" s="10"/>
      <c r="F998" s="10"/>
      <c r="G998" s="7"/>
      <c r="H998" s="16" t="str">
        <f t="shared" si="15"/>
        <v>(996,,'',,,,),</v>
      </c>
    </row>
    <row r="999" spans="1:8" ht="20.100000000000001" customHeight="1" x14ac:dyDescent="0.25">
      <c r="A999" s="3">
        <v>997</v>
      </c>
      <c r="B999" s="8"/>
      <c r="C999" s="13"/>
      <c r="D999" s="10"/>
      <c r="E999" s="10"/>
      <c r="F999" s="10"/>
      <c r="G999" s="7"/>
      <c r="H999" s="16" t="str">
        <f t="shared" si="15"/>
        <v>(997,,'',,,,),</v>
      </c>
    </row>
    <row r="1000" spans="1:8" ht="20.100000000000001" customHeight="1" x14ac:dyDescent="0.25">
      <c r="A1000" s="3">
        <v>998</v>
      </c>
      <c r="B1000" s="8"/>
      <c r="C1000" s="13"/>
      <c r="D1000" s="10"/>
      <c r="E1000" s="10"/>
      <c r="F1000" s="10"/>
      <c r="G1000" s="7"/>
      <c r="H1000" s="16" t="str">
        <f t="shared" si="15"/>
        <v>(998,,'',,,,),</v>
      </c>
    </row>
    <row r="1001" spans="1:8" ht="20.100000000000001" customHeight="1" x14ac:dyDescent="0.25">
      <c r="A1001" s="3">
        <v>999</v>
      </c>
      <c r="B1001" s="8"/>
      <c r="C1001" s="13"/>
      <c r="D1001" s="10"/>
      <c r="E1001" s="10"/>
      <c r="F1001" s="10"/>
      <c r="G1001" s="7"/>
      <c r="H1001" s="16" t="str">
        <f t="shared" si="15"/>
        <v>(999,,'',,,,),</v>
      </c>
    </row>
    <row r="1002" spans="1:8" ht="20.100000000000001" customHeight="1" x14ac:dyDescent="0.25">
      <c r="A1002" s="3">
        <v>1000</v>
      </c>
      <c r="B1002" s="8"/>
      <c r="C1002" s="13"/>
      <c r="D1002" s="10"/>
      <c r="E1002" s="10"/>
      <c r="F1002" s="10"/>
      <c r="G1002" s="7"/>
      <c r="H1002" s="16" t="str">
        <f t="shared" si="15"/>
        <v>(1000,,'',,,,),</v>
      </c>
    </row>
    <row r="1003" spans="1:8" ht="20.100000000000001" customHeight="1" x14ac:dyDescent="0.25">
      <c r="A1003" s="3">
        <v>1001</v>
      </c>
      <c r="B1003" s="8"/>
      <c r="C1003" s="13"/>
      <c r="D1003" s="10"/>
      <c r="E1003" s="10"/>
      <c r="F1003" s="10"/>
      <c r="G1003" s="7"/>
      <c r="H1003" s="16" t="str">
        <f t="shared" si="15"/>
        <v>(1001,,'',,,,),</v>
      </c>
    </row>
    <row r="1004" spans="1:8" ht="20.100000000000001" customHeight="1" x14ac:dyDescent="0.25">
      <c r="A1004" s="3">
        <v>1002</v>
      </c>
      <c r="B1004" s="8"/>
      <c r="C1004" s="13"/>
      <c r="D1004" s="10"/>
      <c r="E1004" s="10"/>
      <c r="F1004" s="10"/>
      <c r="G1004" s="7"/>
      <c r="H1004" s="16" t="str">
        <f t="shared" si="15"/>
        <v>(1002,,'',,,,),</v>
      </c>
    </row>
    <row r="1005" spans="1:8" ht="20.100000000000001" customHeight="1" x14ac:dyDescent="0.25">
      <c r="A1005" s="3">
        <v>1003</v>
      </c>
      <c r="B1005" s="8"/>
      <c r="C1005" s="13"/>
      <c r="D1005" s="10"/>
      <c r="E1005" s="10"/>
      <c r="F1005" s="10"/>
      <c r="G1005" s="7"/>
      <c r="H1005" s="16" t="str">
        <f t="shared" si="15"/>
        <v>(1003,,'',,,,),</v>
      </c>
    </row>
    <row r="1006" spans="1:8" ht="20.100000000000001" customHeight="1" x14ac:dyDescent="0.25">
      <c r="A1006" s="3">
        <v>1004</v>
      </c>
      <c r="B1006" s="8"/>
      <c r="C1006" s="13"/>
      <c r="D1006" s="10"/>
      <c r="E1006" s="10"/>
      <c r="F1006" s="10"/>
      <c r="G1006" s="7"/>
      <c r="H1006" s="16" t="str">
        <f t="shared" si="15"/>
        <v>(1004,,'',,,,),</v>
      </c>
    </row>
    <row r="1007" spans="1:8" ht="20.100000000000001" customHeight="1" x14ac:dyDescent="0.25">
      <c r="A1007" s="3">
        <v>1005</v>
      </c>
      <c r="B1007" s="8"/>
      <c r="C1007" s="13"/>
      <c r="D1007" s="10"/>
      <c r="E1007" s="10"/>
      <c r="F1007" s="10"/>
      <c r="G1007" s="7"/>
      <c r="H1007" s="16" t="str">
        <f t="shared" si="15"/>
        <v>(1005,,'',,,,),</v>
      </c>
    </row>
    <row r="1008" spans="1:8" ht="20.100000000000001" customHeight="1" x14ac:dyDescent="0.25">
      <c r="A1008" s="3">
        <v>1006</v>
      </c>
      <c r="B1008" s="8"/>
      <c r="C1008" s="13"/>
      <c r="D1008" s="10"/>
      <c r="E1008" s="10"/>
      <c r="F1008" s="10"/>
      <c r="G1008" s="7"/>
      <c r="H1008" s="16" t="str">
        <f t="shared" si="15"/>
        <v>(1006,,'',,,,),</v>
      </c>
    </row>
    <row r="1009" spans="1:8" ht="20.100000000000001" customHeight="1" x14ac:dyDescent="0.25">
      <c r="A1009" s="3">
        <v>1007</v>
      </c>
      <c r="B1009" s="8"/>
      <c r="C1009" s="13"/>
      <c r="D1009" s="10"/>
      <c r="E1009" s="10"/>
      <c r="F1009" s="10"/>
      <c r="G1009" s="7"/>
      <c r="H1009" s="16" t="str">
        <f t="shared" si="15"/>
        <v>(1007,,'',,,,),</v>
      </c>
    </row>
    <row r="1010" spans="1:8" ht="20.100000000000001" customHeight="1" x14ac:dyDescent="0.25">
      <c r="A1010" s="3">
        <v>1008</v>
      </c>
      <c r="B1010" s="8"/>
      <c r="C1010" s="13"/>
      <c r="D1010" s="10"/>
      <c r="E1010" s="10"/>
      <c r="F1010" s="10"/>
      <c r="G1010" s="7"/>
      <c r="H1010" s="16" t="str">
        <f t="shared" si="15"/>
        <v>(1008,,'',,,,),</v>
      </c>
    </row>
    <row r="1011" spans="1:8" ht="20.100000000000001" customHeight="1" x14ac:dyDescent="0.25">
      <c r="A1011" s="3">
        <v>1009</v>
      </c>
      <c r="B1011" s="8"/>
      <c r="C1011" s="13"/>
      <c r="D1011" s="10"/>
      <c r="E1011" s="10"/>
      <c r="F1011" s="10"/>
      <c r="G1011" s="7"/>
      <c r="H1011" s="16" t="str">
        <f t="shared" si="15"/>
        <v>(1009,,'',,,,),</v>
      </c>
    </row>
    <row r="1012" spans="1:8" ht="20.100000000000001" customHeight="1" x14ac:dyDescent="0.25">
      <c r="A1012" s="3">
        <v>1010</v>
      </c>
      <c r="B1012" s="8"/>
      <c r="C1012" s="13"/>
      <c r="D1012" s="10"/>
      <c r="E1012" s="10"/>
      <c r="F1012" s="10"/>
      <c r="G1012" s="7"/>
      <c r="H1012" s="16" t="str">
        <f t="shared" si="15"/>
        <v>(1010,,'',,,,),</v>
      </c>
    </row>
    <row r="1013" spans="1:8" ht="20.100000000000001" customHeight="1" x14ac:dyDescent="0.25">
      <c r="A1013" s="3">
        <v>1011</v>
      </c>
      <c r="B1013" s="8"/>
      <c r="C1013" s="13"/>
      <c r="D1013" s="10"/>
      <c r="E1013" s="10"/>
      <c r="F1013" s="10"/>
      <c r="G1013" s="7"/>
      <c r="H1013" s="16" t="str">
        <f t="shared" si="15"/>
        <v>(1011,,'',,,,),</v>
      </c>
    </row>
    <row r="1014" spans="1:8" ht="20.100000000000001" customHeight="1" x14ac:dyDescent="0.25">
      <c r="A1014" s="3">
        <v>1012</v>
      </c>
      <c r="B1014" s="8"/>
      <c r="C1014" s="13"/>
      <c r="D1014" s="10"/>
      <c r="E1014" s="10"/>
      <c r="F1014" s="10"/>
      <c r="G1014" s="7"/>
      <c r="H1014" s="16" t="str">
        <f t="shared" si="15"/>
        <v>(1012,,'',,,,),</v>
      </c>
    </row>
    <row r="1015" spans="1:8" ht="20.100000000000001" customHeight="1" x14ac:dyDescent="0.25">
      <c r="A1015" s="3">
        <v>1013</v>
      </c>
      <c r="B1015" s="8"/>
      <c r="C1015" s="13"/>
      <c r="D1015" s="10"/>
      <c r="E1015" s="10"/>
      <c r="F1015" s="10"/>
      <c r="G1015" s="7"/>
      <c r="H1015" s="16" t="str">
        <f t="shared" si="15"/>
        <v>(1013,,'',,,,),</v>
      </c>
    </row>
    <row r="1016" spans="1:8" ht="20.100000000000001" customHeight="1" x14ac:dyDescent="0.25">
      <c r="A1016" s="3">
        <v>1014</v>
      </c>
      <c r="B1016" s="8"/>
      <c r="C1016" s="13"/>
      <c r="D1016" s="10"/>
      <c r="E1016" s="10"/>
      <c r="F1016" s="10"/>
      <c r="G1016" s="7"/>
      <c r="H1016" s="16" t="str">
        <f t="shared" si="15"/>
        <v>(1014,,'',,,,),</v>
      </c>
    </row>
    <row r="1017" spans="1:8" ht="20.100000000000001" customHeight="1" x14ac:dyDescent="0.25">
      <c r="A1017" s="3">
        <v>1015</v>
      </c>
      <c r="B1017" s="8"/>
      <c r="C1017" s="13"/>
      <c r="D1017" s="10"/>
      <c r="E1017" s="10"/>
      <c r="F1017" s="10"/>
      <c r="G1017" s="7"/>
      <c r="H1017" s="16" t="str">
        <f t="shared" si="15"/>
        <v>(1015,,'',,,,),</v>
      </c>
    </row>
    <row r="1018" spans="1:8" ht="20.100000000000001" customHeight="1" x14ac:dyDescent="0.25">
      <c r="A1018" s="3">
        <v>1016</v>
      </c>
      <c r="B1018" s="8"/>
      <c r="C1018" s="13"/>
      <c r="D1018" s="10"/>
      <c r="E1018" s="10"/>
      <c r="F1018" s="10"/>
      <c r="G1018" s="7"/>
      <c r="H1018" s="16" t="str">
        <f t="shared" si="15"/>
        <v>(1016,,'',,,,),</v>
      </c>
    </row>
    <row r="1019" spans="1:8" ht="20.100000000000001" customHeight="1" x14ac:dyDescent="0.25">
      <c r="A1019" s="3">
        <v>1017</v>
      </c>
      <c r="B1019" s="8"/>
      <c r="C1019" s="13"/>
      <c r="D1019" s="10"/>
      <c r="E1019" s="10"/>
      <c r="F1019" s="10"/>
      <c r="G1019" s="7"/>
      <c r="H1019" s="16" t="str">
        <f t="shared" si="15"/>
        <v>(1017,,'',,,,),</v>
      </c>
    </row>
    <row r="1020" spans="1:8" ht="20.100000000000001" customHeight="1" x14ac:dyDescent="0.25">
      <c r="A1020" s="3">
        <v>1018</v>
      </c>
      <c r="B1020" s="8"/>
      <c r="C1020" s="13"/>
      <c r="D1020" s="10"/>
      <c r="E1020" s="10"/>
      <c r="F1020" s="10"/>
      <c r="G1020" s="7"/>
      <c r="H1020" s="16" t="str">
        <f t="shared" si="15"/>
        <v>(1018,,'',,,,),</v>
      </c>
    </row>
    <row r="1021" spans="1:8" ht="20.100000000000001" customHeight="1" x14ac:dyDescent="0.25">
      <c r="A1021" s="3">
        <v>1019</v>
      </c>
      <c r="B1021" s="8"/>
      <c r="C1021" s="13"/>
      <c r="D1021" s="10"/>
      <c r="E1021" s="10"/>
      <c r="F1021" s="10"/>
      <c r="G1021" s="7"/>
      <c r="H1021" s="16" t="str">
        <f t="shared" si="15"/>
        <v>(1019,,'',,,,),</v>
      </c>
    </row>
    <row r="1022" spans="1:8" ht="20.100000000000001" customHeight="1" x14ac:dyDescent="0.25">
      <c r="A1022" s="3">
        <v>1020</v>
      </c>
      <c r="B1022" s="8"/>
      <c r="C1022" s="13"/>
      <c r="D1022" s="10"/>
      <c r="E1022" s="10"/>
      <c r="F1022" s="10"/>
      <c r="G1022" s="7"/>
      <c r="H1022" s="16" t="str">
        <f t="shared" si="15"/>
        <v>(1020,,'',,,,),</v>
      </c>
    </row>
    <row r="1023" spans="1:8" ht="20.100000000000001" customHeight="1" x14ac:dyDescent="0.25">
      <c r="A1023" s="3">
        <v>1021</v>
      </c>
      <c r="B1023" s="8"/>
      <c r="C1023" s="13"/>
      <c r="D1023" s="10"/>
      <c r="E1023" s="10"/>
      <c r="F1023" s="10"/>
      <c r="G1023" s="7"/>
      <c r="H1023" s="16" t="str">
        <f t="shared" si="15"/>
        <v>(1021,,'',,,,),</v>
      </c>
    </row>
    <row r="1024" spans="1:8" ht="20.100000000000001" customHeight="1" x14ac:dyDescent="0.25">
      <c r="A1024" s="3">
        <v>1022</v>
      </c>
      <c r="B1024" s="8"/>
      <c r="C1024" s="13"/>
      <c r="D1024" s="10"/>
      <c r="E1024" s="10"/>
      <c r="F1024" s="10"/>
      <c r="G1024" s="7"/>
      <c r="H1024" s="16" t="str">
        <f t="shared" si="15"/>
        <v>(1022,,'',,,,),</v>
      </c>
    </row>
    <row r="1025" spans="1:8" ht="20.100000000000001" customHeight="1" x14ac:dyDescent="0.25">
      <c r="A1025" s="3">
        <v>1023</v>
      </c>
      <c r="B1025" s="8"/>
      <c r="C1025" s="13"/>
      <c r="D1025" s="10"/>
      <c r="E1025" s="10"/>
      <c r="F1025" s="10"/>
      <c r="G1025" s="7"/>
      <c r="H1025" s="16" t="str">
        <f t="shared" si="15"/>
        <v>(1023,,'',,,,),</v>
      </c>
    </row>
    <row r="1026" spans="1:8" ht="20.100000000000001" customHeight="1" x14ac:dyDescent="0.25">
      <c r="A1026" s="3">
        <v>1024</v>
      </c>
      <c r="B1026" s="8"/>
      <c r="C1026" s="13"/>
      <c r="D1026" s="10"/>
      <c r="E1026" s="10"/>
      <c r="F1026" s="10"/>
      <c r="G1026" s="7"/>
      <c r="H1026" s="16" t="str">
        <f t="shared" si="15"/>
        <v>(1024,,'',,,,),</v>
      </c>
    </row>
    <row r="1027" spans="1:8" ht="20.100000000000001" customHeight="1" x14ac:dyDescent="0.25">
      <c r="A1027" s="3">
        <v>1025</v>
      </c>
      <c r="B1027" s="8"/>
      <c r="C1027" s="13"/>
      <c r="D1027" s="10"/>
      <c r="E1027" s="10"/>
      <c r="F1027" s="10"/>
      <c r="G1027" s="7"/>
      <c r="H1027" s="16" t="str">
        <f t="shared" si="15"/>
        <v>(1025,,'',,,,),</v>
      </c>
    </row>
    <row r="1028" spans="1:8" ht="20.100000000000001" customHeight="1" x14ac:dyDescent="0.25">
      <c r="A1028" s="3">
        <v>1026</v>
      </c>
      <c r="B1028" s="8"/>
      <c r="C1028" s="13"/>
      <c r="D1028" s="10"/>
      <c r="E1028" s="10"/>
      <c r="F1028" s="10"/>
      <c r="G1028" s="7"/>
      <c r="H1028" s="16" t="str">
        <f t="shared" ref="H1028:H1091" si="16">CONCATENATE("(",A1028,",",B1028,",'",C1028,"',",D1028,",",E1028,",",F1028,",",G1028,"),")</f>
        <v>(1026,,'',,,,),</v>
      </c>
    </row>
    <row r="1029" spans="1:8" ht="20.100000000000001" customHeight="1" x14ac:dyDescent="0.25">
      <c r="A1029" s="3">
        <v>1027</v>
      </c>
      <c r="B1029" s="8"/>
      <c r="C1029" s="13"/>
      <c r="D1029" s="10"/>
      <c r="E1029" s="10"/>
      <c r="F1029" s="10"/>
      <c r="G1029" s="7"/>
      <c r="H1029" s="16" t="str">
        <f t="shared" si="16"/>
        <v>(1027,,'',,,,),</v>
      </c>
    </row>
    <row r="1030" spans="1:8" ht="20.100000000000001" customHeight="1" x14ac:dyDescent="0.25">
      <c r="A1030" s="3">
        <v>1028</v>
      </c>
      <c r="B1030" s="8"/>
      <c r="C1030" s="13"/>
      <c r="D1030" s="10"/>
      <c r="E1030" s="10"/>
      <c r="F1030" s="10"/>
      <c r="G1030" s="7"/>
      <c r="H1030" s="16" t="str">
        <f t="shared" si="16"/>
        <v>(1028,,'',,,,),</v>
      </c>
    </row>
    <row r="1031" spans="1:8" ht="20.100000000000001" customHeight="1" x14ac:dyDescent="0.25">
      <c r="A1031" s="3">
        <v>1029</v>
      </c>
      <c r="B1031" s="8"/>
      <c r="C1031" s="13"/>
      <c r="D1031" s="10"/>
      <c r="E1031" s="10"/>
      <c r="F1031" s="10"/>
      <c r="G1031" s="7"/>
      <c r="H1031" s="16" t="str">
        <f t="shared" si="16"/>
        <v>(1029,,'',,,,),</v>
      </c>
    </row>
    <row r="1032" spans="1:8" ht="20.100000000000001" customHeight="1" x14ac:dyDescent="0.25">
      <c r="A1032" s="3">
        <v>1030</v>
      </c>
      <c r="B1032" s="8"/>
      <c r="C1032" s="13"/>
      <c r="D1032" s="10"/>
      <c r="E1032" s="10"/>
      <c r="F1032" s="10"/>
      <c r="G1032" s="7"/>
      <c r="H1032" s="16" t="str">
        <f t="shared" si="16"/>
        <v>(1030,,'',,,,),</v>
      </c>
    </row>
    <row r="1033" spans="1:8" ht="20.100000000000001" customHeight="1" x14ac:dyDescent="0.25">
      <c r="A1033" s="3">
        <v>1031</v>
      </c>
      <c r="B1033" s="8"/>
      <c r="C1033" s="13"/>
      <c r="D1033" s="10"/>
      <c r="E1033" s="10"/>
      <c r="F1033" s="10"/>
      <c r="G1033" s="7"/>
      <c r="H1033" s="16" t="str">
        <f t="shared" si="16"/>
        <v>(1031,,'',,,,),</v>
      </c>
    </row>
    <row r="1034" spans="1:8" ht="20.100000000000001" customHeight="1" x14ac:dyDescent="0.25">
      <c r="A1034" s="3">
        <v>1032</v>
      </c>
      <c r="B1034" s="8"/>
      <c r="C1034" s="13"/>
      <c r="D1034" s="10"/>
      <c r="E1034" s="10"/>
      <c r="F1034" s="10"/>
      <c r="G1034" s="7"/>
      <c r="H1034" s="16" t="str">
        <f t="shared" si="16"/>
        <v>(1032,,'',,,,),</v>
      </c>
    </row>
    <row r="1035" spans="1:8" ht="20.100000000000001" customHeight="1" x14ac:dyDescent="0.25">
      <c r="A1035" s="3">
        <v>1033</v>
      </c>
      <c r="B1035" s="8"/>
      <c r="C1035" s="13"/>
      <c r="D1035" s="10"/>
      <c r="E1035" s="10"/>
      <c r="F1035" s="10"/>
      <c r="G1035" s="7"/>
      <c r="H1035" s="16" t="str">
        <f t="shared" si="16"/>
        <v>(1033,,'',,,,),</v>
      </c>
    </row>
    <row r="1036" spans="1:8" ht="20.100000000000001" customHeight="1" x14ac:dyDescent="0.25">
      <c r="A1036" s="3">
        <v>1034</v>
      </c>
      <c r="B1036" s="8"/>
      <c r="C1036" s="13"/>
      <c r="D1036" s="10"/>
      <c r="E1036" s="10"/>
      <c r="F1036" s="10"/>
      <c r="G1036" s="7"/>
      <c r="H1036" s="16" t="str">
        <f t="shared" si="16"/>
        <v>(1034,,'',,,,),</v>
      </c>
    </row>
    <row r="1037" spans="1:8" ht="20.100000000000001" customHeight="1" x14ac:dyDescent="0.25">
      <c r="A1037" s="3">
        <v>1035</v>
      </c>
      <c r="B1037" s="8"/>
      <c r="C1037" s="13"/>
      <c r="D1037" s="10"/>
      <c r="E1037" s="10"/>
      <c r="F1037" s="10"/>
      <c r="G1037" s="7"/>
      <c r="H1037" s="16" t="str">
        <f t="shared" si="16"/>
        <v>(1035,,'',,,,),</v>
      </c>
    </row>
    <row r="1038" spans="1:8" ht="20.100000000000001" customHeight="1" x14ac:dyDescent="0.25">
      <c r="A1038" s="3">
        <v>1036</v>
      </c>
      <c r="B1038" s="8"/>
      <c r="C1038" s="13"/>
      <c r="D1038" s="10"/>
      <c r="E1038" s="10"/>
      <c r="F1038" s="10"/>
      <c r="G1038" s="7"/>
      <c r="H1038" s="16" t="str">
        <f t="shared" si="16"/>
        <v>(1036,,'',,,,),</v>
      </c>
    </row>
    <row r="1039" spans="1:8" ht="20.100000000000001" customHeight="1" x14ac:dyDescent="0.25">
      <c r="A1039" s="3">
        <v>1037</v>
      </c>
      <c r="B1039" s="8"/>
      <c r="C1039" s="13"/>
      <c r="D1039" s="10"/>
      <c r="E1039" s="10"/>
      <c r="F1039" s="10"/>
      <c r="G1039" s="7"/>
      <c r="H1039" s="16" t="str">
        <f t="shared" si="16"/>
        <v>(1037,,'',,,,),</v>
      </c>
    </row>
    <row r="1040" spans="1:8" ht="20.100000000000001" customHeight="1" x14ac:dyDescent="0.25">
      <c r="A1040" s="3">
        <v>1038</v>
      </c>
      <c r="B1040" s="8"/>
      <c r="C1040" s="13"/>
      <c r="D1040" s="10"/>
      <c r="E1040" s="10"/>
      <c r="F1040" s="10"/>
      <c r="G1040" s="7"/>
      <c r="H1040" s="16" t="str">
        <f t="shared" si="16"/>
        <v>(1038,,'',,,,),</v>
      </c>
    </row>
    <row r="1041" spans="1:8" ht="20.100000000000001" customHeight="1" x14ac:dyDescent="0.25">
      <c r="A1041" s="3">
        <v>1039</v>
      </c>
      <c r="B1041" s="8"/>
      <c r="C1041" s="13"/>
      <c r="D1041" s="10"/>
      <c r="E1041" s="10"/>
      <c r="F1041" s="10"/>
      <c r="G1041" s="7"/>
      <c r="H1041" s="16" t="str">
        <f t="shared" si="16"/>
        <v>(1039,,'',,,,),</v>
      </c>
    </row>
    <row r="1042" spans="1:8" ht="20.100000000000001" customHeight="1" x14ac:dyDescent="0.25">
      <c r="A1042" s="3">
        <v>1040</v>
      </c>
      <c r="B1042" s="8"/>
      <c r="C1042" s="13"/>
      <c r="D1042" s="10"/>
      <c r="E1042" s="10"/>
      <c r="F1042" s="10"/>
      <c r="G1042" s="7"/>
      <c r="H1042" s="16" t="str">
        <f t="shared" si="16"/>
        <v>(1040,,'',,,,),</v>
      </c>
    </row>
    <row r="1043" spans="1:8" ht="20.100000000000001" customHeight="1" x14ac:dyDescent="0.25">
      <c r="A1043" s="3">
        <v>1041</v>
      </c>
      <c r="B1043" s="8"/>
      <c r="C1043" s="13"/>
      <c r="D1043" s="10"/>
      <c r="E1043" s="10"/>
      <c r="F1043" s="10"/>
      <c r="G1043" s="7"/>
      <c r="H1043" s="16" t="str">
        <f t="shared" si="16"/>
        <v>(1041,,'',,,,),</v>
      </c>
    </row>
    <row r="1044" spans="1:8" ht="20.100000000000001" customHeight="1" x14ac:dyDescent="0.25">
      <c r="A1044" s="3">
        <v>1042</v>
      </c>
      <c r="B1044" s="8"/>
      <c r="C1044" s="13"/>
      <c r="D1044" s="10"/>
      <c r="E1044" s="10"/>
      <c r="F1044" s="10"/>
      <c r="G1044" s="7"/>
      <c r="H1044" s="16" t="str">
        <f t="shared" si="16"/>
        <v>(1042,,'',,,,),</v>
      </c>
    </row>
    <row r="1045" spans="1:8" ht="20.100000000000001" customHeight="1" x14ac:dyDescent="0.25">
      <c r="A1045" s="3">
        <v>1043</v>
      </c>
      <c r="B1045" s="8"/>
      <c r="C1045" s="13"/>
      <c r="D1045" s="10"/>
      <c r="E1045" s="10"/>
      <c r="F1045" s="10"/>
      <c r="G1045" s="7"/>
      <c r="H1045" s="16" t="str">
        <f t="shared" si="16"/>
        <v>(1043,,'',,,,),</v>
      </c>
    </row>
    <row r="1046" spans="1:8" ht="20.100000000000001" customHeight="1" x14ac:dyDescent="0.25">
      <c r="A1046" s="3">
        <v>1044</v>
      </c>
      <c r="B1046" s="8"/>
      <c r="C1046" s="13"/>
      <c r="D1046" s="10"/>
      <c r="E1046" s="10"/>
      <c r="F1046" s="10"/>
      <c r="G1046" s="7"/>
      <c r="H1046" s="16" t="str">
        <f t="shared" si="16"/>
        <v>(1044,,'',,,,),</v>
      </c>
    </row>
    <row r="1047" spans="1:8" ht="20.100000000000001" customHeight="1" x14ac:dyDescent="0.25">
      <c r="A1047" s="3">
        <v>1045</v>
      </c>
      <c r="B1047" s="8"/>
      <c r="C1047" s="13"/>
      <c r="D1047" s="10"/>
      <c r="E1047" s="10"/>
      <c r="F1047" s="10"/>
      <c r="G1047" s="7"/>
      <c r="H1047" s="16" t="str">
        <f t="shared" si="16"/>
        <v>(1045,,'',,,,),</v>
      </c>
    </row>
    <row r="1048" spans="1:8" ht="20.100000000000001" customHeight="1" x14ac:dyDescent="0.25">
      <c r="A1048" s="3">
        <v>1046</v>
      </c>
      <c r="B1048" s="8"/>
      <c r="C1048" s="13"/>
      <c r="D1048" s="10"/>
      <c r="E1048" s="10"/>
      <c r="F1048" s="10"/>
      <c r="G1048" s="7"/>
      <c r="H1048" s="16" t="str">
        <f t="shared" si="16"/>
        <v>(1046,,'',,,,),</v>
      </c>
    </row>
    <row r="1049" spans="1:8" ht="20.100000000000001" customHeight="1" x14ac:dyDescent="0.25">
      <c r="A1049" s="3">
        <v>1047</v>
      </c>
      <c r="B1049" s="8"/>
      <c r="C1049" s="13"/>
      <c r="D1049" s="10"/>
      <c r="E1049" s="10"/>
      <c r="F1049" s="10"/>
      <c r="G1049" s="7"/>
      <c r="H1049" s="16" t="str">
        <f t="shared" si="16"/>
        <v>(1047,,'',,,,),</v>
      </c>
    </row>
    <row r="1050" spans="1:8" ht="20.100000000000001" customHeight="1" x14ac:dyDescent="0.25">
      <c r="A1050" s="3">
        <v>1048</v>
      </c>
      <c r="B1050" s="8"/>
      <c r="C1050" s="13"/>
      <c r="D1050" s="10"/>
      <c r="E1050" s="10"/>
      <c r="F1050" s="10"/>
      <c r="G1050" s="7"/>
      <c r="H1050" s="16" t="str">
        <f t="shared" si="16"/>
        <v>(1048,,'',,,,),</v>
      </c>
    </row>
    <row r="1051" spans="1:8" ht="20.100000000000001" customHeight="1" x14ac:dyDescent="0.25">
      <c r="A1051" s="3">
        <v>1049</v>
      </c>
      <c r="B1051" s="8"/>
      <c r="C1051" s="13"/>
      <c r="D1051" s="10"/>
      <c r="E1051" s="10"/>
      <c r="F1051" s="10"/>
      <c r="G1051" s="7"/>
      <c r="H1051" s="16" t="str">
        <f t="shared" si="16"/>
        <v>(1049,,'',,,,),</v>
      </c>
    </row>
    <row r="1052" spans="1:8" ht="20.100000000000001" customHeight="1" x14ac:dyDescent="0.25">
      <c r="A1052" s="3">
        <v>1050</v>
      </c>
      <c r="B1052" s="8"/>
      <c r="C1052" s="13"/>
      <c r="D1052" s="10"/>
      <c r="E1052" s="10"/>
      <c r="F1052" s="10"/>
      <c r="G1052" s="7"/>
      <c r="H1052" s="16" t="str">
        <f t="shared" si="16"/>
        <v>(1050,,'',,,,),</v>
      </c>
    </row>
    <row r="1053" spans="1:8" ht="20.100000000000001" customHeight="1" x14ac:dyDescent="0.25">
      <c r="A1053" s="3">
        <v>1051</v>
      </c>
      <c r="B1053" s="8"/>
      <c r="C1053" s="13"/>
      <c r="D1053" s="10"/>
      <c r="E1053" s="10"/>
      <c r="F1053" s="10"/>
      <c r="G1053" s="7"/>
      <c r="H1053" s="16" t="str">
        <f t="shared" si="16"/>
        <v>(1051,,'',,,,),</v>
      </c>
    </row>
    <row r="1054" spans="1:8" ht="20.100000000000001" customHeight="1" x14ac:dyDescent="0.25">
      <c r="A1054" s="3">
        <v>1052</v>
      </c>
      <c r="B1054" s="8"/>
      <c r="C1054" s="13"/>
      <c r="D1054" s="10"/>
      <c r="E1054" s="10"/>
      <c r="F1054" s="10"/>
      <c r="G1054" s="7"/>
      <c r="H1054" s="16" t="str">
        <f t="shared" si="16"/>
        <v>(1052,,'',,,,),</v>
      </c>
    </row>
    <row r="1055" spans="1:8" ht="20.100000000000001" customHeight="1" x14ac:dyDescent="0.25">
      <c r="A1055" s="3">
        <v>1053</v>
      </c>
      <c r="B1055" s="8"/>
      <c r="C1055" s="13"/>
      <c r="D1055" s="10"/>
      <c r="E1055" s="10"/>
      <c r="F1055" s="10"/>
      <c r="G1055" s="7"/>
      <c r="H1055" s="16" t="str">
        <f t="shared" si="16"/>
        <v>(1053,,'',,,,),</v>
      </c>
    </row>
    <row r="1056" spans="1:8" ht="20.100000000000001" customHeight="1" x14ac:dyDescent="0.25">
      <c r="A1056" s="3">
        <v>1054</v>
      </c>
      <c r="B1056" s="8"/>
      <c r="C1056" s="13"/>
      <c r="D1056" s="10"/>
      <c r="E1056" s="10"/>
      <c r="F1056" s="10"/>
      <c r="G1056" s="7"/>
      <c r="H1056" s="16" t="str">
        <f t="shared" si="16"/>
        <v>(1054,,'',,,,),</v>
      </c>
    </row>
    <row r="1057" spans="1:8" ht="20.100000000000001" customHeight="1" x14ac:dyDescent="0.25">
      <c r="A1057" s="3">
        <v>1055</v>
      </c>
      <c r="B1057" s="8"/>
      <c r="C1057" s="13"/>
      <c r="D1057" s="10"/>
      <c r="E1057" s="10"/>
      <c r="F1057" s="10"/>
      <c r="G1057" s="7"/>
      <c r="H1057" s="16" t="str">
        <f t="shared" si="16"/>
        <v>(1055,,'',,,,),</v>
      </c>
    </row>
    <row r="1058" spans="1:8" ht="20.100000000000001" customHeight="1" x14ac:dyDescent="0.25">
      <c r="A1058" s="3">
        <v>1056</v>
      </c>
      <c r="B1058" s="8"/>
      <c r="C1058" s="13"/>
      <c r="D1058" s="10"/>
      <c r="E1058" s="10"/>
      <c r="F1058" s="10"/>
      <c r="G1058" s="7"/>
      <c r="H1058" s="16" t="str">
        <f t="shared" si="16"/>
        <v>(1056,,'',,,,),</v>
      </c>
    </row>
    <row r="1059" spans="1:8" ht="20.100000000000001" customHeight="1" x14ac:dyDescent="0.25">
      <c r="A1059" s="3">
        <v>1057</v>
      </c>
      <c r="B1059" s="8"/>
      <c r="C1059" s="13"/>
      <c r="D1059" s="10"/>
      <c r="E1059" s="10"/>
      <c r="F1059" s="10"/>
      <c r="G1059" s="7"/>
      <c r="H1059" s="16" t="str">
        <f t="shared" si="16"/>
        <v>(1057,,'',,,,),</v>
      </c>
    </row>
    <row r="1060" spans="1:8" ht="20.100000000000001" customHeight="1" x14ac:dyDescent="0.25">
      <c r="A1060" s="3">
        <v>1058</v>
      </c>
      <c r="B1060" s="8"/>
      <c r="C1060" s="13"/>
      <c r="D1060" s="10"/>
      <c r="E1060" s="10"/>
      <c r="F1060" s="10"/>
      <c r="G1060" s="7"/>
      <c r="H1060" s="16" t="str">
        <f t="shared" si="16"/>
        <v>(1058,,'',,,,),</v>
      </c>
    </row>
    <row r="1061" spans="1:8" ht="20.100000000000001" customHeight="1" x14ac:dyDescent="0.25">
      <c r="A1061" s="3">
        <v>1059</v>
      </c>
      <c r="B1061" s="8"/>
      <c r="C1061" s="13"/>
      <c r="D1061" s="10"/>
      <c r="E1061" s="10"/>
      <c r="F1061" s="10"/>
      <c r="G1061" s="7"/>
      <c r="H1061" s="16" t="str">
        <f t="shared" si="16"/>
        <v>(1059,,'',,,,),</v>
      </c>
    </row>
    <row r="1062" spans="1:8" ht="20.100000000000001" customHeight="1" x14ac:dyDescent="0.25">
      <c r="A1062" s="3">
        <v>1060</v>
      </c>
      <c r="B1062" s="8"/>
      <c r="C1062" s="13"/>
      <c r="D1062" s="10"/>
      <c r="E1062" s="10"/>
      <c r="F1062" s="10"/>
      <c r="G1062" s="7"/>
      <c r="H1062" s="16" t="str">
        <f t="shared" si="16"/>
        <v>(1060,,'',,,,),</v>
      </c>
    </row>
    <row r="1063" spans="1:8" ht="20.100000000000001" customHeight="1" x14ac:dyDescent="0.25">
      <c r="A1063" s="3">
        <v>1061</v>
      </c>
      <c r="B1063" s="8"/>
      <c r="C1063" s="13"/>
      <c r="D1063" s="10"/>
      <c r="E1063" s="10"/>
      <c r="F1063" s="10"/>
      <c r="G1063" s="7"/>
      <c r="H1063" s="16" t="str">
        <f t="shared" si="16"/>
        <v>(1061,,'',,,,),</v>
      </c>
    </row>
    <row r="1064" spans="1:8" ht="20.100000000000001" customHeight="1" x14ac:dyDescent="0.25">
      <c r="A1064" s="3">
        <v>1062</v>
      </c>
      <c r="B1064" s="8"/>
      <c r="C1064" s="13"/>
      <c r="D1064" s="10"/>
      <c r="E1064" s="10"/>
      <c r="F1064" s="10"/>
      <c r="G1064" s="7"/>
      <c r="H1064" s="16" t="str">
        <f t="shared" si="16"/>
        <v>(1062,,'',,,,),</v>
      </c>
    </row>
    <row r="1065" spans="1:8" ht="20.100000000000001" customHeight="1" x14ac:dyDescent="0.25">
      <c r="A1065" s="3">
        <v>1063</v>
      </c>
      <c r="B1065" s="8"/>
      <c r="C1065" s="13"/>
      <c r="D1065" s="10"/>
      <c r="E1065" s="10"/>
      <c r="F1065" s="10"/>
      <c r="G1065" s="7"/>
      <c r="H1065" s="16" t="str">
        <f t="shared" si="16"/>
        <v>(1063,,'',,,,),</v>
      </c>
    </row>
    <row r="1066" spans="1:8" ht="20.100000000000001" customHeight="1" x14ac:dyDescent="0.25">
      <c r="A1066" s="3">
        <v>1064</v>
      </c>
      <c r="B1066" s="8"/>
      <c r="C1066" s="13"/>
      <c r="D1066" s="10"/>
      <c r="E1066" s="10"/>
      <c r="F1066" s="10"/>
      <c r="G1066" s="7"/>
      <c r="H1066" s="16" t="str">
        <f t="shared" si="16"/>
        <v>(1064,,'',,,,),</v>
      </c>
    </row>
    <row r="1067" spans="1:8" ht="20.100000000000001" customHeight="1" x14ac:dyDescent="0.25">
      <c r="A1067" s="3">
        <v>1065</v>
      </c>
      <c r="B1067" s="8"/>
      <c r="C1067" s="13"/>
      <c r="D1067" s="10"/>
      <c r="E1067" s="10"/>
      <c r="F1067" s="10"/>
      <c r="G1067" s="7"/>
      <c r="H1067" s="16" t="str">
        <f t="shared" si="16"/>
        <v>(1065,,'',,,,),</v>
      </c>
    </row>
    <row r="1068" spans="1:8" ht="20.100000000000001" customHeight="1" x14ac:dyDescent="0.25">
      <c r="A1068" s="3">
        <v>1066</v>
      </c>
      <c r="B1068" s="8"/>
      <c r="C1068" s="13"/>
      <c r="D1068" s="10"/>
      <c r="E1068" s="10"/>
      <c r="F1068" s="10"/>
      <c r="G1068" s="7"/>
      <c r="H1068" s="16" t="str">
        <f t="shared" si="16"/>
        <v>(1066,,'',,,,),</v>
      </c>
    </row>
    <row r="1069" spans="1:8" ht="20.100000000000001" customHeight="1" x14ac:dyDescent="0.25">
      <c r="A1069" s="3">
        <v>1067</v>
      </c>
      <c r="B1069" s="8"/>
      <c r="C1069" s="13"/>
      <c r="D1069" s="10"/>
      <c r="E1069" s="10"/>
      <c r="F1069" s="10"/>
      <c r="G1069" s="7"/>
      <c r="H1069" s="16" t="str">
        <f t="shared" si="16"/>
        <v>(1067,,'',,,,),</v>
      </c>
    </row>
    <row r="1070" spans="1:8" ht="20.100000000000001" customHeight="1" x14ac:dyDescent="0.25">
      <c r="A1070" s="3">
        <v>1068</v>
      </c>
      <c r="B1070" s="8"/>
      <c r="C1070" s="13"/>
      <c r="D1070" s="10"/>
      <c r="E1070" s="10"/>
      <c r="F1070" s="10"/>
      <c r="G1070" s="7"/>
      <c r="H1070" s="16" t="str">
        <f t="shared" si="16"/>
        <v>(1068,,'',,,,),</v>
      </c>
    </row>
    <row r="1071" spans="1:8" ht="20.100000000000001" customHeight="1" x14ac:dyDescent="0.25">
      <c r="A1071" s="3">
        <v>1069</v>
      </c>
      <c r="B1071" s="8"/>
      <c r="C1071" s="13"/>
      <c r="D1071" s="10"/>
      <c r="E1071" s="10"/>
      <c r="F1071" s="10"/>
      <c r="G1071" s="7"/>
      <c r="H1071" s="16" t="str">
        <f t="shared" si="16"/>
        <v>(1069,,'',,,,),</v>
      </c>
    </row>
    <row r="1072" spans="1:8" ht="20.100000000000001" customHeight="1" x14ac:dyDescent="0.25">
      <c r="A1072" s="3">
        <v>1070</v>
      </c>
      <c r="B1072" s="8"/>
      <c r="C1072" s="13"/>
      <c r="D1072" s="10"/>
      <c r="E1072" s="10"/>
      <c r="F1072" s="10"/>
      <c r="G1072" s="7"/>
      <c r="H1072" s="16" t="str">
        <f t="shared" si="16"/>
        <v>(1070,,'',,,,),</v>
      </c>
    </row>
    <row r="1073" spans="1:8" ht="20.100000000000001" customHeight="1" x14ac:dyDescent="0.25">
      <c r="A1073" s="3">
        <v>1071</v>
      </c>
      <c r="B1073" s="8"/>
      <c r="C1073" s="13"/>
      <c r="D1073" s="10"/>
      <c r="E1073" s="10"/>
      <c r="F1073" s="10"/>
      <c r="G1073" s="7"/>
      <c r="H1073" s="16" t="str">
        <f t="shared" si="16"/>
        <v>(1071,,'',,,,),</v>
      </c>
    </row>
    <row r="1074" spans="1:8" ht="20.100000000000001" customHeight="1" x14ac:dyDescent="0.25">
      <c r="A1074" s="3">
        <v>1072</v>
      </c>
      <c r="B1074" s="8"/>
      <c r="C1074" s="13"/>
      <c r="D1074" s="10"/>
      <c r="E1074" s="10"/>
      <c r="F1074" s="10"/>
      <c r="G1074" s="7"/>
      <c r="H1074" s="16" t="str">
        <f t="shared" si="16"/>
        <v>(1072,,'',,,,),</v>
      </c>
    </row>
    <row r="1075" spans="1:8" ht="20.100000000000001" customHeight="1" x14ac:dyDescent="0.25">
      <c r="A1075" s="3">
        <v>1073</v>
      </c>
      <c r="B1075" s="8"/>
      <c r="C1075" s="13"/>
      <c r="D1075" s="10"/>
      <c r="E1075" s="10"/>
      <c r="F1075" s="10"/>
      <c r="G1075" s="7"/>
      <c r="H1075" s="16" t="str">
        <f t="shared" si="16"/>
        <v>(1073,,'',,,,),</v>
      </c>
    </row>
    <row r="1076" spans="1:8" ht="20.100000000000001" customHeight="1" x14ac:dyDescent="0.25">
      <c r="A1076" s="3">
        <v>1074</v>
      </c>
      <c r="B1076" s="8"/>
      <c r="C1076" s="13"/>
      <c r="D1076" s="10"/>
      <c r="E1076" s="10"/>
      <c r="F1076" s="10"/>
      <c r="G1076" s="7"/>
      <c r="H1076" s="16" t="str">
        <f t="shared" si="16"/>
        <v>(1074,,'',,,,),</v>
      </c>
    </row>
    <row r="1077" spans="1:8" ht="20.100000000000001" customHeight="1" x14ac:dyDescent="0.25">
      <c r="A1077" s="3">
        <v>1075</v>
      </c>
      <c r="B1077" s="8"/>
      <c r="C1077" s="13"/>
      <c r="D1077" s="10"/>
      <c r="E1077" s="10"/>
      <c r="F1077" s="10"/>
      <c r="G1077" s="7"/>
      <c r="H1077" s="16" t="str">
        <f t="shared" si="16"/>
        <v>(1075,,'',,,,),</v>
      </c>
    </row>
    <row r="1078" spans="1:8" ht="20.100000000000001" customHeight="1" x14ac:dyDescent="0.25">
      <c r="A1078" s="3">
        <v>1076</v>
      </c>
      <c r="B1078" s="8"/>
      <c r="C1078" s="13"/>
      <c r="D1078" s="10"/>
      <c r="E1078" s="10"/>
      <c r="F1078" s="10"/>
      <c r="G1078" s="7"/>
      <c r="H1078" s="16" t="str">
        <f t="shared" si="16"/>
        <v>(1076,,'',,,,),</v>
      </c>
    </row>
    <row r="1079" spans="1:8" ht="20.100000000000001" customHeight="1" x14ac:dyDescent="0.25">
      <c r="A1079" s="3">
        <v>1077</v>
      </c>
      <c r="B1079" s="8"/>
      <c r="C1079" s="13"/>
      <c r="D1079" s="10"/>
      <c r="E1079" s="10"/>
      <c r="F1079" s="10"/>
      <c r="G1079" s="7"/>
      <c r="H1079" s="16" t="str">
        <f t="shared" si="16"/>
        <v>(1077,,'',,,,),</v>
      </c>
    </row>
    <row r="1080" spans="1:8" ht="20.100000000000001" customHeight="1" x14ac:dyDescent="0.25">
      <c r="A1080" s="3">
        <v>1078</v>
      </c>
      <c r="B1080" s="8"/>
      <c r="C1080" s="13"/>
      <c r="D1080" s="10"/>
      <c r="E1080" s="10"/>
      <c r="F1080" s="10"/>
      <c r="G1080" s="7"/>
      <c r="H1080" s="16" t="str">
        <f t="shared" si="16"/>
        <v>(1078,,'',,,,),</v>
      </c>
    </row>
    <row r="1081" spans="1:8" ht="20.100000000000001" customHeight="1" x14ac:dyDescent="0.25">
      <c r="A1081" s="3">
        <v>1079</v>
      </c>
      <c r="B1081" s="8"/>
      <c r="C1081" s="13"/>
      <c r="D1081" s="10"/>
      <c r="E1081" s="10"/>
      <c r="F1081" s="10"/>
      <c r="G1081" s="7"/>
      <c r="H1081" s="16" t="str">
        <f t="shared" si="16"/>
        <v>(1079,,'',,,,),</v>
      </c>
    </row>
    <row r="1082" spans="1:8" ht="20.100000000000001" customHeight="1" x14ac:dyDescent="0.25">
      <c r="A1082" s="3">
        <v>1080</v>
      </c>
      <c r="B1082" s="8"/>
      <c r="C1082" s="13"/>
      <c r="D1082" s="10"/>
      <c r="E1082" s="10"/>
      <c r="F1082" s="10"/>
      <c r="G1082" s="7"/>
      <c r="H1082" s="16" t="str">
        <f t="shared" si="16"/>
        <v>(1080,,'',,,,),</v>
      </c>
    </row>
    <row r="1083" spans="1:8" ht="20.100000000000001" customHeight="1" x14ac:dyDescent="0.25">
      <c r="A1083" s="3">
        <v>1081</v>
      </c>
      <c r="B1083" s="8"/>
      <c r="C1083" s="13"/>
      <c r="D1083" s="10"/>
      <c r="E1083" s="10"/>
      <c r="F1083" s="10"/>
      <c r="G1083" s="7"/>
      <c r="H1083" s="16" t="str">
        <f t="shared" si="16"/>
        <v>(1081,,'',,,,),</v>
      </c>
    </row>
    <row r="1084" spans="1:8" ht="20.100000000000001" customHeight="1" x14ac:dyDescent="0.25">
      <c r="A1084" s="3">
        <v>1082</v>
      </c>
      <c r="B1084" s="8"/>
      <c r="C1084" s="13"/>
      <c r="D1084" s="10"/>
      <c r="E1084" s="10"/>
      <c r="F1084" s="10"/>
      <c r="G1084" s="7"/>
      <c r="H1084" s="16" t="str">
        <f t="shared" si="16"/>
        <v>(1082,,'',,,,),</v>
      </c>
    </row>
    <row r="1085" spans="1:8" ht="20.100000000000001" customHeight="1" x14ac:dyDescent="0.25">
      <c r="A1085" s="3">
        <v>1083</v>
      </c>
      <c r="B1085" s="8"/>
      <c r="C1085" s="13"/>
      <c r="D1085" s="10"/>
      <c r="E1085" s="10"/>
      <c r="F1085" s="10"/>
      <c r="G1085" s="7"/>
      <c r="H1085" s="16" t="str">
        <f t="shared" si="16"/>
        <v>(1083,,'',,,,),</v>
      </c>
    </row>
    <row r="1086" spans="1:8" ht="20.100000000000001" customHeight="1" x14ac:dyDescent="0.25">
      <c r="A1086" s="3">
        <v>1084</v>
      </c>
      <c r="B1086" s="8"/>
      <c r="C1086" s="13"/>
      <c r="D1086" s="10"/>
      <c r="E1086" s="10"/>
      <c r="F1086" s="10"/>
      <c r="G1086" s="7"/>
      <c r="H1086" s="16" t="str">
        <f t="shared" si="16"/>
        <v>(1084,,'',,,,),</v>
      </c>
    </row>
    <row r="1087" spans="1:8" ht="20.100000000000001" customHeight="1" x14ac:dyDescent="0.25">
      <c r="A1087" s="3">
        <v>1085</v>
      </c>
      <c r="B1087" s="8"/>
      <c r="C1087" s="13"/>
      <c r="D1087" s="10"/>
      <c r="E1087" s="10"/>
      <c r="F1087" s="10"/>
      <c r="G1087" s="7"/>
      <c r="H1087" s="16" t="str">
        <f t="shared" si="16"/>
        <v>(1085,,'',,,,),</v>
      </c>
    </row>
    <row r="1088" spans="1:8" ht="20.100000000000001" customHeight="1" x14ac:dyDescent="0.25">
      <c r="A1088" s="3">
        <v>1086</v>
      </c>
      <c r="B1088" s="8"/>
      <c r="C1088" s="13"/>
      <c r="D1088" s="10"/>
      <c r="E1088" s="10"/>
      <c r="F1088" s="10"/>
      <c r="G1088" s="7"/>
      <c r="H1088" s="16" t="str">
        <f t="shared" si="16"/>
        <v>(1086,,'',,,,),</v>
      </c>
    </row>
    <row r="1089" spans="1:8" ht="20.100000000000001" customHeight="1" x14ac:dyDescent="0.25">
      <c r="A1089" s="3">
        <v>1087</v>
      </c>
      <c r="B1089" s="8"/>
      <c r="C1089" s="13"/>
      <c r="D1089" s="10"/>
      <c r="E1089" s="10"/>
      <c r="F1089" s="10"/>
      <c r="G1089" s="7"/>
      <c r="H1089" s="16" t="str">
        <f t="shared" si="16"/>
        <v>(1087,,'',,,,),</v>
      </c>
    </row>
    <row r="1090" spans="1:8" ht="20.100000000000001" customHeight="1" x14ac:dyDescent="0.25">
      <c r="A1090" s="3">
        <v>1088</v>
      </c>
      <c r="B1090" s="8"/>
      <c r="C1090" s="13"/>
      <c r="D1090" s="10"/>
      <c r="E1090" s="10"/>
      <c r="F1090" s="10"/>
      <c r="G1090" s="7"/>
      <c r="H1090" s="16" t="str">
        <f t="shared" si="16"/>
        <v>(1088,,'',,,,),</v>
      </c>
    </row>
    <row r="1091" spans="1:8" ht="20.100000000000001" customHeight="1" x14ac:dyDescent="0.25">
      <c r="A1091" s="3">
        <v>1089</v>
      </c>
      <c r="B1091" s="8"/>
      <c r="C1091" s="13"/>
      <c r="D1091" s="10"/>
      <c r="E1091" s="10"/>
      <c r="F1091" s="10"/>
      <c r="G1091" s="7"/>
      <c r="H1091" s="16" t="str">
        <f t="shared" si="16"/>
        <v>(1089,,'',,,,),</v>
      </c>
    </row>
    <row r="1092" spans="1:8" ht="20.100000000000001" customHeight="1" x14ac:dyDescent="0.25">
      <c r="A1092" s="3">
        <v>1090</v>
      </c>
      <c r="B1092" s="8"/>
      <c r="C1092" s="13"/>
      <c r="D1092" s="10"/>
      <c r="E1092" s="10"/>
      <c r="F1092" s="10"/>
      <c r="G1092" s="7"/>
      <c r="H1092" s="16" t="str">
        <f t="shared" ref="H1092:H1155" si="17">CONCATENATE("(",A1092,",",B1092,",'",C1092,"',",D1092,",",E1092,",",F1092,",",G1092,"),")</f>
        <v>(1090,,'',,,,),</v>
      </c>
    </row>
    <row r="1093" spans="1:8" ht="20.100000000000001" customHeight="1" x14ac:dyDescent="0.25">
      <c r="A1093" s="3">
        <v>1091</v>
      </c>
      <c r="B1093" s="8"/>
      <c r="C1093" s="13"/>
      <c r="D1093" s="10"/>
      <c r="E1093" s="10"/>
      <c r="F1093" s="10"/>
      <c r="G1093" s="7"/>
      <c r="H1093" s="16" t="str">
        <f t="shared" si="17"/>
        <v>(1091,,'',,,,),</v>
      </c>
    </row>
    <row r="1094" spans="1:8" ht="20.100000000000001" customHeight="1" x14ac:dyDescent="0.25">
      <c r="A1094" s="3">
        <v>1092</v>
      </c>
      <c r="B1094" s="8"/>
      <c r="C1094" s="13"/>
      <c r="D1094" s="10"/>
      <c r="E1094" s="10"/>
      <c r="F1094" s="10"/>
      <c r="G1094" s="7"/>
      <c r="H1094" s="16" t="str">
        <f t="shared" si="17"/>
        <v>(1092,,'',,,,),</v>
      </c>
    </row>
    <row r="1095" spans="1:8" ht="20.100000000000001" customHeight="1" x14ac:dyDescent="0.25">
      <c r="A1095" s="3">
        <v>1093</v>
      </c>
      <c r="B1095" s="8"/>
      <c r="C1095" s="13"/>
      <c r="D1095" s="10"/>
      <c r="E1095" s="10"/>
      <c r="F1095" s="10"/>
      <c r="G1095" s="7"/>
      <c r="H1095" s="16" t="str">
        <f t="shared" si="17"/>
        <v>(1093,,'',,,,),</v>
      </c>
    </row>
    <row r="1096" spans="1:8" ht="20.100000000000001" customHeight="1" x14ac:dyDescent="0.25">
      <c r="A1096" s="3">
        <v>1094</v>
      </c>
      <c r="B1096" s="8"/>
      <c r="C1096" s="13"/>
      <c r="D1096" s="10"/>
      <c r="E1096" s="10"/>
      <c r="F1096" s="10"/>
      <c r="G1096" s="7"/>
      <c r="H1096" s="16" t="str">
        <f t="shared" si="17"/>
        <v>(1094,,'',,,,),</v>
      </c>
    </row>
    <row r="1097" spans="1:8" ht="20.100000000000001" customHeight="1" x14ac:dyDescent="0.25">
      <c r="A1097" s="3">
        <v>1095</v>
      </c>
      <c r="B1097" s="8"/>
      <c r="C1097" s="13"/>
      <c r="D1097" s="10"/>
      <c r="E1097" s="10"/>
      <c r="F1097" s="10"/>
      <c r="G1097" s="7"/>
      <c r="H1097" s="16" t="str">
        <f t="shared" si="17"/>
        <v>(1095,,'',,,,),</v>
      </c>
    </row>
    <row r="1098" spans="1:8" ht="20.100000000000001" customHeight="1" x14ac:dyDescent="0.25">
      <c r="A1098" s="3">
        <v>1096</v>
      </c>
      <c r="B1098" s="8"/>
      <c r="C1098" s="13"/>
      <c r="D1098" s="10"/>
      <c r="E1098" s="10"/>
      <c r="F1098" s="10"/>
      <c r="G1098" s="7"/>
      <c r="H1098" s="16" t="str">
        <f t="shared" si="17"/>
        <v>(1096,,'',,,,),</v>
      </c>
    </row>
    <row r="1099" spans="1:8" ht="20.100000000000001" customHeight="1" x14ac:dyDescent="0.25">
      <c r="A1099" s="3">
        <v>1097</v>
      </c>
      <c r="B1099" s="8"/>
      <c r="C1099" s="13"/>
      <c r="D1099" s="10"/>
      <c r="E1099" s="10"/>
      <c r="F1099" s="10"/>
      <c r="G1099" s="7"/>
      <c r="H1099" s="16" t="str">
        <f t="shared" si="17"/>
        <v>(1097,,'',,,,),</v>
      </c>
    </row>
    <row r="1100" spans="1:8" ht="20.100000000000001" customHeight="1" x14ac:dyDescent="0.25">
      <c r="A1100" s="3">
        <v>1098</v>
      </c>
      <c r="B1100" s="8"/>
      <c r="C1100" s="13"/>
      <c r="D1100" s="10"/>
      <c r="E1100" s="10"/>
      <c r="F1100" s="10"/>
      <c r="G1100" s="7"/>
      <c r="H1100" s="16" t="str">
        <f t="shared" si="17"/>
        <v>(1098,,'',,,,),</v>
      </c>
    </row>
    <row r="1101" spans="1:8" ht="20.100000000000001" customHeight="1" x14ac:dyDescent="0.25">
      <c r="A1101" s="3">
        <v>1099</v>
      </c>
      <c r="B1101" s="8"/>
      <c r="C1101" s="13"/>
      <c r="D1101" s="10"/>
      <c r="E1101" s="10"/>
      <c r="F1101" s="10"/>
      <c r="G1101" s="7"/>
      <c r="H1101" s="16" t="str">
        <f t="shared" si="17"/>
        <v>(1099,,'',,,,),</v>
      </c>
    </row>
    <row r="1102" spans="1:8" ht="20.100000000000001" customHeight="1" x14ac:dyDescent="0.25">
      <c r="A1102" s="3">
        <v>1100</v>
      </c>
      <c r="B1102" s="8"/>
      <c r="C1102" s="13"/>
      <c r="D1102" s="10"/>
      <c r="E1102" s="10"/>
      <c r="F1102" s="10"/>
      <c r="G1102" s="7"/>
      <c r="H1102" s="16" t="str">
        <f t="shared" si="17"/>
        <v>(1100,,'',,,,),</v>
      </c>
    </row>
    <row r="1103" spans="1:8" ht="20.100000000000001" customHeight="1" x14ac:dyDescent="0.25">
      <c r="A1103" s="3">
        <v>1101</v>
      </c>
      <c r="B1103" s="8"/>
      <c r="C1103" s="13"/>
      <c r="D1103" s="10"/>
      <c r="E1103" s="10"/>
      <c r="F1103" s="10"/>
      <c r="G1103" s="7"/>
      <c r="H1103" s="16" t="str">
        <f t="shared" si="17"/>
        <v>(1101,,'',,,,),</v>
      </c>
    </row>
    <row r="1104" spans="1:8" ht="20.100000000000001" customHeight="1" x14ac:dyDescent="0.25">
      <c r="A1104" s="3">
        <v>1102</v>
      </c>
      <c r="B1104" s="8"/>
      <c r="C1104" s="13"/>
      <c r="D1104" s="10"/>
      <c r="E1104" s="10"/>
      <c r="F1104" s="10"/>
      <c r="G1104" s="7"/>
      <c r="H1104" s="16" t="str">
        <f t="shared" si="17"/>
        <v>(1102,,'',,,,),</v>
      </c>
    </row>
    <row r="1105" spans="1:8" ht="20.100000000000001" customHeight="1" x14ac:dyDescent="0.25">
      <c r="A1105" s="3">
        <v>1103</v>
      </c>
      <c r="B1105" s="8"/>
      <c r="C1105" s="13"/>
      <c r="D1105" s="10"/>
      <c r="E1105" s="10"/>
      <c r="F1105" s="10"/>
      <c r="G1105" s="7"/>
      <c r="H1105" s="16" t="str">
        <f t="shared" si="17"/>
        <v>(1103,,'',,,,),</v>
      </c>
    </row>
    <row r="1106" spans="1:8" ht="20.100000000000001" customHeight="1" x14ac:dyDescent="0.25">
      <c r="A1106" s="3">
        <v>1104</v>
      </c>
      <c r="B1106" s="8"/>
      <c r="C1106" s="13"/>
      <c r="D1106" s="10"/>
      <c r="E1106" s="10"/>
      <c r="F1106" s="10"/>
      <c r="G1106" s="7"/>
      <c r="H1106" s="16" t="str">
        <f t="shared" si="17"/>
        <v>(1104,,'',,,,),</v>
      </c>
    </row>
    <row r="1107" spans="1:8" ht="20.100000000000001" customHeight="1" x14ac:dyDescent="0.25">
      <c r="A1107" s="3">
        <v>1105</v>
      </c>
      <c r="B1107" s="8"/>
      <c r="C1107" s="13"/>
      <c r="D1107" s="10"/>
      <c r="E1107" s="10"/>
      <c r="F1107" s="10"/>
      <c r="G1107" s="7"/>
      <c r="H1107" s="16" t="str">
        <f t="shared" si="17"/>
        <v>(1105,,'',,,,),</v>
      </c>
    </row>
    <row r="1108" spans="1:8" ht="20.100000000000001" customHeight="1" x14ac:dyDescent="0.25">
      <c r="A1108" s="3">
        <v>1106</v>
      </c>
      <c r="B1108" s="8"/>
      <c r="C1108" s="13"/>
      <c r="D1108" s="10"/>
      <c r="E1108" s="10"/>
      <c r="F1108" s="10"/>
      <c r="G1108" s="7"/>
      <c r="H1108" s="16" t="str">
        <f t="shared" si="17"/>
        <v>(1106,,'',,,,),</v>
      </c>
    </row>
    <row r="1109" spans="1:8" ht="20.100000000000001" customHeight="1" x14ac:dyDescent="0.25">
      <c r="A1109" s="3">
        <v>1107</v>
      </c>
      <c r="B1109" s="8"/>
      <c r="C1109" s="13"/>
      <c r="D1109" s="10"/>
      <c r="E1109" s="10"/>
      <c r="F1109" s="10"/>
      <c r="G1109" s="7"/>
      <c r="H1109" s="16" t="str">
        <f t="shared" si="17"/>
        <v>(1107,,'',,,,),</v>
      </c>
    </row>
    <row r="1110" spans="1:8" ht="20.100000000000001" customHeight="1" x14ac:dyDescent="0.25">
      <c r="A1110" s="3">
        <v>1108</v>
      </c>
      <c r="B1110" s="8"/>
      <c r="C1110" s="13"/>
      <c r="D1110" s="10"/>
      <c r="E1110" s="10"/>
      <c r="F1110" s="10"/>
      <c r="G1110" s="7"/>
      <c r="H1110" s="16" t="str">
        <f t="shared" si="17"/>
        <v>(1108,,'',,,,),</v>
      </c>
    </row>
    <row r="1111" spans="1:8" ht="20.100000000000001" customHeight="1" x14ac:dyDescent="0.25">
      <c r="A1111" s="3">
        <v>1109</v>
      </c>
      <c r="B1111" s="8"/>
      <c r="C1111" s="13"/>
      <c r="D1111" s="10"/>
      <c r="E1111" s="10"/>
      <c r="F1111" s="10"/>
      <c r="G1111" s="7"/>
      <c r="H1111" s="16" t="str">
        <f t="shared" si="17"/>
        <v>(1109,,'',,,,),</v>
      </c>
    </row>
    <row r="1112" spans="1:8" ht="20.100000000000001" customHeight="1" x14ac:dyDescent="0.25">
      <c r="A1112" s="3">
        <v>1110</v>
      </c>
      <c r="B1112" s="8"/>
      <c r="C1112" s="13"/>
      <c r="D1112" s="10"/>
      <c r="E1112" s="10"/>
      <c r="F1112" s="10"/>
      <c r="G1112" s="7"/>
      <c r="H1112" s="16" t="str">
        <f t="shared" si="17"/>
        <v>(1110,,'',,,,),</v>
      </c>
    </row>
    <row r="1113" spans="1:8" ht="20.100000000000001" customHeight="1" x14ac:dyDescent="0.25">
      <c r="A1113" s="3">
        <v>1111</v>
      </c>
      <c r="B1113" s="8"/>
      <c r="C1113" s="13"/>
      <c r="D1113" s="10"/>
      <c r="E1113" s="10"/>
      <c r="F1113" s="10"/>
      <c r="G1113" s="7"/>
      <c r="H1113" s="16" t="str">
        <f t="shared" si="17"/>
        <v>(1111,,'',,,,),</v>
      </c>
    </row>
    <row r="1114" spans="1:8" ht="20.100000000000001" customHeight="1" x14ac:dyDescent="0.25">
      <c r="A1114" s="3">
        <v>1112</v>
      </c>
      <c r="B1114" s="8"/>
      <c r="C1114" s="13"/>
      <c r="D1114" s="10"/>
      <c r="E1114" s="10"/>
      <c r="F1114" s="10"/>
      <c r="G1114" s="7"/>
      <c r="H1114" s="16" t="str">
        <f t="shared" si="17"/>
        <v>(1112,,'',,,,),</v>
      </c>
    </row>
    <row r="1115" spans="1:8" ht="20.100000000000001" customHeight="1" x14ac:dyDescent="0.25">
      <c r="A1115" s="3">
        <v>1113</v>
      </c>
      <c r="B1115" s="8"/>
      <c r="C1115" s="13"/>
      <c r="D1115" s="10"/>
      <c r="E1115" s="10"/>
      <c r="F1115" s="10"/>
      <c r="G1115" s="7"/>
      <c r="H1115" s="16" t="str">
        <f t="shared" si="17"/>
        <v>(1113,,'',,,,),</v>
      </c>
    </row>
    <row r="1116" spans="1:8" ht="20.100000000000001" customHeight="1" x14ac:dyDescent="0.25">
      <c r="A1116" s="3">
        <v>1114</v>
      </c>
      <c r="B1116" s="8"/>
      <c r="C1116" s="13"/>
      <c r="D1116" s="10"/>
      <c r="E1116" s="10"/>
      <c r="F1116" s="10"/>
      <c r="G1116" s="7"/>
      <c r="H1116" s="16" t="str">
        <f t="shared" si="17"/>
        <v>(1114,,'',,,,),</v>
      </c>
    </row>
    <row r="1117" spans="1:8" ht="20.100000000000001" customHeight="1" x14ac:dyDescent="0.25">
      <c r="A1117" s="3">
        <v>1115</v>
      </c>
      <c r="B1117" s="8"/>
      <c r="C1117" s="13"/>
      <c r="D1117" s="10"/>
      <c r="E1117" s="10"/>
      <c r="F1117" s="10"/>
      <c r="G1117" s="7"/>
      <c r="H1117" s="16" t="str">
        <f t="shared" si="17"/>
        <v>(1115,,'',,,,),</v>
      </c>
    </row>
    <row r="1118" spans="1:8" ht="20.100000000000001" customHeight="1" x14ac:dyDescent="0.25">
      <c r="A1118" s="3">
        <v>1116</v>
      </c>
      <c r="B1118" s="8"/>
      <c r="C1118" s="13"/>
      <c r="D1118" s="10"/>
      <c r="E1118" s="10"/>
      <c r="F1118" s="10"/>
      <c r="G1118" s="7"/>
      <c r="H1118" s="16" t="str">
        <f t="shared" si="17"/>
        <v>(1116,,'',,,,),</v>
      </c>
    </row>
    <row r="1119" spans="1:8" ht="20.100000000000001" customHeight="1" x14ac:dyDescent="0.25">
      <c r="A1119" s="3">
        <v>1117</v>
      </c>
      <c r="B1119" s="8"/>
      <c r="C1119" s="13"/>
      <c r="D1119" s="10"/>
      <c r="E1119" s="10"/>
      <c r="F1119" s="10"/>
      <c r="G1119" s="7"/>
      <c r="H1119" s="16" t="str">
        <f t="shared" si="17"/>
        <v>(1117,,'',,,,),</v>
      </c>
    </row>
    <row r="1120" spans="1:8" ht="20.100000000000001" customHeight="1" x14ac:dyDescent="0.25">
      <c r="A1120" s="3">
        <v>1118</v>
      </c>
      <c r="B1120" s="8"/>
      <c r="C1120" s="13"/>
      <c r="D1120" s="10"/>
      <c r="E1120" s="10"/>
      <c r="F1120" s="10"/>
      <c r="G1120" s="7"/>
      <c r="H1120" s="16" t="str">
        <f t="shared" si="17"/>
        <v>(1118,,'',,,,),</v>
      </c>
    </row>
    <row r="1121" spans="1:8" ht="20.100000000000001" customHeight="1" x14ac:dyDescent="0.25">
      <c r="A1121" s="3">
        <v>1119</v>
      </c>
      <c r="B1121" s="8"/>
      <c r="C1121" s="13"/>
      <c r="D1121" s="10"/>
      <c r="E1121" s="10"/>
      <c r="F1121" s="10"/>
      <c r="G1121" s="7"/>
      <c r="H1121" s="16" t="str">
        <f t="shared" si="17"/>
        <v>(1119,,'',,,,),</v>
      </c>
    </row>
    <row r="1122" spans="1:8" ht="20.100000000000001" customHeight="1" x14ac:dyDescent="0.25">
      <c r="A1122" s="3">
        <v>1120</v>
      </c>
      <c r="B1122" s="8"/>
      <c r="C1122" s="13"/>
      <c r="D1122" s="10"/>
      <c r="E1122" s="10"/>
      <c r="F1122" s="10"/>
      <c r="G1122" s="7"/>
      <c r="H1122" s="16" t="str">
        <f t="shared" si="17"/>
        <v>(1120,,'',,,,),</v>
      </c>
    </row>
    <row r="1123" spans="1:8" ht="20.100000000000001" customHeight="1" x14ac:dyDescent="0.25">
      <c r="A1123" s="3">
        <v>1121</v>
      </c>
      <c r="B1123" s="8"/>
      <c r="C1123" s="13"/>
      <c r="D1123" s="10"/>
      <c r="E1123" s="10"/>
      <c r="F1123" s="10"/>
      <c r="G1123" s="7"/>
      <c r="H1123" s="16" t="str">
        <f t="shared" si="17"/>
        <v>(1121,,'',,,,),</v>
      </c>
    </row>
    <row r="1124" spans="1:8" ht="20.100000000000001" customHeight="1" x14ac:dyDescent="0.25">
      <c r="A1124" s="3">
        <v>1122</v>
      </c>
      <c r="B1124" s="8"/>
      <c r="C1124" s="13"/>
      <c r="D1124" s="10"/>
      <c r="E1124" s="10"/>
      <c r="F1124" s="10"/>
      <c r="G1124" s="7"/>
      <c r="H1124" s="16" t="str">
        <f t="shared" si="17"/>
        <v>(1122,,'',,,,),</v>
      </c>
    </row>
    <row r="1125" spans="1:8" ht="20.100000000000001" customHeight="1" x14ac:dyDescent="0.25">
      <c r="A1125" s="3">
        <v>1123</v>
      </c>
      <c r="B1125" s="8"/>
      <c r="C1125" s="13"/>
      <c r="D1125" s="10"/>
      <c r="E1125" s="10"/>
      <c r="F1125" s="10"/>
      <c r="G1125" s="7"/>
      <c r="H1125" s="16" t="str">
        <f t="shared" si="17"/>
        <v>(1123,,'',,,,),</v>
      </c>
    </row>
    <row r="1126" spans="1:8" ht="20.100000000000001" customHeight="1" x14ac:dyDescent="0.25">
      <c r="A1126" s="3">
        <v>1124</v>
      </c>
      <c r="B1126" s="8"/>
      <c r="C1126" s="13"/>
      <c r="D1126" s="10"/>
      <c r="E1126" s="10"/>
      <c r="F1126" s="10"/>
      <c r="G1126" s="7"/>
      <c r="H1126" s="16" t="str">
        <f t="shared" si="17"/>
        <v>(1124,,'',,,,),</v>
      </c>
    </row>
    <row r="1127" spans="1:8" ht="20.100000000000001" customHeight="1" x14ac:dyDescent="0.25">
      <c r="A1127" s="3">
        <v>1125</v>
      </c>
      <c r="B1127" s="8"/>
      <c r="C1127" s="13"/>
      <c r="D1127" s="10"/>
      <c r="E1127" s="10"/>
      <c r="F1127" s="10"/>
      <c r="G1127" s="7"/>
      <c r="H1127" s="16" t="str">
        <f t="shared" si="17"/>
        <v>(1125,,'',,,,),</v>
      </c>
    </row>
    <row r="1128" spans="1:8" ht="20.100000000000001" customHeight="1" x14ac:dyDescent="0.25">
      <c r="A1128" s="3">
        <v>1126</v>
      </c>
      <c r="B1128" s="8"/>
      <c r="C1128" s="13"/>
      <c r="D1128" s="10"/>
      <c r="E1128" s="10"/>
      <c r="F1128" s="10"/>
      <c r="G1128" s="7"/>
      <c r="H1128" s="16" t="str">
        <f t="shared" si="17"/>
        <v>(1126,,'',,,,),</v>
      </c>
    </row>
    <row r="1129" spans="1:8" ht="20.100000000000001" customHeight="1" x14ac:dyDescent="0.25">
      <c r="A1129" s="3">
        <v>1127</v>
      </c>
      <c r="B1129" s="8"/>
      <c r="C1129" s="13"/>
      <c r="D1129" s="10"/>
      <c r="E1129" s="10"/>
      <c r="F1129" s="10"/>
      <c r="G1129" s="7"/>
      <c r="H1129" s="16" t="str">
        <f t="shared" si="17"/>
        <v>(1127,,'',,,,),</v>
      </c>
    </row>
    <row r="1130" spans="1:8" ht="20.100000000000001" customHeight="1" x14ac:dyDescent="0.25">
      <c r="A1130" s="3">
        <v>1128</v>
      </c>
      <c r="B1130" s="8"/>
      <c r="C1130" s="13"/>
      <c r="D1130" s="10"/>
      <c r="E1130" s="10"/>
      <c r="F1130" s="10"/>
      <c r="G1130" s="7"/>
      <c r="H1130" s="16" t="str">
        <f t="shared" si="17"/>
        <v>(1128,,'',,,,),</v>
      </c>
    </row>
    <row r="1131" spans="1:8" ht="20.100000000000001" customHeight="1" x14ac:dyDescent="0.25">
      <c r="A1131" s="3">
        <v>1129</v>
      </c>
      <c r="B1131" s="8"/>
      <c r="C1131" s="13"/>
      <c r="D1131" s="10"/>
      <c r="E1131" s="10"/>
      <c r="F1131" s="10"/>
      <c r="G1131" s="7"/>
      <c r="H1131" s="16" t="str">
        <f t="shared" si="17"/>
        <v>(1129,,'',,,,),</v>
      </c>
    </row>
    <row r="1132" spans="1:8" ht="20.100000000000001" customHeight="1" x14ac:dyDescent="0.25">
      <c r="A1132" s="3">
        <v>1130</v>
      </c>
      <c r="B1132" s="8"/>
      <c r="C1132" s="13"/>
      <c r="D1132" s="10"/>
      <c r="E1132" s="10"/>
      <c r="F1132" s="10"/>
      <c r="G1132" s="7"/>
      <c r="H1132" s="16" t="str">
        <f t="shared" si="17"/>
        <v>(1130,,'',,,,),</v>
      </c>
    </row>
    <row r="1133" spans="1:8" ht="20.100000000000001" customHeight="1" x14ac:dyDescent="0.25">
      <c r="A1133" s="3">
        <v>1131</v>
      </c>
      <c r="B1133" s="8"/>
      <c r="C1133" s="13"/>
      <c r="D1133" s="10"/>
      <c r="E1133" s="10"/>
      <c r="F1133" s="10"/>
      <c r="G1133" s="7"/>
      <c r="H1133" s="16" t="str">
        <f t="shared" si="17"/>
        <v>(1131,,'',,,,),</v>
      </c>
    </row>
    <row r="1134" spans="1:8" ht="20.100000000000001" customHeight="1" x14ac:dyDescent="0.25">
      <c r="A1134" s="3">
        <v>1132</v>
      </c>
      <c r="B1134" s="8"/>
      <c r="C1134" s="13"/>
      <c r="D1134" s="10"/>
      <c r="E1134" s="10"/>
      <c r="F1134" s="10"/>
      <c r="G1134" s="7"/>
      <c r="H1134" s="16" t="str">
        <f t="shared" si="17"/>
        <v>(1132,,'',,,,),</v>
      </c>
    </row>
    <row r="1135" spans="1:8" ht="20.100000000000001" customHeight="1" x14ac:dyDescent="0.25">
      <c r="A1135" s="3">
        <v>1133</v>
      </c>
      <c r="B1135" s="8"/>
      <c r="C1135" s="13"/>
      <c r="D1135" s="10"/>
      <c r="E1135" s="10"/>
      <c r="F1135" s="10"/>
      <c r="G1135" s="7"/>
      <c r="H1135" s="16" t="str">
        <f t="shared" si="17"/>
        <v>(1133,,'',,,,),</v>
      </c>
    </row>
    <row r="1136" spans="1:8" ht="20.100000000000001" customHeight="1" x14ac:dyDescent="0.25">
      <c r="A1136" s="3">
        <v>1134</v>
      </c>
      <c r="B1136" s="8"/>
      <c r="C1136" s="13"/>
      <c r="D1136" s="10"/>
      <c r="E1136" s="10"/>
      <c r="F1136" s="10"/>
      <c r="G1136" s="7"/>
      <c r="H1136" s="16" t="str">
        <f t="shared" si="17"/>
        <v>(1134,,'',,,,),</v>
      </c>
    </row>
    <row r="1137" spans="1:8" ht="20.100000000000001" customHeight="1" x14ac:dyDescent="0.25">
      <c r="A1137" s="3">
        <v>1135</v>
      </c>
      <c r="B1137" s="8"/>
      <c r="C1137" s="13"/>
      <c r="D1137" s="10"/>
      <c r="E1137" s="10"/>
      <c r="F1137" s="10"/>
      <c r="G1137" s="7"/>
      <c r="H1137" s="16" t="str">
        <f t="shared" si="17"/>
        <v>(1135,,'',,,,),</v>
      </c>
    </row>
    <row r="1138" spans="1:8" ht="20.100000000000001" customHeight="1" x14ac:dyDescent="0.25">
      <c r="A1138" s="3">
        <v>1136</v>
      </c>
      <c r="B1138" s="8"/>
      <c r="C1138" s="13"/>
      <c r="D1138" s="10"/>
      <c r="E1138" s="10"/>
      <c r="F1138" s="10"/>
      <c r="G1138" s="7"/>
      <c r="H1138" s="16" t="str">
        <f t="shared" si="17"/>
        <v>(1136,,'',,,,),</v>
      </c>
    </row>
    <row r="1139" spans="1:8" ht="20.100000000000001" customHeight="1" x14ac:dyDescent="0.25">
      <c r="A1139" s="3">
        <v>1137</v>
      </c>
      <c r="B1139" s="8"/>
      <c r="C1139" s="13"/>
      <c r="D1139" s="10"/>
      <c r="E1139" s="10"/>
      <c r="F1139" s="10"/>
      <c r="G1139" s="7"/>
      <c r="H1139" s="16" t="str">
        <f t="shared" si="17"/>
        <v>(1137,,'',,,,),</v>
      </c>
    </row>
    <row r="1140" spans="1:8" ht="20.100000000000001" customHeight="1" x14ac:dyDescent="0.25">
      <c r="A1140" s="3">
        <v>1138</v>
      </c>
      <c r="B1140" s="8"/>
      <c r="C1140" s="13"/>
      <c r="D1140" s="10"/>
      <c r="E1140" s="10"/>
      <c r="F1140" s="10"/>
      <c r="G1140" s="7"/>
      <c r="H1140" s="16" t="str">
        <f t="shared" si="17"/>
        <v>(1138,,'',,,,),</v>
      </c>
    </row>
    <row r="1141" spans="1:8" ht="20.100000000000001" customHeight="1" x14ac:dyDescent="0.25">
      <c r="A1141" s="3">
        <v>1139</v>
      </c>
      <c r="B1141" s="8"/>
      <c r="C1141" s="13"/>
      <c r="D1141" s="10"/>
      <c r="E1141" s="10"/>
      <c r="F1141" s="10"/>
      <c r="G1141" s="7"/>
      <c r="H1141" s="16" t="str">
        <f t="shared" si="17"/>
        <v>(1139,,'',,,,),</v>
      </c>
    </row>
    <row r="1142" spans="1:8" ht="20.100000000000001" customHeight="1" x14ac:dyDescent="0.25">
      <c r="A1142" s="3">
        <v>1140</v>
      </c>
      <c r="B1142" s="8"/>
      <c r="C1142" s="13"/>
      <c r="D1142" s="10"/>
      <c r="E1142" s="10"/>
      <c r="F1142" s="10"/>
      <c r="G1142" s="7"/>
      <c r="H1142" s="16" t="str">
        <f t="shared" si="17"/>
        <v>(1140,,'',,,,),</v>
      </c>
    </row>
    <row r="1143" spans="1:8" ht="20.100000000000001" customHeight="1" x14ac:dyDescent="0.25">
      <c r="A1143" s="3">
        <v>1141</v>
      </c>
      <c r="B1143" s="8"/>
      <c r="C1143" s="13"/>
      <c r="D1143" s="10"/>
      <c r="E1143" s="10"/>
      <c r="F1143" s="10"/>
      <c r="G1143" s="7"/>
      <c r="H1143" s="16" t="str">
        <f t="shared" si="17"/>
        <v>(1141,,'',,,,),</v>
      </c>
    </row>
    <row r="1144" spans="1:8" ht="20.100000000000001" customHeight="1" x14ac:dyDescent="0.25">
      <c r="A1144" s="3">
        <v>1142</v>
      </c>
      <c r="B1144" s="8"/>
      <c r="C1144" s="13"/>
      <c r="D1144" s="10"/>
      <c r="E1144" s="10"/>
      <c r="F1144" s="10"/>
      <c r="G1144" s="7"/>
      <c r="H1144" s="16" t="str">
        <f t="shared" si="17"/>
        <v>(1142,,'',,,,),</v>
      </c>
    </row>
    <row r="1145" spans="1:8" ht="20.100000000000001" customHeight="1" x14ac:dyDescent="0.25">
      <c r="A1145" s="3">
        <v>1143</v>
      </c>
      <c r="B1145" s="8"/>
      <c r="C1145" s="13"/>
      <c r="D1145" s="10"/>
      <c r="E1145" s="10"/>
      <c r="F1145" s="10"/>
      <c r="G1145" s="7"/>
      <c r="H1145" s="16" t="str">
        <f t="shared" si="17"/>
        <v>(1143,,'',,,,),</v>
      </c>
    </row>
    <row r="1146" spans="1:8" ht="20.100000000000001" customHeight="1" x14ac:dyDescent="0.25">
      <c r="A1146" s="3">
        <v>1144</v>
      </c>
      <c r="B1146" s="8"/>
      <c r="C1146" s="13"/>
      <c r="D1146" s="10"/>
      <c r="E1146" s="10"/>
      <c r="F1146" s="10"/>
      <c r="G1146" s="7"/>
      <c r="H1146" s="16" t="str">
        <f t="shared" si="17"/>
        <v>(1144,,'',,,,),</v>
      </c>
    </row>
    <row r="1147" spans="1:8" ht="20.100000000000001" customHeight="1" x14ac:dyDescent="0.25">
      <c r="A1147" s="3">
        <v>1145</v>
      </c>
      <c r="B1147" s="8"/>
      <c r="C1147" s="13"/>
      <c r="D1147" s="10"/>
      <c r="E1147" s="10"/>
      <c r="F1147" s="10"/>
      <c r="G1147" s="7"/>
      <c r="H1147" s="16" t="str">
        <f t="shared" si="17"/>
        <v>(1145,,'',,,,),</v>
      </c>
    </row>
    <row r="1148" spans="1:8" ht="20.100000000000001" customHeight="1" x14ac:dyDescent="0.25">
      <c r="A1148" s="3">
        <v>1146</v>
      </c>
      <c r="B1148" s="8"/>
      <c r="C1148" s="13"/>
      <c r="D1148" s="10"/>
      <c r="E1148" s="10"/>
      <c r="F1148" s="10"/>
      <c r="G1148" s="7"/>
      <c r="H1148" s="16" t="str">
        <f t="shared" si="17"/>
        <v>(1146,,'',,,,),</v>
      </c>
    </row>
    <row r="1149" spans="1:8" ht="20.100000000000001" customHeight="1" x14ac:dyDescent="0.25">
      <c r="A1149" s="3">
        <v>1147</v>
      </c>
      <c r="B1149" s="8"/>
      <c r="C1149" s="13"/>
      <c r="D1149" s="10"/>
      <c r="E1149" s="10"/>
      <c r="F1149" s="10"/>
      <c r="G1149" s="7"/>
      <c r="H1149" s="16" t="str">
        <f t="shared" si="17"/>
        <v>(1147,,'',,,,),</v>
      </c>
    </row>
    <row r="1150" spans="1:8" ht="20.100000000000001" customHeight="1" x14ac:dyDescent="0.25">
      <c r="A1150" s="3">
        <v>1148</v>
      </c>
      <c r="B1150" s="8"/>
      <c r="C1150" s="13"/>
      <c r="D1150" s="10"/>
      <c r="E1150" s="10"/>
      <c r="F1150" s="10"/>
      <c r="G1150" s="7"/>
      <c r="H1150" s="16" t="str">
        <f t="shared" si="17"/>
        <v>(1148,,'',,,,),</v>
      </c>
    </row>
    <row r="1151" spans="1:8" ht="20.100000000000001" customHeight="1" x14ac:dyDescent="0.25">
      <c r="A1151" s="3">
        <v>1149</v>
      </c>
      <c r="B1151" s="8"/>
      <c r="C1151" s="13"/>
      <c r="D1151" s="10"/>
      <c r="E1151" s="10"/>
      <c r="F1151" s="10"/>
      <c r="G1151" s="7"/>
      <c r="H1151" s="16" t="str">
        <f t="shared" si="17"/>
        <v>(1149,,'',,,,),</v>
      </c>
    </row>
    <row r="1152" spans="1:8" ht="20.100000000000001" customHeight="1" x14ac:dyDescent="0.25">
      <c r="A1152" s="3">
        <v>1150</v>
      </c>
      <c r="B1152" s="8"/>
      <c r="C1152" s="13"/>
      <c r="D1152" s="10"/>
      <c r="E1152" s="10"/>
      <c r="F1152" s="10"/>
      <c r="G1152" s="7"/>
      <c r="H1152" s="16" t="str">
        <f t="shared" si="17"/>
        <v>(1150,,'',,,,),</v>
      </c>
    </row>
    <row r="1153" spans="1:8" ht="20.100000000000001" customHeight="1" x14ac:dyDescent="0.25">
      <c r="A1153" s="3">
        <v>1151</v>
      </c>
      <c r="B1153" s="8"/>
      <c r="C1153" s="13"/>
      <c r="D1153" s="10"/>
      <c r="E1153" s="10"/>
      <c r="F1153" s="10"/>
      <c r="G1153" s="7"/>
      <c r="H1153" s="16" t="str">
        <f t="shared" si="17"/>
        <v>(1151,,'',,,,),</v>
      </c>
    </row>
    <row r="1154" spans="1:8" ht="20.100000000000001" customHeight="1" x14ac:dyDescent="0.25">
      <c r="A1154" s="3">
        <v>1152</v>
      </c>
      <c r="B1154" s="8"/>
      <c r="C1154" s="13"/>
      <c r="D1154" s="10"/>
      <c r="E1154" s="10"/>
      <c r="F1154" s="10"/>
      <c r="G1154" s="7"/>
      <c r="H1154" s="16" t="str">
        <f t="shared" si="17"/>
        <v>(1152,,'',,,,),</v>
      </c>
    </row>
    <row r="1155" spans="1:8" ht="20.100000000000001" customHeight="1" x14ac:dyDescent="0.25">
      <c r="A1155" s="3">
        <v>1153</v>
      </c>
      <c r="B1155" s="8"/>
      <c r="C1155" s="13"/>
      <c r="D1155" s="10"/>
      <c r="E1155" s="10"/>
      <c r="F1155" s="10"/>
      <c r="G1155" s="7"/>
      <c r="H1155" s="16" t="str">
        <f t="shared" si="17"/>
        <v>(1153,,'',,,,),</v>
      </c>
    </row>
    <row r="1156" spans="1:8" ht="20.100000000000001" customHeight="1" x14ac:dyDescent="0.25">
      <c r="A1156" s="3">
        <v>1154</v>
      </c>
      <c r="B1156" s="8"/>
      <c r="C1156" s="13"/>
      <c r="D1156" s="10"/>
      <c r="E1156" s="10"/>
      <c r="F1156" s="10"/>
      <c r="G1156" s="7"/>
      <c r="H1156" s="16" t="str">
        <f t="shared" ref="H1156:H1219" si="18">CONCATENATE("(",A1156,",",B1156,",'",C1156,"',",D1156,",",E1156,",",F1156,",",G1156,"),")</f>
        <v>(1154,,'',,,,),</v>
      </c>
    </row>
    <row r="1157" spans="1:8" ht="20.100000000000001" customHeight="1" x14ac:dyDescent="0.25">
      <c r="A1157" s="3">
        <v>1155</v>
      </c>
      <c r="B1157" s="8"/>
      <c r="C1157" s="13"/>
      <c r="D1157" s="10"/>
      <c r="E1157" s="10"/>
      <c r="F1157" s="10"/>
      <c r="G1157" s="7"/>
      <c r="H1157" s="16" t="str">
        <f t="shared" si="18"/>
        <v>(1155,,'',,,,),</v>
      </c>
    </row>
    <row r="1158" spans="1:8" ht="20.100000000000001" customHeight="1" x14ac:dyDescent="0.25">
      <c r="A1158" s="3">
        <v>1156</v>
      </c>
      <c r="B1158" s="8"/>
      <c r="C1158" s="13"/>
      <c r="D1158" s="10"/>
      <c r="E1158" s="10"/>
      <c r="F1158" s="10"/>
      <c r="G1158" s="7"/>
      <c r="H1158" s="16" t="str">
        <f t="shared" si="18"/>
        <v>(1156,,'',,,,),</v>
      </c>
    </row>
    <row r="1159" spans="1:8" ht="20.100000000000001" customHeight="1" x14ac:dyDescent="0.25">
      <c r="A1159" s="3">
        <v>1157</v>
      </c>
      <c r="B1159" s="8"/>
      <c r="C1159" s="13"/>
      <c r="D1159" s="10"/>
      <c r="E1159" s="10"/>
      <c r="F1159" s="10"/>
      <c r="G1159" s="7"/>
      <c r="H1159" s="16" t="str">
        <f t="shared" si="18"/>
        <v>(1157,,'',,,,),</v>
      </c>
    </row>
    <row r="1160" spans="1:8" ht="20.100000000000001" customHeight="1" x14ac:dyDescent="0.25">
      <c r="A1160" s="3">
        <v>1158</v>
      </c>
      <c r="B1160" s="8"/>
      <c r="C1160" s="13"/>
      <c r="D1160" s="10"/>
      <c r="E1160" s="10"/>
      <c r="F1160" s="10"/>
      <c r="G1160" s="7"/>
      <c r="H1160" s="16" t="str">
        <f t="shared" si="18"/>
        <v>(1158,,'',,,,),</v>
      </c>
    </row>
    <row r="1161" spans="1:8" ht="20.100000000000001" customHeight="1" x14ac:dyDescent="0.25">
      <c r="A1161" s="3">
        <v>1159</v>
      </c>
      <c r="B1161" s="8"/>
      <c r="C1161" s="13"/>
      <c r="D1161" s="10"/>
      <c r="E1161" s="10"/>
      <c r="F1161" s="10"/>
      <c r="G1161" s="7"/>
      <c r="H1161" s="16" t="str">
        <f t="shared" si="18"/>
        <v>(1159,,'',,,,),</v>
      </c>
    </row>
    <row r="1162" spans="1:8" ht="20.100000000000001" customHeight="1" x14ac:dyDescent="0.25">
      <c r="A1162" s="3">
        <v>1160</v>
      </c>
      <c r="B1162" s="8"/>
      <c r="C1162" s="13"/>
      <c r="D1162" s="10"/>
      <c r="E1162" s="10"/>
      <c r="F1162" s="10"/>
      <c r="G1162" s="7"/>
      <c r="H1162" s="16" t="str">
        <f t="shared" si="18"/>
        <v>(1160,,'',,,,),</v>
      </c>
    </row>
    <row r="1163" spans="1:8" ht="20.100000000000001" customHeight="1" x14ac:dyDescent="0.25">
      <c r="A1163" s="3">
        <v>1161</v>
      </c>
      <c r="B1163" s="8"/>
      <c r="C1163" s="13"/>
      <c r="D1163" s="10"/>
      <c r="E1163" s="10"/>
      <c r="F1163" s="10"/>
      <c r="G1163" s="7"/>
      <c r="H1163" s="16" t="str">
        <f t="shared" si="18"/>
        <v>(1161,,'',,,,),</v>
      </c>
    </row>
    <row r="1164" spans="1:8" ht="20.100000000000001" customHeight="1" x14ac:dyDescent="0.25">
      <c r="A1164" s="3">
        <v>1162</v>
      </c>
      <c r="B1164" s="8"/>
      <c r="C1164" s="13"/>
      <c r="D1164" s="10"/>
      <c r="E1164" s="10"/>
      <c r="F1164" s="10"/>
      <c r="G1164" s="7"/>
      <c r="H1164" s="16" t="str">
        <f t="shared" si="18"/>
        <v>(1162,,'',,,,),</v>
      </c>
    </row>
    <row r="1165" spans="1:8" ht="20.100000000000001" customHeight="1" x14ac:dyDescent="0.25">
      <c r="A1165" s="3">
        <v>1163</v>
      </c>
      <c r="B1165" s="8"/>
      <c r="C1165" s="13"/>
      <c r="D1165" s="10"/>
      <c r="E1165" s="10"/>
      <c r="F1165" s="10"/>
      <c r="G1165" s="7"/>
      <c r="H1165" s="16" t="str">
        <f t="shared" si="18"/>
        <v>(1163,,'',,,,),</v>
      </c>
    </row>
    <row r="1166" spans="1:8" ht="20.100000000000001" customHeight="1" x14ac:dyDescent="0.25">
      <c r="A1166" s="3">
        <v>1164</v>
      </c>
      <c r="B1166" s="8"/>
      <c r="C1166" s="13"/>
      <c r="D1166" s="10"/>
      <c r="E1166" s="10"/>
      <c r="F1166" s="10"/>
      <c r="G1166" s="7"/>
      <c r="H1166" s="16" t="str">
        <f t="shared" si="18"/>
        <v>(1164,,'',,,,),</v>
      </c>
    </row>
    <row r="1167" spans="1:8" ht="20.100000000000001" customHeight="1" x14ac:dyDescent="0.25">
      <c r="A1167" s="3">
        <v>1165</v>
      </c>
      <c r="B1167" s="8"/>
      <c r="C1167" s="13"/>
      <c r="D1167" s="10"/>
      <c r="E1167" s="10"/>
      <c r="F1167" s="10"/>
      <c r="G1167" s="7"/>
      <c r="H1167" s="16" t="str">
        <f t="shared" si="18"/>
        <v>(1165,,'',,,,),</v>
      </c>
    </row>
    <row r="1168" spans="1:8" ht="20.100000000000001" customHeight="1" x14ac:dyDescent="0.25">
      <c r="A1168" s="3">
        <v>1166</v>
      </c>
      <c r="B1168" s="8"/>
      <c r="C1168" s="13"/>
      <c r="D1168" s="10"/>
      <c r="E1168" s="10"/>
      <c r="F1168" s="10"/>
      <c r="G1168" s="7"/>
      <c r="H1168" s="16" t="str">
        <f t="shared" si="18"/>
        <v>(1166,,'',,,,),</v>
      </c>
    </row>
    <row r="1169" spans="1:8" ht="20.100000000000001" customHeight="1" x14ac:dyDescent="0.25">
      <c r="A1169" s="3">
        <v>1167</v>
      </c>
      <c r="B1169" s="8"/>
      <c r="C1169" s="13"/>
      <c r="D1169" s="10"/>
      <c r="E1169" s="10"/>
      <c r="F1169" s="10"/>
      <c r="G1169" s="7"/>
      <c r="H1169" s="16" t="str">
        <f t="shared" si="18"/>
        <v>(1167,,'',,,,),</v>
      </c>
    </row>
    <row r="1170" spans="1:8" ht="20.100000000000001" customHeight="1" x14ac:dyDescent="0.25">
      <c r="A1170" s="3">
        <v>1168</v>
      </c>
      <c r="B1170" s="8"/>
      <c r="C1170" s="13"/>
      <c r="D1170" s="10"/>
      <c r="E1170" s="10"/>
      <c r="F1170" s="10"/>
      <c r="G1170" s="7"/>
      <c r="H1170" s="16" t="str">
        <f t="shared" si="18"/>
        <v>(1168,,'',,,,),</v>
      </c>
    </row>
    <row r="1171" spans="1:8" ht="20.100000000000001" customHeight="1" x14ac:dyDescent="0.25">
      <c r="A1171" s="3">
        <v>1169</v>
      </c>
      <c r="B1171" s="8"/>
      <c r="C1171" s="13"/>
      <c r="D1171" s="10"/>
      <c r="E1171" s="10"/>
      <c r="F1171" s="10"/>
      <c r="G1171" s="7"/>
      <c r="H1171" s="16" t="str">
        <f t="shared" si="18"/>
        <v>(1169,,'',,,,),</v>
      </c>
    </row>
    <row r="1172" spans="1:8" ht="20.100000000000001" customHeight="1" x14ac:dyDescent="0.25">
      <c r="A1172" s="3">
        <v>1170</v>
      </c>
      <c r="B1172" s="8"/>
      <c r="C1172" s="13"/>
      <c r="D1172" s="10"/>
      <c r="E1172" s="10"/>
      <c r="F1172" s="10"/>
      <c r="G1172" s="7"/>
      <c r="H1172" s="16" t="str">
        <f t="shared" si="18"/>
        <v>(1170,,'',,,,),</v>
      </c>
    </row>
    <row r="1173" spans="1:8" ht="20.100000000000001" customHeight="1" x14ac:dyDescent="0.25">
      <c r="A1173" s="3">
        <v>1171</v>
      </c>
      <c r="B1173" s="8"/>
      <c r="C1173" s="13"/>
      <c r="D1173" s="10"/>
      <c r="E1173" s="10"/>
      <c r="F1173" s="10"/>
      <c r="G1173" s="7"/>
      <c r="H1173" s="16" t="str">
        <f t="shared" si="18"/>
        <v>(1171,,'',,,,),</v>
      </c>
    </row>
    <row r="1174" spans="1:8" ht="20.100000000000001" customHeight="1" x14ac:dyDescent="0.25">
      <c r="A1174" s="3">
        <v>1172</v>
      </c>
      <c r="B1174" s="8"/>
      <c r="C1174" s="13"/>
      <c r="D1174" s="10"/>
      <c r="E1174" s="10"/>
      <c r="F1174" s="10"/>
      <c r="G1174" s="7"/>
      <c r="H1174" s="16" t="str">
        <f t="shared" si="18"/>
        <v>(1172,,'',,,,),</v>
      </c>
    </row>
    <row r="1175" spans="1:8" ht="20.100000000000001" customHeight="1" x14ac:dyDescent="0.25">
      <c r="A1175" s="3">
        <v>1173</v>
      </c>
      <c r="B1175" s="8"/>
      <c r="C1175" s="13"/>
      <c r="D1175" s="10"/>
      <c r="E1175" s="10"/>
      <c r="F1175" s="10"/>
      <c r="G1175" s="7"/>
      <c r="H1175" s="16" t="str">
        <f t="shared" si="18"/>
        <v>(1173,,'',,,,),</v>
      </c>
    </row>
    <row r="1176" spans="1:8" ht="20.100000000000001" customHeight="1" x14ac:dyDescent="0.25">
      <c r="A1176" s="3">
        <v>1174</v>
      </c>
      <c r="B1176" s="8"/>
      <c r="C1176" s="13"/>
      <c r="D1176" s="10"/>
      <c r="E1176" s="10"/>
      <c r="F1176" s="10"/>
      <c r="G1176" s="7"/>
      <c r="H1176" s="16" t="str">
        <f t="shared" si="18"/>
        <v>(1174,,'',,,,),</v>
      </c>
    </row>
    <row r="1177" spans="1:8" ht="20.100000000000001" customHeight="1" x14ac:dyDescent="0.25">
      <c r="A1177" s="3">
        <v>1175</v>
      </c>
      <c r="B1177" s="8"/>
      <c r="C1177" s="13"/>
      <c r="D1177" s="10"/>
      <c r="E1177" s="10"/>
      <c r="F1177" s="10"/>
      <c r="G1177" s="7"/>
      <c r="H1177" s="16" t="str">
        <f t="shared" si="18"/>
        <v>(1175,,'',,,,),</v>
      </c>
    </row>
    <row r="1178" spans="1:8" ht="20.100000000000001" customHeight="1" x14ac:dyDescent="0.25">
      <c r="A1178" s="3">
        <v>1176</v>
      </c>
      <c r="B1178" s="8"/>
      <c r="C1178" s="13"/>
      <c r="D1178" s="10"/>
      <c r="E1178" s="10"/>
      <c r="F1178" s="10"/>
      <c r="G1178" s="7"/>
      <c r="H1178" s="16" t="str">
        <f t="shared" si="18"/>
        <v>(1176,,'',,,,),</v>
      </c>
    </row>
    <row r="1179" spans="1:8" ht="20.100000000000001" customHeight="1" x14ac:dyDescent="0.25">
      <c r="A1179" s="3">
        <v>1177</v>
      </c>
      <c r="B1179" s="8"/>
      <c r="C1179" s="13"/>
      <c r="D1179" s="10"/>
      <c r="E1179" s="10"/>
      <c r="F1179" s="10"/>
      <c r="G1179" s="7"/>
      <c r="H1179" s="16" t="str">
        <f t="shared" si="18"/>
        <v>(1177,,'',,,,),</v>
      </c>
    </row>
    <row r="1180" spans="1:8" ht="20.100000000000001" customHeight="1" x14ac:dyDescent="0.25">
      <c r="A1180" s="3">
        <v>1178</v>
      </c>
      <c r="B1180" s="8"/>
      <c r="C1180" s="13"/>
      <c r="D1180" s="10"/>
      <c r="E1180" s="10"/>
      <c r="F1180" s="10"/>
      <c r="G1180" s="7"/>
      <c r="H1180" s="16" t="str">
        <f t="shared" si="18"/>
        <v>(1178,,'',,,,),</v>
      </c>
    </row>
    <row r="1181" spans="1:8" ht="20.100000000000001" customHeight="1" x14ac:dyDescent="0.25">
      <c r="A1181" s="3">
        <v>1179</v>
      </c>
      <c r="B1181" s="8"/>
      <c r="C1181" s="13"/>
      <c r="D1181" s="10"/>
      <c r="E1181" s="10"/>
      <c r="F1181" s="10"/>
      <c r="G1181" s="7"/>
      <c r="H1181" s="16" t="str">
        <f t="shared" si="18"/>
        <v>(1179,,'',,,,),</v>
      </c>
    </row>
    <row r="1182" spans="1:8" ht="20.100000000000001" customHeight="1" x14ac:dyDescent="0.25">
      <c r="A1182" s="3">
        <v>1180</v>
      </c>
      <c r="B1182" s="8"/>
      <c r="C1182" s="13"/>
      <c r="D1182" s="10"/>
      <c r="E1182" s="10"/>
      <c r="F1182" s="10"/>
      <c r="G1182" s="7"/>
      <c r="H1182" s="16" t="str">
        <f t="shared" si="18"/>
        <v>(1180,,'',,,,),</v>
      </c>
    </row>
    <row r="1183" spans="1:8" ht="20.100000000000001" customHeight="1" x14ac:dyDescent="0.25">
      <c r="A1183" s="3">
        <v>1181</v>
      </c>
      <c r="B1183" s="8"/>
      <c r="C1183" s="13"/>
      <c r="D1183" s="10"/>
      <c r="E1183" s="10"/>
      <c r="F1183" s="10"/>
      <c r="G1183" s="7"/>
      <c r="H1183" s="16" t="str">
        <f t="shared" si="18"/>
        <v>(1181,,'',,,,),</v>
      </c>
    </row>
    <row r="1184" spans="1:8" ht="20.100000000000001" customHeight="1" x14ac:dyDescent="0.25">
      <c r="A1184" s="3">
        <v>1182</v>
      </c>
      <c r="B1184" s="8"/>
      <c r="C1184" s="13"/>
      <c r="D1184" s="10"/>
      <c r="E1184" s="10"/>
      <c r="F1184" s="10"/>
      <c r="G1184" s="7"/>
      <c r="H1184" s="16" t="str">
        <f t="shared" si="18"/>
        <v>(1182,,'',,,,),</v>
      </c>
    </row>
    <row r="1185" spans="1:8" ht="20.100000000000001" customHeight="1" x14ac:dyDescent="0.25">
      <c r="A1185" s="3">
        <v>1183</v>
      </c>
      <c r="B1185" s="8"/>
      <c r="C1185" s="13"/>
      <c r="D1185" s="10"/>
      <c r="E1185" s="10"/>
      <c r="F1185" s="10"/>
      <c r="G1185" s="7"/>
      <c r="H1185" s="16" t="str">
        <f t="shared" si="18"/>
        <v>(1183,,'',,,,),</v>
      </c>
    </row>
    <row r="1186" spans="1:8" ht="20.100000000000001" customHeight="1" x14ac:dyDescent="0.25">
      <c r="A1186" s="3">
        <v>1184</v>
      </c>
      <c r="B1186" s="8"/>
      <c r="C1186" s="13"/>
      <c r="D1186" s="10"/>
      <c r="E1186" s="10"/>
      <c r="F1186" s="10"/>
      <c r="G1186" s="7"/>
      <c r="H1186" s="16" t="str">
        <f t="shared" si="18"/>
        <v>(1184,,'',,,,),</v>
      </c>
    </row>
    <row r="1187" spans="1:8" ht="20.100000000000001" customHeight="1" x14ac:dyDescent="0.25">
      <c r="A1187" s="3">
        <v>1185</v>
      </c>
      <c r="B1187" s="8"/>
      <c r="C1187" s="13"/>
      <c r="D1187" s="10"/>
      <c r="E1187" s="10"/>
      <c r="F1187" s="10"/>
      <c r="G1187" s="7"/>
      <c r="H1187" s="16" t="str">
        <f t="shared" si="18"/>
        <v>(1185,,'',,,,),</v>
      </c>
    </row>
    <row r="1188" spans="1:8" ht="20.100000000000001" customHeight="1" x14ac:dyDescent="0.25">
      <c r="A1188" s="3">
        <v>1186</v>
      </c>
      <c r="B1188" s="8"/>
      <c r="C1188" s="13"/>
      <c r="D1188" s="10"/>
      <c r="E1188" s="10"/>
      <c r="F1188" s="10"/>
      <c r="G1188" s="7"/>
      <c r="H1188" s="16" t="str">
        <f t="shared" si="18"/>
        <v>(1186,,'',,,,),</v>
      </c>
    </row>
    <row r="1189" spans="1:8" ht="20.100000000000001" customHeight="1" x14ac:dyDescent="0.25">
      <c r="A1189" s="3">
        <v>1187</v>
      </c>
      <c r="B1189" s="8"/>
      <c r="C1189" s="13"/>
      <c r="D1189" s="10"/>
      <c r="E1189" s="10"/>
      <c r="F1189" s="10"/>
      <c r="G1189" s="7"/>
      <c r="H1189" s="16" t="str">
        <f t="shared" si="18"/>
        <v>(1187,,'',,,,),</v>
      </c>
    </row>
    <row r="1190" spans="1:8" ht="20.100000000000001" customHeight="1" x14ac:dyDescent="0.25">
      <c r="A1190" s="3">
        <v>1188</v>
      </c>
      <c r="B1190" s="8"/>
      <c r="C1190" s="13"/>
      <c r="D1190" s="10"/>
      <c r="E1190" s="10"/>
      <c r="F1190" s="10"/>
      <c r="G1190" s="7"/>
      <c r="H1190" s="16" t="str">
        <f t="shared" si="18"/>
        <v>(1188,,'',,,,),</v>
      </c>
    </row>
    <row r="1191" spans="1:8" ht="20.100000000000001" customHeight="1" x14ac:dyDescent="0.25">
      <c r="A1191" s="3">
        <v>1189</v>
      </c>
      <c r="B1191" s="8"/>
      <c r="C1191" s="13"/>
      <c r="D1191" s="10"/>
      <c r="E1191" s="10"/>
      <c r="F1191" s="10"/>
      <c r="G1191" s="7"/>
      <c r="H1191" s="16" t="str">
        <f t="shared" si="18"/>
        <v>(1189,,'',,,,),</v>
      </c>
    </row>
    <row r="1192" spans="1:8" ht="20.100000000000001" customHeight="1" x14ac:dyDescent="0.25">
      <c r="A1192" s="3">
        <v>1190</v>
      </c>
      <c r="B1192" s="8"/>
      <c r="C1192" s="13"/>
      <c r="D1192" s="10"/>
      <c r="E1192" s="10"/>
      <c r="F1192" s="10"/>
      <c r="G1192" s="7"/>
      <c r="H1192" s="16" t="str">
        <f t="shared" si="18"/>
        <v>(1190,,'',,,,),</v>
      </c>
    </row>
    <row r="1193" spans="1:8" ht="20.100000000000001" customHeight="1" x14ac:dyDescent="0.25">
      <c r="A1193" s="3">
        <v>1191</v>
      </c>
      <c r="B1193" s="8"/>
      <c r="C1193" s="13"/>
      <c r="D1193" s="10"/>
      <c r="E1193" s="10"/>
      <c r="F1193" s="10"/>
      <c r="G1193" s="7"/>
      <c r="H1193" s="16" t="str">
        <f t="shared" si="18"/>
        <v>(1191,,'',,,,),</v>
      </c>
    </row>
    <row r="1194" spans="1:8" ht="20.100000000000001" customHeight="1" x14ac:dyDescent="0.25">
      <c r="A1194" s="3">
        <v>1192</v>
      </c>
      <c r="B1194" s="8"/>
      <c r="C1194" s="13"/>
      <c r="D1194" s="10"/>
      <c r="E1194" s="10"/>
      <c r="F1194" s="10"/>
      <c r="G1194" s="7"/>
      <c r="H1194" s="16" t="str">
        <f t="shared" si="18"/>
        <v>(1192,,'',,,,),</v>
      </c>
    </row>
    <row r="1195" spans="1:8" ht="20.100000000000001" customHeight="1" x14ac:dyDescent="0.25">
      <c r="A1195" s="3">
        <v>1193</v>
      </c>
      <c r="B1195" s="8"/>
      <c r="C1195" s="13"/>
      <c r="D1195" s="10"/>
      <c r="E1195" s="10"/>
      <c r="F1195" s="10"/>
      <c r="G1195" s="7"/>
      <c r="H1195" s="16" t="str">
        <f t="shared" si="18"/>
        <v>(1193,,'',,,,),</v>
      </c>
    </row>
    <row r="1196" spans="1:8" ht="20.100000000000001" customHeight="1" x14ac:dyDescent="0.25">
      <c r="A1196" s="3">
        <v>1194</v>
      </c>
      <c r="B1196" s="8"/>
      <c r="C1196" s="13"/>
      <c r="D1196" s="10"/>
      <c r="E1196" s="10"/>
      <c r="F1196" s="10"/>
      <c r="G1196" s="7"/>
      <c r="H1196" s="16" t="str">
        <f t="shared" si="18"/>
        <v>(1194,,'',,,,),</v>
      </c>
    </row>
    <row r="1197" spans="1:8" ht="20.100000000000001" customHeight="1" x14ac:dyDescent="0.25">
      <c r="A1197" s="3">
        <v>1195</v>
      </c>
      <c r="B1197" s="8"/>
      <c r="C1197" s="13"/>
      <c r="D1197" s="10"/>
      <c r="E1197" s="10"/>
      <c r="F1197" s="10"/>
      <c r="G1197" s="7"/>
      <c r="H1197" s="16" t="str">
        <f t="shared" si="18"/>
        <v>(1195,,'',,,,),</v>
      </c>
    </row>
    <row r="1198" spans="1:8" ht="20.100000000000001" customHeight="1" x14ac:dyDescent="0.25">
      <c r="A1198" s="3">
        <v>1196</v>
      </c>
      <c r="B1198" s="8"/>
      <c r="C1198" s="13"/>
      <c r="D1198" s="10"/>
      <c r="E1198" s="10"/>
      <c r="F1198" s="10"/>
      <c r="G1198" s="7"/>
      <c r="H1198" s="16" t="str">
        <f t="shared" si="18"/>
        <v>(1196,,'',,,,),</v>
      </c>
    </row>
    <row r="1199" spans="1:8" ht="20.100000000000001" customHeight="1" x14ac:dyDescent="0.25">
      <c r="A1199" s="3">
        <v>1197</v>
      </c>
      <c r="B1199" s="8"/>
      <c r="C1199" s="13"/>
      <c r="D1199" s="10"/>
      <c r="E1199" s="10"/>
      <c r="F1199" s="10"/>
      <c r="G1199" s="7"/>
      <c r="H1199" s="16" t="str">
        <f t="shared" si="18"/>
        <v>(1197,,'',,,,),</v>
      </c>
    </row>
    <row r="1200" spans="1:8" ht="20.100000000000001" customHeight="1" x14ac:dyDescent="0.25">
      <c r="A1200" s="3">
        <v>1198</v>
      </c>
      <c r="B1200" s="8"/>
      <c r="C1200" s="13"/>
      <c r="D1200" s="10"/>
      <c r="E1200" s="10"/>
      <c r="F1200" s="10"/>
      <c r="G1200" s="7"/>
      <c r="H1200" s="16" t="str">
        <f t="shared" si="18"/>
        <v>(1198,,'',,,,),</v>
      </c>
    </row>
    <row r="1201" spans="1:8" ht="20.100000000000001" customHeight="1" x14ac:dyDescent="0.25">
      <c r="A1201" s="3">
        <v>1199</v>
      </c>
      <c r="B1201" s="8"/>
      <c r="C1201" s="13"/>
      <c r="D1201" s="10"/>
      <c r="E1201" s="10"/>
      <c r="F1201" s="10"/>
      <c r="G1201" s="7"/>
      <c r="H1201" s="16" t="str">
        <f t="shared" si="18"/>
        <v>(1199,,'',,,,),</v>
      </c>
    </row>
    <row r="1202" spans="1:8" ht="20.100000000000001" customHeight="1" x14ac:dyDescent="0.25">
      <c r="A1202" s="3">
        <v>1200</v>
      </c>
      <c r="B1202" s="8"/>
      <c r="C1202" s="13"/>
      <c r="D1202" s="10"/>
      <c r="E1202" s="10"/>
      <c r="F1202" s="10"/>
      <c r="G1202" s="7"/>
      <c r="H1202" s="16" t="str">
        <f t="shared" si="18"/>
        <v>(1200,,'',,,,),</v>
      </c>
    </row>
    <row r="1203" spans="1:8" ht="20.100000000000001" customHeight="1" x14ac:dyDescent="0.25">
      <c r="A1203" s="3">
        <v>1201</v>
      </c>
      <c r="B1203" s="8"/>
      <c r="C1203" s="13"/>
      <c r="D1203" s="10"/>
      <c r="E1203" s="10"/>
      <c r="F1203" s="10"/>
      <c r="G1203" s="7"/>
      <c r="H1203" s="16" t="str">
        <f t="shared" si="18"/>
        <v>(1201,,'',,,,),</v>
      </c>
    </row>
    <row r="1204" spans="1:8" ht="20.100000000000001" customHeight="1" x14ac:dyDescent="0.25">
      <c r="A1204" s="3">
        <v>1202</v>
      </c>
      <c r="B1204" s="8"/>
      <c r="C1204" s="13"/>
      <c r="D1204" s="10"/>
      <c r="E1204" s="10"/>
      <c r="F1204" s="10"/>
      <c r="G1204" s="7"/>
      <c r="H1204" s="16" t="str">
        <f t="shared" si="18"/>
        <v>(1202,,'',,,,),</v>
      </c>
    </row>
    <row r="1205" spans="1:8" ht="20.100000000000001" customHeight="1" x14ac:dyDescent="0.25">
      <c r="A1205" s="3">
        <v>1203</v>
      </c>
      <c r="B1205" s="8"/>
      <c r="C1205" s="13"/>
      <c r="D1205" s="10"/>
      <c r="E1205" s="10"/>
      <c r="F1205" s="10"/>
      <c r="G1205" s="7"/>
      <c r="H1205" s="16" t="str">
        <f t="shared" si="18"/>
        <v>(1203,,'',,,,),</v>
      </c>
    </row>
    <row r="1206" spans="1:8" ht="20.100000000000001" customHeight="1" x14ac:dyDescent="0.25">
      <c r="A1206" s="3">
        <v>1204</v>
      </c>
      <c r="B1206" s="8"/>
      <c r="C1206" s="13"/>
      <c r="D1206" s="10"/>
      <c r="E1206" s="10"/>
      <c r="F1206" s="10"/>
      <c r="G1206" s="7"/>
      <c r="H1206" s="16" t="str">
        <f t="shared" si="18"/>
        <v>(1204,,'',,,,),</v>
      </c>
    </row>
    <row r="1207" spans="1:8" ht="20.100000000000001" customHeight="1" x14ac:dyDescent="0.25">
      <c r="A1207" s="3">
        <v>1205</v>
      </c>
      <c r="B1207" s="8"/>
      <c r="C1207" s="13"/>
      <c r="D1207" s="10"/>
      <c r="E1207" s="10"/>
      <c r="F1207" s="10"/>
      <c r="G1207" s="7"/>
      <c r="H1207" s="16" t="str">
        <f t="shared" si="18"/>
        <v>(1205,,'',,,,),</v>
      </c>
    </row>
    <row r="1208" spans="1:8" ht="20.100000000000001" customHeight="1" x14ac:dyDescent="0.25">
      <c r="A1208" s="3">
        <v>1206</v>
      </c>
      <c r="B1208" s="8"/>
      <c r="C1208" s="13"/>
      <c r="D1208" s="10"/>
      <c r="E1208" s="10"/>
      <c r="F1208" s="10"/>
      <c r="G1208" s="7"/>
      <c r="H1208" s="16" t="str">
        <f t="shared" si="18"/>
        <v>(1206,,'',,,,),</v>
      </c>
    </row>
    <row r="1209" spans="1:8" ht="20.100000000000001" customHeight="1" x14ac:dyDescent="0.25">
      <c r="A1209" s="3">
        <v>1207</v>
      </c>
      <c r="B1209" s="8"/>
      <c r="C1209" s="13"/>
      <c r="D1209" s="10"/>
      <c r="E1209" s="10"/>
      <c r="F1209" s="10"/>
      <c r="G1209" s="7"/>
      <c r="H1209" s="16" t="str">
        <f t="shared" si="18"/>
        <v>(1207,,'',,,,),</v>
      </c>
    </row>
    <row r="1210" spans="1:8" ht="20.100000000000001" customHeight="1" x14ac:dyDescent="0.25">
      <c r="A1210" s="3">
        <v>1208</v>
      </c>
      <c r="B1210" s="8"/>
      <c r="C1210" s="13"/>
      <c r="D1210" s="10"/>
      <c r="E1210" s="10"/>
      <c r="F1210" s="10"/>
      <c r="G1210" s="7"/>
      <c r="H1210" s="16" t="str">
        <f t="shared" si="18"/>
        <v>(1208,,'',,,,),</v>
      </c>
    </row>
    <row r="1211" spans="1:8" ht="20.100000000000001" customHeight="1" x14ac:dyDescent="0.25">
      <c r="A1211" s="3">
        <v>1209</v>
      </c>
      <c r="B1211" s="8"/>
      <c r="C1211" s="13"/>
      <c r="D1211" s="10"/>
      <c r="E1211" s="10"/>
      <c r="F1211" s="10"/>
      <c r="G1211" s="7"/>
      <c r="H1211" s="16" t="str">
        <f t="shared" si="18"/>
        <v>(1209,,'',,,,),</v>
      </c>
    </row>
    <row r="1212" spans="1:8" ht="20.100000000000001" customHeight="1" x14ac:dyDescent="0.25">
      <c r="A1212" s="3">
        <v>1210</v>
      </c>
      <c r="B1212" s="8"/>
      <c r="C1212" s="13"/>
      <c r="D1212" s="10"/>
      <c r="E1212" s="10"/>
      <c r="F1212" s="10"/>
      <c r="G1212" s="7"/>
      <c r="H1212" s="16" t="str">
        <f t="shared" si="18"/>
        <v>(1210,,'',,,,),</v>
      </c>
    </row>
    <row r="1213" spans="1:8" ht="20.100000000000001" customHeight="1" x14ac:dyDescent="0.25">
      <c r="A1213" s="3">
        <v>1211</v>
      </c>
      <c r="B1213" s="8"/>
      <c r="C1213" s="13"/>
      <c r="D1213" s="10"/>
      <c r="E1213" s="10"/>
      <c r="F1213" s="10"/>
      <c r="G1213" s="7"/>
      <c r="H1213" s="16" t="str">
        <f t="shared" si="18"/>
        <v>(1211,,'',,,,),</v>
      </c>
    </row>
    <row r="1214" spans="1:8" ht="20.100000000000001" customHeight="1" x14ac:dyDescent="0.25">
      <c r="A1214" s="3">
        <v>1212</v>
      </c>
      <c r="B1214" s="8"/>
      <c r="C1214" s="13"/>
      <c r="D1214" s="10"/>
      <c r="E1214" s="10"/>
      <c r="F1214" s="10"/>
      <c r="G1214" s="7"/>
      <c r="H1214" s="16" t="str">
        <f t="shared" si="18"/>
        <v>(1212,,'',,,,),</v>
      </c>
    </row>
    <row r="1215" spans="1:8" ht="20.100000000000001" customHeight="1" x14ac:dyDescent="0.25">
      <c r="A1215" s="3">
        <v>1213</v>
      </c>
      <c r="B1215" s="8"/>
      <c r="C1215" s="13"/>
      <c r="D1215" s="10"/>
      <c r="E1215" s="10"/>
      <c r="F1215" s="10"/>
      <c r="G1215" s="7"/>
      <c r="H1215" s="16" t="str">
        <f t="shared" si="18"/>
        <v>(1213,,'',,,,),</v>
      </c>
    </row>
    <row r="1216" spans="1:8" ht="20.100000000000001" customHeight="1" x14ac:dyDescent="0.25">
      <c r="A1216" s="3">
        <v>1214</v>
      </c>
      <c r="B1216" s="8"/>
      <c r="C1216" s="13"/>
      <c r="D1216" s="10"/>
      <c r="E1216" s="10"/>
      <c r="F1216" s="10"/>
      <c r="G1216" s="7"/>
      <c r="H1216" s="16" t="str">
        <f t="shared" si="18"/>
        <v>(1214,,'',,,,),</v>
      </c>
    </row>
    <row r="1217" spans="1:8" ht="20.100000000000001" customHeight="1" x14ac:dyDescent="0.25">
      <c r="A1217" s="3">
        <v>1215</v>
      </c>
      <c r="B1217" s="8"/>
      <c r="C1217" s="13"/>
      <c r="D1217" s="10"/>
      <c r="E1217" s="10"/>
      <c r="F1217" s="10"/>
      <c r="G1217" s="7"/>
      <c r="H1217" s="16" t="str">
        <f t="shared" si="18"/>
        <v>(1215,,'',,,,),</v>
      </c>
    </row>
    <row r="1218" spans="1:8" ht="20.100000000000001" customHeight="1" x14ac:dyDescent="0.25">
      <c r="A1218" s="3">
        <v>1216</v>
      </c>
      <c r="B1218" s="8"/>
      <c r="C1218" s="13"/>
      <c r="D1218" s="10"/>
      <c r="E1218" s="10"/>
      <c r="F1218" s="10"/>
      <c r="G1218" s="7"/>
      <c r="H1218" s="16" t="str">
        <f t="shared" si="18"/>
        <v>(1216,,'',,,,),</v>
      </c>
    </row>
    <row r="1219" spans="1:8" ht="20.100000000000001" customHeight="1" x14ac:dyDescent="0.25">
      <c r="A1219" s="3">
        <v>1217</v>
      </c>
      <c r="B1219" s="8"/>
      <c r="C1219" s="13"/>
      <c r="D1219" s="10"/>
      <c r="E1219" s="10"/>
      <c r="F1219" s="10"/>
      <c r="G1219" s="7"/>
      <c r="H1219" s="16" t="str">
        <f t="shared" si="18"/>
        <v>(1217,,'',,,,),</v>
      </c>
    </row>
    <row r="1220" spans="1:8" ht="20.100000000000001" customHeight="1" x14ac:dyDescent="0.25">
      <c r="A1220" s="3">
        <v>1218</v>
      </c>
      <c r="B1220" s="8"/>
      <c r="C1220" s="13"/>
      <c r="D1220" s="10"/>
      <c r="E1220" s="10"/>
      <c r="F1220" s="10"/>
      <c r="G1220" s="7"/>
      <c r="H1220" s="16" t="str">
        <f t="shared" ref="H1220:H1283" si="19">CONCATENATE("(",A1220,",",B1220,",'",C1220,"',",D1220,",",E1220,",",F1220,",",G1220,"),")</f>
        <v>(1218,,'',,,,),</v>
      </c>
    </row>
    <row r="1221" spans="1:8" ht="20.100000000000001" customHeight="1" x14ac:dyDescent="0.25">
      <c r="A1221" s="3">
        <v>1219</v>
      </c>
      <c r="B1221" s="8"/>
      <c r="C1221" s="13"/>
      <c r="D1221" s="10"/>
      <c r="E1221" s="10"/>
      <c r="F1221" s="10"/>
      <c r="G1221" s="7"/>
      <c r="H1221" s="16" t="str">
        <f t="shared" si="19"/>
        <v>(1219,,'',,,,),</v>
      </c>
    </row>
    <row r="1222" spans="1:8" ht="20.100000000000001" customHeight="1" x14ac:dyDescent="0.25">
      <c r="A1222" s="3">
        <v>1220</v>
      </c>
      <c r="B1222" s="8"/>
      <c r="C1222" s="13"/>
      <c r="D1222" s="10"/>
      <c r="E1222" s="10"/>
      <c r="F1222" s="10"/>
      <c r="G1222" s="7"/>
      <c r="H1222" s="16" t="str">
        <f t="shared" si="19"/>
        <v>(1220,,'',,,,),</v>
      </c>
    </row>
    <row r="1223" spans="1:8" ht="20.100000000000001" customHeight="1" x14ac:dyDescent="0.25">
      <c r="A1223" s="3">
        <v>1221</v>
      </c>
      <c r="B1223" s="8"/>
      <c r="C1223" s="13"/>
      <c r="D1223" s="10"/>
      <c r="E1223" s="10"/>
      <c r="F1223" s="10"/>
      <c r="G1223" s="7"/>
      <c r="H1223" s="16" t="str">
        <f t="shared" si="19"/>
        <v>(1221,,'',,,,),</v>
      </c>
    </row>
    <row r="1224" spans="1:8" ht="20.100000000000001" customHeight="1" x14ac:dyDescent="0.25">
      <c r="A1224" s="3">
        <v>1222</v>
      </c>
      <c r="B1224" s="8"/>
      <c r="C1224" s="13"/>
      <c r="D1224" s="10"/>
      <c r="E1224" s="10"/>
      <c r="F1224" s="10"/>
      <c r="G1224" s="7"/>
      <c r="H1224" s="16" t="str">
        <f t="shared" si="19"/>
        <v>(1222,,'',,,,),</v>
      </c>
    </row>
    <row r="1225" spans="1:8" ht="20.100000000000001" customHeight="1" x14ac:dyDescent="0.25">
      <c r="A1225" s="3">
        <v>1223</v>
      </c>
      <c r="B1225" s="8"/>
      <c r="C1225" s="13"/>
      <c r="D1225" s="10"/>
      <c r="E1225" s="10"/>
      <c r="F1225" s="10"/>
      <c r="G1225" s="7"/>
      <c r="H1225" s="16" t="str">
        <f t="shared" si="19"/>
        <v>(1223,,'',,,,),</v>
      </c>
    </row>
    <row r="1226" spans="1:8" ht="20.100000000000001" customHeight="1" x14ac:dyDescent="0.25">
      <c r="A1226" s="3">
        <v>1224</v>
      </c>
      <c r="B1226" s="8"/>
      <c r="C1226" s="13"/>
      <c r="D1226" s="10"/>
      <c r="E1226" s="10"/>
      <c r="F1226" s="10"/>
      <c r="G1226" s="7"/>
      <c r="H1226" s="16" t="str">
        <f t="shared" si="19"/>
        <v>(1224,,'',,,,),</v>
      </c>
    </row>
    <row r="1227" spans="1:8" ht="20.100000000000001" customHeight="1" x14ac:dyDescent="0.25">
      <c r="A1227" s="3">
        <v>1225</v>
      </c>
      <c r="B1227" s="8"/>
      <c r="C1227" s="13"/>
      <c r="D1227" s="10"/>
      <c r="E1227" s="10"/>
      <c r="F1227" s="10"/>
      <c r="G1227" s="7"/>
      <c r="H1227" s="16" t="str">
        <f t="shared" si="19"/>
        <v>(1225,,'',,,,),</v>
      </c>
    </row>
    <row r="1228" spans="1:8" ht="20.100000000000001" customHeight="1" x14ac:dyDescent="0.25">
      <c r="A1228" s="3">
        <v>1226</v>
      </c>
      <c r="B1228" s="8"/>
      <c r="C1228" s="13"/>
      <c r="D1228" s="10"/>
      <c r="E1228" s="10"/>
      <c r="F1228" s="10"/>
      <c r="G1228" s="7"/>
      <c r="H1228" s="16" t="str">
        <f t="shared" si="19"/>
        <v>(1226,,'',,,,),</v>
      </c>
    </row>
    <row r="1229" spans="1:8" ht="20.100000000000001" customHeight="1" x14ac:dyDescent="0.25">
      <c r="A1229" s="3">
        <v>1227</v>
      </c>
      <c r="B1229" s="8"/>
      <c r="C1229" s="13"/>
      <c r="D1229" s="10"/>
      <c r="E1229" s="10"/>
      <c r="F1229" s="10"/>
      <c r="G1229" s="7"/>
      <c r="H1229" s="16" t="str">
        <f t="shared" si="19"/>
        <v>(1227,,'',,,,),</v>
      </c>
    </row>
    <row r="1230" spans="1:8" ht="20.100000000000001" customHeight="1" x14ac:dyDescent="0.25">
      <c r="A1230" s="3">
        <v>1228</v>
      </c>
      <c r="B1230" s="8"/>
      <c r="C1230" s="13"/>
      <c r="D1230" s="10"/>
      <c r="E1230" s="10"/>
      <c r="F1230" s="10"/>
      <c r="G1230" s="7"/>
      <c r="H1230" s="16" t="str">
        <f t="shared" si="19"/>
        <v>(1228,,'',,,,),</v>
      </c>
    </row>
    <row r="1231" spans="1:8" ht="20.100000000000001" customHeight="1" x14ac:dyDescent="0.25">
      <c r="A1231" s="3">
        <v>1229</v>
      </c>
      <c r="B1231" s="8"/>
      <c r="C1231" s="13"/>
      <c r="D1231" s="10"/>
      <c r="E1231" s="10"/>
      <c r="F1231" s="10"/>
      <c r="G1231" s="7"/>
      <c r="H1231" s="16" t="str">
        <f t="shared" si="19"/>
        <v>(1229,,'',,,,),</v>
      </c>
    </row>
    <row r="1232" spans="1:8" ht="20.100000000000001" customHeight="1" x14ac:dyDescent="0.25">
      <c r="A1232" s="3">
        <v>1230</v>
      </c>
      <c r="B1232" s="8"/>
      <c r="C1232" s="13"/>
      <c r="D1232" s="10"/>
      <c r="E1232" s="10"/>
      <c r="F1232" s="10"/>
      <c r="G1232" s="7"/>
      <c r="H1232" s="16" t="str">
        <f t="shared" si="19"/>
        <v>(1230,,'',,,,),</v>
      </c>
    </row>
    <row r="1233" spans="1:8" ht="20.100000000000001" customHeight="1" x14ac:dyDescent="0.25">
      <c r="A1233" s="3">
        <v>1231</v>
      </c>
      <c r="B1233" s="8"/>
      <c r="C1233" s="13"/>
      <c r="D1233" s="10"/>
      <c r="E1233" s="10"/>
      <c r="F1233" s="10"/>
      <c r="G1233" s="7"/>
      <c r="H1233" s="16" t="str">
        <f t="shared" si="19"/>
        <v>(1231,,'',,,,),</v>
      </c>
    </row>
    <row r="1234" spans="1:8" ht="20.100000000000001" customHeight="1" x14ac:dyDescent="0.25">
      <c r="A1234" s="3">
        <v>1232</v>
      </c>
      <c r="B1234" s="8"/>
      <c r="C1234" s="13"/>
      <c r="D1234" s="10"/>
      <c r="E1234" s="10"/>
      <c r="F1234" s="10"/>
      <c r="G1234" s="7"/>
      <c r="H1234" s="16" t="str">
        <f t="shared" si="19"/>
        <v>(1232,,'',,,,),</v>
      </c>
    </row>
    <row r="1235" spans="1:8" ht="20.100000000000001" customHeight="1" x14ac:dyDescent="0.25">
      <c r="A1235" s="3">
        <v>1233</v>
      </c>
      <c r="B1235" s="8"/>
      <c r="C1235" s="13"/>
      <c r="D1235" s="10"/>
      <c r="E1235" s="10"/>
      <c r="F1235" s="10"/>
      <c r="G1235" s="7"/>
      <c r="H1235" s="16" t="str">
        <f t="shared" si="19"/>
        <v>(1233,,'',,,,),</v>
      </c>
    </row>
    <row r="1236" spans="1:8" ht="20.100000000000001" customHeight="1" x14ac:dyDescent="0.25">
      <c r="A1236" s="3">
        <v>1234</v>
      </c>
      <c r="B1236" s="8"/>
      <c r="C1236" s="13"/>
      <c r="D1236" s="10"/>
      <c r="E1236" s="10"/>
      <c r="F1236" s="10"/>
      <c r="G1236" s="7"/>
      <c r="H1236" s="16" t="str">
        <f t="shared" si="19"/>
        <v>(1234,,'',,,,),</v>
      </c>
    </row>
    <row r="1237" spans="1:8" ht="20.100000000000001" customHeight="1" x14ac:dyDescent="0.25">
      <c r="A1237" s="3">
        <v>1235</v>
      </c>
      <c r="B1237" s="8"/>
      <c r="C1237" s="13"/>
      <c r="D1237" s="10"/>
      <c r="E1237" s="10"/>
      <c r="F1237" s="10"/>
      <c r="G1237" s="7"/>
      <c r="H1237" s="16" t="str">
        <f t="shared" si="19"/>
        <v>(1235,,'',,,,),</v>
      </c>
    </row>
    <row r="1238" spans="1:8" ht="20.100000000000001" customHeight="1" x14ac:dyDescent="0.25">
      <c r="A1238" s="3">
        <v>1236</v>
      </c>
      <c r="B1238" s="8"/>
      <c r="C1238" s="13"/>
      <c r="D1238" s="10"/>
      <c r="E1238" s="10"/>
      <c r="F1238" s="10"/>
      <c r="G1238" s="7"/>
      <c r="H1238" s="16" t="str">
        <f t="shared" si="19"/>
        <v>(1236,,'',,,,),</v>
      </c>
    </row>
    <row r="1239" spans="1:8" ht="20.100000000000001" customHeight="1" x14ac:dyDescent="0.25">
      <c r="A1239" s="3">
        <v>1237</v>
      </c>
      <c r="B1239" s="8"/>
      <c r="C1239" s="13"/>
      <c r="D1239" s="10"/>
      <c r="E1239" s="10"/>
      <c r="F1239" s="10"/>
      <c r="G1239" s="7"/>
      <c r="H1239" s="16" t="str">
        <f t="shared" si="19"/>
        <v>(1237,,'',,,,),</v>
      </c>
    </row>
    <row r="1240" spans="1:8" ht="20.100000000000001" customHeight="1" x14ac:dyDescent="0.25">
      <c r="A1240" s="3">
        <v>1238</v>
      </c>
      <c r="B1240" s="8"/>
      <c r="C1240" s="13"/>
      <c r="D1240" s="10"/>
      <c r="E1240" s="10"/>
      <c r="F1240" s="10"/>
      <c r="G1240" s="7"/>
      <c r="H1240" s="16" t="str">
        <f t="shared" si="19"/>
        <v>(1238,,'',,,,),</v>
      </c>
    </row>
    <row r="1241" spans="1:8" ht="20.100000000000001" customHeight="1" x14ac:dyDescent="0.25">
      <c r="A1241" s="3">
        <v>1239</v>
      </c>
      <c r="B1241" s="8"/>
      <c r="C1241" s="13"/>
      <c r="D1241" s="10"/>
      <c r="E1241" s="10"/>
      <c r="F1241" s="10"/>
      <c r="G1241" s="7"/>
      <c r="H1241" s="16" t="str">
        <f t="shared" si="19"/>
        <v>(1239,,'',,,,),</v>
      </c>
    </row>
    <row r="1242" spans="1:8" ht="20.100000000000001" customHeight="1" x14ac:dyDescent="0.25">
      <c r="A1242" s="3">
        <v>1240</v>
      </c>
      <c r="B1242" s="8"/>
      <c r="C1242" s="13"/>
      <c r="D1242" s="10"/>
      <c r="E1242" s="10"/>
      <c r="F1242" s="10"/>
      <c r="G1242" s="7"/>
      <c r="H1242" s="16" t="str">
        <f t="shared" si="19"/>
        <v>(1240,,'',,,,),</v>
      </c>
    </row>
    <row r="1243" spans="1:8" ht="20.100000000000001" customHeight="1" x14ac:dyDescent="0.25">
      <c r="A1243" s="3">
        <v>1241</v>
      </c>
      <c r="B1243" s="8"/>
      <c r="C1243" s="13"/>
      <c r="D1243" s="10"/>
      <c r="E1243" s="10"/>
      <c r="F1243" s="10"/>
      <c r="G1243" s="7"/>
      <c r="H1243" s="16" t="str">
        <f t="shared" si="19"/>
        <v>(1241,,'',,,,),</v>
      </c>
    </row>
    <row r="1244" spans="1:8" ht="20.100000000000001" customHeight="1" x14ac:dyDescent="0.25">
      <c r="A1244" s="3">
        <v>1242</v>
      </c>
      <c r="B1244" s="8"/>
      <c r="C1244" s="13"/>
      <c r="D1244" s="10"/>
      <c r="E1244" s="10"/>
      <c r="F1244" s="10"/>
      <c r="G1244" s="7"/>
      <c r="H1244" s="16" t="str">
        <f t="shared" si="19"/>
        <v>(1242,,'',,,,),</v>
      </c>
    </row>
    <row r="1245" spans="1:8" ht="20.100000000000001" customHeight="1" x14ac:dyDescent="0.25">
      <c r="A1245" s="3">
        <v>1243</v>
      </c>
      <c r="B1245" s="8"/>
      <c r="C1245" s="13"/>
      <c r="D1245" s="10"/>
      <c r="E1245" s="10"/>
      <c r="F1245" s="10"/>
      <c r="G1245" s="7"/>
      <c r="H1245" s="16" t="str">
        <f t="shared" si="19"/>
        <v>(1243,,'',,,,),</v>
      </c>
    </row>
    <row r="1246" spans="1:8" ht="20.100000000000001" customHeight="1" x14ac:dyDescent="0.25">
      <c r="A1246" s="3">
        <v>1244</v>
      </c>
      <c r="B1246" s="8"/>
      <c r="C1246" s="13"/>
      <c r="D1246" s="10"/>
      <c r="E1246" s="10"/>
      <c r="F1246" s="10"/>
      <c r="G1246" s="7"/>
      <c r="H1246" s="16" t="str">
        <f t="shared" si="19"/>
        <v>(1244,,'',,,,),</v>
      </c>
    </row>
    <row r="1247" spans="1:8" ht="20.100000000000001" customHeight="1" x14ac:dyDescent="0.25">
      <c r="A1247" s="3">
        <v>1245</v>
      </c>
      <c r="B1247" s="8"/>
      <c r="C1247" s="13"/>
      <c r="D1247" s="10"/>
      <c r="E1247" s="10"/>
      <c r="F1247" s="10"/>
      <c r="G1247" s="7"/>
      <c r="H1247" s="16" t="str">
        <f t="shared" si="19"/>
        <v>(1245,,'',,,,),</v>
      </c>
    </row>
    <row r="1248" spans="1:8" ht="20.100000000000001" customHeight="1" x14ac:dyDescent="0.25">
      <c r="A1248" s="3">
        <v>1246</v>
      </c>
      <c r="B1248" s="8"/>
      <c r="C1248" s="13"/>
      <c r="D1248" s="10"/>
      <c r="E1248" s="10"/>
      <c r="F1248" s="10"/>
      <c r="G1248" s="7"/>
      <c r="H1248" s="16" t="str">
        <f t="shared" si="19"/>
        <v>(1246,,'',,,,),</v>
      </c>
    </row>
    <row r="1249" spans="1:8" ht="20.100000000000001" customHeight="1" x14ac:dyDescent="0.25">
      <c r="A1249" s="3">
        <v>1247</v>
      </c>
      <c r="B1249" s="8"/>
      <c r="C1249" s="13"/>
      <c r="D1249" s="10"/>
      <c r="E1249" s="10"/>
      <c r="F1249" s="10"/>
      <c r="G1249" s="7"/>
      <c r="H1249" s="16" t="str">
        <f t="shared" si="19"/>
        <v>(1247,,'',,,,),</v>
      </c>
    </row>
    <row r="1250" spans="1:8" ht="20.100000000000001" customHeight="1" x14ac:dyDescent="0.25">
      <c r="A1250" s="3">
        <v>1248</v>
      </c>
      <c r="B1250" s="8"/>
      <c r="C1250" s="13"/>
      <c r="D1250" s="10"/>
      <c r="E1250" s="10"/>
      <c r="F1250" s="10"/>
      <c r="G1250" s="7"/>
      <c r="H1250" s="16" t="str">
        <f t="shared" si="19"/>
        <v>(1248,,'',,,,),</v>
      </c>
    </row>
    <row r="1251" spans="1:8" ht="20.100000000000001" customHeight="1" x14ac:dyDescent="0.25">
      <c r="A1251" s="3">
        <v>1249</v>
      </c>
      <c r="B1251" s="8"/>
      <c r="C1251" s="13"/>
      <c r="D1251" s="10"/>
      <c r="E1251" s="10"/>
      <c r="F1251" s="10"/>
      <c r="G1251" s="7"/>
      <c r="H1251" s="16" t="str">
        <f t="shared" si="19"/>
        <v>(1249,,'',,,,),</v>
      </c>
    </row>
    <row r="1252" spans="1:8" ht="20.100000000000001" customHeight="1" x14ac:dyDescent="0.25">
      <c r="A1252" s="3">
        <v>1250</v>
      </c>
      <c r="B1252" s="8"/>
      <c r="C1252" s="13"/>
      <c r="D1252" s="10"/>
      <c r="E1252" s="10"/>
      <c r="F1252" s="10"/>
      <c r="G1252" s="7"/>
      <c r="H1252" s="16" t="str">
        <f t="shared" si="19"/>
        <v>(1250,,'',,,,),</v>
      </c>
    </row>
    <row r="1253" spans="1:8" ht="20.100000000000001" customHeight="1" x14ac:dyDescent="0.25">
      <c r="A1253" s="3">
        <v>1251</v>
      </c>
      <c r="B1253" s="8"/>
      <c r="C1253" s="13"/>
      <c r="D1253" s="10"/>
      <c r="E1253" s="10"/>
      <c r="F1253" s="10"/>
      <c r="G1253" s="7"/>
      <c r="H1253" s="16" t="str">
        <f t="shared" si="19"/>
        <v>(1251,,'',,,,),</v>
      </c>
    </row>
    <row r="1254" spans="1:8" ht="20.100000000000001" customHeight="1" x14ac:dyDescent="0.25">
      <c r="A1254" s="3">
        <v>1252</v>
      </c>
      <c r="B1254" s="8"/>
      <c r="C1254" s="13"/>
      <c r="D1254" s="10"/>
      <c r="E1254" s="10"/>
      <c r="F1254" s="10"/>
      <c r="G1254" s="7"/>
      <c r="H1254" s="16" t="str">
        <f t="shared" si="19"/>
        <v>(1252,,'',,,,),</v>
      </c>
    </row>
    <row r="1255" spans="1:8" ht="20.100000000000001" customHeight="1" x14ac:dyDescent="0.25">
      <c r="A1255" s="3">
        <v>1253</v>
      </c>
      <c r="B1255" s="8"/>
      <c r="C1255" s="13"/>
      <c r="D1255" s="10"/>
      <c r="E1255" s="10"/>
      <c r="F1255" s="10"/>
      <c r="G1255" s="7"/>
      <c r="H1255" s="16" t="str">
        <f t="shared" si="19"/>
        <v>(1253,,'',,,,),</v>
      </c>
    </row>
    <row r="1256" spans="1:8" ht="20.100000000000001" customHeight="1" x14ac:dyDescent="0.25">
      <c r="A1256" s="3">
        <v>1254</v>
      </c>
      <c r="B1256" s="8"/>
      <c r="C1256" s="13"/>
      <c r="D1256" s="10"/>
      <c r="E1256" s="10"/>
      <c r="F1256" s="10"/>
      <c r="G1256" s="7"/>
      <c r="H1256" s="16" t="str">
        <f t="shared" si="19"/>
        <v>(1254,,'',,,,),</v>
      </c>
    </row>
    <row r="1257" spans="1:8" ht="20.100000000000001" customHeight="1" x14ac:dyDescent="0.25">
      <c r="A1257" s="3">
        <v>1255</v>
      </c>
      <c r="B1257" s="8"/>
      <c r="C1257" s="13"/>
      <c r="D1257" s="10"/>
      <c r="E1257" s="10"/>
      <c r="F1257" s="10"/>
      <c r="G1257" s="7"/>
      <c r="H1257" s="16" t="str">
        <f t="shared" si="19"/>
        <v>(1255,,'',,,,),</v>
      </c>
    </row>
    <row r="1258" spans="1:8" ht="20.100000000000001" customHeight="1" x14ac:dyDescent="0.25">
      <c r="A1258" s="3">
        <v>1256</v>
      </c>
      <c r="B1258" s="8"/>
      <c r="C1258" s="13"/>
      <c r="D1258" s="10"/>
      <c r="E1258" s="10"/>
      <c r="F1258" s="10"/>
      <c r="G1258" s="7"/>
      <c r="H1258" s="16" t="str">
        <f t="shared" si="19"/>
        <v>(1256,,'',,,,),</v>
      </c>
    </row>
    <row r="1259" spans="1:8" ht="20.100000000000001" customHeight="1" x14ac:dyDescent="0.25">
      <c r="A1259" s="3">
        <v>1257</v>
      </c>
      <c r="B1259" s="8"/>
      <c r="C1259" s="13"/>
      <c r="D1259" s="10"/>
      <c r="E1259" s="10"/>
      <c r="F1259" s="10"/>
      <c r="G1259" s="7"/>
      <c r="H1259" s="16" t="str">
        <f t="shared" si="19"/>
        <v>(1257,,'',,,,),</v>
      </c>
    </row>
    <row r="1260" spans="1:8" ht="20.100000000000001" customHeight="1" x14ac:dyDescent="0.25">
      <c r="A1260" s="3">
        <v>1258</v>
      </c>
      <c r="B1260" s="8"/>
      <c r="C1260" s="13"/>
      <c r="D1260" s="10"/>
      <c r="E1260" s="10"/>
      <c r="F1260" s="10"/>
      <c r="G1260" s="7"/>
      <c r="H1260" s="16" t="str">
        <f t="shared" si="19"/>
        <v>(1258,,'',,,,),</v>
      </c>
    </row>
    <row r="1261" spans="1:8" ht="20.100000000000001" customHeight="1" x14ac:dyDescent="0.25">
      <c r="A1261" s="3">
        <v>1259</v>
      </c>
      <c r="B1261" s="8"/>
      <c r="C1261" s="13"/>
      <c r="D1261" s="10"/>
      <c r="E1261" s="10"/>
      <c r="F1261" s="10"/>
      <c r="G1261" s="7"/>
      <c r="H1261" s="16" t="str">
        <f t="shared" si="19"/>
        <v>(1259,,'',,,,),</v>
      </c>
    </row>
    <row r="1262" spans="1:8" ht="20.100000000000001" customHeight="1" x14ac:dyDescent="0.25">
      <c r="A1262" s="3">
        <v>1260</v>
      </c>
      <c r="B1262" s="8"/>
      <c r="C1262" s="13"/>
      <c r="D1262" s="10"/>
      <c r="E1262" s="10"/>
      <c r="F1262" s="10"/>
      <c r="G1262" s="7"/>
      <c r="H1262" s="16" t="str">
        <f t="shared" si="19"/>
        <v>(1260,,'',,,,),</v>
      </c>
    </row>
    <row r="1263" spans="1:8" ht="20.100000000000001" customHeight="1" x14ac:dyDescent="0.25">
      <c r="A1263" s="3">
        <v>1261</v>
      </c>
      <c r="B1263" s="8"/>
      <c r="C1263" s="13"/>
      <c r="D1263" s="10"/>
      <c r="E1263" s="10"/>
      <c r="F1263" s="10"/>
      <c r="G1263" s="7"/>
      <c r="H1263" s="16" t="str">
        <f t="shared" si="19"/>
        <v>(1261,,'',,,,),</v>
      </c>
    </row>
    <row r="1264" spans="1:8" ht="20.100000000000001" customHeight="1" x14ac:dyDescent="0.25">
      <c r="A1264" s="3">
        <v>1262</v>
      </c>
      <c r="B1264" s="8"/>
      <c r="C1264" s="13"/>
      <c r="D1264" s="10"/>
      <c r="E1264" s="10"/>
      <c r="F1264" s="10"/>
      <c r="G1264" s="7"/>
      <c r="H1264" s="16" t="str">
        <f t="shared" si="19"/>
        <v>(1262,,'',,,,),</v>
      </c>
    </row>
    <row r="1265" spans="1:8" ht="20.100000000000001" customHeight="1" x14ac:dyDescent="0.25">
      <c r="A1265" s="3">
        <v>1263</v>
      </c>
      <c r="B1265" s="8"/>
      <c r="C1265" s="13"/>
      <c r="D1265" s="10"/>
      <c r="E1265" s="10"/>
      <c r="F1265" s="10"/>
      <c r="G1265" s="7"/>
      <c r="H1265" s="16" t="str">
        <f t="shared" si="19"/>
        <v>(1263,,'',,,,),</v>
      </c>
    </row>
    <row r="1266" spans="1:8" ht="20.100000000000001" customHeight="1" x14ac:dyDescent="0.25">
      <c r="A1266" s="3">
        <v>1264</v>
      </c>
      <c r="B1266" s="8"/>
      <c r="C1266" s="13"/>
      <c r="D1266" s="10"/>
      <c r="E1266" s="10"/>
      <c r="F1266" s="10"/>
      <c r="G1266" s="7"/>
      <c r="H1266" s="16" t="str">
        <f t="shared" si="19"/>
        <v>(1264,,'',,,,),</v>
      </c>
    </row>
    <row r="1267" spans="1:8" ht="20.100000000000001" customHeight="1" x14ac:dyDescent="0.25">
      <c r="A1267" s="3">
        <v>1265</v>
      </c>
      <c r="B1267" s="8"/>
      <c r="C1267" s="13"/>
      <c r="D1267" s="10"/>
      <c r="E1267" s="10"/>
      <c r="F1267" s="10"/>
      <c r="G1267" s="7"/>
      <c r="H1267" s="16" t="str">
        <f t="shared" si="19"/>
        <v>(1265,,'',,,,),</v>
      </c>
    </row>
    <row r="1268" spans="1:8" ht="20.100000000000001" customHeight="1" x14ac:dyDescent="0.25">
      <c r="A1268" s="3">
        <v>1266</v>
      </c>
      <c r="B1268" s="8"/>
      <c r="C1268" s="13"/>
      <c r="D1268" s="10"/>
      <c r="E1268" s="10"/>
      <c r="F1268" s="10"/>
      <c r="G1268" s="7"/>
      <c r="H1268" s="16" t="str">
        <f t="shared" si="19"/>
        <v>(1266,,'',,,,),</v>
      </c>
    </row>
    <row r="1269" spans="1:8" ht="20.100000000000001" customHeight="1" x14ac:dyDescent="0.25">
      <c r="A1269" s="3">
        <v>1267</v>
      </c>
      <c r="B1269" s="8"/>
      <c r="C1269" s="13"/>
      <c r="D1269" s="10"/>
      <c r="E1269" s="10"/>
      <c r="F1269" s="10"/>
      <c r="G1269" s="7"/>
      <c r="H1269" s="16" t="str">
        <f t="shared" si="19"/>
        <v>(1267,,'',,,,),</v>
      </c>
    </row>
    <row r="1270" spans="1:8" ht="20.100000000000001" customHeight="1" x14ac:dyDescent="0.25">
      <c r="A1270" s="3">
        <v>1268</v>
      </c>
      <c r="B1270" s="8"/>
      <c r="C1270" s="13"/>
      <c r="D1270" s="10"/>
      <c r="E1270" s="10"/>
      <c r="F1270" s="10"/>
      <c r="G1270" s="7"/>
      <c r="H1270" s="16" t="str">
        <f t="shared" si="19"/>
        <v>(1268,,'',,,,),</v>
      </c>
    </row>
    <row r="1271" spans="1:8" ht="20.100000000000001" customHeight="1" x14ac:dyDescent="0.25">
      <c r="A1271" s="3">
        <v>1269</v>
      </c>
      <c r="B1271" s="8"/>
      <c r="C1271" s="13"/>
      <c r="D1271" s="10"/>
      <c r="E1271" s="10"/>
      <c r="F1271" s="10"/>
      <c r="G1271" s="7"/>
      <c r="H1271" s="16" t="str">
        <f t="shared" si="19"/>
        <v>(1269,,'',,,,),</v>
      </c>
    </row>
    <row r="1272" spans="1:8" ht="20.100000000000001" customHeight="1" x14ac:dyDescent="0.25">
      <c r="A1272" s="3">
        <v>1270</v>
      </c>
      <c r="B1272" s="8"/>
      <c r="C1272" s="13"/>
      <c r="D1272" s="10"/>
      <c r="E1272" s="10"/>
      <c r="F1272" s="10"/>
      <c r="G1272" s="7"/>
      <c r="H1272" s="16" t="str">
        <f t="shared" si="19"/>
        <v>(1270,,'',,,,),</v>
      </c>
    </row>
    <row r="1273" spans="1:8" ht="20.100000000000001" customHeight="1" x14ac:dyDescent="0.25">
      <c r="A1273" s="3">
        <v>1271</v>
      </c>
      <c r="B1273" s="8"/>
      <c r="C1273" s="13"/>
      <c r="D1273" s="10"/>
      <c r="E1273" s="10"/>
      <c r="F1273" s="10"/>
      <c r="G1273" s="7"/>
      <c r="H1273" s="16" t="str">
        <f t="shared" si="19"/>
        <v>(1271,,'',,,,),</v>
      </c>
    </row>
    <row r="1274" spans="1:8" ht="20.100000000000001" customHeight="1" x14ac:dyDescent="0.25">
      <c r="A1274" s="3">
        <v>1272</v>
      </c>
      <c r="B1274" s="8"/>
      <c r="C1274" s="13"/>
      <c r="D1274" s="10"/>
      <c r="E1274" s="10"/>
      <c r="F1274" s="10"/>
      <c r="G1274" s="7"/>
      <c r="H1274" s="16" t="str">
        <f t="shared" si="19"/>
        <v>(1272,,'',,,,),</v>
      </c>
    </row>
    <row r="1275" spans="1:8" ht="20.100000000000001" customHeight="1" x14ac:dyDescent="0.25">
      <c r="A1275" s="3">
        <v>1273</v>
      </c>
      <c r="B1275" s="8"/>
      <c r="C1275" s="13"/>
      <c r="D1275" s="10"/>
      <c r="E1275" s="10"/>
      <c r="F1275" s="10"/>
      <c r="G1275" s="7"/>
      <c r="H1275" s="16" t="str">
        <f t="shared" si="19"/>
        <v>(1273,,'',,,,),</v>
      </c>
    </row>
    <row r="1276" spans="1:8" ht="20.100000000000001" customHeight="1" x14ac:dyDescent="0.25">
      <c r="A1276" s="3">
        <v>1274</v>
      </c>
      <c r="B1276" s="8"/>
      <c r="C1276" s="13"/>
      <c r="D1276" s="10"/>
      <c r="E1276" s="10"/>
      <c r="F1276" s="10"/>
      <c r="G1276" s="7"/>
      <c r="H1276" s="16" t="str">
        <f t="shared" si="19"/>
        <v>(1274,,'',,,,),</v>
      </c>
    </row>
    <row r="1277" spans="1:8" ht="20.100000000000001" customHeight="1" x14ac:dyDescent="0.25">
      <c r="A1277" s="3">
        <v>1275</v>
      </c>
      <c r="B1277" s="8"/>
      <c r="C1277" s="13"/>
      <c r="D1277" s="10"/>
      <c r="E1277" s="10"/>
      <c r="F1277" s="10"/>
      <c r="G1277" s="7"/>
      <c r="H1277" s="16" t="str">
        <f t="shared" si="19"/>
        <v>(1275,,'',,,,),</v>
      </c>
    </row>
    <row r="1278" spans="1:8" ht="20.100000000000001" customHeight="1" x14ac:dyDescent="0.25">
      <c r="A1278" s="3">
        <v>1276</v>
      </c>
      <c r="B1278" s="8"/>
      <c r="C1278" s="13"/>
      <c r="D1278" s="10"/>
      <c r="E1278" s="10"/>
      <c r="F1278" s="10"/>
      <c r="G1278" s="7"/>
      <c r="H1278" s="16" t="str">
        <f t="shared" si="19"/>
        <v>(1276,,'',,,,),</v>
      </c>
    </row>
    <row r="1279" spans="1:8" ht="20.100000000000001" customHeight="1" x14ac:dyDescent="0.25">
      <c r="A1279" s="3">
        <v>1277</v>
      </c>
      <c r="B1279" s="8"/>
      <c r="C1279" s="13"/>
      <c r="D1279" s="10"/>
      <c r="E1279" s="10"/>
      <c r="F1279" s="10"/>
      <c r="G1279" s="7"/>
      <c r="H1279" s="16" t="str">
        <f t="shared" si="19"/>
        <v>(1277,,'',,,,),</v>
      </c>
    </row>
    <row r="1280" spans="1:8" ht="20.100000000000001" customHeight="1" x14ac:dyDescent="0.25">
      <c r="A1280" s="3">
        <v>1278</v>
      </c>
      <c r="B1280" s="8"/>
      <c r="C1280" s="13"/>
      <c r="D1280" s="10"/>
      <c r="E1280" s="10"/>
      <c r="F1280" s="10"/>
      <c r="G1280" s="7"/>
      <c r="H1280" s="16" t="str">
        <f t="shared" si="19"/>
        <v>(1278,,'',,,,),</v>
      </c>
    </row>
    <row r="1281" spans="1:8" ht="20.100000000000001" customHeight="1" x14ac:dyDescent="0.25">
      <c r="A1281" s="3">
        <v>1279</v>
      </c>
      <c r="B1281" s="8"/>
      <c r="C1281" s="13"/>
      <c r="D1281" s="10"/>
      <c r="E1281" s="10"/>
      <c r="F1281" s="10"/>
      <c r="G1281" s="7"/>
      <c r="H1281" s="16" t="str">
        <f t="shared" si="19"/>
        <v>(1279,,'',,,,),</v>
      </c>
    </row>
    <row r="1282" spans="1:8" ht="20.100000000000001" customHeight="1" x14ac:dyDescent="0.25">
      <c r="A1282" s="3">
        <v>1280</v>
      </c>
      <c r="B1282" s="8"/>
      <c r="C1282" s="13"/>
      <c r="D1282" s="10"/>
      <c r="E1282" s="10"/>
      <c r="F1282" s="10"/>
      <c r="G1282" s="7"/>
      <c r="H1282" s="16" t="str">
        <f t="shared" si="19"/>
        <v>(1280,,'',,,,),</v>
      </c>
    </row>
    <row r="1283" spans="1:8" ht="20.100000000000001" customHeight="1" x14ac:dyDescent="0.25">
      <c r="A1283" s="3">
        <v>1281</v>
      </c>
      <c r="B1283" s="8"/>
      <c r="C1283" s="13"/>
      <c r="D1283" s="10"/>
      <c r="E1283" s="10"/>
      <c r="F1283" s="10"/>
      <c r="G1283" s="7"/>
      <c r="H1283" s="16" t="str">
        <f t="shared" si="19"/>
        <v>(1281,,'',,,,),</v>
      </c>
    </row>
    <row r="1284" spans="1:8" ht="20.100000000000001" customHeight="1" x14ac:dyDescent="0.25">
      <c r="A1284" s="3">
        <v>1282</v>
      </c>
      <c r="B1284" s="8"/>
      <c r="C1284" s="13"/>
      <c r="D1284" s="10"/>
      <c r="E1284" s="10"/>
      <c r="F1284" s="10"/>
      <c r="G1284" s="7"/>
      <c r="H1284" s="16" t="str">
        <f t="shared" ref="H1284:H1347" si="20">CONCATENATE("(",A1284,",",B1284,",'",C1284,"',",D1284,",",E1284,",",F1284,",",G1284,"),")</f>
        <v>(1282,,'',,,,),</v>
      </c>
    </row>
    <row r="1285" spans="1:8" ht="20.100000000000001" customHeight="1" x14ac:dyDescent="0.25">
      <c r="A1285" s="3">
        <v>1283</v>
      </c>
      <c r="B1285" s="8"/>
      <c r="C1285" s="13"/>
      <c r="D1285" s="10"/>
      <c r="E1285" s="10"/>
      <c r="F1285" s="10"/>
      <c r="G1285" s="7"/>
      <c r="H1285" s="16" t="str">
        <f t="shared" si="20"/>
        <v>(1283,,'',,,,),</v>
      </c>
    </row>
    <row r="1286" spans="1:8" ht="20.100000000000001" customHeight="1" x14ac:dyDescent="0.25">
      <c r="A1286" s="3">
        <v>1284</v>
      </c>
      <c r="B1286" s="8"/>
      <c r="C1286" s="13"/>
      <c r="D1286" s="10"/>
      <c r="E1286" s="10"/>
      <c r="F1286" s="10"/>
      <c r="G1286" s="7"/>
      <c r="H1286" s="16" t="str">
        <f t="shared" si="20"/>
        <v>(1284,,'',,,,),</v>
      </c>
    </row>
    <row r="1287" spans="1:8" ht="20.100000000000001" customHeight="1" x14ac:dyDescent="0.25">
      <c r="A1287" s="3">
        <v>1285</v>
      </c>
      <c r="B1287" s="8"/>
      <c r="C1287" s="13"/>
      <c r="D1287" s="10"/>
      <c r="E1287" s="10"/>
      <c r="F1287" s="10"/>
      <c r="G1287" s="7"/>
      <c r="H1287" s="16" t="str">
        <f t="shared" si="20"/>
        <v>(1285,,'',,,,),</v>
      </c>
    </row>
    <row r="1288" spans="1:8" ht="20.100000000000001" customHeight="1" x14ac:dyDescent="0.25">
      <c r="A1288" s="3">
        <v>1286</v>
      </c>
      <c r="B1288" s="8"/>
      <c r="C1288" s="13"/>
      <c r="D1288" s="10"/>
      <c r="E1288" s="10"/>
      <c r="F1288" s="10"/>
      <c r="G1288" s="7"/>
      <c r="H1288" s="16" t="str">
        <f t="shared" si="20"/>
        <v>(1286,,'',,,,),</v>
      </c>
    </row>
    <row r="1289" spans="1:8" ht="20.100000000000001" customHeight="1" x14ac:dyDescent="0.25">
      <c r="A1289" s="3">
        <v>1287</v>
      </c>
      <c r="B1289" s="8"/>
      <c r="C1289" s="13"/>
      <c r="D1289" s="10"/>
      <c r="E1289" s="10"/>
      <c r="F1289" s="10"/>
      <c r="G1289" s="7"/>
      <c r="H1289" s="16" t="str">
        <f t="shared" si="20"/>
        <v>(1287,,'',,,,),</v>
      </c>
    </row>
    <row r="1290" spans="1:8" ht="20.100000000000001" customHeight="1" x14ac:dyDescent="0.25">
      <c r="A1290" s="3">
        <v>1288</v>
      </c>
      <c r="B1290" s="8"/>
      <c r="C1290" s="13"/>
      <c r="D1290" s="10"/>
      <c r="E1290" s="10"/>
      <c r="F1290" s="10"/>
      <c r="G1290" s="7"/>
      <c r="H1290" s="16" t="str">
        <f t="shared" si="20"/>
        <v>(1288,,'',,,,),</v>
      </c>
    </row>
    <row r="1291" spans="1:8" ht="20.100000000000001" customHeight="1" x14ac:dyDescent="0.25">
      <c r="A1291" s="3">
        <v>1289</v>
      </c>
      <c r="B1291" s="8"/>
      <c r="C1291" s="13"/>
      <c r="D1291" s="10"/>
      <c r="E1291" s="10"/>
      <c r="F1291" s="10"/>
      <c r="G1291" s="7"/>
      <c r="H1291" s="16" t="str">
        <f t="shared" si="20"/>
        <v>(1289,,'',,,,),</v>
      </c>
    </row>
    <row r="1292" spans="1:8" ht="20.100000000000001" customHeight="1" x14ac:dyDescent="0.25">
      <c r="A1292" s="3">
        <v>1290</v>
      </c>
      <c r="B1292" s="8"/>
      <c r="C1292" s="13"/>
      <c r="D1292" s="10"/>
      <c r="E1292" s="10"/>
      <c r="F1292" s="10"/>
      <c r="G1292" s="7"/>
      <c r="H1292" s="16" t="str">
        <f t="shared" si="20"/>
        <v>(1290,,'',,,,),</v>
      </c>
    </row>
    <row r="1293" spans="1:8" ht="20.100000000000001" customHeight="1" x14ac:dyDescent="0.25">
      <c r="A1293" s="3">
        <v>1291</v>
      </c>
      <c r="B1293" s="8"/>
      <c r="C1293" s="13"/>
      <c r="D1293" s="10"/>
      <c r="E1293" s="10"/>
      <c r="F1293" s="10"/>
      <c r="G1293" s="7"/>
      <c r="H1293" s="16" t="str">
        <f t="shared" si="20"/>
        <v>(1291,,'',,,,),</v>
      </c>
    </row>
    <row r="1294" spans="1:8" ht="20.100000000000001" customHeight="1" x14ac:dyDescent="0.25">
      <c r="A1294" s="3">
        <v>1292</v>
      </c>
      <c r="B1294" s="8"/>
      <c r="C1294" s="13"/>
      <c r="D1294" s="10"/>
      <c r="E1294" s="10"/>
      <c r="F1294" s="10"/>
      <c r="G1294" s="7"/>
      <c r="H1294" s="16" t="str">
        <f t="shared" si="20"/>
        <v>(1292,,'',,,,),</v>
      </c>
    </row>
    <row r="1295" spans="1:8" ht="20.100000000000001" customHeight="1" x14ac:dyDescent="0.25">
      <c r="A1295" s="3">
        <v>1293</v>
      </c>
      <c r="B1295" s="8"/>
      <c r="C1295" s="13"/>
      <c r="D1295" s="10"/>
      <c r="E1295" s="10"/>
      <c r="F1295" s="10"/>
      <c r="G1295" s="7"/>
      <c r="H1295" s="16" t="str">
        <f t="shared" si="20"/>
        <v>(1293,,'',,,,),</v>
      </c>
    </row>
    <row r="1296" spans="1:8" ht="20.100000000000001" customHeight="1" x14ac:dyDescent="0.25">
      <c r="A1296" s="3">
        <v>1294</v>
      </c>
      <c r="B1296" s="8"/>
      <c r="C1296" s="13"/>
      <c r="D1296" s="10"/>
      <c r="E1296" s="10"/>
      <c r="F1296" s="10"/>
      <c r="G1296" s="7"/>
      <c r="H1296" s="16" t="str">
        <f t="shared" si="20"/>
        <v>(1294,,'',,,,),</v>
      </c>
    </row>
    <row r="1297" spans="1:8" ht="20.100000000000001" customHeight="1" x14ac:dyDescent="0.25">
      <c r="A1297" s="3">
        <v>1295</v>
      </c>
      <c r="B1297" s="8"/>
      <c r="C1297" s="13"/>
      <c r="D1297" s="10"/>
      <c r="E1297" s="10"/>
      <c r="F1297" s="10"/>
      <c r="G1297" s="7"/>
      <c r="H1297" s="16" t="str">
        <f t="shared" si="20"/>
        <v>(1295,,'',,,,),</v>
      </c>
    </row>
    <row r="1298" spans="1:8" ht="20.100000000000001" customHeight="1" x14ac:dyDescent="0.25">
      <c r="A1298" s="3">
        <v>1296</v>
      </c>
      <c r="B1298" s="8"/>
      <c r="C1298" s="13"/>
      <c r="D1298" s="10"/>
      <c r="E1298" s="10"/>
      <c r="F1298" s="10"/>
      <c r="G1298" s="7"/>
      <c r="H1298" s="16" t="str">
        <f t="shared" si="20"/>
        <v>(1296,,'',,,,),</v>
      </c>
    </row>
    <row r="1299" spans="1:8" ht="20.100000000000001" customHeight="1" x14ac:dyDescent="0.25">
      <c r="A1299" s="3">
        <v>1297</v>
      </c>
      <c r="B1299" s="8"/>
      <c r="C1299" s="13"/>
      <c r="D1299" s="10"/>
      <c r="E1299" s="10"/>
      <c r="F1299" s="10"/>
      <c r="G1299" s="7"/>
      <c r="H1299" s="16" t="str">
        <f t="shared" si="20"/>
        <v>(1297,,'',,,,),</v>
      </c>
    </row>
    <row r="1300" spans="1:8" ht="20.100000000000001" customHeight="1" x14ac:dyDescent="0.25">
      <c r="A1300" s="3">
        <v>1298</v>
      </c>
      <c r="B1300" s="8"/>
      <c r="C1300" s="13"/>
      <c r="D1300" s="10"/>
      <c r="E1300" s="10"/>
      <c r="F1300" s="10"/>
      <c r="G1300" s="7"/>
      <c r="H1300" s="16" t="str">
        <f t="shared" si="20"/>
        <v>(1298,,'',,,,),</v>
      </c>
    </row>
    <row r="1301" spans="1:8" ht="20.100000000000001" customHeight="1" x14ac:dyDescent="0.25">
      <c r="A1301" s="3">
        <v>1299</v>
      </c>
      <c r="B1301" s="8"/>
      <c r="C1301" s="13"/>
      <c r="D1301" s="10"/>
      <c r="E1301" s="10"/>
      <c r="F1301" s="10"/>
      <c r="G1301" s="7"/>
      <c r="H1301" s="16" t="str">
        <f t="shared" si="20"/>
        <v>(1299,,'',,,,),</v>
      </c>
    </row>
    <row r="1302" spans="1:8" ht="20.100000000000001" customHeight="1" x14ac:dyDescent="0.25">
      <c r="A1302" s="3">
        <v>1300</v>
      </c>
      <c r="B1302" s="8"/>
      <c r="C1302" s="13"/>
      <c r="D1302" s="10"/>
      <c r="E1302" s="10"/>
      <c r="F1302" s="10"/>
      <c r="G1302" s="7"/>
      <c r="H1302" s="16" t="str">
        <f t="shared" si="20"/>
        <v>(1300,,'',,,,),</v>
      </c>
    </row>
    <row r="1303" spans="1:8" ht="20.100000000000001" customHeight="1" x14ac:dyDescent="0.25">
      <c r="A1303" s="3">
        <v>1301</v>
      </c>
      <c r="B1303" s="8"/>
      <c r="C1303" s="13"/>
      <c r="D1303" s="10"/>
      <c r="E1303" s="10"/>
      <c r="F1303" s="10"/>
      <c r="G1303" s="7"/>
      <c r="H1303" s="16" t="str">
        <f t="shared" si="20"/>
        <v>(1301,,'',,,,),</v>
      </c>
    </row>
    <row r="1304" spans="1:8" ht="20.100000000000001" customHeight="1" x14ac:dyDescent="0.25">
      <c r="A1304" s="3">
        <v>1302</v>
      </c>
      <c r="B1304" s="8"/>
      <c r="C1304" s="13"/>
      <c r="D1304" s="10"/>
      <c r="E1304" s="10"/>
      <c r="F1304" s="10"/>
      <c r="G1304" s="7"/>
      <c r="H1304" s="16" t="str">
        <f t="shared" si="20"/>
        <v>(1302,,'',,,,),</v>
      </c>
    </row>
    <row r="1305" spans="1:8" ht="20.100000000000001" customHeight="1" x14ac:dyDescent="0.25">
      <c r="A1305" s="3">
        <v>1303</v>
      </c>
      <c r="B1305" s="8"/>
      <c r="C1305" s="13"/>
      <c r="D1305" s="10"/>
      <c r="E1305" s="10"/>
      <c r="F1305" s="10"/>
      <c r="G1305" s="7"/>
      <c r="H1305" s="16" t="str">
        <f t="shared" si="20"/>
        <v>(1303,,'',,,,),</v>
      </c>
    </row>
    <row r="1306" spans="1:8" ht="20.100000000000001" customHeight="1" x14ac:dyDescent="0.25">
      <c r="A1306" s="3">
        <v>1304</v>
      </c>
      <c r="B1306" s="8"/>
      <c r="C1306" s="13"/>
      <c r="D1306" s="10"/>
      <c r="E1306" s="10"/>
      <c r="F1306" s="10"/>
      <c r="G1306" s="7"/>
      <c r="H1306" s="16" t="str">
        <f t="shared" si="20"/>
        <v>(1304,,'',,,,),</v>
      </c>
    </row>
    <row r="1307" spans="1:8" ht="20.100000000000001" customHeight="1" x14ac:dyDescent="0.25">
      <c r="A1307" s="3">
        <v>1305</v>
      </c>
      <c r="B1307" s="8"/>
      <c r="C1307" s="13"/>
      <c r="D1307" s="10"/>
      <c r="E1307" s="10"/>
      <c r="F1307" s="10"/>
      <c r="G1307" s="7"/>
      <c r="H1307" s="16" t="str">
        <f t="shared" si="20"/>
        <v>(1305,,'',,,,),</v>
      </c>
    </row>
    <row r="1308" spans="1:8" ht="20.100000000000001" customHeight="1" x14ac:dyDescent="0.25">
      <c r="A1308" s="3">
        <v>1306</v>
      </c>
      <c r="B1308" s="8"/>
      <c r="C1308" s="13"/>
      <c r="D1308" s="10"/>
      <c r="E1308" s="10"/>
      <c r="F1308" s="10"/>
      <c r="G1308" s="7"/>
      <c r="H1308" s="16" t="str">
        <f t="shared" si="20"/>
        <v>(1306,,'',,,,),</v>
      </c>
    </row>
    <row r="1309" spans="1:8" ht="20.100000000000001" customHeight="1" x14ac:dyDescent="0.25">
      <c r="A1309" s="3">
        <v>1307</v>
      </c>
      <c r="B1309" s="8"/>
      <c r="C1309" s="13"/>
      <c r="D1309" s="10"/>
      <c r="E1309" s="10"/>
      <c r="F1309" s="10"/>
      <c r="G1309" s="7"/>
      <c r="H1309" s="16" t="str">
        <f t="shared" si="20"/>
        <v>(1307,,'',,,,),</v>
      </c>
    </row>
    <row r="1310" spans="1:8" ht="20.100000000000001" customHeight="1" x14ac:dyDescent="0.25">
      <c r="A1310" s="3">
        <v>1308</v>
      </c>
      <c r="B1310" s="8"/>
      <c r="C1310" s="13"/>
      <c r="D1310" s="10"/>
      <c r="E1310" s="10"/>
      <c r="F1310" s="10"/>
      <c r="G1310" s="7"/>
      <c r="H1310" s="16" t="str">
        <f t="shared" si="20"/>
        <v>(1308,,'',,,,),</v>
      </c>
    </row>
    <row r="1311" spans="1:8" ht="20.100000000000001" customHeight="1" x14ac:dyDescent="0.25">
      <c r="A1311" s="3">
        <v>1309</v>
      </c>
      <c r="B1311" s="8"/>
      <c r="C1311" s="13"/>
      <c r="D1311" s="10"/>
      <c r="E1311" s="10"/>
      <c r="F1311" s="10"/>
      <c r="G1311" s="7"/>
      <c r="H1311" s="16" t="str">
        <f t="shared" si="20"/>
        <v>(1309,,'',,,,),</v>
      </c>
    </row>
    <row r="1312" spans="1:8" ht="20.100000000000001" customHeight="1" x14ac:dyDescent="0.25">
      <c r="A1312" s="3">
        <v>1310</v>
      </c>
      <c r="B1312" s="8"/>
      <c r="C1312" s="13"/>
      <c r="D1312" s="10"/>
      <c r="E1312" s="10"/>
      <c r="F1312" s="10"/>
      <c r="G1312" s="7"/>
      <c r="H1312" s="16" t="str">
        <f t="shared" si="20"/>
        <v>(1310,,'',,,,),</v>
      </c>
    </row>
    <row r="1313" spans="1:8" ht="20.100000000000001" customHeight="1" x14ac:dyDescent="0.25">
      <c r="A1313" s="3">
        <v>1311</v>
      </c>
      <c r="B1313" s="8"/>
      <c r="C1313" s="13"/>
      <c r="D1313" s="10"/>
      <c r="E1313" s="10"/>
      <c r="F1313" s="10"/>
      <c r="G1313" s="7"/>
      <c r="H1313" s="16" t="str">
        <f t="shared" si="20"/>
        <v>(1311,,'',,,,),</v>
      </c>
    </row>
    <row r="1314" spans="1:8" ht="20.100000000000001" customHeight="1" x14ac:dyDescent="0.25">
      <c r="A1314" s="3">
        <v>1312</v>
      </c>
      <c r="B1314" s="8"/>
      <c r="C1314" s="13"/>
      <c r="D1314" s="10"/>
      <c r="E1314" s="10"/>
      <c r="F1314" s="10"/>
      <c r="G1314" s="7"/>
      <c r="H1314" s="16" t="str">
        <f t="shared" si="20"/>
        <v>(1312,,'',,,,),</v>
      </c>
    </row>
    <row r="1315" spans="1:8" ht="20.100000000000001" customHeight="1" x14ac:dyDescent="0.25">
      <c r="A1315" s="3">
        <v>1313</v>
      </c>
      <c r="B1315" s="8"/>
      <c r="C1315" s="13"/>
      <c r="D1315" s="10"/>
      <c r="E1315" s="10"/>
      <c r="F1315" s="10"/>
      <c r="G1315" s="7"/>
      <c r="H1315" s="16" t="str">
        <f t="shared" si="20"/>
        <v>(1313,,'',,,,),</v>
      </c>
    </row>
    <row r="1316" spans="1:8" ht="20.100000000000001" customHeight="1" x14ac:dyDescent="0.25">
      <c r="A1316" s="3">
        <v>1314</v>
      </c>
      <c r="B1316" s="8"/>
      <c r="C1316" s="13"/>
      <c r="D1316" s="10"/>
      <c r="E1316" s="10"/>
      <c r="F1316" s="10"/>
      <c r="G1316" s="7"/>
      <c r="H1316" s="16" t="str">
        <f t="shared" si="20"/>
        <v>(1314,,'',,,,),</v>
      </c>
    </row>
    <row r="1317" spans="1:8" ht="20.100000000000001" customHeight="1" x14ac:dyDescent="0.25">
      <c r="A1317" s="3">
        <v>1315</v>
      </c>
      <c r="B1317" s="8"/>
      <c r="C1317" s="13"/>
      <c r="D1317" s="10"/>
      <c r="E1317" s="10"/>
      <c r="F1317" s="10"/>
      <c r="G1317" s="7"/>
      <c r="H1317" s="16" t="str">
        <f t="shared" si="20"/>
        <v>(1315,,'',,,,),</v>
      </c>
    </row>
    <row r="1318" spans="1:8" ht="20.100000000000001" customHeight="1" x14ac:dyDescent="0.25">
      <c r="A1318" s="3">
        <v>1316</v>
      </c>
      <c r="B1318" s="8"/>
      <c r="C1318" s="13"/>
      <c r="D1318" s="10"/>
      <c r="E1318" s="10"/>
      <c r="F1318" s="10"/>
      <c r="G1318" s="7"/>
      <c r="H1318" s="16" t="str">
        <f t="shared" si="20"/>
        <v>(1316,,'',,,,),</v>
      </c>
    </row>
    <row r="1319" spans="1:8" ht="20.100000000000001" customHeight="1" x14ac:dyDescent="0.25">
      <c r="A1319" s="3">
        <v>1317</v>
      </c>
      <c r="B1319" s="8"/>
      <c r="C1319" s="13"/>
      <c r="D1319" s="10"/>
      <c r="E1319" s="10"/>
      <c r="F1319" s="10"/>
      <c r="G1319" s="7"/>
      <c r="H1319" s="16" t="str">
        <f t="shared" si="20"/>
        <v>(1317,,'',,,,),</v>
      </c>
    </row>
    <row r="1320" spans="1:8" ht="20.100000000000001" customHeight="1" x14ac:dyDescent="0.25">
      <c r="A1320" s="3">
        <v>1318</v>
      </c>
      <c r="B1320" s="8"/>
      <c r="C1320" s="13"/>
      <c r="D1320" s="10"/>
      <c r="E1320" s="10"/>
      <c r="F1320" s="10"/>
      <c r="G1320" s="7"/>
      <c r="H1320" s="16" t="str">
        <f t="shared" si="20"/>
        <v>(1318,,'',,,,),</v>
      </c>
    </row>
    <row r="1321" spans="1:8" ht="20.100000000000001" customHeight="1" x14ac:dyDescent="0.25">
      <c r="A1321" s="3">
        <v>1319</v>
      </c>
      <c r="B1321" s="8"/>
      <c r="C1321" s="13"/>
      <c r="D1321" s="10"/>
      <c r="E1321" s="10"/>
      <c r="F1321" s="10"/>
      <c r="G1321" s="7"/>
      <c r="H1321" s="16" t="str">
        <f t="shared" si="20"/>
        <v>(1319,,'',,,,),</v>
      </c>
    </row>
    <row r="1322" spans="1:8" ht="20.100000000000001" customHeight="1" x14ac:dyDescent="0.25">
      <c r="A1322" s="3">
        <v>1320</v>
      </c>
      <c r="B1322" s="8"/>
      <c r="C1322" s="13"/>
      <c r="D1322" s="10"/>
      <c r="E1322" s="10"/>
      <c r="F1322" s="10"/>
      <c r="G1322" s="7"/>
      <c r="H1322" s="16" t="str">
        <f t="shared" si="20"/>
        <v>(1320,,'',,,,),</v>
      </c>
    </row>
    <row r="1323" spans="1:8" ht="20.100000000000001" customHeight="1" x14ac:dyDescent="0.25">
      <c r="A1323" s="3">
        <v>1321</v>
      </c>
      <c r="B1323" s="8"/>
      <c r="C1323" s="13"/>
      <c r="D1323" s="10"/>
      <c r="E1323" s="10"/>
      <c r="F1323" s="10"/>
      <c r="G1323" s="7"/>
      <c r="H1323" s="16" t="str">
        <f t="shared" si="20"/>
        <v>(1321,,'',,,,),</v>
      </c>
    </row>
    <row r="1324" spans="1:8" ht="20.100000000000001" customHeight="1" x14ac:dyDescent="0.25">
      <c r="A1324" s="3">
        <v>1322</v>
      </c>
      <c r="B1324" s="8"/>
      <c r="C1324" s="13"/>
      <c r="D1324" s="10"/>
      <c r="E1324" s="10"/>
      <c r="F1324" s="10"/>
      <c r="G1324" s="7"/>
      <c r="H1324" s="16" t="str">
        <f t="shared" si="20"/>
        <v>(1322,,'',,,,),</v>
      </c>
    </row>
    <row r="1325" spans="1:8" ht="20.100000000000001" customHeight="1" x14ac:dyDescent="0.25">
      <c r="A1325" s="3">
        <v>1323</v>
      </c>
      <c r="B1325" s="8"/>
      <c r="C1325" s="13"/>
      <c r="D1325" s="10"/>
      <c r="E1325" s="10"/>
      <c r="F1325" s="10"/>
      <c r="G1325" s="7"/>
      <c r="H1325" s="16" t="str">
        <f t="shared" si="20"/>
        <v>(1323,,'',,,,),</v>
      </c>
    </row>
    <row r="1326" spans="1:8" ht="20.100000000000001" customHeight="1" x14ac:dyDescent="0.25">
      <c r="A1326" s="3">
        <v>1324</v>
      </c>
      <c r="B1326" s="8"/>
      <c r="C1326" s="13"/>
      <c r="D1326" s="10"/>
      <c r="E1326" s="10"/>
      <c r="F1326" s="10"/>
      <c r="G1326" s="7"/>
      <c r="H1326" s="16" t="str">
        <f t="shared" si="20"/>
        <v>(1324,,'',,,,),</v>
      </c>
    </row>
    <row r="1327" spans="1:8" ht="20.100000000000001" customHeight="1" x14ac:dyDescent="0.25">
      <c r="A1327" s="3">
        <v>1325</v>
      </c>
      <c r="B1327" s="8"/>
      <c r="C1327" s="13"/>
      <c r="D1327" s="10"/>
      <c r="E1327" s="10"/>
      <c r="F1327" s="10"/>
      <c r="G1327" s="7"/>
      <c r="H1327" s="16" t="str">
        <f t="shared" si="20"/>
        <v>(1325,,'',,,,),</v>
      </c>
    </row>
    <row r="1328" spans="1:8" ht="20.100000000000001" customHeight="1" x14ac:dyDescent="0.25">
      <c r="A1328" s="3">
        <v>1326</v>
      </c>
      <c r="B1328" s="8"/>
      <c r="C1328" s="13"/>
      <c r="D1328" s="10"/>
      <c r="E1328" s="10"/>
      <c r="F1328" s="10"/>
      <c r="G1328" s="7"/>
      <c r="H1328" s="16" t="str">
        <f t="shared" si="20"/>
        <v>(1326,,'',,,,),</v>
      </c>
    </row>
    <row r="1329" spans="1:8" ht="20.100000000000001" customHeight="1" x14ac:dyDescent="0.25">
      <c r="A1329" s="3">
        <v>1327</v>
      </c>
      <c r="B1329" s="8"/>
      <c r="C1329" s="13"/>
      <c r="D1329" s="10"/>
      <c r="E1329" s="10"/>
      <c r="F1329" s="10"/>
      <c r="G1329" s="7"/>
      <c r="H1329" s="16" t="str">
        <f t="shared" si="20"/>
        <v>(1327,,'',,,,),</v>
      </c>
    </row>
    <row r="1330" spans="1:8" ht="20.100000000000001" customHeight="1" x14ac:dyDescent="0.25">
      <c r="A1330" s="3">
        <v>1328</v>
      </c>
      <c r="B1330" s="8"/>
      <c r="C1330" s="13"/>
      <c r="D1330" s="10"/>
      <c r="E1330" s="10"/>
      <c r="F1330" s="10"/>
      <c r="G1330" s="7"/>
      <c r="H1330" s="16" t="str">
        <f t="shared" si="20"/>
        <v>(1328,,'',,,,),</v>
      </c>
    </row>
    <row r="1331" spans="1:8" ht="20.100000000000001" customHeight="1" x14ac:dyDescent="0.25">
      <c r="A1331" s="3">
        <v>1329</v>
      </c>
      <c r="B1331" s="8"/>
      <c r="C1331" s="13"/>
      <c r="D1331" s="10"/>
      <c r="E1331" s="10"/>
      <c r="F1331" s="10"/>
      <c r="G1331" s="7"/>
      <c r="H1331" s="16" t="str">
        <f t="shared" si="20"/>
        <v>(1329,,'',,,,),</v>
      </c>
    </row>
    <row r="1332" spans="1:8" ht="20.100000000000001" customHeight="1" x14ac:dyDescent="0.25">
      <c r="A1332" s="3">
        <v>1330</v>
      </c>
      <c r="B1332" s="8"/>
      <c r="C1332" s="13"/>
      <c r="D1332" s="10"/>
      <c r="E1332" s="10"/>
      <c r="F1332" s="10"/>
      <c r="G1332" s="7"/>
      <c r="H1332" s="16" t="str">
        <f t="shared" si="20"/>
        <v>(1330,,'',,,,),</v>
      </c>
    </row>
    <row r="1333" spans="1:8" ht="20.100000000000001" customHeight="1" x14ac:dyDescent="0.25">
      <c r="A1333" s="3">
        <v>1331</v>
      </c>
      <c r="B1333" s="8"/>
      <c r="C1333" s="13"/>
      <c r="D1333" s="10"/>
      <c r="E1333" s="10"/>
      <c r="F1333" s="10"/>
      <c r="G1333" s="7"/>
      <c r="H1333" s="16" t="str">
        <f t="shared" si="20"/>
        <v>(1331,,'',,,,),</v>
      </c>
    </row>
    <row r="1334" spans="1:8" ht="20.100000000000001" customHeight="1" x14ac:dyDescent="0.25">
      <c r="A1334" s="3">
        <v>1332</v>
      </c>
      <c r="B1334" s="8"/>
      <c r="C1334" s="13"/>
      <c r="D1334" s="10"/>
      <c r="E1334" s="10"/>
      <c r="F1334" s="10"/>
      <c r="G1334" s="7"/>
      <c r="H1334" s="16" t="str">
        <f t="shared" si="20"/>
        <v>(1332,,'',,,,),</v>
      </c>
    </row>
    <row r="1335" spans="1:8" ht="20.100000000000001" customHeight="1" x14ac:dyDescent="0.25">
      <c r="A1335" s="3">
        <v>1333</v>
      </c>
      <c r="B1335" s="8"/>
      <c r="C1335" s="13"/>
      <c r="D1335" s="10"/>
      <c r="E1335" s="10"/>
      <c r="F1335" s="10"/>
      <c r="G1335" s="7"/>
      <c r="H1335" s="16" t="str">
        <f t="shared" si="20"/>
        <v>(1333,,'',,,,),</v>
      </c>
    </row>
    <row r="1336" spans="1:8" ht="20.100000000000001" customHeight="1" x14ac:dyDescent="0.25">
      <c r="A1336" s="3">
        <v>1334</v>
      </c>
      <c r="B1336" s="8"/>
      <c r="C1336" s="13"/>
      <c r="D1336" s="10"/>
      <c r="E1336" s="10"/>
      <c r="F1336" s="10"/>
      <c r="G1336" s="7"/>
      <c r="H1336" s="16" t="str">
        <f t="shared" si="20"/>
        <v>(1334,,'',,,,),</v>
      </c>
    </row>
    <row r="1337" spans="1:8" ht="20.100000000000001" customHeight="1" x14ac:dyDescent="0.25">
      <c r="A1337" s="3">
        <v>1335</v>
      </c>
      <c r="B1337" s="8"/>
      <c r="C1337" s="13"/>
      <c r="D1337" s="10"/>
      <c r="E1337" s="10"/>
      <c r="F1337" s="10"/>
      <c r="G1337" s="7"/>
      <c r="H1337" s="16" t="str">
        <f t="shared" si="20"/>
        <v>(1335,,'',,,,),</v>
      </c>
    </row>
    <row r="1338" spans="1:8" ht="20.100000000000001" customHeight="1" x14ac:dyDescent="0.25">
      <c r="A1338" s="3">
        <v>1336</v>
      </c>
      <c r="B1338" s="8"/>
      <c r="C1338" s="13"/>
      <c r="D1338" s="10"/>
      <c r="E1338" s="10"/>
      <c r="F1338" s="10"/>
      <c r="G1338" s="7"/>
      <c r="H1338" s="16" t="str">
        <f t="shared" si="20"/>
        <v>(1336,,'',,,,),</v>
      </c>
    </row>
    <row r="1339" spans="1:8" ht="20.100000000000001" customHeight="1" x14ac:dyDescent="0.25">
      <c r="A1339" s="3">
        <v>1337</v>
      </c>
      <c r="B1339" s="8"/>
      <c r="C1339" s="13"/>
      <c r="D1339" s="10"/>
      <c r="E1339" s="10"/>
      <c r="F1339" s="10"/>
      <c r="G1339" s="7"/>
      <c r="H1339" s="16" t="str">
        <f t="shared" si="20"/>
        <v>(1337,,'',,,,),</v>
      </c>
    </row>
    <row r="1340" spans="1:8" ht="20.100000000000001" customHeight="1" x14ac:dyDescent="0.25">
      <c r="A1340" s="3">
        <v>1338</v>
      </c>
      <c r="B1340" s="8"/>
      <c r="C1340" s="13"/>
      <c r="D1340" s="10"/>
      <c r="E1340" s="10"/>
      <c r="F1340" s="10"/>
      <c r="G1340" s="7"/>
      <c r="H1340" s="16" t="str">
        <f t="shared" si="20"/>
        <v>(1338,,'',,,,),</v>
      </c>
    </row>
    <row r="1341" spans="1:8" ht="20.100000000000001" customHeight="1" x14ac:dyDescent="0.25">
      <c r="A1341" s="3">
        <v>1339</v>
      </c>
      <c r="B1341" s="8"/>
      <c r="C1341" s="13"/>
      <c r="D1341" s="10"/>
      <c r="E1341" s="10"/>
      <c r="F1341" s="10"/>
      <c r="G1341" s="7"/>
      <c r="H1341" s="16" t="str">
        <f t="shared" si="20"/>
        <v>(1339,,'',,,,),</v>
      </c>
    </row>
    <row r="1342" spans="1:8" ht="20.100000000000001" customHeight="1" x14ac:dyDescent="0.25">
      <c r="A1342" s="3">
        <v>1340</v>
      </c>
      <c r="B1342" s="8"/>
      <c r="C1342" s="13"/>
      <c r="D1342" s="10"/>
      <c r="E1342" s="10"/>
      <c r="F1342" s="10"/>
      <c r="G1342" s="7"/>
      <c r="H1342" s="16" t="str">
        <f t="shared" si="20"/>
        <v>(1340,,'',,,,),</v>
      </c>
    </row>
    <row r="1343" spans="1:8" ht="20.100000000000001" customHeight="1" x14ac:dyDescent="0.25">
      <c r="A1343" s="3">
        <v>1341</v>
      </c>
      <c r="B1343" s="8"/>
      <c r="C1343" s="13"/>
      <c r="D1343" s="10"/>
      <c r="E1343" s="10"/>
      <c r="F1343" s="10"/>
      <c r="G1343" s="7"/>
      <c r="H1343" s="16" t="str">
        <f t="shared" si="20"/>
        <v>(1341,,'',,,,),</v>
      </c>
    </row>
    <row r="1344" spans="1:8" ht="20.100000000000001" customHeight="1" x14ac:dyDescent="0.25">
      <c r="A1344" s="3">
        <v>1342</v>
      </c>
      <c r="B1344" s="8"/>
      <c r="C1344" s="13"/>
      <c r="D1344" s="10"/>
      <c r="E1344" s="10"/>
      <c r="F1344" s="10"/>
      <c r="G1344" s="7"/>
      <c r="H1344" s="16" t="str">
        <f t="shared" si="20"/>
        <v>(1342,,'',,,,),</v>
      </c>
    </row>
    <row r="1345" spans="1:8" ht="20.100000000000001" customHeight="1" x14ac:dyDescent="0.25">
      <c r="A1345" s="3">
        <v>1343</v>
      </c>
      <c r="B1345" s="8"/>
      <c r="C1345" s="13"/>
      <c r="D1345" s="10"/>
      <c r="E1345" s="10"/>
      <c r="F1345" s="10"/>
      <c r="G1345" s="7"/>
      <c r="H1345" s="16" t="str">
        <f t="shared" si="20"/>
        <v>(1343,,'',,,,),</v>
      </c>
    </row>
    <row r="1346" spans="1:8" ht="20.100000000000001" customHeight="1" x14ac:dyDescent="0.25">
      <c r="A1346" s="3">
        <v>1344</v>
      </c>
      <c r="B1346" s="8"/>
      <c r="C1346" s="13"/>
      <c r="D1346" s="10"/>
      <c r="E1346" s="10"/>
      <c r="F1346" s="10"/>
      <c r="G1346" s="7"/>
      <c r="H1346" s="16" t="str">
        <f t="shared" si="20"/>
        <v>(1344,,'',,,,),</v>
      </c>
    </row>
    <row r="1347" spans="1:8" ht="20.100000000000001" customHeight="1" x14ac:dyDescent="0.25">
      <c r="A1347" s="3">
        <v>1345</v>
      </c>
      <c r="B1347" s="8"/>
      <c r="C1347" s="13"/>
      <c r="D1347" s="10"/>
      <c r="E1347" s="10"/>
      <c r="F1347" s="10"/>
      <c r="G1347" s="7"/>
      <c r="H1347" s="16" t="str">
        <f t="shared" si="20"/>
        <v>(1345,,'',,,,),</v>
      </c>
    </row>
    <row r="1348" spans="1:8" ht="20.100000000000001" customHeight="1" x14ac:dyDescent="0.25">
      <c r="A1348" s="3">
        <v>1346</v>
      </c>
      <c r="B1348" s="8"/>
      <c r="C1348" s="13"/>
      <c r="D1348" s="10"/>
      <c r="E1348" s="10"/>
      <c r="F1348" s="10"/>
      <c r="G1348" s="7"/>
      <c r="H1348" s="16" t="str">
        <f t="shared" ref="H1348:H1411" si="21">CONCATENATE("(",A1348,",",B1348,",'",C1348,"',",D1348,",",E1348,",",F1348,",",G1348,"),")</f>
        <v>(1346,,'',,,,),</v>
      </c>
    </row>
    <row r="1349" spans="1:8" ht="20.100000000000001" customHeight="1" x14ac:dyDescent="0.25">
      <c r="A1349" s="3">
        <v>1347</v>
      </c>
      <c r="B1349" s="8"/>
      <c r="C1349" s="13"/>
      <c r="D1349" s="10"/>
      <c r="E1349" s="10"/>
      <c r="F1349" s="10"/>
      <c r="G1349" s="7"/>
      <c r="H1349" s="16" t="str">
        <f t="shared" si="21"/>
        <v>(1347,,'',,,,),</v>
      </c>
    </row>
    <row r="1350" spans="1:8" ht="20.100000000000001" customHeight="1" x14ac:dyDescent="0.25">
      <c r="A1350" s="3">
        <v>1348</v>
      </c>
      <c r="B1350" s="8"/>
      <c r="C1350" s="13"/>
      <c r="D1350" s="10"/>
      <c r="E1350" s="10"/>
      <c r="F1350" s="10"/>
      <c r="G1350" s="7"/>
      <c r="H1350" s="16" t="str">
        <f t="shared" si="21"/>
        <v>(1348,,'',,,,),</v>
      </c>
    </row>
    <row r="1351" spans="1:8" ht="20.100000000000001" customHeight="1" x14ac:dyDescent="0.25">
      <c r="A1351" s="3">
        <v>1349</v>
      </c>
      <c r="B1351" s="8"/>
      <c r="C1351" s="13"/>
      <c r="D1351" s="10"/>
      <c r="E1351" s="10"/>
      <c r="F1351" s="10"/>
      <c r="G1351" s="7"/>
      <c r="H1351" s="16" t="str">
        <f t="shared" si="21"/>
        <v>(1349,,'',,,,),</v>
      </c>
    </row>
    <row r="1352" spans="1:8" ht="20.100000000000001" customHeight="1" x14ac:dyDescent="0.25">
      <c r="A1352" s="3">
        <v>1350</v>
      </c>
      <c r="B1352" s="8"/>
      <c r="C1352" s="13"/>
      <c r="D1352" s="10"/>
      <c r="E1352" s="10"/>
      <c r="F1352" s="10"/>
      <c r="G1352" s="7"/>
      <c r="H1352" s="16" t="str">
        <f t="shared" si="21"/>
        <v>(1350,,'',,,,),</v>
      </c>
    </row>
    <row r="1353" spans="1:8" ht="20.100000000000001" customHeight="1" x14ac:dyDescent="0.25">
      <c r="A1353" s="3">
        <v>1351</v>
      </c>
      <c r="B1353" s="8"/>
      <c r="C1353" s="13"/>
      <c r="D1353" s="10"/>
      <c r="E1353" s="10"/>
      <c r="F1353" s="10"/>
      <c r="G1353" s="7"/>
      <c r="H1353" s="16" t="str">
        <f t="shared" si="21"/>
        <v>(1351,,'',,,,),</v>
      </c>
    </row>
    <row r="1354" spans="1:8" ht="20.100000000000001" customHeight="1" x14ac:dyDescent="0.25">
      <c r="A1354" s="3">
        <v>1352</v>
      </c>
      <c r="B1354" s="8"/>
      <c r="C1354" s="13"/>
      <c r="D1354" s="10"/>
      <c r="E1354" s="10"/>
      <c r="F1354" s="10"/>
      <c r="G1354" s="7"/>
      <c r="H1354" s="16" t="str">
        <f t="shared" si="21"/>
        <v>(1352,,'',,,,),</v>
      </c>
    </row>
    <row r="1355" spans="1:8" ht="20.100000000000001" customHeight="1" x14ac:dyDescent="0.25">
      <c r="A1355" s="3">
        <v>1353</v>
      </c>
      <c r="B1355" s="8"/>
      <c r="C1355" s="13"/>
      <c r="D1355" s="10"/>
      <c r="E1355" s="10"/>
      <c r="F1355" s="10"/>
      <c r="G1355" s="7"/>
      <c r="H1355" s="16" t="str">
        <f t="shared" si="21"/>
        <v>(1353,,'',,,,),</v>
      </c>
    </row>
    <row r="1356" spans="1:8" ht="20.100000000000001" customHeight="1" x14ac:dyDescent="0.25">
      <c r="A1356" s="3">
        <v>1354</v>
      </c>
      <c r="B1356" s="8"/>
      <c r="C1356" s="13"/>
      <c r="D1356" s="10"/>
      <c r="E1356" s="10"/>
      <c r="F1356" s="10"/>
      <c r="G1356" s="7"/>
      <c r="H1356" s="16" t="str">
        <f t="shared" si="21"/>
        <v>(1354,,'',,,,),</v>
      </c>
    </row>
    <row r="1357" spans="1:8" ht="20.100000000000001" customHeight="1" x14ac:dyDescent="0.25">
      <c r="A1357" s="3">
        <v>1355</v>
      </c>
      <c r="B1357" s="8"/>
      <c r="C1357" s="13"/>
      <c r="D1357" s="10"/>
      <c r="E1357" s="10"/>
      <c r="F1357" s="10"/>
      <c r="G1357" s="7"/>
      <c r="H1357" s="16" t="str">
        <f t="shared" si="21"/>
        <v>(1355,,'',,,,),</v>
      </c>
    </row>
    <row r="1358" spans="1:8" ht="20.100000000000001" customHeight="1" x14ac:dyDescent="0.25">
      <c r="A1358" s="3">
        <v>1356</v>
      </c>
      <c r="B1358" s="8"/>
      <c r="C1358" s="13"/>
      <c r="D1358" s="10"/>
      <c r="E1358" s="10"/>
      <c r="F1358" s="10"/>
      <c r="G1358" s="7"/>
      <c r="H1358" s="16" t="str">
        <f t="shared" si="21"/>
        <v>(1356,,'',,,,),</v>
      </c>
    </row>
    <row r="1359" spans="1:8" ht="20.100000000000001" customHeight="1" x14ac:dyDescent="0.25">
      <c r="A1359" s="3">
        <v>1357</v>
      </c>
      <c r="B1359" s="8"/>
      <c r="C1359" s="13"/>
      <c r="D1359" s="10"/>
      <c r="E1359" s="10"/>
      <c r="F1359" s="10"/>
      <c r="G1359" s="7"/>
      <c r="H1359" s="16" t="str">
        <f t="shared" si="21"/>
        <v>(1357,,'',,,,),</v>
      </c>
    </row>
    <row r="1360" spans="1:8" ht="20.100000000000001" customHeight="1" x14ac:dyDescent="0.25">
      <c r="A1360" s="3">
        <v>1358</v>
      </c>
      <c r="B1360" s="8"/>
      <c r="C1360" s="13"/>
      <c r="D1360" s="10"/>
      <c r="E1360" s="10"/>
      <c r="F1360" s="10"/>
      <c r="G1360" s="7"/>
      <c r="H1360" s="16" t="str">
        <f t="shared" si="21"/>
        <v>(1358,,'',,,,),</v>
      </c>
    </row>
    <row r="1361" spans="1:8" ht="20.100000000000001" customHeight="1" x14ac:dyDescent="0.25">
      <c r="A1361" s="3">
        <v>1359</v>
      </c>
      <c r="B1361" s="8"/>
      <c r="C1361" s="13"/>
      <c r="D1361" s="10"/>
      <c r="E1361" s="10"/>
      <c r="F1361" s="10"/>
      <c r="G1361" s="7"/>
      <c r="H1361" s="16" t="str">
        <f t="shared" si="21"/>
        <v>(1359,,'',,,,),</v>
      </c>
    </row>
    <row r="1362" spans="1:8" ht="20.100000000000001" customHeight="1" x14ac:dyDescent="0.25">
      <c r="A1362" s="3">
        <v>1360</v>
      </c>
      <c r="B1362" s="8"/>
      <c r="C1362" s="13"/>
      <c r="D1362" s="10"/>
      <c r="E1362" s="10"/>
      <c r="F1362" s="10"/>
      <c r="G1362" s="7"/>
      <c r="H1362" s="16" t="str">
        <f t="shared" si="21"/>
        <v>(1360,,'',,,,),</v>
      </c>
    </row>
    <row r="1363" spans="1:8" ht="20.100000000000001" customHeight="1" x14ac:dyDescent="0.25">
      <c r="A1363" s="3">
        <v>1361</v>
      </c>
      <c r="B1363" s="8"/>
      <c r="C1363" s="13"/>
      <c r="D1363" s="10"/>
      <c r="E1363" s="10"/>
      <c r="F1363" s="10"/>
      <c r="G1363" s="7"/>
      <c r="H1363" s="16" t="str">
        <f t="shared" si="21"/>
        <v>(1361,,'',,,,),</v>
      </c>
    </row>
    <row r="1364" spans="1:8" ht="20.100000000000001" customHeight="1" x14ac:dyDescent="0.25">
      <c r="A1364" s="3">
        <v>1362</v>
      </c>
      <c r="B1364" s="8"/>
      <c r="C1364" s="13"/>
      <c r="D1364" s="10"/>
      <c r="E1364" s="10"/>
      <c r="F1364" s="10"/>
      <c r="G1364" s="7"/>
      <c r="H1364" s="16" t="str">
        <f t="shared" si="21"/>
        <v>(1362,,'',,,,),</v>
      </c>
    </row>
    <row r="1365" spans="1:8" ht="20.100000000000001" customHeight="1" x14ac:dyDescent="0.25">
      <c r="A1365" s="3">
        <v>1363</v>
      </c>
      <c r="B1365" s="8"/>
      <c r="C1365" s="13"/>
      <c r="D1365" s="10"/>
      <c r="E1365" s="10"/>
      <c r="F1365" s="10"/>
      <c r="G1365" s="7"/>
      <c r="H1365" s="16" t="str">
        <f t="shared" si="21"/>
        <v>(1363,,'',,,,),</v>
      </c>
    </row>
    <row r="1366" spans="1:8" ht="20.100000000000001" customHeight="1" x14ac:dyDescent="0.25">
      <c r="A1366" s="3">
        <v>1364</v>
      </c>
      <c r="B1366" s="8"/>
      <c r="C1366" s="13"/>
      <c r="D1366" s="10"/>
      <c r="E1366" s="10"/>
      <c r="F1366" s="10"/>
      <c r="G1366" s="7"/>
      <c r="H1366" s="16" t="str">
        <f t="shared" si="21"/>
        <v>(1364,,'',,,,),</v>
      </c>
    </row>
    <row r="1367" spans="1:8" ht="20.100000000000001" customHeight="1" x14ac:dyDescent="0.25">
      <c r="A1367" s="3">
        <v>1365</v>
      </c>
      <c r="B1367" s="8"/>
      <c r="C1367" s="13"/>
      <c r="D1367" s="10"/>
      <c r="E1367" s="10"/>
      <c r="F1367" s="10"/>
      <c r="G1367" s="7"/>
      <c r="H1367" s="16" t="str">
        <f t="shared" si="21"/>
        <v>(1365,,'',,,,),</v>
      </c>
    </row>
    <row r="1368" spans="1:8" ht="20.100000000000001" customHeight="1" x14ac:dyDescent="0.25">
      <c r="A1368" s="3">
        <v>1366</v>
      </c>
      <c r="B1368" s="8"/>
      <c r="C1368" s="13"/>
      <c r="D1368" s="10"/>
      <c r="E1368" s="10"/>
      <c r="F1368" s="10"/>
      <c r="G1368" s="7"/>
      <c r="H1368" s="16" t="str">
        <f t="shared" si="21"/>
        <v>(1366,,'',,,,),</v>
      </c>
    </row>
    <row r="1369" spans="1:8" ht="20.100000000000001" customHeight="1" x14ac:dyDescent="0.25">
      <c r="A1369" s="3">
        <v>1367</v>
      </c>
      <c r="B1369" s="8"/>
      <c r="C1369" s="13"/>
      <c r="D1369" s="10"/>
      <c r="E1369" s="10"/>
      <c r="F1369" s="10"/>
      <c r="G1369" s="7"/>
      <c r="H1369" s="16" t="str">
        <f t="shared" si="21"/>
        <v>(1367,,'',,,,),</v>
      </c>
    </row>
    <row r="1370" spans="1:8" ht="20.100000000000001" customHeight="1" x14ac:dyDescent="0.25">
      <c r="A1370" s="3">
        <v>1368</v>
      </c>
      <c r="B1370" s="8"/>
      <c r="C1370" s="13"/>
      <c r="D1370" s="10"/>
      <c r="E1370" s="10"/>
      <c r="F1370" s="10"/>
      <c r="G1370" s="7"/>
      <c r="H1370" s="16" t="str">
        <f t="shared" si="21"/>
        <v>(1368,,'',,,,),</v>
      </c>
    </row>
    <row r="1371" spans="1:8" ht="20.100000000000001" customHeight="1" x14ac:dyDescent="0.25">
      <c r="A1371" s="3">
        <v>1369</v>
      </c>
      <c r="B1371" s="8"/>
      <c r="C1371" s="13"/>
      <c r="D1371" s="10"/>
      <c r="E1371" s="10"/>
      <c r="F1371" s="10"/>
      <c r="G1371" s="7"/>
      <c r="H1371" s="16" t="str">
        <f t="shared" si="21"/>
        <v>(1369,,'',,,,),</v>
      </c>
    </row>
    <row r="1372" spans="1:8" ht="20.100000000000001" customHeight="1" x14ac:dyDescent="0.25">
      <c r="A1372" s="3">
        <v>1370</v>
      </c>
      <c r="B1372" s="8"/>
      <c r="C1372" s="13"/>
      <c r="D1372" s="10"/>
      <c r="E1372" s="10"/>
      <c r="F1372" s="10"/>
      <c r="G1372" s="7"/>
      <c r="H1372" s="16" t="str">
        <f t="shared" si="21"/>
        <v>(1370,,'',,,,),</v>
      </c>
    </row>
    <row r="1373" spans="1:8" ht="20.100000000000001" customHeight="1" x14ac:dyDescent="0.25">
      <c r="A1373" s="3">
        <v>1371</v>
      </c>
      <c r="B1373" s="8"/>
      <c r="C1373" s="13"/>
      <c r="D1373" s="10"/>
      <c r="E1373" s="10"/>
      <c r="F1373" s="10"/>
      <c r="G1373" s="7"/>
      <c r="H1373" s="16" t="str">
        <f t="shared" si="21"/>
        <v>(1371,,'',,,,),</v>
      </c>
    </row>
    <row r="1374" spans="1:8" ht="20.100000000000001" customHeight="1" x14ac:dyDescent="0.25">
      <c r="A1374" s="3">
        <v>1372</v>
      </c>
      <c r="B1374" s="8"/>
      <c r="C1374" s="13"/>
      <c r="D1374" s="10"/>
      <c r="E1374" s="10"/>
      <c r="F1374" s="10"/>
      <c r="G1374" s="7"/>
      <c r="H1374" s="16" t="str">
        <f t="shared" si="21"/>
        <v>(1372,,'',,,,),</v>
      </c>
    </row>
    <row r="1375" spans="1:8" ht="20.100000000000001" customHeight="1" x14ac:dyDescent="0.25">
      <c r="A1375" s="3">
        <v>1373</v>
      </c>
      <c r="B1375" s="8"/>
      <c r="C1375" s="13"/>
      <c r="D1375" s="10"/>
      <c r="E1375" s="10"/>
      <c r="F1375" s="10"/>
      <c r="G1375" s="7"/>
      <c r="H1375" s="16" t="str">
        <f t="shared" si="21"/>
        <v>(1373,,'',,,,),</v>
      </c>
    </row>
    <row r="1376" spans="1:8" ht="20.100000000000001" customHeight="1" x14ac:dyDescent="0.25">
      <c r="A1376" s="3">
        <v>1374</v>
      </c>
      <c r="B1376" s="8"/>
      <c r="C1376" s="13"/>
      <c r="D1376" s="10"/>
      <c r="E1376" s="10"/>
      <c r="F1376" s="10"/>
      <c r="G1376" s="7"/>
      <c r="H1376" s="16" t="str">
        <f t="shared" si="21"/>
        <v>(1374,,'',,,,),</v>
      </c>
    </row>
    <row r="1377" spans="1:8" ht="20.100000000000001" customHeight="1" x14ac:dyDescent="0.25">
      <c r="A1377" s="3">
        <v>1375</v>
      </c>
      <c r="B1377" s="8"/>
      <c r="C1377" s="13"/>
      <c r="D1377" s="10"/>
      <c r="E1377" s="10"/>
      <c r="F1377" s="10"/>
      <c r="G1377" s="7"/>
      <c r="H1377" s="16" t="str">
        <f t="shared" si="21"/>
        <v>(1375,,'',,,,),</v>
      </c>
    </row>
    <row r="1378" spans="1:8" ht="20.100000000000001" customHeight="1" x14ac:dyDescent="0.25">
      <c r="A1378" s="3">
        <v>1376</v>
      </c>
      <c r="B1378" s="8"/>
      <c r="C1378" s="13"/>
      <c r="D1378" s="10"/>
      <c r="E1378" s="10"/>
      <c r="F1378" s="10"/>
      <c r="G1378" s="7"/>
      <c r="H1378" s="16" t="str">
        <f t="shared" si="21"/>
        <v>(1376,,'',,,,),</v>
      </c>
    </row>
    <row r="1379" spans="1:8" ht="20.100000000000001" customHeight="1" x14ac:dyDescent="0.25">
      <c r="A1379" s="3">
        <v>1377</v>
      </c>
      <c r="B1379" s="8"/>
      <c r="C1379" s="13"/>
      <c r="D1379" s="10"/>
      <c r="E1379" s="10"/>
      <c r="F1379" s="10"/>
      <c r="G1379" s="7"/>
      <c r="H1379" s="16" t="str">
        <f t="shared" si="21"/>
        <v>(1377,,'',,,,),</v>
      </c>
    </row>
    <row r="1380" spans="1:8" ht="20.100000000000001" customHeight="1" x14ac:dyDescent="0.25">
      <c r="A1380" s="3">
        <v>1378</v>
      </c>
      <c r="B1380" s="8"/>
      <c r="C1380" s="13"/>
      <c r="D1380" s="10"/>
      <c r="E1380" s="10"/>
      <c r="F1380" s="10"/>
      <c r="G1380" s="7"/>
      <c r="H1380" s="16" t="str">
        <f t="shared" si="21"/>
        <v>(1378,,'',,,,),</v>
      </c>
    </row>
    <row r="1381" spans="1:8" ht="20.100000000000001" customHeight="1" x14ac:dyDescent="0.25">
      <c r="A1381" s="3">
        <v>1379</v>
      </c>
      <c r="B1381" s="8"/>
      <c r="C1381" s="13"/>
      <c r="D1381" s="10"/>
      <c r="E1381" s="10"/>
      <c r="F1381" s="10"/>
      <c r="G1381" s="7"/>
      <c r="H1381" s="16" t="str">
        <f t="shared" si="21"/>
        <v>(1379,,'',,,,),</v>
      </c>
    </row>
    <row r="1382" spans="1:8" ht="20.100000000000001" customHeight="1" x14ac:dyDescent="0.25">
      <c r="A1382" s="3">
        <v>1380</v>
      </c>
      <c r="B1382" s="8"/>
      <c r="C1382" s="13"/>
      <c r="D1382" s="10"/>
      <c r="E1382" s="10"/>
      <c r="F1382" s="10"/>
      <c r="G1382" s="7"/>
      <c r="H1382" s="16" t="str">
        <f t="shared" si="21"/>
        <v>(1380,,'',,,,),</v>
      </c>
    </row>
    <row r="1383" spans="1:8" ht="20.100000000000001" customHeight="1" x14ac:dyDescent="0.25">
      <c r="A1383" s="3">
        <v>1381</v>
      </c>
      <c r="B1383" s="8"/>
      <c r="C1383" s="13"/>
      <c r="D1383" s="10"/>
      <c r="E1383" s="10"/>
      <c r="F1383" s="10"/>
      <c r="G1383" s="7"/>
      <c r="H1383" s="16" t="str">
        <f t="shared" si="21"/>
        <v>(1381,,'',,,,),</v>
      </c>
    </row>
    <row r="1384" spans="1:8" ht="20.100000000000001" customHeight="1" x14ac:dyDescent="0.25">
      <c r="A1384" s="3">
        <v>1382</v>
      </c>
      <c r="B1384" s="8"/>
      <c r="C1384" s="13"/>
      <c r="D1384" s="10"/>
      <c r="E1384" s="10"/>
      <c r="F1384" s="10"/>
      <c r="G1384" s="7"/>
      <c r="H1384" s="16" t="str">
        <f t="shared" si="21"/>
        <v>(1382,,'',,,,),</v>
      </c>
    </row>
    <row r="1385" spans="1:8" ht="20.100000000000001" customHeight="1" x14ac:dyDescent="0.25">
      <c r="A1385" s="3">
        <v>1383</v>
      </c>
      <c r="B1385" s="8"/>
      <c r="C1385" s="13"/>
      <c r="D1385" s="10"/>
      <c r="E1385" s="10"/>
      <c r="F1385" s="10"/>
      <c r="G1385" s="7"/>
      <c r="H1385" s="16" t="str">
        <f t="shared" si="21"/>
        <v>(1383,,'',,,,),</v>
      </c>
    </row>
    <row r="1386" spans="1:8" ht="20.100000000000001" customHeight="1" x14ac:dyDescent="0.25">
      <c r="A1386" s="3">
        <v>1384</v>
      </c>
      <c r="B1386" s="8"/>
      <c r="C1386" s="13"/>
      <c r="D1386" s="10"/>
      <c r="E1386" s="10"/>
      <c r="F1386" s="10"/>
      <c r="G1386" s="7"/>
      <c r="H1386" s="16" t="str">
        <f t="shared" si="21"/>
        <v>(1384,,'',,,,),</v>
      </c>
    </row>
    <row r="1387" spans="1:8" ht="20.100000000000001" customHeight="1" x14ac:dyDescent="0.25">
      <c r="A1387" s="3">
        <v>1385</v>
      </c>
      <c r="B1387" s="8"/>
      <c r="C1387" s="13"/>
      <c r="D1387" s="10"/>
      <c r="E1387" s="10"/>
      <c r="F1387" s="10"/>
      <c r="G1387" s="7"/>
      <c r="H1387" s="16" t="str">
        <f t="shared" si="21"/>
        <v>(1385,,'',,,,),</v>
      </c>
    </row>
    <row r="1388" spans="1:8" ht="20.100000000000001" customHeight="1" x14ac:dyDescent="0.25">
      <c r="A1388" s="3">
        <v>1386</v>
      </c>
      <c r="B1388" s="8"/>
      <c r="C1388" s="13"/>
      <c r="D1388" s="10"/>
      <c r="E1388" s="10"/>
      <c r="F1388" s="10"/>
      <c r="G1388" s="7"/>
      <c r="H1388" s="16" t="str">
        <f t="shared" si="21"/>
        <v>(1386,,'',,,,),</v>
      </c>
    </row>
    <row r="1389" spans="1:8" ht="20.100000000000001" customHeight="1" x14ac:dyDescent="0.25">
      <c r="A1389" s="3">
        <v>1387</v>
      </c>
      <c r="B1389" s="8"/>
      <c r="C1389" s="13"/>
      <c r="D1389" s="10"/>
      <c r="E1389" s="10"/>
      <c r="F1389" s="10"/>
      <c r="G1389" s="7"/>
      <c r="H1389" s="16" t="str">
        <f t="shared" si="21"/>
        <v>(1387,,'',,,,),</v>
      </c>
    </row>
    <row r="1390" spans="1:8" ht="20.100000000000001" customHeight="1" x14ac:dyDescent="0.25">
      <c r="A1390" s="3">
        <v>1388</v>
      </c>
      <c r="B1390" s="8"/>
      <c r="C1390" s="13"/>
      <c r="D1390" s="10"/>
      <c r="E1390" s="10"/>
      <c r="F1390" s="10"/>
      <c r="G1390" s="7"/>
      <c r="H1390" s="16" t="str">
        <f t="shared" si="21"/>
        <v>(1388,,'',,,,),</v>
      </c>
    </row>
    <row r="1391" spans="1:8" ht="20.100000000000001" customHeight="1" x14ac:dyDescent="0.25">
      <c r="A1391" s="3">
        <v>1389</v>
      </c>
      <c r="B1391" s="8"/>
      <c r="C1391" s="13"/>
      <c r="D1391" s="10"/>
      <c r="E1391" s="10"/>
      <c r="F1391" s="10"/>
      <c r="G1391" s="7"/>
      <c r="H1391" s="16" t="str">
        <f t="shared" si="21"/>
        <v>(1389,,'',,,,),</v>
      </c>
    </row>
    <row r="1392" spans="1:8" ht="20.100000000000001" customHeight="1" x14ac:dyDescent="0.25">
      <c r="A1392" s="3">
        <v>1390</v>
      </c>
      <c r="B1392" s="8"/>
      <c r="C1392" s="13"/>
      <c r="D1392" s="10"/>
      <c r="E1392" s="10"/>
      <c r="F1392" s="10"/>
      <c r="G1392" s="7"/>
      <c r="H1392" s="16" t="str">
        <f t="shared" si="21"/>
        <v>(1390,,'',,,,),</v>
      </c>
    </row>
    <row r="1393" spans="1:8" ht="20.100000000000001" customHeight="1" x14ac:dyDescent="0.25">
      <c r="A1393" s="3">
        <v>1391</v>
      </c>
      <c r="B1393" s="8"/>
      <c r="C1393" s="13"/>
      <c r="D1393" s="10"/>
      <c r="E1393" s="10"/>
      <c r="F1393" s="10"/>
      <c r="G1393" s="7"/>
      <c r="H1393" s="16" t="str">
        <f t="shared" si="21"/>
        <v>(1391,,'',,,,),</v>
      </c>
    </row>
    <row r="1394" spans="1:8" ht="20.100000000000001" customHeight="1" x14ac:dyDescent="0.25">
      <c r="A1394" s="3">
        <v>1392</v>
      </c>
      <c r="B1394" s="8"/>
      <c r="C1394" s="13"/>
      <c r="D1394" s="10"/>
      <c r="E1394" s="10"/>
      <c r="F1394" s="10"/>
      <c r="G1394" s="7"/>
      <c r="H1394" s="16" t="str">
        <f t="shared" si="21"/>
        <v>(1392,,'',,,,),</v>
      </c>
    </row>
    <row r="1395" spans="1:8" ht="20.100000000000001" customHeight="1" x14ac:dyDescent="0.25">
      <c r="A1395" s="3">
        <v>1393</v>
      </c>
      <c r="B1395" s="8"/>
      <c r="C1395" s="13"/>
      <c r="D1395" s="10"/>
      <c r="E1395" s="10"/>
      <c r="F1395" s="10"/>
      <c r="G1395" s="7"/>
      <c r="H1395" s="16" t="str">
        <f t="shared" si="21"/>
        <v>(1393,,'',,,,),</v>
      </c>
    </row>
    <row r="1396" spans="1:8" ht="20.100000000000001" customHeight="1" x14ac:dyDescent="0.25">
      <c r="A1396" s="3">
        <v>1394</v>
      </c>
      <c r="B1396" s="8"/>
      <c r="C1396" s="13"/>
      <c r="D1396" s="10"/>
      <c r="E1396" s="10"/>
      <c r="F1396" s="10"/>
      <c r="G1396" s="7"/>
      <c r="H1396" s="16" t="str">
        <f t="shared" si="21"/>
        <v>(1394,,'',,,,),</v>
      </c>
    </row>
    <row r="1397" spans="1:8" ht="20.100000000000001" customHeight="1" x14ac:dyDescent="0.25">
      <c r="A1397" s="3">
        <v>1395</v>
      </c>
      <c r="B1397" s="8"/>
      <c r="C1397" s="13"/>
      <c r="D1397" s="10"/>
      <c r="E1397" s="10"/>
      <c r="F1397" s="10"/>
      <c r="G1397" s="7"/>
      <c r="H1397" s="16" t="str">
        <f t="shared" si="21"/>
        <v>(1395,,'',,,,),</v>
      </c>
    </row>
    <row r="1398" spans="1:8" ht="20.100000000000001" customHeight="1" x14ac:dyDescent="0.25">
      <c r="A1398" s="3">
        <v>1396</v>
      </c>
      <c r="B1398" s="8"/>
      <c r="C1398" s="13"/>
      <c r="D1398" s="10"/>
      <c r="E1398" s="10"/>
      <c r="F1398" s="10"/>
      <c r="G1398" s="7"/>
      <c r="H1398" s="16" t="str">
        <f t="shared" si="21"/>
        <v>(1396,,'',,,,),</v>
      </c>
    </row>
    <row r="1399" spans="1:8" ht="20.100000000000001" customHeight="1" x14ac:dyDescent="0.25">
      <c r="A1399" s="3">
        <v>1397</v>
      </c>
      <c r="B1399" s="8"/>
      <c r="C1399" s="13"/>
      <c r="D1399" s="10"/>
      <c r="E1399" s="10"/>
      <c r="F1399" s="10"/>
      <c r="G1399" s="7"/>
      <c r="H1399" s="16" t="str">
        <f t="shared" si="21"/>
        <v>(1397,,'',,,,),</v>
      </c>
    </row>
    <row r="1400" spans="1:8" ht="20.100000000000001" customHeight="1" x14ac:dyDescent="0.25">
      <c r="A1400" s="3">
        <v>1398</v>
      </c>
      <c r="B1400" s="8"/>
      <c r="C1400" s="13"/>
      <c r="D1400" s="10"/>
      <c r="E1400" s="10"/>
      <c r="F1400" s="10"/>
      <c r="G1400" s="7"/>
      <c r="H1400" s="16" t="str">
        <f t="shared" si="21"/>
        <v>(1398,,'',,,,),</v>
      </c>
    </row>
    <row r="1401" spans="1:8" ht="20.100000000000001" customHeight="1" x14ac:dyDescent="0.25">
      <c r="A1401" s="3">
        <v>1399</v>
      </c>
      <c r="B1401" s="8"/>
      <c r="C1401" s="13"/>
      <c r="D1401" s="10"/>
      <c r="E1401" s="10"/>
      <c r="F1401" s="10"/>
      <c r="G1401" s="7"/>
      <c r="H1401" s="16" t="str">
        <f t="shared" si="21"/>
        <v>(1399,,'',,,,),</v>
      </c>
    </row>
    <row r="1402" spans="1:8" ht="20.100000000000001" customHeight="1" x14ac:dyDescent="0.25">
      <c r="A1402" s="3">
        <v>1400</v>
      </c>
      <c r="B1402" s="8"/>
      <c r="C1402" s="13"/>
      <c r="D1402" s="10"/>
      <c r="E1402" s="10"/>
      <c r="F1402" s="10"/>
      <c r="G1402" s="7"/>
      <c r="H1402" s="16" t="str">
        <f t="shared" si="21"/>
        <v>(1400,,'',,,,),</v>
      </c>
    </row>
    <row r="1403" spans="1:8" ht="20.100000000000001" customHeight="1" x14ac:dyDescent="0.25">
      <c r="A1403" s="3">
        <v>1401</v>
      </c>
      <c r="B1403" s="8"/>
      <c r="C1403" s="13"/>
      <c r="D1403" s="10"/>
      <c r="E1403" s="10"/>
      <c r="F1403" s="10"/>
      <c r="G1403" s="7"/>
      <c r="H1403" s="16" t="str">
        <f t="shared" si="21"/>
        <v>(1401,,'',,,,),</v>
      </c>
    </row>
    <row r="1404" spans="1:8" ht="20.100000000000001" customHeight="1" x14ac:dyDescent="0.25">
      <c r="A1404" s="3">
        <v>1402</v>
      </c>
      <c r="B1404" s="8"/>
      <c r="C1404" s="13"/>
      <c r="D1404" s="10"/>
      <c r="E1404" s="10"/>
      <c r="F1404" s="10"/>
      <c r="G1404" s="7"/>
      <c r="H1404" s="16" t="str">
        <f t="shared" si="21"/>
        <v>(1402,,'',,,,),</v>
      </c>
    </row>
    <row r="1405" spans="1:8" ht="20.100000000000001" customHeight="1" x14ac:dyDescent="0.25">
      <c r="A1405" s="3">
        <v>1403</v>
      </c>
      <c r="B1405" s="8"/>
      <c r="C1405" s="13"/>
      <c r="D1405" s="10"/>
      <c r="E1405" s="10"/>
      <c r="F1405" s="10"/>
      <c r="G1405" s="7"/>
      <c r="H1405" s="16" t="str">
        <f t="shared" si="21"/>
        <v>(1403,,'',,,,),</v>
      </c>
    </row>
    <row r="1406" spans="1:8" ht="20.100000000000001" customHeight="1" x14ac:dyDescent="0.25">
      <c r="A1406" s="3">
        <v>1404</v>
      </c>
      <c r="B1406" s="8"/>
      <c r="C1406" s="13"/>
      <c r="D1406" s="10"/>
      <c r="E1406" s="10"/>
      <c r="F1406" s="10"/>
      <c r="G1406" s="7"/>
      <c r="H1406" s="16" t="str">
        <f t="shared" si="21"/>
        <v>(1404,,'',,,,),</v>
      </c>
    </row>
    <row r="1407" spans="1:8" ht="20.100000000000001" customHeight="1" x14ac:dyDescent="0.25">
      <c r="A1407" s="3">
        <v>1405</v>
      </c>
      <c r="B1407" s="8"/>
      <c r="C1407" s="13"/>
      <c r="D1407" s="10"/>
      <c r="E1407" s="10"/>
      <c r="F1407" s="10"/>
      <c r="G1407" s="7"/>
      <c r="H1407" s="16" t="str">
        <f t="shared" si="21"/>
        <v>(1405,,'',,,,),</v>
      </c>
    </row>
    <row r="1408" spans="1:8" ht="20.100000000000001" customHeight="1" x14ac:dyDescent="0.25">
      <c r="A1408" s="3">
        <v>1406</v>
      </c>
      <c r="B1408" s="8"/>
      <c r="C1408" s="13"/>
      <c r="D1408" s="10"/>
      <c r="E1408" s="10"/>
      <c r="F1408" s="10"/>
      <c r="G1408" s="7"/>
      <c r="H1408" s="16" t="str">
        <f t="shared" si="21"/>
        <v>(1406,,'',,,,),</v>
      </c>
    </row>
    <row r="1409" spans="1:8" ht="20.100000000000001" customHeight="1" x14ac:dyDescent="0.25">
      <c r="A1409" s="3">
        <v>1407</v>
      </c>
      <c r="B1409" s="8"/>
      <c r="C1409" s="13"/>
      <c r="D1409" s="10"/>
      <c r="E1409" s="10"/>
      <c r="F1409" s="10"/>
      <c r="G1409" s="7"/>
      <c r="H1409" s="16" t="str">
        <f t="shared" si="21"/>
        <v>(1407,,'',,,,),</v>
      </c>
    </row>
    <row r="1410" spans="1:8" ht="20.100000000000001" customHeight="1" x14ac:dyDescent="0.25">
      <c r="A1410" s="3">
        <v>1408</v>
      </c>
      <c r="B1410" s="8"/>
      <c r="C1410" s="13"/>
      <c r="D1410" s="10"/>
      <c r="E1410" s="10"/>
      <c r="F1410" s="10"/>
      <c r="G1410" s="7"/>
      <c r="H1410" s="16" t="str">
        <f t="shared" si="21"/>
        <v>(1408,,'',,,,),</v>
      </c>
    </row>
    <row r="1411" spans="1:8" ht="20.100000000000001" customHeight="1" x14ac:dyDescent="0.25">
      <c r="A1411" s="3">
        <v>1409</v>
      </c>
      <c r="B1411" s="8"/>
      <c r="C1411" s="13"/>
      <c r="D1411" s="10"/>
      <c r="E1411" s="10"/>
      <c r="F1411" s="10"/>
      <c r="G1411" s="7"/>
      <c r="H1411" s="16" t="str">
        <f t="shared" si="21"/>
        <v>(1409,,'',,,,),</v>
      </c>
    </row>
    <row r="1412" spans="1:8" ht="20.100000000000001" customHeight="1" x14ac:dyDescent="0.25">
      <c r="A1412" s="3">
        <v>1410</v>
      </c>
      <c r="B1412" s="8"/>
      <c r="C1412" s="13"/>
      <c r="D1412" s="10"/>
      <c r="E1412" s="10"/>
      <c r="F1412" s="10"/>
      <c r="G1412" s="7"/>
      <c r="H1412" s="16" t="str">
        <f t="shared" ref="H1412:H1475" si="22">CONCATENATE("(",A1412,",",B1412,",'",C1412,"',",D1412,",",E1412,",",F1412,",",G1412,"),")</f>
        <v>(1410,,'',,,,),</v>
      </c>
    </row>
    <row r="1413" spans="1:8" ht="20.100000000000001" customHeight="1" x14ac:dyDescent="0.25">
      <c r="A1413" s="3">
        <v>1411</v>
      </c>
      <c r="B1413" s="8"/>
      <c r="C1413" s="13"/>
      <c r="D1413" s="10"/>
      <c r="E1413" s="10"/>
      <c r="F1413" s="10"/>
      <c r="G1413" s="7"/>
      <c r="H1413" s="16" t="str">
        <f t="shared" si="22"/>
        <v>(1411,,'',,,,),</v>
      </c>
    </row>
    <row r="1414" spans="1:8" ht="20.100000000000001" customHeight="1" x14ac:dyDescent="0.25">
      <c r="A1414" s="3">
        <v>1412</v>
      </c>
      <c r="B1414" s="8"/>
      <c r="C1414" s="13"/>
      <c r="D1414" s="10"/>
      <c r="E1414" s="10"/>
      <c r="F1414" s="10"/>
      <c r="G1414" s="7"/>
      <c r="H1414" s="16" t="str">
        <f t="shared" si="22"/>
        <v>(1412,,'',,,,),</v>
      </c>
    </row>
    <row r="1415" spans="1:8" ht="20.100000000000001" customHeight="1" x14ac:dyDescent="0.25">
      <c r="A1415" s="3">
        <v>1413</v>
      </c>
      <c r="B1415" s="8"/>
      <c r="C1415" s="13"/>
      <c r="D1415" s="10"/>
      <c r="E1415" s="10"/>
      <c r="F1415" s="10"/>
      <c r="G1415" s="7"/>
      <c r="H1415" s="16" t="str">
        <f t="shared" si="22"/>
        <v>(1413,,'',,,,),</v>
      </c>
    </row>
    <row r="1416" spans="1:8" ht="20.100000000000001" customHeight="1" x14ac:dyDescent="0.25">
      <c r="A1416" s="3">
        <v>1414</v>
      </c>
      <c r="B1416" s="8"/>
      <c r="C1416" s="13"/>
      <c r="D1416" s="10"/>
      <c r="E1416" s="10"/>
      <c r="F1416" s="10"/>
      <c r="G1416" s="7"/>
      <c r="H1416" s="16" t="str">
        <f t="shared" si="22"/>
        <v>(1414,,'',,,,),</v>
      </c>
    </row>
    <row r="1417" spans="1:8" ht="20.100000000000001" customHeight="1" x14ac:dyDescent="0.25">
      <c r="A1417" s="3">
        <v>1415</v>
      </c>
      <c r="B1417" s="8"/>
      <c r="C1417" s="13"/>
      <c r="D1417" s="10"/>
      <c r="E1417" s="10"/>
      <c r="F1417" s="10"/>
      <c r="G1417" s="7"/>
      <c r="H1417" s="16" t="str">
        <f t="shared" si="22"/>
        <v>(1415,,'',,,,),</v>
      </c>
    </row>
    <row r="1418" spans="1:8" ht="20.100000000000001" customHeight="1" x14ac:dyDescent="0.25">
      <c r="A1418" s="3">
        <v>1416</v>
      </c>
      <c r="B1418" s="8"/>
      <c r="C1418" s="13"/>
      <c r="D1418" s="10"/>
      <c r="E1418" s="10"/>
      <c r="F1418" s="10"/>
      <c r="G1418" s="7"/>
      <c r="H1418" s="16" t="str">
        <f t="shared" si="22"/>
        <v>(1416,,'',,,,),</v>
      </c>
    </row>
    <row r="1419" spans="1:8" ht="20.100000000000001" customHeight="1" x14ac:dyDescent="0.25">
      <c r="A1419" s="3">
        <v>1417</v>
      </c>
      <c r="B1419" s="8"/>
      <c r="C1419" s="13"/>
      <c r="D1419" s="10"/>
      <c r="E1419" s="10"/>
      <c r="F1419" s="10"/>
      <c r="G1419" s="7"/>
      <c r="H1419" s="16" t="str">
        <f t="shared" si="22"/>
        <v>(1417,,'',,,,),</v>
      </c>
    </row>
    <row r="1420" spans="1:8" ht="20.100000000000001" customHeight="1" x14ac:dyDescent="0.25">
      <c r="A1420" s="3">
        <v>1418</v>
      </c>
      <c r="B1420" s="8"/>
      <c r="C1420" s="13"/>
      <c r="D1420" s="10"/>
      <c r="E1420" s="10"/>
      <c r="F1420" s="10"/>
      <c r="G1420" s="7"/>
      <c r="H1420" s="16" t="str">
        <f t="shared" si="22"/>
        <v>(1418,,'',,,,),</v>
      </c>
    </row>
    <row r="1421" spans="1:8" ht="20.100000000000001" customHeight="1" x14ac:dyDescent="0.25">
      <c r="A1421" s="3">
        <v>1419</v>
      </c>
      <c r="B1421" s="8"/>
      <c r="C1421" s="13"/>
      <c r="D1421" s="10"/>
      <c r="E1421" s="10"/>
      <c r="F1421" s="10"/>
      <c r="G1421" s="7"/>
      <c r="H1421" s="16" t="str">
        <f t="shared" si="22"/>
        <v>(1419,,'',,,,),</v>
      </c>
    </row>
    <row r="1422" spans="1:8" ht="20.100000000000001" customHeight="1" x14ac:dyDescent="0.25">
      <c r="A1422" s="3">
        <v>1420</v>
      </c>
      <c r="B1422" s="8"/>
      <c r="C1422" s="13"/>
      <c r="D1422" s="10"/>
      <c r="E1422" s="10"/>
      <c r="F1422" s="10"/>
      <c r="G1422" s="7"/>
      <c r="H1422" s="16" t="str">
        <f t="shared" si="22"/>
        <v>(1420,,'',,,,),</v>
      </c>
    </row>
    <row r="1423" spans="1:8" ht="20.100000000000001" customHeight="1" x14ac:dyDescent="0.25">
      <c r="A1423" s="3">
        <v>1421</v>
      </c>
      <c r="B1423" s="8"/>
      <c r="C1423" s="13"/>
      <c r="D1423" s="10"/>
      <c r="E1423" s="10"/>
      <c r="F1423" s="10"/>
      <c r="G1423" s="7"/>
      <c r="H1423" s="16" t="str">
        <f t="shared" si="22"/>
        <v>(1421,,'',,,,),</v>
      </c>
    </row>
    <row r="1424" spans="1:8" ht="20.100000000000001" customHeight="1" x14ac:dyDescent="0.25">
      <c r="A1424" s="3">
        <v>1422</v>
      </c>
      <c r="B1424" s="8"/>
      <c r="C1424" s="13"/>
      <c r="D1424" s="10"/>
      <c r="E1424" s="10"/>
      <c r="F1424" s="10"/>
      <c r="G1424" s="7"/>
      <c r="H1424" s="16" t="str">
        <f t="shared" si="22"/>
        <v>(1422,,'',,,,),</v>
      </c>
    </row>
    <row r="1425" spans="1:8" ht="20.100000000000001" customHeight="1" x14ac:dyDescent="0.25">
      <c r="A1425" s="3">
        <v>1423</v>
      </c>
      <c r="B1425" s="8"/>
      <c r="C1425" s="13"/>
      <c r="D1425" s="10"/>
      <c r="E1425" s="10"/>
      <c r="F1425" s="10"/>
      <c r="G1425" s="7"/>
      <c r="H1425" s="16" t="str">
        <f t="shared" si="22"/>
        <v>(1423,,'',,,,),</v>
      </c>
    </row>
    <row r="1426" spans="1:8" ht="20.100000000000001" customHeight="1" x14ac:dyDescent="0.25">
      <c r="A1426" s="3">
        <v>1424</v>
      </c>
      <c r="B1426" s="8"/>
      <c r="C1426" s="13"/>
      <c r="D1426" s="10"/>
      <c r="E1426" s="10"/>
      <c r="F1426" s="10"/>
      <c r="G1426" s="7"/>
      <c r="H1426" s="16" t="str">
        <f t="shared" si="22"/>
        <v>(1424,,'',,,,),</v>
      </c>
    </row>
    <row r="1427" spans="1:8" ht="20.100000000000001" customHeight="1" x14ac:dyDescent="0.25">
      <c r="A1427" s="3">
        <v>1425</v>
      </c>
      <c r="B1427" s="8"/>
      <c r="C1427" s="13"/>
      <c r="D1427" s="10"/>
      <c r="E1427" s="10"/>
      <c r="F1427" s="10"/>
      <c r="G1427" s="7"/>
      <c r="H1427" s="16" t="str">
        <f t="shared" si="22"/>
        <v>(1425,,'',,,,),</v>
      </c>
    </row>
    <row r="1428" spans="1:8" ht="20.100000000000001" customHeight="1" x14ac:dyDescent="0.25">
      <c r="A1428" s="3">
        <v>1426</v>
      </c>
      <c r="B1428" s="8"/>
      <c r="C1428" s="13"/>
      <c r="D1428" s="10"/>
      <c r="E1428" s="10"/>
      <c r="F1428" s="10"/>
      <c r="G1428" s="7"/>
      <c r="H1428" s="16" t="str">
        <f t="shared" si="22"/>
        <v>(1426,,'',,,,),</v>
      </c>
    </row>
    <row r="1429" spans="1:8" ht="20.100000000000001" customHeight="1" x14ac:dyDescent="0.25">
      <c r="A1429" s="3">
        <v>1427</v>
      </c>
      <c r="B1429" s="8"/>
      <c r="C1429" s="13"/>
      <c r="D1429" s="10"/>
      <c r="E1429" s="10"/>
      <c r="F1429" s="10"/>
      <c r="G1429" s="7"/>
      <c r="H1429" s="16" t="str">
        <f t="shared" si="22"/>
        <v>(1427,,'',,,,),</v>
      </c>
    </row>
    <row r="1430" spans="1:8" ht="20.100000000000001" customHeight="1" x14ac:dyDescent="0.25">
      <c r="A1430" s="3">
        <v>1428</v>
      </c>
      <c r="B1430" s="8"/>
      <c r="C1430" s="13"/>
      <c r="D1430" s="10"/>
      <c r="E1430" s="10"/>
      <c r="F1430" s="10"/>
      <c r="G1430" s="7"/>
      <c r="H1430" s="16" t="str">
        <f t="shared" si="22"/>
        <v>(1428,,'',,,,),</v>
      </c>
    </row>
    <row r="1431" spans="1:8" ht="20.100000000000001" customHeight="1" x14ac:dyDescent="0.25">
      <c r="A1431" s="3">
        <v>1429</v>
      </c>
      <c r="B1431" s="8"/>
      <c r="C1431" s="13"/>
      <c r="D1431" s="10"/>
      <c r="E1431" s="10"/>
      <c r="F1431" s="10"/>
      <c r="G1431" s="7"/>
      <c r="H1431" s="16" t="str">
        <f t="shared" si="22"/>
        <v>(1429,,'',,,,),</v>
      </c>
    </row>
    <row r="1432" spans="1:8" ht="20.100000000000001" customHeight="1" x14ac:dyDescent="0.25">
      <c r="A1432" s="3">
        <v>1430</v>
      </c>
      <c r="B1432" s="8"/>
      <c r="C1432" s="13"/>
      <c r="D1432" s="10"/>
      <c r="E1432" s="10"/>
      <c r="F1432" s="10"/>
      <c r="G1432" s="7"/>
      <c r="H1432" s="16" t="str">
        <f t="shared" si="22"/>
        <v>(1430,,'',,,,),</v>
      </c>
    </row>
    <row r="1433" spans="1:8" ht="20.100000000000001" customHeight="1" x14ac:dyDescent="0.25">
      <c r="A1433" s="3">
        <v>1431</v>
      </c>
      <c r="B1433" s="8"/>
      <c r="C1433" s="13"/>
      <c r="D1433" s="10"/>
      <c r="E1433" s="10"/>
      <c r="F1433" s="10"/>
      <c r="G1433" s="7"/>
      <c r="H1433" s="16" t="str">
        <f t="shared" si="22"/>
        <v>(1431,,'',,,,),</v>
      </c>
    </row>
    <row r="1434" spans="1:8" ht="20.100000000000001" customHeight="1" x14ac:dyDescent="0.25">
      <c r="A1434" s="3">
        <v>1432</v>
      </c>
      <c r="B1434" s="8"/>
      <c r="C1434" s="13"/>
      <c r="D1434" s="10"/>
      <c r="E1434" s="10"/>
      <c r="F1434" s="10"/>
      <c r="G1434" s="7"/>
      <c r="H1434" s="16" t="str">
        <f t="shared" si="22"/>
        <v>(1432,,'',,,,),</v>
      </c>
    </row>
    <row r="1435" spans="1:8" ht="20.100000000000001" customHeight="1" x14ac:dyDescent="0.25">
      <c r="A1435" s="3">
        <v>1433</v>
      </c>
      <c r="B1435" s="8"/>
      <c r="C1435" s="13"/>
      <c r="D1435" s="10"/>
      <c r="E1435" s="10"/>
      <c r="F1435" s="10"/>
      <c r="G1435" s="7"/>
      <c r="H1435" s="16" t="str">
        <f t="shared" si="22"/>
        <v>(1433,,'',,,,),</v>
      </c>
    </row>
    <row r="1436" spans="1:8" ht="20.100000000000001" customHeight="1" x14ac:dyDescent="0.25">
      <c r="A1436" s="3">
        <v>1434</v>
      </c>
      <c r="B1436" s="8"/>
      <c r="C1436" s="13"/>
      <c r="D1436" s="10"/>
      <c r="E1436" s="10"/>
      <c r="F1436" s="10"/>
      <c r="G1436" s="7"/>
      <c r="H1436" s="16" t="str">
        <f t="shared" si="22"/>
        <v>(1434,,'',,,,),</v>
      </c>
    </row>
    <row r="1437" spans="1:8" ht="20.100000000000001" customHeight="1" x14ac:dyDescent="0.25">
      <c r="A1437" s="3">
        <v>1435</v>
      </c>
      <c r="B1437" s="8"/>
      <c r="C1437" s="13"/>
      <c r="D1437" s="10"/>
      <c r="E1437" s="10"/>
      <c r="F1437" s="10"/>
      <c r="G1437" s="7"/>
      <c r="H1437" s="16" t="str">
        <f t="shared" si="22"/>
        <v>(1435,,'',,,,),</v>
      </c>
    </row>
    <row r="1438" spans="1:8" ht="20.100000000000001" customHeight="1" x14ac:dyDescent="0.25">
      <c r="A1438" s="3">
        <v>1436</v>
      </c>
      <c r="B1438" s="8"/>
      <c r="C1438" s="13"/>
      <c r="D1438" s="10"/>
      <c r="E1438" s="10"/>
      <c r="F1438" s="10"/>
      <c r="G1438" s="7"/>
      <c r="H1438" s="16" t="str">
        <f t="shared" si="22"/>
        <v>(1436,,'',,,,),</v>
      </c>
    </row>
    <row r="1439" spans="1:8" ht="20.100000000000001" customHeight="1" x14ac:dyDescent="0.25">
      <c r="A1439" s="3">
        <v>1437</v>
      </c>
      <c r="B1439" s="8"/>
      <c r="C1439" s="13"/>
      <c r="D1439" s="10"/>
      <c r="E1439" s="10"/>
      <c r="F1439" s="10"/>
      <c r="G1439" s="7"/>
      <c r="H1439" s="16" t="str">
        <f t="shared" si="22"/>
        <v>(1437,,'',,,,),</v>
      </c>
    </row>
    <row r="1440" spans="1:8" ht="20.100000000000001" customHeight="1" x14ac:dyDescent="0.25">
      <c r="A1440" s="3">
        <v>1438</v>
      </c>
      <c r="B1440" s="8"/>
      <c r="C1440" s="13"/>
      <c r="D1440" s="10"/>
      <c r="E1440" s="10"/>
      <c r="F1440" s="10"/>
      <c r="G1440" s="7"/>
      <c r="H1440" s="16" t="str">
        <f t="shared" si="22"/>
        <v>(1438,,'',,,,),</v>
      </c>
    </row>
    <row r="1441" spans="1:8" ht="20.100000000000001" customHeight="1" x14ac:dyDescent="0.25">
      <c r="A1441" s="3">
        <v>1439</v>
      </c>
      <c r="B1441" s="8"/>
      <c r="C1441" s="13"/>
      <c r="D1441" s="10"/>
      <c r="E1441" s="10"/>
      <c r="F1441" s="10"/>
      <c r="G1441" s="7"/>
      <c r="H1441" s="16" t="str">
        <f t="shared" si="22"/>
        <v>(1439,,'',,,,),</v>
      </c>
    </row>
    <row r="1442" spans="1:8" ht="20.100000000000001" customHeight="1" x14ac:dyDescent="0.25">
      <c r="A1442" s="3">
        <v>1440</v>
      </c>
      <c r="B1442" s="8"/>
      <c r="C1442" s="13"/>
      <c r="D1442" s="10"/>
      <c r="E1442" s="10"/>
      <c r="F1442" s="10"/>
      <c r="G1442" s="7"/>
      <c r="H1442" s="16" t="str">
        <f t="shared" si="22"/>
        <v>(1440,,'',,,,),</v>
      </c>
    </row>
    <row r="1443" spans="1:8" ht="20.100000000000001" customHeight="1" x14ac:dyDescent="0.25">
      <c r="A1443" s="3">
        <v>1441</v>
      </c>
      <c r="B1443" s="8"/>
      <c r="C1443" s="13"/>
      <c r="D1443" s="10"/>
      <c r="E1443" s="10"/>
      <c r="F1443" s="10"/>
      <c r="G1443" s="7"/>
      <c r="H1443" s="16" t="str">
        <f t="shared" si="22"/>
        <v>(1441,,'',,,,),</v>
      </c>
    </row>
    <row r="1444" spans="1:8" ht="20.100000000000001" customHeight="1" x14ac:dyDescent="0.25">
      <c r="A1444" s="3">
        <v>1442</v>
      </c>
      <c r="B1444" s="8"/>
      <c r="C1444" s="13"/>
      <c r="D1444" s="10"/>
      <c r="E1444" s="10"/>
      <c r="F1444" s="10"/>
      <c r="G1444" s="7"/>
      <c r="H1444" s="16" t="str">
        <f t="shared" si="22"/>
        <v>(1442,,'',,,,),</v>
      </c>
    </row>
    <row r="1445" spans="1:8" ht="20.100000000000001" customHeight="1" x14ac:dyDescent="0.25">
      <c r="A1445" s="3">
        <v>1443</v>
      </c>
      <c r="B1445" s="8"/>
      <c r="C1445" s="13"/>
      <c r="D1445" s="10"/>
      <c r="E1445" s="10"/>
      <c r="F1445" s="10"/>
      <c r="G1445" s="7"/>
      <c r="H1445" s="16" t="str">
        <f t="shared" si="22"/>
        <v>(1443,,'',,,,),</v>
      </c>
    </row>
    <row r="1446" spans="1:8" ht="20.100000000000001" customHeight="1" x14ac:dyDescent="0.25">
      <c r="A1446" s="3">
        <v>1444</v>
      </c>
      <c r="B1446" s="8"/>
      <c r="C1446" s="13"/>
      <c r="D1446" s="10"/>
      <c r="E1446" s="10"/>
      <c r="F1446" s="10"/>
      <c r="G1446" s="7"/>
      <c r="H1446" s="16" t="str">
        <f t="shared" si="22"/>
        <v>(1444,,'',,,,),</v>
      </c>
    </row>
    <row r="1447" spans="1:8" ht="20.100000000000001" customHeight="1" x14ac:dyDescent="0.25">
      <c r="A1447" s="3">
        <v>1445</v>
      </c>
      <c r="B1447" s="8"/>
      <c r="C1447" s="13"/>
      <c r="D1447" s="10"/>
      <c r="E1447" s="10"/>
      <c r="F1447" s="10"/>
      <c r="G1447" s="7"/>
      <c r="H1447" s="16" t="str">
        <f t="shared" si="22"/>
        <v>(1445,,'',,,,),</v>
      </c>
    </row>
    <row r="1448" spans="1:8" ht="20.100000000000001" customHeight="1" x14ac:dyDescent="0.25">
      <c r="A1448" s="3">
        <v>1446</v>
      </c>
      <c r="B1448" s="8"/>
      <c r="C1448" s="13"/>
      <c r="D1448" s="10"/>
      <c r="E1448" s="10"/>
      <c r="F1448" s="10"/>
      <c r="G1448" s="7"/>
      <c r="H1448" s="16" t="str">
        <f t="shared" si="22"/>
        <v>(1446,,'',,,,),</v>
      </c>
    </row>
    <row r="1449" spans="1:8" ht="20.100000000000001" customHeight="1" x14ac:dyDescent="0.25">
      <c r="A1449" s="3">
        <v>1447</v>
      </c>
      <c r="B1449" s="8"/>
      <c r="C1449" s="13"/>
      <c r="D1449" s="10"/>
      <c r="E1449" s="10"/>
      <c r="F1449" s="10"/>
      <c r="G1449" s="7"/>
      <c r="H1449" s="16" t="str">
        <f t="shared" si="22"/>
        <v>(1447,,'',,,,),</v>
      </c>
    </row>
    <row r="1450" spans="1:8" ht="20.100000000000001" customHeight="1" x14ac:dyDescent="0.25">
      <c r="A1450" s="3">
        <v>1448</v>
      </c>
      <c r="B1450" s="8"/>
      <c r="C1450" s="13"/>
      <c r="D1450" s="10"/>
      <c r="E1450" s="10"/>
      <c r="F1450" s="10"/>
      <c r="G1450" s="7"/>
      <c r="H1450" s="16" t="str">
        <f t="shared" si="22"/>
        <v>(1448,,'',,,,),</v>
      </c>
    </row>
    <row r="1451" spans="1:8" ht="20.100000000000001" customHeight="1" x14ac:dyDescent="0.25">
      <c r="A1451" s="3">
        <v>1449</v>
      </c>
      <c r="B1451" s="8"/>
      <c r="C1451" s="13"/>
      <c r="D1451" s="10"/>
      <c r="E1451" s="10"/>
      <c r="F1451" s="10"/>
      <c r="G1451" s="7"/>
      <c r="H1451" s="16" t="str">
        <f t="shared" si="22"/>
        <v>(1449,,'',,,,),</v>
      </c>
    </row>
    <row r="1452" spans="1:8" ht="20.100000000000001" customHeight="1" x14ac:dyDescent="0.25">
      <c r="A1452" s="3">
        <v>1450</v>
      </c>
      <c r="B1452" s="8"/>
      <c r="C1452" s="13"/>
      <c r="D1452" s="10"/>
      <c r="E1452" s="10"/>
      <c r="F1452" s="10"/>
      <c r="G1452" s="7"/>
      <c r="H1452" s="16" t="str">
        <f t="shared" si="22"/>
        <v>(1450,,'',,,,),</v>
      </c>
    </row>
    <row r="1453" spans="1:8" ht="20.100000000000001" customHeight="1" x14ac:dyDescent="0.25">
      <c r="A1453" s="3">
        <v>1451</v>
      </c>
      <c r="B1453" s="8"/>
      <c r="C1453" s="13"/>
      <c r="D1453" s="10"/>
      <c r="E1453" s="10"/>
      <c r="F1453" s="10"/>
      <c r="G1453" s="7"/>
      <c r="H1453" s="16" t="str">
        <f t="shared" si="22"/>
        <v>(1451,,'',,,,),</v>
      </c>
    </row>
    <row r="1454" spans="1:8" ht="20.100000000000001" customHeight="1" x14ac:dyDescent="0.25">
      <c r="A1454" s="3">
        <v>1452</v>
      </c>
      <c r="B1454" s="8"/>
      <c r="C1454" s="13"/>
      <c r="D1454" s="10"/>
      <c r="E1454" s="10"/>
      <c r="F1454" s="10"/>
      <c r="G1454" s="7"/>
      <c r="H1454" s="16" t="str">
        <f t="shared" si="22"/>
        <v>(1452,,'',,,,),</v>
      </c>
    </row>
    <row r="1455" spans="1:8" ht="20.100000000000001" customHeight="1" x14ac:dyDescent="0.25">
      <c r="A1455" s="3">
        <v>1453</v>
      </c>
      <c r="B1455" s="8"/>
      <c r="C1455" s="13"/>
      <c r="D1455" s="10"/>
      <c r="E1455" s="10"/>
      <c r="F1455" s="10"/>
      <c r="G1455" s="7"/>
      <c r="H1455" s="16" t="str">
        <f t="shared" si="22"/>
        <v>(1453,,'',,,,),</v>
      </c>
    </row>
    <row r="1456" spans="1:8" ht="20.100000000000001" customHeight="1" x14ac:dyDescent="0.25">
      <c r="A1456" s="3">
        <v>1454</v>
      </c>
      <c r="B1456" s="8"/>
      <c r="C1456" s="13"/>
      <c r="D1456" s="10"/>
      <c r="E1456" s="10"/>
      <c r="F1456" s="10"/>
      <c r="G1456" s="7"/>
      <c r="H1456" s="16" t="str">
        <f t="shared" si="22"/>
        <v>(1454,,'',,,,),</v>
      </c>
    </row>
    <row r="1457" spans="1:8" ht="20.100000000000001" customHeight="1" x14ac:dyDescent="0.25">
      <c r="A1457" s="3">
        <v>1455</v>
      </c>
      <c r="B1457" s="8"/>
      <c r="C1457" s="13"/>
      <c r="D1457" s="10"/>
      <c r="E1457" s="10"/>
      <c r="F1457" s="10"/>
      <c r="G1457" s="7"/>
      <c r="H1457" s="16" t="str">
        <f t="shared" si="22"/>
        <v>(1455,,'',,,,),</v>
      </c>
    </row>
    <row r="1458" spans="1:8" ht="20.100000000000001" customHeight="1" x14ac:dyDescent="0.25">
      <c r="A1458" s="3">
        <v>1456</v>
      </c>
      <c r="B1458" s="8"/>
      <c r="C1458" s="13"/>
      <c r="D1458" s="10"/>
      <c r="E1458" s="10"/>
      <c r="F1458" s="10"/>
      <c r="G1458" s="7"/>
      <c r="H1458" s="16" t="str">
        <f t="shared" si="22"/>
        <v>(1456,,'',,,,),</v>
      </c>
    </row>
    <row r="1459" spans="1:8" ht="20.100000000000001" customHeight="1" x14ac:dyDescent="0.25">
      <c r="A1459" s="3">
        <v>1457</v>
      </c>
      <c r="B1459" s="8"/>
      <c r="C1459" s="13"/>
      <c r="D1459" s="10"/>
      <c r="E1459" s="10"/>
      <c r="F1459" s="10"/>
      <c r="G1459" s="7"/>
      <c r="H1459" s="16" t="str">
        <f t="shared" si="22"/>
        <v>(1457,,'',,,,),</v>
      </c>
    </row>
    <row r="1460" spans="1:8" ht="20.100000000000001" customHeight="1" x14ac:dyDescent="0.25">
      <c r="A1460" s="3">
        <v>1458</v>
      </c>
      <c r="B1460" s="8"/>
      <c r="C1460" s="13"/>
      <c r="D1460" s="10"/>
      <c r="E1460" s="10"/>
      <c r="F1460" s="10"/>
      <c r="G1460" s="7"/>
      <c r="H1460" s="16" t="str">
        <f t="shared" si="22"/>
        <v>(1458,,'',,,,),</v>
      </c>
    </row>
    <row r="1461" spans="1:8" ht="20.100000000000001" customHeight="1" x14ac:dyDescent="0.25">
      <c r="A1461" s="3">
        <v>1459</v>
      </c>
      <c r="B1461" s="8"/>
      <c r="C1461" s="13"/>
      <c r="D1461" s="10"/>
      <c r="E1461" s="10"/>
      <c r="F1461" s="10"/>
      <c r="G1461" s="7"/>
      <c r="H1461" s="16" t="str">
        <f t="shared" si="22"/>
        <v>(1459,,'',,,,),</v>
      </c>
    </row>
    <row r="1462" spans="1:8" ht="20.100000000000001" customHeight="1" x14ac:dyDescent="0.25">
      <c r="A1462" s="3">
        <v>1460</v>
      </c>
      <c r="B1462" s="8"/>
      <c r="C1462" s="13"/>
      <c r="D1462" s="10"/>
      <c r="E1462" s="10"/>
      <c r="F1462" s="10"/>
      <c r="G1462" s="7"/>
      <c r="H1462" s="16" t="str">
        <f t="shared" si="22"/>
        <v>(1460,,'',,,,),</v>
      </c>
    </row>
    <row r="1463" spans="1:8" ht="20.100000000000001" customHeight="1" x14ac:dyDescent="0.25">
      <c r="A1463" s="3">
        <v>1461</v>
      </c>
      <c r="B1463" s="8"/>
      <c r="C1463" s="13"/>
      <c r="D1463" s="10"/>
      <c r="E1463" s="10"/>
      <c r="F1463" s="10"/>
      <c r="G1463" s="7"/>
      <c r="H1463" s="16" t="str">
        <f t="shared" si="22"/>
        <v>(1461,,'',,,,),</v>
      </c>
    </row>
    <row r="1464" spans="1:8" ht="20.100000000000001" customHeight="1" x14ac:dyDescent="0.25">
      <c r="A1464" s="3">
        <v>1462</v>
      </c>
      <c r="B1464" s="8"/>
      <c r="C1464" s="13"/>
      <c r="D1464" s="10"/>
      <c r="E1464" s="10"/>
      <c r="F1464" s="10"/>
      <c r="G1464" s="7"/>
      <c r="H1464" s="16" t="str">
        <f t="shared" si="22"/>
        <v>(1462,,'',,,,),</v>
      </c>
    </row>
    <row r="1465" spans="1:8" ht="20.100000000000001" customHeight="1" x14ac:dyDescent="0.25">
      <c r="A1465" s="3">
        <v>1463</v>
      </c>
      <c r="B1465" s="8"/>
      <c r="C1465" s="13"/>
      <c r="D1465" s="10"/>
      <c r="E1465" s="10"/>
      <c r="F1465" s="10"/>
      <c r="G1465" s="7"/>
      <c r="H1465" s="16" t="str">
        <f t="shared" si="22"/>
        <v>(1463,,'',,,,),</v>
      </c>
    </row>
    <row r="1466" spans="1:8" ht="20.100000000000001" customHeight="1" x14ac:dyDescent="0.25">
      <c r="A1466" s="3">
        <v>1464</v>
      </c>
      <c r="B1466" s="8"/>
      <c r="C1466" s="13"/>
      <c r="D1466" s="10"/>
      <c r="E1466" s="10"/>
      <c r="F1466" s="10"/>
      <c r="G1466" s="7"/>
      <c r="H1466" s="16" t="str">
        <f t="shared" si="22"/>
        <v>(1464,,'',,,,),</v>
      </c>
    </row>
    <row r="1467" spans="1:8" ht="20.100000000000001" customHeight="1" x14ac:dyDescent="0.25">
      <c r="A1467" s="3">
        <v>1465</v>
      </c>
      <c r="B1467" s="8"/>
      <c r="C1467" s="13"/>
      <c r="D1467" s="10"/>
      <c r="E1467" s="10"/>
      <c r="F1467" s="10"/>
      <c r="G1467" s="7"/>
      <c r="H1467" s="16" t="str">
        <f t="shared" si="22"/>
        <v>(1465,,'',,,,),</v>
      </c>
    </row>
    <row r="1468" spans="1:8" ht="20.100000000000001" customHeight="1" x14ac:dyDescent="0.25">
      <c r="A1468" s="3">
        <v>1466</v>
      </c>
      <c r="B1468" s="8"/>
      <c r="C1468" s="13"/>
      <c r="D1468" s="10"/>
      <c r="E1468" s="10"/>
      <c r="F1468" s="10"/>
      <c r="G1468" s="7"/>
      <c r="H1468" s="16" t="str">
        <f t="shared" si="22"/>
        <v>(1466,,'',,,,),</v>
      </c>
    </row>
    <row r="1469" spans="1:8" ht="20.100000000000001" customHeight="1" x14ac:dyDescent="0.25">
      <c r="A1469" s="3">
        <v>1467</v>
      </c>
      <c r="B1469" s="8"/>
      <c r="C1469" s="13"/>
      <c r="D1469" s="10"/>
      <c r="E1469" s="10"/>
      <c r="F1469" s="10"/>
      <c r="G1469" s="7"/>
      <c r="H1469" s="16" t="str">
        <f t="shared" si="22"/>
        <v>(1467,,'',,,,),</v>
      </c>
    </row>
    <row r="1470" spans="1:8" ht="20.100000000000001" customHeight="1" x14ac:dyDescent="0.25">
      <c r="A1470" s="3">
        <v>1468</v>
      </c>
      <c r="B1470" s="8"/>
      <c r="C1470" s="13"/>
      <c r="D1470" s="10"/>
      <c r="E1470" s="10"/>
      <c r="F1470" s="10"/>
      <c r="G1470" s="7"/>
      <c r="H1470" s="16" t="str">
        <f t="shared" si="22"/>
        <v>(1468,,'',,,,),</v>
      </c>
    </row>
    <row r="1471" spans="1:8" ht="20.100000000000001" customHeight="1" x14ac:dyDescent="0.25">
      <c r="A1471" s="3">
        <v>1469</v>
      </c>
      <c r="B1471" s="8"/>
      <c r="C1471" s="13"/>
      <c r="D1471" s="10"/>
      <c r="E1471" s="10"/>
      <c r="F1471" s="10"/>
      <c r="G1471" s="7"/>
      <c r="H1471" s="16" t="str">
        <f t="shared" si="22"/>
        <v>(1469,,'',,,,),</v>
      </c>
    </row>
    <row r="1472" spans="1:8" ht="20.100000000000001" customHeight="1" x14ac:dyDescent="0.25">
      <c r="A1472" s="3">
        <v>1470</v>
      </c>
      <c r="B1472" s="8"/>
      <c r="C1472" s="13"/>
      <c r="D1472" s="10"/>
      <c r="E1472" s="10"/>
      <c r="F1472" s="10"/>
      <c r="G1472" s="7"/>
      <c r="H1472" s="16" t="str">
        <f t="shared" si="22"/>
        <v>(1470,,'',,,,),</v>
      </c>
    </row>
    <row r="1473" spans="1:8" ht="20.100000000000001" customHeight="1" x14ac:dyDescent="0.25">
      <c r="A1473" s="3">
        <v>1471</v>
      </c>
      <c r="B1473" s="8"/>
      <c r="C1473" s="13"/>
      <c r="D1473" s="10"/>
      <c r="E1473" s="10"/>
      <c r="F1473" s="10"/>
      <c r="G1473" s="7"/>
      <c r="H1473" s="16" t="str">
        <f t="shared" si="22"/>
        <v>(1471,,'',,,,),</v>
      </c>
    </row>
    <row r="1474" spans="1:8" ht="20.100000000000001" customHeight="1" x14ac:dyDescent="0.25">
      <c r="A1474" s="3">
        <v>1472</v>
      </c>
      <c r="B1474" s="8"/>
      <c r="C1474" s="13"/>
      <c r="D1474" s="10"/>
      <c r="E1474" s="10"/>
      <c r="F1474" s="10"/>
      <c r="G1474" s="7"/>
      <c r="H1474" s="16" t="str">
        <f t="shared" si="22"/>
        <v>(1472,,'',,,,),</v>
      </c>
    </row>
    <row r="1475" spans="1:8" ht="20.100000000000001" customHeight="1" x14ac:dyDescent="0.25">
      <c r="A1475" s="3">
        <v>1473</v>
      </c>
      <c r="B1475" s="8"/>
      <c r="C1475" s="13"/>
      <c r="D1475" s="10"/>
      <c r="E1475" s="10"/>
      <c r="F1475" s="10"/>
      <c r="G1475" s="7"/>
      <c r="H1475" s="16" t="str">
        <f t="shared" si="22"/>
        <v>(1473,,'',,,,),</v>
      </c>
    </row>
    <row r="1476" spans="1:8" ht="20.100000000000001" customHeight="1" x14ac:dyDescent="0.25">
      <c r="A1476" s="3">
        <v>1474</v>
      </c>
      <c r="B1476" s="8"/>
      <c r="C1476" s="13"/>
      <c r="D1476" s="10"/>
      <c r="E1476" s="10"/>
      <c r="F1476" s="10"/>
      <c r="G1476" s="7"/>
      <c r="H1476" s="16" t="str">
        <f t="shared" ref="H1476:H1539" si="23">CONCATENATE("(",A1476,",",B1476,",'",C1476,"',",D1476,",",E1476,",",F1476,",",G1476,"),")</f>
        <v>(1474,,'',,,,),</v>
      </c>
    </row>
    <row r="1477" spans="1:8" ht="20.100000000000001" customHeight="1" x14ac:dyDescent="0.25">
      <c r="A1477" s="3">
        <v>1475</v>
      </c>
      <c r="B1477" s="8"/>
      <c r="C1477" s="13"/>
      <c r="D1477" s="10"/>
      <c r="E1477" s="10"/>
      <c r="F1477" s="10"/>
      <c r="G1477" s="7"/>
      <c r="H1477" s="16" t="str">
        <f t="shared" si="23"/>
        <v>(1475,,'',,,,),</v>
      </c>
    </row>
    <row r="1478" spans="1:8" ht="20.100000000000001" customHeight="1" x14ac:dyDescent="0.25">
      <c r="A1478" s="3">
        <v>1476</v>
      </c>
      <c r="B1478" s="8"/>
      <c r="C1478" s="13"/>
      <c r="D1478" s="10"/>
      <c r="E1478" s="10"/>
      <c r="F1478" s="10"/>
      <c r="G1478" s="7"/>
      <c r="H1478" s="16" t="str">
        <f t="shared" si="23"/>
        <v>(1476,,'',,,,),</v>
      </c>
    </row>
    <row r="1479" spans="1:8" ht="20.100000000000001" customHeight="1" x14ac:dyDescent="0.25">
      <c r="A1479" s="3">
        <v>1477</v>
      </c>
      <c r="B1479" s="8"/>
      <c r="C1479" s="13"/>
      <c r="D1479" s="10"/>
      <c r="E1479" s="10"/>
      <c r="F1479" s="10"/>
      <c r="G1479" s="7"/>
      <c r="H1479" s="16" t="str">
        <f t="shared" si="23"/>
        <v>(1477,,'',,,,),</v>
      </c>
    </row>
    <row r="1480" spans="1:8" ht="20.100000000000001" customHeight="1" x14ac:dyDescent="0.25">
      <c r="A1480" s="3">
        <v>1478</v>
      </c>
      <c r="B1480" s="8"/>
      <c r="C1480" s="13"/>
      <c r="D1480" s="10"/>
      <c r="E1480" s="10"/>
      <c r="F1480" s="10"/>
      <c r="G1480" s="7"/>
      <c r="H1480" s="16" t="str">
        <f t="shared" si="23"/>
        <v>(1478,,'',,,,),</v>
      </c>
    </row>
    <row r="1481" spans="1:8" ht="20.100000000000001" customHeight="1" x14ac:dyDescent="0.25">
      <c r="A1481" s="3">
        <v>1479</v>
      </c>
      <c r="B1481" s="8"/>
      <c r="C1481" s="13"/>
      <c r="D1481" s="10"/>
      <c r="E1481" s="10"/>
      <c r="F1481" s="10"/>
      <c r="G1481" s="7"/>
      <c r="H1481" s="16" t="str">
        <f t="shared" si="23"/>
        <v>(1479,,'',,,,),</v>
      </c>
    </row>
    <row r="1482" spans="1:8" ht="20.100000000000001" customHeight="1" x14ac:dyDescent="0.25">
      <c r="A1482" s="3">
        <v>1480</v>
      </c>
      <c r="B1482" s="8"/>
      <c r="C1482" s="13"/>
      <c r="D1482" s="10"/>
      <c r="E1482" s="10"/>
      <c r="F1482" s="10"/>
      <c r="G1482" s="7"/>
      <c r="H1482" s="16" t="str">
        <f t="shared" si="23"/>
        <v>(1480,,'',,,,),</v>
      </c>
    </row>
    <row r="1483" spans="1:8" ht="20.100000000000001" customHeight="1" x14ac:dyDescent="0.25">
      <c r="A1483" s="3">
        <v>1481</v>
      </c>
      <c r="B1483" s="8"/>
      <c r="C1483" s="13"/>
      <c r="D1483" s="10"/>
      <c r="E1483" s="10"/>
      <c r="F1483" s="10"/>
      <c r="G1483" s="7"/>
      <c r="H1483" s="16" t="str">
        <f t="shared" si="23"/>
        <v>(1481,,'',,,,),</v>
      </c>
    </row>
    <row r="1484" spans="1:8" ht="20.100000000000001" customHeight="1" x14ac:dyDescent="0.25">
      <c r="A1484" s="3">
        <v>1482</v>
      </c>
      <c r="B1484" s="8"/>
      <c r="C1484" s="13"/>
      <c r="D1484" s="10"/>
      <c r="E1484" s="10"/>
      <c r="F1484" s="10"/>
      <c r="G1484" s="7"/>
      <c r="H1484" s="16" t="str">
        <f t="shared" si="23"/>
        <v>(1482,,'',,,,),</v>
      </c>
    </row>
    <row r="1485" spans="1:8" ht="20.100000000000001" customHeight="1" x14ac:dyDescent="0.25">
      <c r="A1485" s="3">
        <v>1483</v>
      </c>
      <c r="B1485" s="8"/>
      <c r="C1485" s="13"/>
      <c r="D1485" s="10"/>
      <c r="E1485" s="10"/>
      <c r="F1485" s="10"/>
      <c r="G1485" s="7"/>
      <c r="H1485" s="16" t="str">
        <f t="shared" si="23"/>
        <v>(1483,,'',,,,),</v>
      </c>
    </row>
    <row r="1486" spans="1:8" ht="20.100000000000001" customHeight="1" x14ac:dyDescent="0.25">
      <c r="A1486" s="3">
        <v>1484</v>
      </c>
      <c r="B1486" s="8"/>
      <c r="C1486" s="13"/>
      <c r="D1486" s="10"/>
      <c r="E1486" s="10"/>
      <c r="F1486" s="10"/>
      <c r="G1486" s="7"/>
      <c r="H1486" s="16" t="str">
        <f t="shared" si="23"/>
        <v>(1484,,'',,,,),</v>
      </c>
    </row>
    <row r="1487" spans="1:8" ht="20.100000000000001" customHeight="1" x14ac:dyDescent="0.25">
      <c r="A1487" s="3">
        <v>1485</v>
      </c>
      <c r="B1487" s="8"/>
      <c r="C1487" s="13"/>
      <c r="D1487" s="10"/>
      <c r="E1487" s="10"/>
      <c r="F1487" s="10"/>
      <c r="G1487" s="7"/>
      <c r="H1487" s="16" t="str">
        <f t="shared" si="23"/>
        <v>(1485,,'',,,,),</v>
      </c>
    </row>
    <row r="1488" spans="1:8" ht="20.100000000000001" customHeight="1" x14ac:dyDescent="0.25">
      <c r="A1488" s="3">
        <v>1486</v>
      </c>
      <c r="B1488" s="8"/>
      <c r="C1488" s="13"/>
      <c r="D1488" s="10"/>
      <c r="E1488" s="10"/>
      <c r="F1488" s="10"/>
      <c r="G1488" s="7"/>
      <c r="H1488" s="16" t="str">
        <f t="shared" si="23"/>
        <v>(1486,,'',,,,),</v>
      </c>
    </row>
    <row r="1489" spans="1:8" ht="20.100000000000001" customHeight="1" x14ac:dyDescent="0.25">
      <c r="A1489" s="3">
        <v>1487</v>
      </c>
      <c r="B1489" s="8"/>
      <c r="C1489" s="13"/>
      <c r="D1489" s="10"/>
      <c r="E1489" s="10"/>
      <c r="F1489" s="10"/>
      <c r="G1489" s="7"/>
      <c r="H1489" s="16" t="str">
        <f t="shared" si="23"/>
        <v>(1487,,'',,,,),</v>
      </c>
    </row>
    <row r="1490" spans="1:8" ht="20.100000000000001" customHeight="1" x14ac:dyDescent="0.25">
      <c r="A1490" s="3">
        <v>1488</v>
      </c>
      <c r="B1490" s="8"/>
      <c r="C1490" s="13"/>
      <c r="D1490" s="10"/>
      <c r="E1490" s="10"/>
      <c r="F1490" s="10"/>
      <c r="G1490" s="7"/>
      <c r="H1490" s="16" t="str">
        <f t="shared" si="23"/>
        <v>(1488,,'',,,,),</v>
      </c>
    </row>
    <row r="1491" spans="1:8" ht="20.100000000000001" customHeight="1" x14ac:dyDescent="0.25">
      <c r="A1491" s="3">
        <v>1489</v>
      </c>
      <c r="B1491" s="8"/>
      <c r="C1491" s="13"/>
      <c r="D1491" s="10"/>
      <c r="E1491" s="10"/>
      <c r="F1491" s="10"/>
      <c r="G1491" s="7"/>
      <c r="H1491" s="16" t="str">
        <f t="shared" si="23"/>
        <v>(1489,,'',,,,),</v>
      </c>
    </row>
    <row r="1492" spans="1:8" ht="20.100000000000001" customHeight="1" x14ac:dyDescent="0.25">
      <c r="A1492" s="3">
        <v>1490</v>
      </c>
      <c r="B1492" s="8"/>
      <c r="C1492" s="13"/>
      <c r="D1492" s="10"/>
      <c r="E1492" s="10"/>
      <c r="F1492" s="10"/>
      <c r="G1492" s="7"/>
      <c r="H1492" s="16" t="str">
        <f t="shared" si="23"/>
        <v>(1490,,'',,,,),</v>
      </c>
    </row>
    <row r="1493" spans="1:8" ht="20.100000000000001" customHeight="1" x14ac:dyDescent="0.25">
      <c r="A1493" s="3">
        <v>1491</v>
      </c>
      <c r="B1493" s="8"/>
      <c r="C1493" s="13"/>
      <c r="D1493" s="10"/>
      <c r="E1493" s="10"/>
      <c r="F1493" s="10"/>
      <c r="G1493" s="7"/>
      <c r="H1493" s="16" t="str">
        <f t="shared" si="23"/>
        <v>(1491,,'',,,,),</v>
      </c>
    </row>
    <row r="1494" spans="1:8" ht="20.100000000000001" customHeight="1" x14ac:dyDescent="0.25">
      <c r="A1494" s="3">
        <v>1492</v>
      </c>
      <c r="B1494" s="8"/>
      <c r="C1494" s="13"/>
      <c r="D1494" s="10"/>
      <c r="E1494" s="10"/>
      <c r="F1494" s="10"/>
      <c r="G1494" s="7"/>
      <c r="H1494" s="16" t="str">
        <f t="shared" si="23"/>
        <v>(1492,,'',,,,),</v>
      </c>
    </row>
    <row r="1495" spans="1:8" ht="20.100000000000001" customHeight="1" x14ac:dyDescent="0.25">
      <c r="A1495" s="3">
        <v>1493</v>
      </c>
      <c r="B1495" s="8"/>
      <c r="C1495" s="13"/>
      <c r="D1495" s="10"/>
      <c r="E1495" s="10"/>
      <c r="F1495" s="10"/>
      <c r="G1495" s="7"/>
      <c r="H1495" s="16" t="str">
        <f t="shared" si="23"/>
        <v>(1493,,'',,,,),</v>
      </c>
    </row>
    <row r="1496" spans="1:8" ht="20.100000000000001" customHeight="1" x14ac:dyDescent="0.25">
      <c r="A1496" s="3">
        <v>1494</v>
      </c>
      <c r="B1496" s="8"/>
      <c r="C1496" s="13"/>
      <c r="D1496" s="10"/>
      <c r="E1496" s="10"/>
      <c r="F1496" s="10"/>
      <c r="G1496" s="7"/>
      <c r="H1496" s="16" t="str">
        <f t="shared" si="23"/>
        <v>(1494,,'',,,,),</v>
      </c>
    </row>
    <row r="1497" spans="1:8" ht="20.100000000000001" customHeight="1" x14ac:dyDescent="0.25">
      <c r="A1497" s="3">
        <v>1495</v>
      </c>
      <c r="B1497" s="8"/>
      <c r="C1497" s="13"/>
      <c r="D1497" s="10"/>
      <c r="E1497" s="10"/>
      <c r="F1497" s="10"/>
      <c r="G1497" s="7"/>
      <c r="H1497" s="16" t="str">
        <f t="shared" si="23"/>
        <v>(1495,,'',,,,),</v>
      </c>
    </row>
    <row r="1498" spans="1:8" ht="20.100000000000001" customHeight="1" x14ac:dyDescent="0.25">
      <c r="A1498" s="3">
        <v>1496</v>
      </c>
      <c r="B1498" s="8"/>
      <c r="C1498" s="13"/>
      <c r="D1498" s="10"/>
      <c r="E1498" s="10"/>
      <c r="F1498" s="10"/>
      <c r="G1498" s="7"/>
      <c r="H1498" s="16" t="str">
        <f t="shared" si="23"/>
        <v>(1496,,'',,,,),</v>
      </c>
    </row>
    <row r="1499" spans="1:8" ht="20.100000000000001" customHeight="1" x14ac:dyDescent="0.25">
      <c r="A1499" s="3">
        <v>1497</v>
      </c>
      <c r="B1499" s="8"/>
      <c r="C1499" s="13"/>
      <c r="D1499" s="10"/>
      <c r="E1499" s="10"/>
      <c r="F1499" s="10"/>
      <c r="G1499" s="7"/>
      <c r="H1499" s="16" t="str">
        <f t="shared" si="23"/>
        <v>(1497,,'',,,,),</v>
      </c>
    </row>
    <row r="1500" spans="1:8" ht="20.100000000000001" customHeight="1" x14ac:dyDescent="0.25">
      <c r="A1500" s="3">
        <v>1498</v>
      </c>
      <c r="B1500" s="8"/>
      <c r="C1500" s="13"/>
      <c r="D1500" s="10"/>
      <c r="E1500" s="10"/>
      <c r="F1500" s="10"/>
      <c r="G1500" s="7"/>
      <c r="H1500" s="16" t="str">
        <f t="shared" si="23"/>
        <v>(1498,,'',,,,),</v>
      </c>
    </row>
    <row r="1501" spans="1:8" ht="20.100000000000001" customHeight="1" x14ac:dyDescent="0.25">
      <c r="A1501" s="3">
        <v>1499</v>
      </c>
      <c r="B1501" s="8"/>
      <c r="C1501" s="13"/>
      <c r="D1501" s="10"/>
      <c r="E1501" s="10"/>
      <c r="F1501" s="10"/>
      <c r="G1501" s="7"/>
      <c r="H1501" s="16" t="str">
        <f t="shared" si="23"/>
        <v>(1499,,'',,,,),</v>
      </c>
    </row>
    <row r="1502" spans="1:8" ht="20.100000000000001" customHeight="1" x14ac:dyDescent="0.25">
      <c r="A1502" s="3">
        <v>1500</v>
      </c>
      <c r="B1502" s="8"/>
      <c r="C1502" s="13"/>
      <c r="D1502" s="10"/>
      <c r="E1502" s="10"/>
      <c r="F1502" s="10"/>
      <c r="G1502" s="7"/>
      <c r="H1502" s="16" t="str">
        <f t="shared" si="23"/>
        <v>(1500,,'',,,,),</v>
      </c>
    </row>
    <row r="1503" spans="1:8" ht="20.100000000000001" customHeight="1" x14ac:dyDescent="0.25">
      <c r="A1503" s="3">
        <v>1501</v>
      </c>
      <c r="B1503" s="8"/>
      <c r="C1503" s="13"/>
      <c r="D1503" s="10"/>
      <c r="E1503" s="10"/>
      <c r="F1503" s="10"/>
      <c r="G1503" s="7"/>
      <c r="H1503" s="16" t="str">
        <f t="shared" si="23"/>
        <v>(1501,,'',,,,),</v>
      </c>
    </row>
    <row r="1504" spans="1:8" ht="20.100000000000001" customHeight="1" x14ac:dyDescent="0.25">
      <c r="A1504" s="3">
        <v>1502</v>
      </c>
      <c r="B1504" s="8"/>
      <c r="C1504" s="13"/>
      <c r="D1504" s="10"/>
      <c r="E1504" s="10"/>
      <c r="F1504" s="10"/>
      <c r="G1504" s="7"/>
      <c r="H1504" s="16" t="str">
        <f t="shared" si="23"/>
        <v>(1502,,'',,,,),</v>
      </c>
    </row>
    <row r="1505" spans="1:8" ht="20.100000000000001" customHeight="1" x14ac:dyDescent="0.25">
      <c r="A1505" s="3">
        <v>1503</v>
      </c>
      <c r="B1505" s="8"/>
      <c r="C1505" s="13"/>
      <c r="D1505" s="10"/>
      <c r="E1505" s="10"/>
      <c r="F1505" s="10"/>
      <c r="G1505" s="7"/>
      <c r="H1505" s="16" t="str">
        <f t="shared" si="23"/>
        <v>(1503,,'',,,,),</v>
      </c>
    </row>
    <row r="1506" spans="1:8" ht="20.100000000000001" customHeight="1" x14ac:dyDescent="0.25">
      <c r="A1506" s="3">
        <v>1504</v>
      </c>
      <c r="B1506" s="8"/>
      <c r="C1506" s="13"/>
      <c r="D1506" s="10"/>
      <c r="E1506" s="10"/>
      <c r="F1506" s="10"/>
      <c r="G1506" s="7"/>
      <c r="H1506" s="16" t="str">
        <f t="shared" si="23"/>
        <v>(1504,,'',,,,),</v>
      </c>
    </row>
    <row r="1507" spans="1:8" ht="20.100000000000001" customHeight="1" x14ac:dyDescent="0.25">
      <c r="A1507" s="3">
        <v>1505</v>
      </c>
      <c r="B1507" s="8"/>
      <c r="C1507" s="13"/>
      <c r="D1507" s="10"/>
      <c r="E1507" s="10"/>
      <c r="F1507" s="10"/>
      <c r="G1507" s="7"/>
      <c r="H1507" s="16" t="str">
        <f t="shared" si="23"/>
        <v>(1505,,'',,,,),</v>
      </c>
    </row>
    <row r="1508" spans="1:8" ht="20.100000000000001" customHeight="1" x14ac:dyDescent="0.25">
      <c r="A1508" s="3">
        <v>1506</v>
      </c>
      <c r="B1508" s="8"/>
      <c r="C1508" s="13"/>
      <c r="D1508" s="10"/>
      <c r="E1508" s="10"/>
      <c r="F1508" s="10"/>
      <c r="G1508" s="7"/>
      <c r="H1508" s="16" t="str">
        <f t="shared" si="23"/>
        <v>(1506,,'',,,,),</v>
      </c>
    </row>
    <row r="1509" spans="1:8" ht="20.100000000000001" customHeight="1" x14ac:dyDescent="0.25">
      <c r="A1509" s="3">
        <v>1507</v>
      </c>
      <c r="B1509" s="8"/>
      <c r="C1509" s="13"/>
      <c r="D1509" s="10"/>
      <c r="E1509" s="10"/>
      <c r="F1509" s="10"/>
      <c r="G1509" s="7"/>
      <c r="H1509" s="16" t="str">
        <f t="shared" si="23"/>
        <v>(1507,,'',,,,),</v>
      </c>
    </row>
    <row r="1510" spans="1:8" ht="20.100000000000001" customHeight="1" x14ac:dyDescent="0.25">
      <c r="A1510" s="3">
        <v>1508</v>
      </c>
      <c r="B1510" s="8"/>
      <c r="C1510" s="13"/>
      <c r="D1510" s="10"/>
      <c r="E1510" s="10"/>
      <c r="F1510" s="10"/>
      <c r="G1510" s="7"/>
      <c r="H1510" s="16" t="str">
        <f t="shared" si="23"/>
        <v>(1508,,'',,,,),</v>
      </c>
    </row>
    <row r="1511" spans="1:8" ht="20.100000000000001" customHeight="1" x14ac:dyDescent="0.25">
      <c r="A1511" s="3">
        <v>1509</v>
      </c>
      <c r="B1511" s="8"/>
      <c r="C1511" s="13"/>
      <c r="D1511" s="10"/>
      <c r="E1511" s="10"/>
      <c r="F1511" s="10"/>
      <c r="G1511" s="7"/>
      <c r="H1511" s="16" t="str">
        <f t="shared" si="23"/>
        <v>(1509,,'',,,,),</v>
      </c>
    </row>
    <row r="1512" spans="1:8" ht="20.100000000000001" customHeight="1" x14ac:dyDescent="0.25">
      <c r="A1512" s="3">
        <v>1510</v>
      </c>
      <c r="B1512" s="8"/>
      <c r="C1512" s="13"/>
      <c r="D1512" s="10"/>
      <c r="E1512" s="10"/>
      <c r="F1512" s="10"/>
      <c r="G1512" s="7"/>
      <c r="H1512" s="16" t="str">
        <f t="shared" si="23"/>
        <v>(1510,,'',,,,),</v>
      </c>
    </row>
    <row r="1513" spans="1:8" ht="20.100000000000001" customHeight="1" x14ac:dyDescent="0.25">
      <c r="A1513" s="3">
        <v>1511</v>
      </c>
      <c r="B1513" s="8"/>
      <c r="C1513" s="13"/>
      <c r="D1513" s="10"/>
      <c r="E1513" s="10"/>
      <c r="F1513" s="10"/>
      <c r="G1513" s="7"/>
      <c r="H1513" s="16" t="str">
        <f t="shared" si="23"/>
        <v>(1511,,'',,,,),</v>
      </c>
    </row>
    <row r="1514" spans="1:8" ht="20.100000000000001" customHeight="1" x14ac:dyDescent="0.25">
      <c r="A1514" s="3">
        <v>1512</v>
      </c>
      <c r="B1514" s="8"/>
      <c r="C1514" s="13"/>
      <c r="D1514" s="10"/>
      <c r="E1514" s="10"/>
      <c r="F1514" s="10"/>
      <c r="G1514" s="7"/>
      <c r="H1514" s="16" t="str">
        <f t="shared" si="23"/>
        <v>(1512,,'',,,,),</v>
      </c>
    </row>
    <row r="1515" spans="1:8" ht="20.100000000000001" customHeight="1" x14ac:dyDescent="0.25">
      <c r="A1515" s="3">
        <v>1513</v>
      </c>
      <c r="B1515" s="8"/>
      <c r="C1515" s="13"/>
      <c r="D1515" s="10"/>
      <c r="E1515" s="10"/>
      <c r="F1515" s="10"/>
      <c r="G1515" s="7"/>
      <c r="H1515" s="16" t="str">
        <f t="shared" si="23"/>
        <v>(1513,,'',,,,),</v>
      </c>
    </row>
    <row r="1516" spans="1:8" ht="20.100000000000001" customHeight="1" x14ac:dyDescent="0.25">
      <c r="A1516" s="3">
        <v>1514</v>
      </c>
      <c r="B1516" s="8"/>
      <c r="C1516" s="13"/>
      <c r="D1516" s="10"/>
      <c r="E1516" s="10"/>
      <c r="F1516" s="10"/>
      <c r="G1516" s="7"/>
      <c r="H1516" s="16" t="str">
        <f t="shared" si="23"/>
        <v>(1514,,'',,,,),</v>
      </c>
    </row>
    <row r="1517" spans="1:8" ht="20.100000000000001" customHeight="1" x14ac:dyDescent="0.25">
      <c r="A1517" s="3">
        <v>1515</v>
      </c>
      <c r="B1517" s="8"/>
      <c r="C1517" s="13"/>
      <c r="D1517" s="10"/>
      <c r="E1517" s="10"/>
      <c r="F1517" s="10"/>
      <c r="G1517" s="7"/>
      <c r="H1517" s="16" t="str">
        <f t="shared" si="23"/>
        <v>(1515,,'',,,,),</v>
      </c>
    </row>
    <row r="1518" spans="1:8" ht="20.100000000000001" customHeight="1" x14ac:dyDescent="0.25">
      <c r="A1518" s="3">
        <v>1516</v>
      </c>
      <c r="B1518" s="8"/>
      <c r="C1518" s="13"/>
      <c r="D1518" s="10"/>
      <c r="E1518" s="10"/>
      <c r="F1518" s="10"/>
      <c r="G1518" s="7"/>
      <c r="H1518" s="16" t="str">
        <f t="shared" si="23"/>
        <v>(1516,,'',,,,),</v>
      </c>
    </row>
    <row r="1519" spans="1:8" ht="20.100000000000001" customHeight="1" x14ac:dyDescent="0.25">
      <c r="A1519" s="3">
        <v>1517</v>
      </c>
      <c r="B1519" s="8"/>
      <c r="C1519" s="13"/>
      <c r="D1519" s="10"/>
      <c r="E1519" s="10"/>
      <c r="F1519" s="10"/>
      <c r="G1519" s="7"/>
      <c r="H1519" s="16" t="str">
        <f t="shared" si="23"/>
        <v>(1517,,'',,,,),</v>
      </c>
    </row>
    <row r="1520" spans="1:8" ht="20.100000000000001" customHeight="1" x14ac:dyDescent="0.25">
      <c r="A1520" s="3">
        <v>1518</v>
      </c>
      <c r="B1520" s="8"/>
      <c r="C1520" s="13"/>
      <c r="D1520" s="10"/>
      <c r="E1520" s="10"/>
      <c r="F1520" s="10"/>
      <c r="G1520" s="7"/>
      <c r="H1520" s="16" t="str">
        <f t="shared" si="23"/>
        <v>(1518,,'',,,,),</v>
      </c>
    </row>
    <row r="1521" spans="1:8" ht="20.100000000000001" customHeight="1" x14ac:dyDescent="0.25">
      <c r="A1521" s="3">
        <v>1519</v>
      </c>
      <c r="B1521" s="8"/>
      <c r="C1521" s="13"/>
      <c r="D1521" s="10"/>
      <c r="E1521" s="10"/>
      <c r="F1521" s="10"/>
      <c r="G1521" s="7"/>
      <c r="H1521" s="16" t="str">
        <f t="shared" si="23"/>
        <v>(1519,,'',,,,),</v>
      </c>
    </row>
    <row r="1522" spans="1:8" ht="20.100000000000001" customHeight="1" x14ac:dyDescent="0.25">
      <c r="A1522" s="3">
        <v>1520</v>
      </c>
      <c r="B1522" s="8"/>
      <c r="C1522" s="13"/>
      <c r="D1522" s="10"/>
      <c r="E1522" s="10"/>
      <c r="F1522" s="10"/>
      <c r="G1522" s="7"/>
      <c r="H1522" s="16" t="str">
        <f t="shared" si="23"/>
        <v>(1520,,'',,,,),</v>
      </c>
    </row>
    <row r="1523" spans="1:8" ht="20.100000000000001" customHeight="1" x14ac:dyDescent="0.25">
      <c r="A1523" s="3">
        <v>1521</v>
      </c>
      <c r="B1523" s="8"/>
      <c r="C1523" s="13"/>
      <c r="D1523" s="10"/>
      <c r="E1523" s="10"/>
      <c r="F1523" s="10"/>
      <c r="G1523" s="7"/>
      <c r="H1523" s="16" t="str">
        <f t="shared" si="23"/>
        <v>(1521,,'',,,,),</v>
      </c>
    </row>
    <row r="1524" spans="1:8" ht="20.100000000000001" customHeight="1" x14ac:dyDescent="0.25">
      <c r="A1524" s="3">
        <v>1522</v>
      </c>
      <c r="B1524" s="8"/>
      <c r="C1524" s="13"/>
      <c r="D1524" s="10"/>
      <c r="E1524" s="10"/>
      <c r="F1524" s="10"/>
      <c r="G1524" s="7"/>
      <c r="H1524" s="16" t="str">
        <f t="shared" si="23"/>
        <v>(1522,,'',,,,),</v>
      </c>
    </row>
    <row r="1525" spans="1:8" ht="20.100000000000001" customHeight="1" x14ac:dyDescent="0.25">
      <c r="A1525" s="3">
        <v>1523</v>
      </c>
      <c r="B1525" s="8"/>
      <c r="C1525" s="13"/>
      <c r="D1525" s="10"/>
      <c r="E1525" s="10"/>
      <c r="F1525" s="10"/>
      <c r="G1525" s="7"/>
      <c r="H1525" s="16" t="str">
        <f t="shared" si="23"/>
        <v>(1523,,'',,,,),</v>
      </c>
    </row>
    <row r="1526" spans="1:8" ht="20.100000000000001" customHeight="1" x14ac:dyDescent="0.25">
      <c r="A1526" s="3">
        <v>1524</v>
      </c>
      <c r="B1526" s="8"/>
      <c r="C1526" s="13"/>
      <c r="D1526" s="10"/>
      <c r="E1526" s="10"/>
      <c r="F1526" s="10"/>
      <c r="G1526" s="7"/>
      <c r="H1526" s="16" t="str">
        <f t="shared" si="23"/>
        <v>(1524,,'',,,,),</v>
      </c>
    </row>
    <row r="1527" spans="1:8" ht="20.100000000000001" customHeight="1" x14ac:dyDescent="0.25">
      <c r="A1527" s="3">
        <v>1525</v>
      </c>
      <c r="B1527" s="8"/>
      <c r="C1527" s="13"/>
      <c r="D1527" s="10"/>
      <c r="E1527" s="10"/>
      <c r="F1527" s="10"/>
      <c r="G1527" s="7"/>
      <c r="H1527" s="16" t="str">
        <f t="shared" si="23"/>
        <v>(1525,,'',,,,),</v>
      </c>
    </row>
    <row r="1528" spans="1:8" ht="20.100000000000001" customHeight="1" x14ac:dyDescent="0.25">
      <c r="A1528" s="3">
        <v>1526</v>
      </c>
      <c r="B1528" s="8"/>
      <c r="C1528" s="13"/>
      <c r="D1528" s="10"/>
      <c r="E1528" s="10"/>
      <c r="F1528" s="10"/>
      <c r="G1528" s="7"/>
      <c r="H1528" s="16" t="str">
        <f t="shared" si="23"/>
        <v>(1526,,'',,,,),</v>
      </c>
    </row>
    <row r="1529" spans="1:8" ht="20.100000000000001" customHeight="1" x14ac:dyDescent="0.25">
      <c r="A1529" s="3">
        <v>1527</v>
      </c>
      <c r="B1529" s="8"/>
      <c r="C1529" s="13"/>
      <c r="D1529" s="10"/>
      <c r="E1529" s="10"/>
      <c r="F1529" s="10"/>
      <c r="G1529" s="7"/>
      <c r="H1529" s="16" t="str">
        <f t="shared" si="23"/>
        <v>(1527,,'',,,,),</v>
      </c>
    </row>
    <row r="1530" spans="1:8" ht="20.100000000000001" customHeight="1" x14ac:dyDescent="0.25">
      <c r="A1530" s="3">
        <v>1528</v>
      </c>
      <c r="B1530" s="8"/>
      <c r="C1530" s="13"/>
      <c r="D1530" s="10"/>
      <c r="E1530" s="10"/>
      <c r="F1530" s="10"/>
      <c r="G1530" s="7"/>
      <c r="H1530" s="16" t="str">
        <f t="shared" si="23"/>
        <v>(1528,,'',,,,),</v>
      </c>
    </row>
    <row r="1531" spans="1:8" ht="20.100000000000001" customHeight="1" x14ac:dyDescent="0.25">
      <c r="A1531" s="3">
        <v>1529</v>
      </c>
      <c r="B1531" s="8"/>
      <c r="C1531" s="13"/>
      <c r="D1531" s="10"/>
      <c r="E1531" s="10"/>
      <c r="F1531" s="10"/>
      <c r="G1531" s="7"/>
      <c r="H1531" s="16" t="str">
        <f t="shared" si="23"/>
        <v>(1529,,'',,,,),</v>
      </c>
    </row>
    <row r="1532" spans="1:8" ht="20.100000000000001" customHeight="1" x14ac:dyDescent="0.25">
      <c r="A1532" s="3">
        <v>1530</v>
      </c>
      <c r="B1532" s="8"/>
      <c r="C1532" s="13"/>
      <c r="D1532" s="10"/>
      <c r="E1532" s="10"/>
      <c r="F1532" s="10"/>
      <c r="G1532" s="7"/>
      <c r="H1532" s="16" t="str">
        <f t="shared" si="23"/>
        <v>(1530,,'',,,,),</v>
      </c>
    </row>
    <row r="1533" spans="1:8" ht="20.100000000000001" customHeight="1" x14ac:dyDescent="0.25">
      <c r="A1533" s="3">
        <v>1531</v>
      </c>
      <c r="B1533" s="8"/>
      <c r="C1533" s="13"/>
      <c r="D1533" s="10"/>
      <c r="E1533" s="10"/>
      <c r="F1533" s="10"/>
      <c r="G1533" s="7"/>
      <c r="H1533" s="16" t="str">
        <f t="shared" si="23"/>
        <v>(1531,,'',,,,),</v>
      </c>
    </row>
    <row r="1534" spans="1:8" ht="20.100000000000001" customHeight="1" x14ac:dyDescent="0.25">
      <c r="A1534" s="3">
        <v>1532</v>
      </c>
      <c r="B1534" s="8"/>
      <c r="C1534" s="13"/>
      <c r="D1534" s="10"/>
      <c r="E1534" s="10"/>
      <c r="F1534" s="10"/>
      <c r="G1534" s="7"/>
      <c r="H1534" s="16" t="str">
        <f t="shared" si="23"/>
        <v>(1532,,'',,,,),</v>
      </c>
    </row>
    <row r="1535" spans="1:8" ht="20.100000000000001" customHeight="1" x14ac:dyDescent="0.25">
      <c r="A1535" s="3">
        <v>1533</v>
      </c>
      <c r="B1535" s="8"/>
      <c r="C1535" s="13"/>
      <c r="D1535" s="10"/>
      <c r="E1535" s="10"/>
      <c r="F1535" s="10"/>
      <c r="G1535" s="7"/>
      <c r="H1535" s="16" t="str">
        <f t="shared" si="23"/>
        <v>(1533,,'',,,,),</v>
      </c>
    </row>
    <row r="1536" spans="1:8" ht="20.100000000000001" customHeight="1" x14ac:dyDescent="0.25">
      <c r="A1536" s="3">
        <v>1534</v>
      </c>
      <c r="B1536" s="8"/>
      <c r="C1536" s="13"/>
      <c r="D1536" s="10"/>
      <c r="E1536" s="10"/>
      <c r="F1536" s="10"/>
      <c r="G1536" s="7"/>
      <c r="H1536" s="16" t="str">
        <f t="shared" si="23"/>
        <v>(1534,,'',,,,),</v>
      </c>
    </row>
    <row r="1537" spans="1:8" ht="20.100000000000001" customHeight="1" x14ac:dyDescent="0.25">
      <c r="A1537" s="3">
        <v>1535</v>
      </c>
      <c r="B1537" s="8"/>
      <c r="C1537" s="13"/>
      <c r="D1537" s="10"/>
      <c r="E1537" s="10"/>
      <c r="F1537" s="10"/>
      <c r="G1537" s="7"/>
      <c r="H1537" s="16" t="str">
        <f t="shared" si="23"/>
        <v>(1535,,'',,,,),</v>
      </c>
    </row>
    <row r="1538" spans="1:8" ht="20.100000000000001" customHeight="1" x14ac:dyDescent="0.25">
      <c r="A1538" s="3">
        <v>1536</v>
      </c>
      <c r="B1538" s="8"/>
      <c r="C1538" s="13"/>
      <c r="D1538" s="10"/>
      <c r="E1538" s="10"/>
      <c r="F1538" s="10"/>
      <c r="G1538" s="7"/>
      <c r="H1538" s="16" t="str">
        <f t="shared" si="23"/>
        <v>(1536,,'',,,,),</v>
      </c>
    </row>
    <row r="1539" spans="1:8" ht="20.100000000000001" customHeight="1" x14ac:dyDescent="0.25">
      <c r="A1539" s="3">
        <v>1537</v>
      </c>
      <c r="B1539" s="8"/>
      <c r="C1539" s="13"/>
      <c r="D1539" s="10"/>
      <c r="E1539" s="10"/>
      <c r="F1539" s="10"/>
      <c r="G1539" s="7"/>
      <c r="H1539" s="16" t="str">
        <f t="shared" si="23"/>
        <v>(1537,,'',,,,),</v>
      </c>
    </row>
    <row r="1540" spans="1:8" ht="20.100000000000001" customHeight="1" x14ac:dyDescent="0.25">
      <c r="A1540" s="3">
        <v>1538</v>
      </c>
      <c r="B1540" s="8"/>
      <c r="C1540" s="13"/>
      <c r="D1540" s="10"/>
      <c r="E1540" s="10"/>
      <c r="F1540" s="10"/>
      <c r="G1540" s="7"/>
      <c r="H1540" s="16" t="str">
        <f t="shared" ref="H1540:H1543" si="24">CONCATENATE("(",A1540,",",B1540,",'",C1540,"',",D1540,",",E1540,",",F1540,",",G1540,"),")</f>
        <v>(1538,,'',,,,),</v>
      </c>
    </row>
    <row r="1541" spans="1:8" ht="20.100000000000001" customHeight="1" x14ac:dyDescent="0.25">
      <c r="A1541" s="3">
        <v>1539</v>
      </c>
      <c r="B1541" s="8"/>
      <c r="C1541" s="13"/>
      <c r="D1541" s="10"/>
      <c r="E1541" s="10"/>
      <c r="F1541" s="10"/>
      <c r="G1541" s="7"/>
      <c r="H1541" s="16" t="str">
        <f t="shared" si="24"/>
        <v>(1539,,'',,,,),</v>
      </c>
    </row>
    <row r="1542" spans="1:8" ht="20.100000000000001" customHeight="1" x14ac:dyDescent="0.25">
      <c r="A1542" s="3">
        <v>1540</v>
      </c>
      <c r="B1542" s="8"/>
      <c r="C1542" s="13"/>
      <c r="D1542" s="10"/>
      <c r="E1542" s="10"/>
      <c r="F1542" s="10"/>
      <c r="G1542" s="7"/>
      <c r="H1542" s="16" t="str">
        <f t="shared" si="24"/>
        <v>(1540,,'',,,,),</v>
      </c>
    </row>
    <row r="1543" spans="1:8" ht="20.100000000000001" customHeight="1" x14ac:dyDescent="0.25">
      <c r="A1543" s="3">
        <v>1541</v>
      </c>
      <c r="B1543" s="8"/>
      <c r="C1543" s="13"/>
      <c r="D1543" s="10"/>
      <c r="E1543" s="10"/>
      <c r="F1543" s="10"/>
      <c r="G1543" s="7"/>
      <c r="H1543" s="16" t="str">
        <f t="shared" si="24"/>
        <v>(1541,,'',,,,),</v>
      </c>
    </row>
  </sheetData>
  <autoFilter ref="A2:H1543"/>
  <phoneticPr fontId="2" type="noConversion"/>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030A0"/>
  </sheetPr>
  <dimension ref="A1:H22"/>
  <sheetViews>
    <sheetView topLeftCell="A4" workbookViewId="0">
      <selection activeCell="C18" sqref="C18"/>
    </sheetView>
  </sheetViews>
  <sheetFormatPr baseColWidth="10" defaultColWidth="10.85546875" defaultRowHeight="15.75" x14ac:dyDescent="0.25"/>
  <cols>
    <col min="1" max="1" width="5.5703125" style="2" customWidth="1"/>
    <col min="2" max="2" width="10.5703125" style="2" customWidth="1"/>
    <col min="3" max="5" width="30.5703125" style="2" customWidth="1"/>
    <col min="6" max="7" width="10.5703125" style="2" customWidth="1"/>
    <col min="8" max="8" width="100.7109375" style="2" customWidth="1"/>
    <col min="9" max="16384" width="10.85546875" style="2"/>
  </cols>
  <sheetData>
    <row r="1" spans="1:8" ht="20.100000000000001" customHeight="1" x14ac:dyDescent="0.25">
      <c r="A1" s="1" t="s">
        <v>37</v>
      </c>
      <c r="B1" s="1" t="s">
        <v>54</v>
      </c>
      <c r="C1" s="1" t="s">
        <v>38</v>
      </c>
      <c r="D1" s="1" t="s">
        <v>39</v>
      </c>
      <c r="E1" s="1" t="s">
        <v>40</v>
      </c>
      <c r="F1" s="1" t="s">
        <v>4083</v>
      </c>
      <c r="G1" s="1" t="s">
        <v>4084</v>
      </c>
      <c r="H1" s="1" t="s">
        <v>5597</v>
      </c>
    </row>
    <row r="2" spans="1:8" ht="20.100000000000001" customHeight="1" x14ac:dyDescent="0.25">
      <c r="A2" s="1" t="s">
        <v>44</v>
      </c>
      <c r="B2" s="1" t="s">
        <v>41</v>
      </c>
      <c r="C2" s="1" t="s">
        <v>42</v>
      </c>
      <c r="D2" s="1" t="s">
        <v>43</v>
      </c>
      <c r="E2" s="1" t="s">
        <v>53</v>
      </c>
      <c r="F2" s="1" t="s">
        <v>2094</v>
      </c>
      <c r="G2" s="1" t="s">
        <v>4077</v>
      </c>
      <c r="H2" s="1" t="s">
        <v>5617</v>
      </c>
    </row>
    <row r="3" spans="1:8" ht="20.100000000000001" customHeight="1" x14ac:dyDescent="0.25">
      <c r="A3" s="3">
        <v>1</v>
      </c>
      <c r="B3" s="8" t="s">
        <v>4085</v>
      </c>
      <c r="C3" s="4" t="s">
        <v>4086</v>
      </c>
      <c r="D3" s="4" t="s">
        <v>4087</v>
      </c>
      <c r="E3" s="4" t="s">
        <v>4088</v>
      </c>
      <c r="F3" s="7">
        <v>1</v>
      </c>
      <c r="G3" s="7" t="s">
        <v>972</v>
      </c>
      <c r="H3" s="16" t="str">
        <f>CONCATENATE("(",A3,",'",B3,"','",C3,"','",D3,"','",E3,"',",F3,",",G3,"),")</f>
        <v>(1,'DG','المديرية العامة سوناطراك','General Directorate - SONATRACH','Direction Générale SONATRACH',1,NULL),</v>
      </c>
    </row>
    <row r="4" spans="1:8" ht="20.100000000000001" customHeight="1" x14ac:dyDescent="0.25">
      <c r="A4" s="3">
        <v>2</v>
      </c>
      <c r="B4" s="8" t="s">
        <v>4089</v>
      </c>
      <c r="C4" s="4" t="s">
        <v>4090</v>
      </c>
      <c r="D4" s="4" t="s">
        <v>4091</v>
      </c>
      <c r="E4" s="4" t="s">
        <v>4092</v>
      </c>
      <c r="F4" s="7">
        <v>2</v>
      </c>
      <c r="G4" s="7">
        <v>1</v>
      </c>
      <c r="H4" s="16" t="str">
        <f t="shared" ref="H4:H22" si="0">CONCATENATE("(",A4,",'",B4,"','",C4,"','",D4,"','",E4,"',",F4,",",G4,"),")</f>
        <v>(2,'EP','الاستكشاف والإنتاج','Exploration &amp; Production','Exploration et Production',2,1),</v>
      </c>
    </row>
    <row r="5" spans="1:8" ht="20.100000000000001" customHeight="1" x14ac:dyDescent="0.25">
      <c r="A5" s="3">
        <v>3</v>
      </c>
      <c r="B5" s="8" t="s">
        <v>4093</v>
      </c>
      <c r="C5" s="4" t="s">
        <v>4094</v>
      </c>
      <c r="D5" s="4" t="s">
        <v>4095</v>
      </c>
      <c r="E5" s="4" t="s">
        <v>4096</v>
      </c>
      <c r="F5" s="7">
        <v>2</v>
      </c>
      <c r="G5" s="7">
        <v>1</v>
      </c>
      <c r="H5" s="16" t="str">
        <f t="shared" si="0"/>
        <v>(3,'TRC','النقل عبر الأنابيب','Transport by Pipelines','Transport par Canalisations',2,1),</v>
      </c>
    </row>
    <row r="6" spans="1:8" ht="20.100000000000001" customHeight="1" x14ac:dyDescent="0.25">
      <c r="A6" s="3">
        <v>4</v>
      </c>
      <c r="B6" s="8" t="s">
        <v>4097</v>
      </c>
      <c r="C6" s="4" t="s">
        <v>4098</v>
      </c>
      <c r="D6" s="4" t="s">
        <v>4099</v>
      </c>
      <c r="E6" s="4" t="s">
        <v>4100</v>
      </c>
      <c r="F6" s="7">
        <v>2</v>
      </c>
      <c r="G6" s="7">
        <v>1</v>
      </c>
      <c r="H6" s="16" t="str">
        <f t="shared" si="0"/>
        <v>(4,'LQS','التسييل والفصل','Liquefaction &amp; Separation','Liquéfaction et Séparation',2,1),</v>
      </c>
    </row>
    <row r="7" spans="1:8" ht="20.100000000000001" customHeight="1" x14ac:dyDescent="0.25">
      <c r="A7" s="3">
        <v>5</v>
      </c>
      <c r="B7" s="8" t="s">
        <v>4101</v>
      </c>
      <c r="C7" s="4" t="s">
        <v>4102</v>
      </c>
      <c r="D7" s="4" t="s">
        <v>4103</v>
      </c>
      <c r="E7" s="4" t="s">
        <v>4104</v>
      </c>
      <c r="F7" s="7">
        <v>2</v>
      </c>
      <c r="G7" s="7">
        <v>1</v>
      </c>
      <c r="H7" s="16" t="str">
        <f t="shared" si="0"/>
        <v>(5,'RPC','التكرير والبتروكيماويات','Refining &amp; Petrochemicals','Raffinage et Pétrochimie',2,1),</v>
      </c>
    </row>
    <row r="8" spans="1:8" ht="20.100000000000001" customHeight="1" x14ac:dyDescent="0.25">
      <c r="A8" s="3">
        <v>6</v>
      </c>
      <c r="B8" s="8" t="s">
        <v>4105</v>
      </c>
      <c r="C8" s="4" t="s">
        <v>4106</v>
      </c>
      <c r="D8" s="4" t="s">
        <v>4107</v>
      </c>
      <c r="E8" s="4" t="s">
        <v>4108</v>
      </c>
      <c r="F8" s="7">
        <v>2</v>
      </c>
      <c r="G8" s="7">
        <v>1</v>
      </c>
      <c r="H8" s="16" t="str">
        <f t="shared" si="0"/>
        <v>(6,'COM','التسويق','Commercialization','Commercialisation',2,1),</v>
      </c>
    </row>
    <row r="9" spans="1:8" ht="20.100000000000001" customHeight="1" x14ac:dyDescent="0.25">
      <c r="A9" s="3">
        <v>7</v>
      </c>
      <c r="B9" s="8" t="s">
        <v>4109</v>
      </c>
      <c r="C9" s="4" t="s">
        <v>4110</v>
      </c>
      <c r="D9" s="4" t="s">
        <v>4111</v>
      </c>
      <c r="E9" s="4" t="s">
        <v>4112</v>
      </c>
      <c r="F9" s="7">
        <v>3</v>
      </c>
      <c r="G9" s="7">
        <v>3</v>
      </c>
      <c r="H9" s="16" t="str">
        <f t="shared" si="0"/>
        <v>(7,'EXP','قسم الاستغلال','Operations Division','Division Exploitation',3,3),</v>
      </c>
    </row>
    <row r="10" spans="1:8" ht="20.100000000000001" customHeight="1" x14ac:dyDescent="0.25">
      <c r="A10" s="3">
        <v>8</v>
      </c>
      <c r="B10" s="8" t="s">
        <v>4113</v>
      </c>
      <c r="C10" s="4" t="s">
        <v>4114</v>
      </c>
      <c r="D10" s="4" t="s">
        <v>4115</v>
      </c>
      <c r="E10" s="4" t="s">
        <v>4116</v>
      </c>
      <c r="F10" s="7">
        <v>3</v>
      </c>
      <c r="G10" s="7">
        <v>3</v>
      </c>
      <c r="H10" s="16" t="str">
        <f t="shared" si="0"/>
        <v>(8,'MNT','قسم الصيانة','Maintenance Division','Division Maintenance',3,3),</v>
      </c>
    </row>
    <row r="11" spans="1:8" ht="20.100000000000001" customHeight="1" x14ac:dyDescent="0.25">
      <c r="A11" s="3">
        <v>9</v>
      </c>
      <c r="B11" s="8" t="s">
        <v>4117</v>
      </c>
      <c r="C11" s="4" t="s">
        <v>4118</v>
      </c>
      <c r="D11" s="4" t="s">
        <v>4119</v>
      </c>
      <c r="E11" s="4" t="s">
        <v>4120</v>
      </c>
      <c r="F11" s="7">
        <v>3</v>
      </c>
      <c r="G11" s="7">
        <v>3</v>
      </c>
      <c r="H11" s="16" t="str">
        <f t="shared" si="0"/>
        <v>(9,'ESR','قسم الدراسات ومتابعة الإنجازات','Studies and Works Monitoring Division','Division Étude et Suivi des Réalisations',3,3),</v>
      </c>
    </row>
    <row r="12" spans="1:8" ht="20.100000000000001" customHeight="1" x14ac:dyDescent="0.25">
      <c r="A12" s="3">
        <v>10</v>
      </c>
      <c r="B12" s="8" t="s">
        <v>4121</v>
      </c>
      <c r="C12" s="4" t="s">
        <v>4122</v>
      </c>
      <c r="D12" s="4" t="s">
        <v>4123</v>
      </c>
      <c r="E12" s="4" t="s">
        <v>4124</v>
      </c>
      <c r="F12" s="7">
        <v>4</v>
      </c>
      <c r="G12" s="7">
        <v>7</v>
      </c>
      <c r="H12" s="16" t="str">
        <f t="shared" si="0"/>
        <v>(10,'GFG','مديرية تسيير تدفق الغاز','Gas Flow Management Directorate','Direction Gestion Flux Gaz',4,7),</v>
      </c>
    </row>
    <row r="13" spans="1:8" ht="20.100000000000001" customHeight="1" x14ac:dyDescent="0.25">
      <c r="A13" s="3">
        <v>11</v>
      </c>
      <c r="B13" s="8" t="s">
        <v>4125</v>
      </c>
      <c r="C13" s="4" t="s">
        <v>4126</v>
      </c>
      <c r="D13" s="4" t="s">
        <v>4127</v>
      </c>
      <c r="E13" s="4" t="s">
        <v>4128</v>
      </c>
      <c r="F13" s="7">
        <v>6</v>
      </c>
      <c r="G13" s="7">
        <v>7</v>
      </c>
      <c r="H13" s="16" t="str">
        <f t="shared" si="0"/>
        <v>(11,'RTO','المديرية الجهوية للنقل غرب','Western Regional Transport Directorate','Direction Regionale de Transport Ouest',6,7),</v>
      </c>
    </row>
    <row r="14" spans="1:8" ht="20.100000000000001" customHeight="1" x14ac:dyDescent="0.25">
      <c r="A14" s="3">
        <v>12</v>
      </c>
      <c r="B14" s="8" t="s">
        <v>4129</v>
      </c>
      <c r="C14" s="4" t="s">
        <v>4130</v>
      </c>
      <c r="D14" s="4" t="s">
        <v>4131</v>
      </c>
      <c r="E14" s="4" t="s">
        <v>4132</v>
      </c>
      <c r="F14" s="7">
        <v>6</v>
      </c>
      <c r="G14" s="7">
        <v>7</v>
      </c>
      <c r="H14" s="16" t="str">
        <f t="shared" si="0"/>
        <v>(12,'HEH','المديرية الجهوية للنقل حوض الحمرة','Haoud El Hamra Regional Transport Directorate','Direction Regionale de Transport Haoud El Hamra',6,7),</v>
      </c>
    </row>
    <row r="15" spans="1:8" ht="20.100000000000001" customHeight="1" x14ac:dyDescent="0.25">
      <c r="A15" s="3">
        <v>13</v>
      </c>
      <c r="B15" s="8" t="s">
        <v>4133</v>
      </c>
      <c r="C15" s="4" t="s">
        <v>4134</v>
      </c>
      <c r="D15" s="4" t="s">
        <v>4135</v>
      </c>
      <c r="E15" s="4" t="s">
        <v>4136</v>
      </c>
      <c r="F15" s="7">
        <v>6</v>
      </c>
      <c r="G15" s="7">
        <v>7</v>
      </c>
      <c r="H15" s="16" t="str">
        <f t="shared" si="0"/>
        <v>(13,'RTE','المديرية الجهوية للنقل الشرق','Eastern Regional Transport Directorate','Direction Regionale de Transport Est',6,7),</v>
      </c>
    </row>
    <row r="16" spans="1:8" ht="20.100000000000001" customHeight="1" x14ac:dyDescent="0.25">
      <c r="A16" s="3">
        <v>14</v>
      </c>
      <c r="B16" s="8" t="s">
        <v>4137</v>
      </c>
      <c r="C16" s="4" t="s">
        <v>4138</v>
      </c>
      <c r="D16" s="4" t="s">
        <v>4139</v>
      </c>
      <c r="E16" s="4" t="s">
        <v>4140</v>
      </c>
      <c r="F16" s="7">
        <v>6</v>
      </c>
      <c r="G16" s="7">
        <v>7</v>
      </c>
      <c r="H16" s="16" t="str">
        <f t="shared" si="0"/>
        <v>(14,'RTI','المديرية الجهوية للنقل إليزي','Illizi Regional Transport Directorate','Direction Regionale de Transport Illizi',6,7),</v>
      </c>
    </row>
    <row r="17" spans="1:8" ht="20.100000000000001" customHeight="1" x14ac:dyDescent="0.25">
      <c r="A17" s="3">
        <v>15</v>
      </c>
      <c r="B17" s="8" t="s">
        <v>4141</v>
      </c>
      <c r="C17" s="4" t="s">
        <v>4142</v>
      </c>
      <c r="D17" s="4" t="s">
        <v>4143</v>
      </c>
      <c r="E17" s="4" t="s">
        <v>4144</v>
      </c>
      <c r="F17" s="7">
        <v>6</v>
      </c>
      <c r="G17" s="7">
        <v>7</v>
      </c>
      <c r="H17" s="16" t="str">
        <f t="shared" si="0"/>
        <v>(15,'RTC','المديرية الجهوية للنقل الوسط','Central Regional Transport Directorate','Direction Regionale de Transport Centre',6,7),</v>
      </c>
    </row>
    <row r="18" spans="1:8" ht="20.100000000000001" customHeight="1" x14ac:dyDescent="0.25">
      <c r="A18" s="3">
        <v>16</v>
      </c>
      <c r="B18" s="8" t="s">
        <v>4145</v>
      </c>
      <c r="C18" s="4" t="s">
        <v>4146</v>
      </c>
      <c r="D18" s="4" t="s">
        <v>4147</v>
      </c>
      <c r="E18" s="4" t="s">
        <v>4148</v>
      </c>
      <c r="F18" s="7">
        <v>6</v>
      </c>
      <c r="G18" s="7">
        <v>7</v>
      </c>
      <c r="H18" s="16" t="str">
        <f t="shared" si="0"/>
        <v>(16,'HRM','المديرية الجهوية للنقل حاسي الرمل','Hassi R’Mel Regional Transport Directorate','Direction Regionale de Transport Hassi R’Mel',6,7),</v>
      </c>
    </row>
    <row r="19" spans="1:8" ht="20.100000000000001" customHeight="1" x14ac:dyDescent="0.25">
      <c r="A19" s="3">
        <v>17</v>
      </c>
      <c r="B19" s="8" t="s">
        <v>4149</v>
      </c>
      <c r="C19" s="4" t="s">
        <v>4150</v>
      </c>
      <c r="D19" s="4" t="s">
        <v>4151</v>
      </c>
      <c r="E19" s="4" t="s">
        <v>4152</v>
      </c>
      <c r="F19" s="7">
        <v>5</v>
      </c>
      <c r="G19" s="7">
        <v>7</v>
      </c>
      <c r="H19" s="16" t="str">
        <f t="shared" si="0"/>
        <v>(17,'GEM','مديرية عمليات خط أنابيب الغاز إنريكو ماتّي','Enrico Mattei Gas Pipeline Operational Directorate','Direction Opérationnelle du Gazoducs Enrico Mattei',5,7),</v>
      </c>
    </row>
    <row r="20" spans="1:8" ht="20.100000000000001" customHeight="1" x14ac:dyDescent="0.25">
      <c r="A20" s="3">
        <v>18</v>
      </c>
      <c r="B20" s="8" t="s">
        <v>4153</v>
      </c>
      <c r="C20" s="4" t="s">
        <v>4154</v>
      </c>
      <c r="D20" s="4" t="s">
        <v>4155</v>
      </c>
      <c r="E20" s="4" t="s">
        <v>4156</v>
      </c>
      <c r="F20" s="7">
        <v>5</v>
      </c>
      <c r="G20" s="7">
        <v>7</v>
      </c>
      <c r="H20" s="16" t="str">
        <f t="shared" si="0"/>
        <v>(18,'GPDF','مديرية عمليات خط أنابيب الغاز بيدرو دوران فاريل','Pedro Duran Farell Gas Pipeline Operational Directorate','Direction Opérationnelle du Gazoduc Pedro Duran Farell',5,7),</v>
      </c>
    </row>
    <row r="21" spans="1:8" ht="20.100000000000001" customHeight="1" x14ac:dyDescent="0.25">
      <c r="A21" s="3">
        <v>19</v>
      </c>
      <c r="B21" s="8" t="s">
        <v>4157</v>
      </c>
      <c r="C21" s="4" t="s">
        <v>4158</v>
      </c>
      <c r="D21" s="4" t="s">
        <v>4159</v>
      </c>
      <c r="E21" s="4" t="s">
        <v>4164</v>
      </c>
      <c r="F21" s="7">
        <v>8</v>
      </c>
      <c r="G21" s="7">
        <v>10</v>
      </c>
      <c r="H21" s="16" t="str">
        <f t="shared" si="0"/>
        <v>(19,'DGFG','إدارة تسيير التدفق','Flow Management Department','Département Getion Flux',8,10),</v>
      </c>
    </row>
    <row r="22" spans="1:8" ht="20.100000000000001" customHeight="1" x14ac:dyDescent="0.25">
      <c r="A22" s="3">
        <v>20</v>
      </c>
      <c r="B22" s="8" t="s">
        <v>4160</v>
      </c>
      <c r="C22" s="4" t="s">
        <v>4161</v>
      </c>
      <c r="D22" s="4" t="s">
        <v>4162</v>
      </c>
      <c r="E22" s="4" t="s">
        <v>4163</v>
      </c>
      <c r="F22" s="7">
        <v>8</v>
      </c>
      <c r="G22" s="7">
        <v>10</v>
      </c>
      <c r="H22" s="16" t="str">
        <f t="shared" si="0"/>
        <v>(20,'DOG','إدارة عمليات خط أنابيب الغاز','Gas Pipeline Operations Department','Département Opérations Gasoduc',8,10),</v>
      </c>
    </row>
  </sheetData>
  <autoFilter ref="A2:H22"/>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A1:E24"/>
  <sheetViews>
    <sheetView workbookViewId="0">
      <selection activeCell="E2" sqref="E2:E24"/>
    </sheetView>
  </sheetViews>
  <sheetFormatPr baseColWidth="10" defaultColWidth="10.85546875" defaultRowHeight="15.75" x14ac:dyDescent="0.25"/>
  <cols>
    <col min="1" max="1" width="5.5703125" style="2" customWidth="1"/>
    <col min="2" max="4" width="30.5703125" style="2" customWidth="1"/>
    <col min="5" max="5" width="65.42578125" style="2" bestFit="1" customWidth="1"/>
    <col min="6" max="16384" width="10.85546875" style="2"/>
  </cols>
  <sheetData>
    <row r="1" spans="1:5" ht="20.100000000000001" customHeight="1" x14ac:dyDescent="0.25">
      <c r="A1" s="1" t="s">
        <v>37</v>
      </c>
      <c r="B1" s="1" t="s">
        <v>38</v>
      </c>
      <c r="C1" s="1" t="s">
        <v>39</v>
      </c>
      <c r="D1" s="1" t="s">
        <v>40</v>
      </c>
      <c r="E1" s="1" t="s">
        <v>5597</v>
      </c>
    </row>
    <row r="2" spans="1:5" ht="20.100000000000001" customHeight="1" x14ac:dyDescent="0.25">
      <c r="A2" s="1" t="s">
        <v>44</v>
      </c>
      <c r="B2" s="1" t="s">
        <v>41</v>
      </c>
      <c r="C2" s="1" t="s">
        <v>42</v>
      </c>
      <c r="D2" s="1" t="s">
        <v>43</v>
      </c>
      <c r="E2" s="1" t="s">
        <v>6041</v>
      </c>
    </row>
    <row r="3" spans="1:5" ht="20.100000000000001" customHeight="1" x14ac:dyDescent="0.25">
      <c r="A3" s="3">
        <v>1</v>
      </c>
      <c r="B3" s="4" t="s">
        <v>4165</v>
      </c>
      <c r="C3" s="4" t="s">
        <v>4166</v>
      </c>
      <c r="D3" s="4" t="s">
        <v>4167</v>
      </c>
      <c r="E3" s="4" t="str">
        <f>CONCATENATE("(",A3,",'",B3,"','",C3,"','",D3,"'),")</f>
        <v>(1,'مشغل عام وطني','National Public Operator','Opérateur Public National'),</v>
      </c>
    </row>
    <row r="4" spans="1:5" ht="20.100000000000001" customHeight="1" x14ac:dyDescent="0.25">
      <c r="A4" s="3">
        <v>2</v>
      </c>
      <c r="B4" s="4" t="s">
        <v>4168</v>
      </c>
      <c r="C4" s="4" t="s">
        <v>4169</v>
      </c>
      <c r="D4" s="4" t="s">
        <v>4170</v>
      </c>
      <c r="E4" s="4" t="str">
        <f t="shared" ref="E4:E24" si="0">CONCATENATE("(",A4,",'",B4,"','",C4,"','",D4,"'),")</f>
        <v>(2,'مشغل خاص وطني','National Private Operator','Opérateur Privé National'),</v>
      </c>
    </row>
    <row r="5" spans="1:5" ht="20.100000000000001" customHeight="1" x14ac:dyDescent="0.25">
      <c r="A5" s="3">
        <v>3</v>
      </c>
      <c r="B5" s="4" t="s">
        <v>4171</v>
      </c>
      <c r="C5" s="4" t="s">
        <v>4172</v>
      </c>
      <c r="D5" s="4" t="s">
        <v>4173</v>
      </c>
      <c r="E5" s="4" t="str">
        <f t="shared" si="0"/>
        <v>(3,'مشغل دولي','International Operator','Opérateur International'),</v>
      </c>
    </row>
    <row r="6" spans="1:5" ht="20.100000000000001" customHeight="1" x14ac:dyDescent="0.25">
      <c r="A6" s="3">
        <v>4</v>
      </c>
      <c r="B6" s="4" t="s">
        <v>4174</v>
      </c>
      <c r="C6" s="4" t="s">
        <v>4175</v>
      </c>
      <c r="D6" s="4" t="s">
        <v>4176</v>
      </c>
      <c r="E6" s="4" t="str">
        <f t="shared" si="0"/>
        <v>(4,'مشروع مشترك','Joint Venture','Coentreprise'),</v>
      </c>
    </row>
    <row r="7" spans="1:5" ht="20.100000000000001" customHeight="1" x14ac:dyDescent="0.25">
      <c r="A7" s="3">
        <v>5</v>
      </c>
      <c r="B7" s="4" t="s">
        <v>4177</v>
      </c>
      <c r="C7" s="4" t="s">
        <v>4178</v>
      </c>
      <c r="D7" s="4" t="s">
        <v>4179</v>
      </c>
      <c r="E7" s="4" t="str">
        <f t="shared" si="0"/>
        <v>(5,'شركة نقل','Transport Company','Société de Transport'),</v>
      </c>
    </row>
    <row r="8" spans="1:5" ht="20.100000000000001" customHeight="1" x14ac:dyDescent="0.25">
      <c r="A8" s="3">
        <v>6</v>
      </c>
      <c r="B8" s="4" t="s">
        <v>4180</v>
      </c>
      <c r="C8" s="4" t="s">
        <v>4181</v>
      </c>
      <c r="D8" s="4" t="s">
        <v>4182</v>
      </c>
      <c r="E8" s="4" t="str">
        <f t="shared" si="0"/>
        <v>(6,'شركة تكرير','Refining Company','Société de Raffinage'),</v>
      </c>
    </row>
    <row r="9" spans="1:5" ht="20.100000000000001" customHeight="1" x14ac:dyDescent="0.25">
      <c r="A9" s="3">
        <v>7</v>
      </c>
      <c r="B9" s="4" t="s">
        <v>4183</v>
      </c>
      <c r="C9" s="4" t="s">
        <v>4184</v>
      </c>
      <c r="D9" s="4" t="s">
        <v>4185</v>
      </c>
      <c r="E9" s="4" t="str">
        <f t="shared" si="0"/>
        <v>(7,'شركة توزيع','Distribution Company','Société de Distribution'),</v>
      </c>
    </row>
    <row r="10" spans="1:5" ht="20.100000000000001" customHeight="1" x14ac:dyDescent="0.25">
      <c r="A10" s="3">
        <v>8</v>
      </c>
      <c r="B10" s="4" t="s">
        <v>4186</v>
      </c>
      <c r="C10" s="4" t="s">
        <v>4187</v>
      </c>
      <c r="D10" s="4" t="s">
        <v>4188</v>
      </c>
      <c r="E10" s="4" t="str">
        <f t="shared" si="0"/>
        <v>(8,'شركة هندسية','Engineering Company','Société d'Ingénierie'),</v>
      </c>
    </row>
    <row r="11" spans="1:5" ht="20.100000000000001" customHeight="1" x14ac:dyDescent="0.25">
      <c r="A11" s="3">
        <v>9</v>
      </c>
      <c r="B11" s="4" t="s">
        <v>4189</v>
      </c>
      <c r="C11" s="4" t="s">
        <v>4190</v>
      </c>
      <c r="D11" s="4" t="s">
        <v>4191</v>
      </c>
      <c r="E11" s="4" t="str">
        <f t="shared" si="0"/>
        <v>(9,'مالك البنية التحتية','Infrastructure Owner','Propriétaire d'Infrastructure'),</v>
      </c>
    </row>
    <row r="12" spans="1:5" ht="20.100000000000001" customHeight="1" x14ac:dyDescent="0.25">
      <c r="A12" s="3">
        <v>10</v>
      </c>
      <c r="B12" s="4" t="s">
        <v>4192</v>
      </c>
      <c r="C12" s="4" t="s">
        <v>4193</v>
      </c>
      <c r="D12" s="4" t="s">
        <v>4194</v>
      </c>
      <c r="E12" s="4" t="str">
        <f t="shared" si="0"/>
        <v>(10,'مقاول EPC','EPC Contractor','Entrepreneur EPC'),</v>
      </c>
    </row>
    <row r="13" spans="1:5" ht="20.100000000000001" customHeight="1" x14ac:dyDescent="0.25">
      <c r="A13" s="3">
        <v>11</v>
      </c>
      <c r="B13" s="4" t="s">
        <v>4195</v>
      </c>
      <c r="C13" s="4" t="s">
        <v>4196</v>
      </c>
      <c r="D13" s="4" t="s">
        <v>4197</v>
      </c>
      <c r="E13" s="4" t="str">
        <f t="shared" si="0"/>
        <v>(11,'مقاول بناء','Construction Contractor','Entrepreneur de Construction'),</v>
      </c>
    </row>
    <row r="14" spans="1:5" ht="20.100000000000001" customHeight="1" x14ac:dyDescent="0.25">
      <c r="A14" s="3">
        <v>12</v>
      </c>
      <c r="B14" s="4" t="s">
        <v>4198</v>
      </c>
      <c r="C14" s="4" t="s">
        <v>4199</v>
      </c>
      <c r="D14" s="4" t="s">
        <v>4200</v>
      </c>
      <c r="E14" s="4" t="str">
        <f t="shared" si="0"/>
        <v>(12,'مستشار هندسي','Engineering Consultant','Consultant en Ingénierie'),</v>
      </c>
    </row>
    <row r="15" spans="1:5" ht="20.100000000000001" customHeight="1" x14ac:dyDescent="0.25">
      <c r="A15" s="3">
        <v>13</v>
      </c>
      <c r="B15" s="4" t="s">
        <v>4201</v>
      </c>
      <c r="C15" s="4" t="s">
        <v>4202</v>
      </c>
      <c r="D15" s="4" t="s">
        <v>4203</v>
      </c>
      <c r="E15" s="4" t="str">
        <f t="shared" si="0"/>
        <v>(13,'إدارة مشاريع','Project Management','Gestion de Projet'),</v>
      </c>
    </row>
    <row r="16" spans="1:5" ht="20.100000000000001" customHeight="1" x14ac:dyDescent="0.25">
      <c r="A16" s="3">
        <v>14</v>
      </c>
      <c r="B16" s="4" t="s">
        <v>4204</v>
      </c>
      <c r="C16" s="4" t="s">
        <v>4205</v>
      </c>
      <c r="D16" s="4" t="s">
        <v>4206</v>
      </c>
      <c r="E16" s="4" t="str">
        <f t="shared" si="0"/>
        <v>(14,'مصنع معدات','Equipment Manufacturer','Fabricant d'Équipements'),</v>
      </c>
    </row>
    <row r="17" spans="1:5" ht="20.100000000000001" customHeight="1" x14ac:dyDescent="0.25">
      <c r="A17" s="3">
        <v>15</v>
      </c>
      <c r="B17" s="4" t="s">
        <v>4207</v>
      </c>
      <c r="C17" s="4" t="s">
        <v>4208</v>
      </c>
      <c r="D17" s="4" t="s">
        <v>4209</v>
      </c>
      <c r="E17" s="4" t="str">
        <f t="shared" si="0"/>
        <v>(15,'مصنع أنابيب','Pipe Manufacturer','Fabricant de Tubes'),</v>
      </c>
    </row>
    <row r="18" spans="1:5" ht="20.100000000000001" customHeight="1" x14ac:dyDescent="0.25">
      <c r="A18" s="3">
        <v>16</v>
      </c>
      <c r="B18" s="4" t="s">
        <v>4210</v>
      </c>
      <c r="C18" s="4" t="s">
        <v>4211</v>
      </c>
      <c r="D18" s="4" t="s">
        <v>4212</v>
      </c>
      <c r="E18" s="4" t="str">
        <f t="shared" si="0"/>
        <v>(16,'مورد أنظمة أتمتة','Automation Vendor','Fournisseur d'Automatisation'),</v>
      </c>
    </row>
    <row r="19" spans="1:5" ht="20.100000000000001" customHeight="1" x14ac:dyDescent="0.25">
      <c r="A19" s="3">
        <v>17</v>
      </c>
      <c r="B19" s="4" t="s">
        <v>4213</v>
      </c>
      <c r="C19" s="4" t="s">
        <v>4214</v>
      </c>
      <c r="D19" s="4" t="s">
        <v>4215</v>
      </c>
      <c r="E19" s="4" t="str">
        <f t="shared" si="0"/>
        <v>(17,'مورد أجهزة قياس','Instrumentation Vendor','Fournisseur d'Instrumentation'),</v>
      </c>
    </row>
    <row r="20" spans="1:5" ht="20.100000000000001" customHeight="1" x14ac:dyDescent="0.25">
      <c r="A20" s="3">
        <v>18</v>
      </c>
      <c r="B20" s="4" t="s">
        <v>4216</v>
      </c>
      <c r="C20" s="4" t="s">
        <v>4217</v>
      </c>
      <c r="D20" s="4" t="s">
        <v>4218</v>
      </c>
      <c r="E20" s="4" t="str">
        <f t="shared" si="0"/>
        <v>(18,'شركة فحص','Inspection Company','Société d'Inspection'),</v>
      </c>
    </row>
    <row r="21" spans="1:5" ht="20.100000000000001" customHeight="1" x14ac:dyDescent="0.25">
      <c r="A21" s="3">
        <v>19</v>
      </c>
      <c r="B21" s="4" t="s">
        <v>4219</v>
      </c>
      <c r="C21" s="4" t="s">
        <v>4220</v>
      </c>
      <c r="D21" s="4" t="s">
        <v>4221</v>
      </c>
      <c r="E21" s="4" t="str">
        <f t="shared" si="0"/>
        <v>(19,'هيئة اعتماد','Certification Body','Organisme de Certification'),</v>
      </c>
    </row>
    <row r="22" spans="1:5" ht="20.100000000000001" customHeight="1" x14ac:dyDescent="0.25">
      <c r="A22" s="3">
        <v>20</v>
      </c>
      <c r="B22" s="4" t="s">
        <v>4222</v>
      </c>
      <c r="C22" s="4" t="s">
        <v>4223</v>
      </c>
      <c r="D22" s="4" t="s">
        <v>4224</v>
      </c>
      <c r="E22" s="4" t="str">
        <f t="shared" si="0"/>
        <v>(20,'مزود خدمة صيانة','Maintenance Service','Service de Maintenance'),</v>
      </c>
    </row>
    <row r="23" spans="1:5" ht="20.100000000000001" customHeight="1" x14ac:dyDescent="0.25">
      <c r="A23" s="3">
        <v>21</v>
      </c>
      <c r="B23" s="4" t="s">
        <v>4225</v>
      </c>
      <c r="C23" s="4" t="s">
        <v>4226</v>
      </c>
      <c r="D23" s="4" t="s">
        <v>4227</v>
      </c>
      <c r="E23" s="4" t="str">
        <f t="shared" si="0"/>
        <v>(21,'مزود خدمات لوجستية','Logistics Provider','Prestataire Logistique'),</v>
      </c>
    </row>
    <row r="24" spans="1:5" ht="20.100000000000001" customHeight="1" x14ac:dyDescent="0.25">
      <c r="A24" s="3">
        <v>22</v>
      </c>
      <c r="B24" s="4" t="s">
        <v>4228</v>
      </c>
      <c r="C24" s="4" t="s">
        <v>4229</v>
      </c>
      <c r="D24" s="4" t="s">
        <v>4230</v>
      </c>
      <c r="E24" s="4" t="str">
        <f t="shared" si="0"/>
        <v>(22,'مقاول محلي','Local Subcontractor','Sous-Traitant Local'),</v>
      </c>
    </row>
  </sheetData>
  <autoFilter ref="A2:D24"/>
  <phoneticPr fontId="2" type="noConversion"/>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A1:B11"/>
  <sheetViews>
    <sheetView workbookViewId="0">
      <selection activeCell="B2" sqref="B2:B11"/>
    </sheetView>
  </sheetViews>
  <sheetFormatPr baseColWidth="10" defaultColWidth="10.85546875" defaultRowHeight="15.75" x14ac:dyDescent="0.25"/>
  <cols>
    <col min="1" max="1" width="5.5703125" style="2" customWidth="1"/>
    <col min="2" max="2" width="65.42578125" style="2" bestFit="1" customWidth="1"/>
    <col min="3" max="16384" width="10.85546875" style="2"/>
  </cols>
  <sheetData>
    <row r="1" spans="1:2" ht="20.100000000000001" customHeight="1" x14ac:dyDescent="0.25">
      <c r="A1" s="1" t="s">
        <v>37</v>
      </c>
      <c r="B1" s="1" t="s">
        <v>5597</v>
      </c>
    </row>
    <row r="2" spans="1:2" ht="20.100000000000001" customHeight="1" x14ac:dyDescent="0.25">
      <c r="A2" s="1" t="s">
        <v>44</v>
      </c>
      <c r="B2" s="1" t="s">
        <v>5616</v>
      </c>
    </row>
    <row r="3" spans="1:2" ht="20.100000000000001" customHeight="1" x14ac:dyDescent="0.25">
      <c r="A3" s="3">
        <v>1</v>
      </c>
      <c r="B3" s="4" t="str">
        <f>CONCATENATE("(",A3,"),")</f>
        <v>(1),</v>
      </c>
    </row>
    <row r="4" spans="1:2" ht="20.100000000000001" customHeight="1" x14ac:dyDescent="0.25">
      <c r="A4" s="3">
        <v>2</v>
      </c>
      <c r="B4" s="4" t="str">
        <f t="shared" ref="B4:B11" si="0">CONCATENATE("(",A4,"),")</f>
        <v>(2),</v>
      </c>
    </row>
    <row r="5" spans="1:2" ht="20.100000000000001" customHeight="1" x14ac:dyDescent="0.25">
      <c r="A5" s="3">
        <v>3</v>
      </c>
      <c r="B5" s="4" t="str">
        <f t="shared" si="0"/>
        <v>(3),</v>
      </c>
    </row>
    <row r="6" spans="1:2" ht="20.100000000000001" customHeight="1" x14ac:dyDescent="0.25">
      <c r="A6" s="3">
        <v>4</v>
      </c>
      <c r="B6" s="4" t="str">
        <f t="shared" si="0"/>
        <v>(4),</v>
      </c>
    </row>
    <row r="7" spans="1:2" ht="20.100000000000001" customHeight="1" x14ac:dyDescent="0.25">
      <c r="A7" s="3">
        <v>5</v>
      </c>
      <c r="B7" s="4" t="str">
        <f t="shared" si="0"/>
        <v>(5),</v>
      </c>
    </row>
    <row r="8" spans="1:2" ht="20.100000000000001" customHeight="1" x14ac:dyDescent="0.25">
      <c r="A8" s="3">
        <v>6</v>
      </c>
      <c r="B8" s="4" t="str">
        <f t="shared" si="0"/>
        <v>(6),</v>
      </c>
    </row>
    <row r="9" spans="1:2" ht="20.100000000000001" customHeight="1" x14ac:dyDescent="0.25">
      <c r="A9" s="3">
        <v>7</v>
      </c>
      <c r="B9" s="4" t="str">
        <f t="shared" si="0"/>
        <v>(7),</v>
      </c>
    </row>
    <row r="10" spans="1:2" ht="20.100000000000001" customHeight="1" x14ac:dyDescent="0.25">
      <c r="A10" s="3">
        <v>8</v>
      </c>
      <c r="B10" s="4" t="str">
        <f t="shared" si="0"/>
        <v>(8),</v>
      </c>
    </row>
    <row r="11" spans="1:2" ht="20.100000000000001" customHeight="1" x14ac:dyDescent="0.25">
      <c r="A11" s="3">
        <v>9</v>
      </c>
      <c r="B11" s="4" t="str">
        <f t="shared" si="0"/>
        <v>(9),</v>
      </c>
    </row>
  </sheetData>
  <autoFilter ref="A2:B11"/>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A1:B15"/>
  <sheetViews>
    <sheetView workbookViewId="0">
      <selection activeCell="B2" sqref="B2:B15"/>
    </sheetView>
  </sheetViews>
  <sheetFormatPr baseColWidth="10" defaultColWidth="10.85546875" defaultRowHeight="15.75" x14ac:dyDescent="0.25"/>
  <cols>
    <col min="1" max="1" width="5.5703125" style="2" customWidth="1"/>
    <col min="2" max="2" width="65.42578125" style="2" bestFit="1" customWidth="1"/>
    <col min="3" max="16384" width="10.85546875" style="2"/>
  </cols>
  <sheetData>
    <row r="1" spans="1:2" ht="20.100000000000001" customHeight="1" x14ac:dyDescent="0.25">
      <c r="A1" s="1" t="s">
        <v>37</v>
      </c>
      <c r="B1" s="1" t="s">
        <v>5597</v>
      </c>
    </row>
    <row r="2" spans="1:2" ht="20.100000000000001" customHeight="1" x14ac:dyDescent="0.25">
      <c r="A2" s="1" t="s">
        <v>44</v>
      </c>
      <c r="B2" s="1" t="s">
        <v>5615</v>
      </c>
    </row>
    <row r="3" spans="1:2" ht="20.100000000000001" customHeight="1" x14ac:dyDescent="0.25">
      <c r="A3" s="3">
        <v>10</v>
      </c>
      <c r="B3" s="4" t="str">
        <f>CONCATENATE("(",A3,"),")</f>
        <v>(10),</v>
      </c>
    </row>
    <row r="4" spans="1:2" ht="20.100000000000001" customHeight="1" x14ac:dyDescent="0.25">
      <c r="A4" s="3">
        <v>11</v>
      </c>
      <c r="B4" s="4" t="str">
        <f t="shared" ref="B4:B15" si="0">CONCATENATE("(",A4,"),")</f>
        <v>(11),</v>
      </c>
    </row>
    <row r="5" spans="1:2" ht="20.100000000000001" customHeight="1" x14ac:dyDescent="0.25">
      <c r="A5" s="3">
        <v>12</v>
      </c>
      <c r="B5" s="4" t="str">
        <f t="shared" si="0"/>
        <v>(12),</v>
      </c>
    </row>
    <row r="6" spans="1:2" ht="20.100000000000001" customHeight="1" x14ac:dyDescent="0.25">
      <c r="A6" s="3">
        <v>13</v>
      </c>
      <c r="B6" s="4" t="str">
        <f t="shared" si="0"/>
        <v>(13),</v>
      </c>
    </row>
    <row r="7" spans="1:2" ht="20.100000000000001" customHeight="1" x14ac:dyDescent="0.25">
      <c r="A7" s="3">
        <v>14</v>
      </c>
      <c r="B7" s="4" t="str">
        <f t="shared" si="0"/>
        <v>(14),</v>
      </c>
    </row>
    <row r="8" spans="1:2" ht="20.100000000000001" customHeight="1" x14ac:dyDescent="0.25">
      <c r="A8" s="3">
        <v>15</v>
      </c>
      <c r="B8" s="4" t="str">
        <f t="shared" si="0"/>
        <v>(15),</v>
      </c>
    </row>
    <row r="9" spans="1:2" ht="20.100000000000001" customHeight="1" x14ac:dyDescent="0.25">
      <c r="A9" s="3">
        <v>16</v>
      </c>
      <c r="B9" s="4" t="str">
        <f t="shared" si="0"/>
        <v>(16),</v>
      </c>
    </row>
    <row r="10" spans="1:2" ht="20.100000000000001" customHeight="1" x14ac:dyDescent="0.25">
      <c r="A10" s="3">
        <v>17</v>
      </c>
      <c r="B10" s="4" t="str">
        <f t="shared" si="0"/>
        <v>(17),</v>
      </c>
    </row>
    <row r="11" spans="1:2" ht="20.100000000000001" customHeight="1" x14ac:dyDescent="0.25">
      <c r="A11" s="3">
        <v>18</v>
      </c>
      <c r="B11" s="4" t="str">
        <f t="shared" si="0"/>
        <v>(18),</v>
      </c>
    </row>
    <row r="12" spans="1:2" ht="20.100000000000001" customHeight="1" x14ac:dyDescent="0.25">
      <c r="A12" s="3">
        <v>19</v>
      </c>
      <c r="B12" s="4" t="str">
        <f t="shared" si="0"/>
        <v>(19),</v>
      </c>
    </row>
    <row r="13" spans="1:2" ht="20.100000000000001" customHeight="1" x14ac:dyDescent="0.25">
      <c r="A13" s="3">
        <v>20</v>
      </c>
      <c r="B13" s="4" t="str">
        <f t="shared" si="0"/>
        <v>(20),</v>
      </c>
    </row>
    <row r="14" spans="1:2" ht="20.100000000000001" customHeight="1" x14ac:dyDescent="0.25">
      <c r="A14" s="3">
        <v>21</v>
      </c>
      <c r="B14" s="4" t="str">
        <f t="shared" si="0"/>
        <v>(21),</v>
      </c>
    </row>
    <row r="15" spans="1:2" ht="20.100000000000001" customHeight="1" x14ac:dyDescent="0.25">
      <c r="A15" s="3">
        <v>22</v>
      </c>
      <c r="B15" s="4" t="str">
        <f t="shared" si="0"/>
        <v>(22),</v>
      </c>
    </row>
  </sheetData>
  <autoFilter ref="A2:B15"/>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A1:F38"/>
  <sheetViews>
    <sheetView topLeftCell="A10" workbookViewId="0">
      <selection activeCell="F2" sqref="F2:F38"/>
    </sheetView>
  </sheetViews>
  <sheetFormatPr baseColWidth="10" defaultColWidth="10.85546875" defaultRowHeight="15.75" x14ac:dyDescent="0.25"/>
  <cols>
    <col min="1" max="1" width="5.5703125" style="2" customWidth="1"/>
    <col min="2" max="2" width="10.5703125" style="2" customWidth="1"/>
    <col min="3" max="5" width="30.5703125" style="2" customWidth="1"/>
    <col min="6" max="6" width="65.42578125" style="2" bestFit="1" customWidth="1"/>
    <col min="7" max="16384" width="10.85546875" style="2"/>
  </cols>
  <sheetData>
    <row r="1" spans="1:6" ht="20.100000000000001" customHeight="1" x14ac:dyDescent="0.25">
      <c r="A1" s="1" t="s">
        <v>37</v>
      </c>
      <c r="B1" s="1" t="s">
        <v>54</v>
      </c>
      <c r="C1" s="1" t="s">
        <v>38</v>
      </c>
      <c r="D1" s="1" t="s">
        <v>39</v>
      </c>
      <c r="E1" s="1" t="s">
        <v>40</v>
      </c>
      <c r="F1" s="1" t="s">
        <v>5597</v>
      </c>
    </row>
    <row r="2" spans="1:6" ht="20.100000000000001" customHeight="1" x14ac:dyDescent="0.25">
      <c r="A2" s="1" t="s">
        <v>44</v>
      </c>
      <c r="B2" s="1" t="s">
        <v>41</v>
      </c>
      <c r="C2" s="1" t="s">
        <v>42</v>
      </c>
      <c r="D2" s="1" t="s">
        <v>43</v>
      </c>
      <c r="E2" s="1" t="s">
        <v>53</v>
      </c>
      <c r="F2" s="1" t="s">
        <v>5614</v>
      </c>
    </row>
    <row r="3" spans="1:6" ht="20.100000000000001" customHeight="1" x14ac:dyDescent="0.25">
      <c r="A3" s="3">
        <v>1</v>
      </c>
      <c r="B3" s="8" t="s">
        <v>4231</v>
      </c>
      <c r="C3" s="4" t="s">
        <v>4232</v>
      </c>
      <c r="D3" s="4" t="s">
        <v>4233</v>
      </c>
      <c r="E3" s="4" t="s">
        <v>6042</v>
      </c>
      <c r="F3" s="4" t="str">
        <f>CONCATENATE("(",A3,",'",B3,"','",C3,"','",D3,"','",E3,"'),")</f>
        <v>(1,'ONET','نهائي تصدير بري','Onshore Export Terminal','Terminal d\'Exportation Terrestre'),</v>
      </c>
    </row>
    <row r="4" spans="1:6" ht="20.100000000000001" customHeight="1" x14ac:dyDescent="0.25">
      <c r="A4" s="3">
        <v>2</v>
      </c>
      <c r="B4" s="8" t="s">
        <v>4234</v>
      </c>
      <c r="C4" s="4" t="s">
        <v>4235</v>
      </c>
      <c r="D4" s="4" t="s">
        <v>4236</v>
      </c>
      <c r="E4" s="4" t="s">
        <v>6043</v>
      </c>
      <c r="F4" s="4" t="str">
        <f t="shared" ref="F4:F38" si="0">CONCATENATE("(",A4,",'",B4,"','",C4,"','",D4,"','",E4,"'),")</f>
        <v>(2,'OFET','نهائي تصدير بحري','Offshore Export Terminal','Terminal d\'Exportation Maritime'),</v>
      </c>
    </row>
    <row r="5" spans="1:6" ht="20.100000000000001" customHeight="1" x14ac:dyDescent="0.25">
      <c r="A5" s="3">
        <v>3</v>
      </c>
      <c r="B5" s="8" t="s">
        <v>4237</v>
      </c>
      <c r="C5" s="4" t="s">
        <v>4238</v>
      </c>
      <c r="D5" s="4" t="s">
        <v>4239</v>
      </c>
      <c r="E5" s="4" t="s">
        <v>4240</v>
      </c>
      <c r="F5" s="4" t="str">
        <f t="shared" si="0"/>
        <v>(3,'DT','نهائي توزيع','Distribution Terminal','Terminal de Distribution'),</v>
      </c>
    </row>
    <row r="6" spans="1:6" ht="20.100000000000001" customHeight="1" x14ac:dyDescent="0.25">
      <c r="A6" s="3">
        <v>4</v>
      </c>
      <c r="B6" s="8" t="s">
        <v>881</v>
      </c>
      <c r="C6" s="4" t="s">
        <v>4241</v>
      </c>
      <c r="D6" s="4" t="s">
        <v>4242</v>
      </c>
      <c r="E6" s="4" t="s">
        <v>4243</v>
      </c>
      <c r="F6" s="4" t="str">
        <f t="shared" si="0"/>
        <v>(4,'TT','نهائي تحويل','Transfer Terminal','Terminal de Transfert'),</v>
      </c>
    </row>
    <row r="7" spans="1:6" ht="20.100000000000001" customHeight="1" x14ac:dyDescent="0.25">
      <c r="A7" s="3">
        <v>5</v>
      </c>
      <c r="B7" s="8" t="s">
        <v>706</v>
      </c>
      <c r="C7" s="4" t="s">
        <v>4244</v>
      </c>
      <c r="D7" s="4" t="s">
        <v>4245</v>
      </c>
      <c r="E7" s="4" t="s">
        <v>4246</v>
      </c>
      <c r="F7" s="4" t="str">
        <f t="shared" si="0"/>
        <v>(5,'PT','نهائي أنابيب','Pipeline Terminal','Terminal de Pipeline'),</v>
      </c>
    </row>
    <row r="8" spans="1:6" ht="20.100000000000001" customHeight="1" x14ac:dyDescent="0.25">
      <c r="A8" s="3">
        <v>6</v>
      </c>
      <c r="B8" s="8" t="s">
        <v>765</v>
      </c>
      <c r="C8" s="4" t="s">
        <v>4247</v>
      </c>
      <c r="D8" s="4" t="s">
        <v>4248</v>
      </c>
      <c r="E8" s="4" t="s">
        <v>4249</v>
      </c>
      <c r="F8" s="4" t="str">
        <f t="shared" si="0"/>
        <v>(6,'ST','نهائي تخزين','Storage Terminal','Terminal de Stockage'),</v>
      </c>
    </row>
    <row r="9" spans="1:6" ht="20.100000000000001" customHeight="1" x14ac:dyDescent="0.25">
      <c r="A9" s="3">
        <v>7</v>
      </c>
      <c r="B9" s="8" t="s">
        <v>679</v>
      </c>
      <c r="C9" s="4" t="s">
        <v>4250</v>
      </c>
      <c r="D9" s="4" t="s">
        <v>4251</v>
      </c>
      <c r="E9" s="4" t="s">
        <v>4252</v>
      </c>
      <c r="F9" s="4" t="str">
        <f t="shared" si="0"/>
        <v>(7,'PS','محطة ضخ','Pumping Station','Station de Pompage'),</v>
      </c>
    </row>
    <row r="10" spans="1:6" ht="20.100000000000001" customHeight="1" x14ac:dyDescent="0.25">
      <c r="A10" s="3">
        <v>8</v>
      </c>
      <c r="B10" s="8" t="s">
        <v>4253</v>
      </c>
      <c r="C10" s="4" t="s">
        <v>4254</v>
      </c>
      <c r="D10" s="4" t="s">
        <v>4255</v>
      </c>
      <c r="E10" s="4" t="s">
        <v>4256</v>
      </c>
      <c r="F10" s="4" t="str">
        <f t="shared" si="0"/>
        <v>(8,'CS','محطة ضغط','Compression Station','Station de Compression'),</v>
      </c>
    </row>
    <row r="11" spans="1:6" ht="20.100000000000001" customHeight="1" x14ac:dyDescent="0.25">
      <c r="A11" s="3">
        <v>9</v>
      </c>
      <c r="B11" s="8" t="s">
        <v>777</v>
      </c>
      <c r="C11" s="4" t="s">
        <v>4257</v>
      </c>
      <c r="D11" s="4" t="s">
        <v>4258</v>
      </c>
      <c r="E11" s="4" t="s">
        <v>4259</v>
      </c>
      <c r="F11" s="4" t="str">
        <f t="shared" si="0"/>
        <v>(9,'RS','محطة تنظيم','Regulator Station','Station de Régulation'),</v>
      </c>
    </row>
    <row r="12" spans="1:6" ht="20.100000000000001" customHeight="1" x14ac:dyDescent="0.25">
      <c r="A12" s="3">
        <v>10</v>
      </c>
      <c r="B12" s="8" t="s">
        <v>4260</v>
      </c>
      <c r="C12" s="4" t="s">
        <v>4261</v>
      </c>
      <c r="D12" s="4" t="s">
        <v>4262</v>
      </c>
      <c r="E12" s="4" t="s">
        <v>4263</v>
      </c>
      <c r="F12" s="4" t="str">
        <f t="shared" si="0"/>
        <v>(10,'CLS','محطة تجميع','Collect Station','Station de Collecte'),</v>
      </c>
    </row>
    <row r="13" spans="1:6" ht="20.100000000000001" customHeight="1" x14ac:dyDescent="0.25">
      <c r="A13" s="3">
        <v>11</v>
      </c>
      <c r="B13" s="8" t="s">
        <v>604</v>
      </c>
      <c r="C13" s="4" t="s">
        <v>4264</v>
      </c>
      <c r="D13" s="4" t="s">
        <v>4265</v>
      </c>
      <c r="E13" s="4" t="s">
        <v>4266</v>
      </c>
      <c r="F13" s="4" t="str">
        <f t="shared" si="0"/>
        <v>(11,'MS','محطة قياس','Metering Station','Station de Comptage'),</v>
      </c>
    </row>
    <row r="14" spans="1:6" ht="20.100000000000001" customHeight="1" x14ac:dyDescent="0.25">
      <c r="A14" s="3">
        <v>12</v>
      </c>
      <c r="B14" s="8" t="s">
        <v>4267</v>
      </c>
      <c r="C14" s="4" t="s">
        <v>4268</v>
      </c>
      <c r="D14" s="4" t="s">
        <v>4269</v>
      </c>
      <c r="E14" s="4" t="s">
        <v>4270</v>
      </c>
      <c r="F14" s="4" t="str">
        <f t="shared" si="0"/>
        <v>(12,'DS','محطة تسليم','Delivery Station','Station de Livraison'),</v>
      </c>
    </row>
    <row r="15" spans="1:6" ht="20.100000000000001" customHeight="1" x14ac:dyDescent="0.25">
      <c r="A15" s="3">
        <v>13</v>
      </c>
      <c r="B15" s="8" t="s">
        <v>433</v>
      </c>
      <c r="C15" s="4" t="s">
        <v>4271</v>
      </c>
      <c r="D15" s="4" t="s">
        <v>4272</v>
      </c>
      <c r="E15" s="4" t="s">
        <v>6044</v>
      </c>
      <c r="F15" s="4" t="str">
        <f t="shared" si="0"/>
        <v>(13,'IS','محطة حقن','Injection Station','Station d\'Injection'),</v>
      </c>
    </row>
    <row r="16" spans="1:6" ht="20.100000000000001" customHeight="1" x14ac:dyDescent="0.25">
      <c r="A16" s="3">
        <v>14</v>
      </c>
      <c r="B16" s="8" t="s">
        <v>819</v>
      </c>
      <c r="C16" s="4" t="s">
        <v>4273</v>
      </c>
      <c r="D16" s="4" t="s">
        <v>4274</v>
      </c>
      <c r="E16" s="4" t="s">
        <v>4275</v>
      </c>
      <c r="F16" s="4" t="str">
        <f t="shared" si="0"/>
        <v>(14,'SS','محطة كاشطات','Scraper Station','Station de Raclage'),</v>
      </c>
    </row>
    <row r="17" spans="1:6" ht="20.100000000000001" customHeight="1" x14ac:dyDescent="0.25">
      <c r="A17" s="3">
        <v>15</v>
      </c>
      <c r="B17" s="8" t="s">
        <v>4276</v>
      </c>
      <c r="C17" s="4" t="s">
        <v>4277</v>
      </c>
      <c r="D17" s="4" t="s">
        <v>4278</v>
      </c>
      <c r="E17" s="4" t="s">
        <v>4279</v>
      </c>
      <c r="F17" s="4" t="str">
        <f t="shared" si="0"/>
        <v>(15,'COS','محطة قطع','Cut-Off Station','Poste de Coupure'),</v>
      </c>
    </row>
    <row r="18" spans="1:6" ht="20.100000000000001" customHeight="1" x14ac:dyDescent="0.25">
      <c r="A18" s="3">
        <v>16</v>
      </c>
      <c r="B18" s="8" t="s">
        <v>4280</v>
      </c>
      <c r="C18" s="4" t="s">
        <v>4281</v>
      </c>
      <c r="D18" s="4" t="s">
        <v>4282</v>
      </c>
      <c r="E18" s="4" t="s">
        <v>4283</v>
      </c>
      <c r="F18" s="4" t="str">
        <f t="shared" si="0"/>
        <v>(16,'SZS','محطة تقسيم','Sectionalizing Station','Poste de Sectionnement'),</v>
      </c>
    </row>
    <row r="19" spans="1:6" ht="20.100000000000001" customHeight="1" x14ac:dyDescent="0.25">
      <c r="A19" s="3">
        <v>17</v>
      </c>
      <c r="B19" s="8" t="s">
        <v>4284</v>
      </c>
      <c r="C19" s="4" t="s">
        <v>4285</v>
      </c>
      <c r="D19" s="4" t="s">
        <v>4286</v>
      </c>
      <c r="E19" s="4" t="s">
        <v>4287</v>
      </c>
      <c r="F19" s="4" t="str">
        <f t="shared" si="0"/>
        <v>(17,'PGS','محطة تطهير','Purge Station','Poste de Purge'),</v>
      </c>
    </row>
    <row r="20" spans="1:6" ht="20.100000000000001" customHeight="1" x14ac:dyDescent="0.25">
      <c r="A20" s="3">
        <v>18</v>
      </c>
      <c r="B20" s="8" t="s">
        <v>4288</v>
      </c>
      <c r="C20" s="4" t="s">
        <v>4289</v>
      </c>
      <c r="D20" s="4" t="s">
        <v>4290</v>
      </c>
      <c r="E20" s="4" t="s">
        <v>4291</v>
      </c>
      <c r="F20" s="4" t="str">
        <f t="shared" si="0"/>
        <v>(18,'OF','حقل نفط','Oil Field','Champ Pétrolier'),</v>
      </c>
    </row>
    <row r="21" spans="1:6" ht="20.100000000000001" customHeight="1" x14ac:dyDescent="0.25">
      <c r="A21" s="3">
        <v>19</v>
      </c>
      <c r="B21" s="8" t="s">
        <v>342</v>
      </c>
      <c r="C21" s="4" t="s">
        <v>4292</v>
      </c>
      <c r="D21" s="4" t="s">
        <v>4293</v>
      </c>
      <c r="E21" s="4" t="s">
        <v>4294</v>
      </c>
      <c r="F21" s="4" t="str">
        <f t="shared" si="0"/>
        <v>(19,'GF','حقل غاز','Gas Field','Champ Gazier'),</v>
      </c>
    </row>
    <row r="22" spans="1:6" ht="20.100000000000001" customHeight="1" x14ac:dyDescent="0.25">
      <c r="A22" s="3">
        <v>20</v>
      </c>
      <c r="B22" s="8" t="s">
        <v>211</v>
      </c>
      <c r="C22" s="4" t="s">
        <v>4295</v>
      </c>
      <c r="D22" s="4" t="s">
        <v>4296</v>
      </c>
      <c r="E22" s="4" t="s">
        <v>4297</v>
      </c>
      <c r="F22" s="4" t="str">
        <f t="shared" si="0"/>
        <v>(20,'CF','حقل مكثفات','Condensate Field','Champ de Condensats'),</v>
      </c>
    </row>
    <row r="23" spans="1:6" ht="20.100000000000001" customHeight="1" x14ac:dyDescent="0.25">
      <c r="A23" s="3">
        <v>21</v>
      </c>
      <c r="B23" s="8" t="s">
        <v>4298</v>
      </c>
      <c r="C23" s="4" t="s">
        <v>4299</v>
      </c>
      <c r="D23" s="4" t="s">
        <v>4300</v>
      </c>
      <c r="E23" s="4" t="s">
        <v>4301</v>
      </c>
      <c r="F23" s="4" t="str">
        <f t="shared" si="0"/>
        <v>(21,'LNGC','مجمع الغاز الطبيعي المسال','LNG Complex','Complexe GNL'),</v>
      </c>
    </row>
    <row r="24" spans="1:6" ht="20.100000000000001" customHeight="1" x14ac:dyDescent="0.25">
      <c r="A24" s="3">
        <v>22</v>
      </c>
      <c r="B24" s="8" t="s">
        <v>4302</v>
      </c>
      <c r="C24" s="4" t="s">
        <v>4303</v>
      </c>
      <c r="D24" s="4" t="s">
        <v>4304</v>
      </c>
      <c r="E24" s="4" t="s">
        <v>4305</v>
      </c>
      <c r="F24" s="4" t="str">
        <f t="shared" si="0"/>
        <v>(22,'LPGP','مصنع الغاز البترولي المسال','LPG Plant','Usine GPL'),</v>
      </c>
    </row>
    <row r="25" spans="1:6" ht="20.100000000000001" customHeight="1" x14ac:dyDescent="0.25">
      <c r="A25" s="3">
        <v>23</v>
      </c>
      <c r="B25" s="8" t="s">
        <v>4306</v>
      </c>
      <c r="C25" s="4" t="s">
        <v>4307</v>
      </c>
      <c r="D25" s="4" t="s">
        <v>4308</v>
      </c>
      <c r="E25" s="4" t="s">
        <v>4309</v>
      </c>
      <c r="F25" s="4" t="str">
        <f t="shared" si="0"/>
        <v>(23,'RAF','مصفاة','Refinery','Raffinerie'),</v>
      </c>
    </row>
    <row r="26" spans="1:6" ht="20.100000000000001" customHeight="1" x14ac:dyDescent="0.25">
      <c r="A26" s="3">
        <v>24</v>
      </c>
      <c r="B26" s="8" t="s">
        <v>4310</v>
      </c>
      <c r="C26" s="4" t="s">
        <v>4311</v>
      </c>
      <c r="D26" s="4" t="s">
        <v>4312</v>
      </c>
      <c r="E26" s="4" t="s">
        <v>4313</v>
      </c>
      <c r="F26" s="4" t="str">
        <f t="shared" si="0"/>
        <v>(24,'CNDP','مصنع المكثفات','Condensate Plant','Usine de Condensats'),</v>
      </c>
    </row>
    <row r="27" spans="1:6" ht="20.100000000000001" customHeight="1" x14ac:dyDescent="0.25">
      <c r="A27" s="3">
        <v>25</v>
      </c>
      <c r="B27" s="8" t="s">
        <v>4314</v>
      </c>
      <c r="C27" s="4" t="s">
        <v>4315</v>
      </c>
      <c r="D27" s="4" t="s">
        <v>4316</v>
      </c>
      <c r="E27" s="4" t="s">
        <v>4317</v>
      </c>
      <c r="F27" s="4" t="str">
        <f t="shared" si="0"/>
        <v>(25,'PC','مجمع بتروكيماوي','Petrochemical Complex','Complexe Pétrochimique'),</v>
      </c>
    </row>
    <row r="28" spans="1:6" ht="20.100000000000001" customHeight="1" x14ac:dyDescent="0.25">
      <c r="A28" s="3">
        <v>26</v>
      </c>
      <c r="B28" s="8" t="s">
        <v>4801</v>
      </c>
      <c r="C28" s="4" t="s">
        <v>4799</v>
      </c>
      <c r="D28" s="4" t="s">
        <v>4726</v>
      </c>
      <c r="E28" s="4" t="s">
        <v>4800</v>
      </c>
      <c r="F28" s="4" t="str">
        <f t="shared" si="0"/>
        <v>(26,'CPF','منشأة المعالجة المركزية','Central Processing Facility','Unité de Traitement Central'),</v>
      </c>
    </row>
    <row r="29" spans="1:6" ht="20.100000000000001" customHeight="1" x14ac:dyDescent="0.25">
      <c r="A29" s="3">
        <v>27</v>
      </c>
      <c r="B29" s="8" t="s">
        <v>4804</v>
      </c>
      <c r="C29" s="4" t="s">
        <v>4802</v>
      </c>
      <c r="D29" s="4" t="s">
        <v>4716</v>
      </c>
      <c r="E29" s="4" t="s">
        <v>4803</v>
      </c>
      <c r="F29" s="4" t="str">
        <f t="shared" si="0"/>
        <v>(27,'EPF','منشأة الإنتاج المبكر','Early Production Facility','Installation de Production Précoce'),</v>
      </c>
    </row>
    <row r="30" spans="1:6" ht="20.100000000000001" customHeight="1" x14ac:dyDescent="0.25">
      <c r="A30" s="3">
        <v>28</v>
      </c>
      <c r="B30" s="8" t="s">
        <v>750</v>
      </c>
      <c r="C30" s="4" t="s">
        <v>4806</v>
      </c>
      <c r="D30" s="4" t="s">
        <v>4805</v>
      </c>
      <c r="E30" s="4" t="s">
        <v>4807</v>
      </c>
      <c r="F30" s="4" t="str">
        <f t="shared" si="0"/>
        <v>(28,'PM','مشعب الإنتاج','Production Manifold','Collecteur de Production'),</v>
      </c>
    </row>
    <row r="31" spans="1:6" ht="20.100000000000001" customHeight="1" x14ac:dyDescent="0.25">
      <c r="A31" s="3">
        <v>29</v>
      </c>
      <c r="B31" s="8" t="s">
        <v>4810</v>
      </c>
      <c r="C31" s="4" t="s">
        <v>4808</v>
      </c>
      <c r="D31" s="4" t="s">
        <v>4745</v>
      </c>
      <c r="E31" s="4" t="s">
        <v>4809</v>
      </c>
      <c r="F31" s="4" t="str">
        <f t="shared" si="0"/>
        <v>(29,'GPC','مجمع معالجة الغاز','Gas Processing Complex','Complexe de Traitement du Gaz'),</v>
      </c>
    </row>
    <row r="32" spans="1:6" ht="20.100000000000001" customHeight="1" x14ac:dyDescent="0.25">
      <c r="A32" s="3">
        <v>30</v>
      </c>
      <c r="B32" s="8" t="s">
        <v>4813</v>
      </c>
      <c r="C32" s="4" t="s">
        <v>4811</v>
      </c>
      <c r="D32" s="4" t="s">
        <v>4767</v>
      </c>
      <c r="E32" s="4" t="s">
        <v>4812</v>
      </c>
      <c r="F32" s="4" t="str">
        <f t="shared" si="0"/>
        <v>(30,'GSC','فصل وضغط الغاز','Gas Separation &amp; Compression','Séparation et Compression du Gaz'),</v>
      </c>
    </row>
    <row r="33" spans="1:6" ht="20.100000000000001" customHeight="1" x14ac:dyDescent="0.25">
      <c r="A33" s="3">
        <v>31</v>
      </c>
      <c r="B33" s="8" t="s">
        <v>4816</v>
      </c>
      <c r="C33" s="4" t="s">
        <v>4815</v>
      </c>
      <c r="D33" s="4" t="s">
        <v>4814</v>
      </c>
      <c r="E33" s="4" t="s">
        <v>6045</v>
      </c>
      <c r="F33" s="4" t="str">
        <f t="shared" si="0"/>
        <v>(31,'GEH','مركز تصدير الغاز','Gas Export Hub','Centre d\'Export du Gaz'),</v>
      </c>
    </row>
    <row r="34" spans="1:6" ht="20.100000000000001" customHeight="1" x14ac:dyDescent="0.25">
      <c r="A34" s="3">
        <v>32</v>
      </c>
      <c r="B34" s="8" t="s">
        <v>4820</v>
      </c>
      <c r="C34" s="4" t="s">
        <v>4818</v>
      </c>
      <c r="D34" s="4" t="s">
        <v>4817</v>
      </c>
      <c r="E34" s="4" t="s">
        <v>4819</v>
      </c>
      <c r="F34" s="4" t="str">
        <f t="shared" si="0"/>
        <v>(32,'CRP','محطة استعادة المكثفات','Condensate Recovery Plant','Usine de Récupération des Condensats'),</v>
      </c>
    </row>
    <row r="35" spans="1:6" ht="20.100000000000001" customHeight="1" x14ac:dyDescent="0.25">
      <c r="A35" s="3">
        <v>33</v>
      </c>
      <c r="B35" s="8" t="s">
        <v>4823</v>
      </c>
      <c r="C35" s="4" t="s">
        <v>4821</v>
      </c>
      <c r="D35" s="4" t="s">
        <v>4779</v>
      </c>
      <c r="E35" s="4" t="s">
        <v>4822</v>
      </c>
      <c r="F35" s="4" t="str">
        <f t="shared" si="0"/>
        <v>(33,'LCS','فصل الغاز المسال والمكثفات','LPG &amp; Condensate Separation','Séparation GPL et Condensats'),</v>
      </c>
    </row>
    <row r="36" spans="1:6" ht="20.100000000000001" customHeight="1" x14ac:dyDescent="0.25">
      <c r="A36" s="3">
        <v>34</v>
      </c>
      <c r="B36" s="8" t="s">
        <v>4826</v>
      </c>
      <c r="C36" s="4" t="s">
        <v>4824</v>
      </c>
      <c r="D36" s="4" t="s">
        <v>4784</v>
      </c>
      <c r="E36" s="4" t="s">
        <v>4825</v>
      </c>
      <c r="F36" s="4" t="str">
        <f t="shared" si="0"/>
        <v>(34,'LSC','مجمع فصل الغاز المسال','LPG Separation Complex','Complexe de Séparation du GPL'),</v>
      </c>
    </row>
    <row r="37" spans="1:6" ht="20.100000000000001" customHeight="1" x14ac:dyDescent="0.25">
      <c r="A37" s="3">
        <v>35</v>
      </c>
      <c r="B37" s="8" t="s">
        <v>4829</v>
      </c>
      <c r="C37" s="4" t="s">
        <v>4827</v>
      </c>
      <c r="D37" s="4" t="s">
        <v>4792</v>
      </c>
      <c r="E37" s="4" t="s">
        <v>4828</v>
      </c>
      <c r="F37" s="4" t="str">
        <f t="shared" si="0"/>
        <v>(35,'LSU','وحدة فصل الغاز المسال','LPG Separation Unit','Unité de Séparation du GPL'),</v>
      </c>
    </row>
    <row r="38" spans="1:6" ht="20.100000000000001" customHeight="1" x14ac:dyDescent="0.25">
      <c r="A38" s="3">
        <v>36</v>
      </c>
      <c r="B38" s="8" t="s">
        <v>823</v>
      </c>
      <c r="C38" s="4" t="s">
        <v>4830</v>
      </c>
      <c r="D38" s="4" t="s">
        <v>4787</v>
      </c>
      <c r="E38" s="4" t="s">
        <v>6046</v>
      </c>
      <c r="F38" s="4" t="str">
        <f t="shared" si="0"/>
        <v>(36,'ES','فصل الإيثان','Ethane Separation','Séparation de l\'Éthane'),</v>
      </c>
    </row>
  </sheetData>
  <autoFilter ref="A2:F38"/>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A1:B13"/>
  <sheetViews>
    <sheetView workbookViewId="0">
      <selection activeCell="B2" sqref="B2:B13"/>
    </sheetView>
  </sheetViews>
  <sheetFormatPr baseColWidth="10" defaultColWidth="10.85546875" defaultRowHeight="15.75" x14ac:dyDescent="0.25"/>
  <cols>
    <col min="1" max="1" width="5.5703125" style="2" customWidth="1"/>
    <col min="2" max="2" width="65.42578125" style="2" bestFit="1" customWidth="1"/>
    <col min="3" max="16384" width="10.85546875" style="2"/>
  </cols>
  <sheetData>
    <row r="1" spans="1:2" ht="20.100000000000001" customHeight="1" x14ac:dyDescent="0.25">
      <c r="A1" s="1" t="s">
        <v>37</v>
      </c>
      <c r="B1" s="1" t="s">
        <v>5597</v>
      </c>
    </row>
    <row r="2" spans="1:2" ht="20.100000000000001" customHeight="1" x14ac:dyDescent="0.25">
      <c r="A2" s="1" t="s">
        <v>44</v>
      </c>
      <c r="B2" s="1" t="s">
        <v>5613</v>
      </c>
    </row>
    <row r="3" spans="1:2" ht="20.100000000000001" customHeight="1" x14ac:dyDescent="0.25">
      <c r="A3" s="3">
        <v>7</v>
      </c>
      <c r="B3" s="4" t="str">
        <f>CONCATENATE("(",A3,"),")</f>
        <v>(7),</v>
      </c>
    </row>
    <row r="4" spans="1:2" ht="20.100000000000001" customHeight="1" x14ac:dyDescent="0.25">
      <c r="A4" s="3">
        <v>8</v>
      </c>
      <c r="B4" s="4" t="str">
        <f t="shared" ref="B4:B13" si="0">CONCATENATE("(",A4,"),")</f>
        <v>(8),</v>
      </c>
    </row>
    <row r="5" spans="1:2" ht="20.100000000000001" customHeight="1" x14ac:dyDescent="0.25">
      <c r="A5" s="3">
        <v>9</v>
      </c>
      <c r="B5" s="4" t="str">
        <f t="shared" si="0"/>
        <v>(9),</v>
      </c>
    </row>
    <row r="6" spans="1:2" ht="20.100000000000001" customHeight="1" x14ac:dyDescent="0.25">
      <c r="A6" s="3">
        <v>10</v>
      </c>
      <c r="B6" s="4" t="str">
        <f t="shared" si="0"/>
        <v>(10),</v>
      </c>
    </row>
    <row r="7" spans="1:2" ht="20.100000000000001" customHeight="1" x14ac:dyDescent="0.25">
      <c r="A7" s="3">
        <v>11</v>
      </c>
      <c r="B7" s="4" t="str">
        <f t="shared" si="0"/>
        <v>(11),</v>
      </c>
    </row>
    <row r="8" spans="1:2" ht="20.100000000000001" customHeight="1" x14ac:dyDescent="0.25">
      <c r="A8" s="3">
        <v>12</v>
      </c>
      <c r="B8" s="4" t="str">
        <f t="shared" si="0"/>
        <v>(12),</v>
      </c>
    </row>
    <row r="9" spans="1:2" ht="20.100000000000001" customHeight="1" x14ac:dyDescent="0.25">
      <c r="A9" s="3">
        <v>13</v>
      </c>
      <c r="B9" s="4" t="str">
        <f t="shared" si="0"/>
        <v>(13),</v>
      </c>
    </row>
    <row r="10" spans="1:2" ht="20.100000000000001" customHeight="1" x14ac:dyDescent="0.25">
      <c r="A10" s="3">
        <v>14</v>
      </c>
      <c r="B10" s="4" t="str">
        <f t="shared" si="0"/>
        <v>(14),</v>
      </c>
    </row>
    <row r="11" spans="1:2" ht="20.100000000000001" customHeight="1" x14ac:dyDescent="0.25">
      <c r="A11" s="3">
        <v>15</v>
      </c>
      <c r="B11" s="4" t="str">
        <f t="shared" si="0"/>
        <v>(15),</v>
      </c>
    </row>
    <row r="12" spans="1:2" ht="20.100000000000001" customHeight="1" x14ac:dyDescent="0.25">
      <c r="A12" s="3">
        <v>16</v>
      </c>
      <c r="B12" s="4" t="str">
        <f t="shared" si="0"/>
        <v>(16),</v>
      </c>
    </row>
    <row r="13" spans="1:2" ht="20.100000000000001" customHeight="1" x14ac:dyDescent="0.25">
      <c r="A13" s="3">
        <v>17</v>
      </c>
      <c r="B13" s="4" t="str">
        <f t="shared" si="0"/>
        <v>(17),</v>
      </c>
    </row>
  </sheetData>
  <autoFilter ref="A2:B13"/>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A1:B8"/>
  <sheetViews>
    <sheetView workbookViewId="0">
      <selection activeCell="B2" sqref="B2:B8"/>
    </sheetView>
  </sheetViews>
  <sheetFormatPr baseColWidth="10" defaultColWidth="10.85546875" defaultRowHeight="15.75" x14ac:dyDescent="0.25"/>
  <cols>
    <col min="1" max="1" width="5.5703125" style="2" customWidth="1"/>
    <col min="2" max="2" width="65.42578125" style="2" bestFit="1" customWidth="1"/>
    <col min="3" max="16384" width="10.85546875" style="2"/>
  </cols>
  <sheetData>
    <row r="1" spans="1:2" ht="20.100000000000001" customHeight="1" x14ac:dyDescent="0.25">
      <c r="A1" s="1" t="s">
        <v>37</v>
      </c>
      <c r="B1" s="1" t="s">
        <v>5597</v>
      </c>
    </row>
    <row r="2" spans="1:2" ht="20.100000000000001" customHeight="1" x14ac:dyDescent="0.25">
      <c r="A2" s="1" t="s">
        <v>44</v>
      </c>
      <c r="B2" s="1" t="s">
        <v>5612</v>
      </c>
    </row>
    <row r="3" spans="1:2" ht="20.100000000000001" customHeight="1" x14ac:dyDescent="0.25">
      <c r="A3" s="3">
        <v>1</v>
      </c>
      <c r="B3" s="4" t="str">
        <f>CONCATENATE("(",A3,"),")</f>
        <v>(1),</v>
      </c>
    </row>
    <row r="4" spans="1:2" ht="20.100000000000001" customHeight="1" x14ac:dyDescent="0.25">
      <c r="A4" s="3">
        <v>2</v>
      </c>
      <c r="B4" s="4" t="str">
        <f t="shared" ref="B4:B8" si="0">CONCATENATE("(",A4,"),")</f>
        <v>(2),</v>
      </c>
    </row>
    <row r="5" spans="1:2" ht="20.100000000000001" customHeight="1" x14ac:dyDescent="0.25">
      <c r="A5" s="3">
        <v>3</v>
      </c>
      <c r="B5" s="4" t="str">
        <f t="shared" si="0"/>
        <v>(3),</v>
      </c>
    </row>
    <row r="6" spans="1:2" ht="20.100000000000001" customHeight="1" x14ac:dyDescent="0.25">
      <c r="A6" s="3">
        <v>4</v>
      </c>
      <c r="B6" s="4" t="str">
        <f t="shared" si="0"/>
        <v>(4),</v>
      </c>
    </row>
    <row r="7" spans="1:2" ht="20.100000000000001" customHeight="1" x14ac:dyDescent="0.25">
      <c r="A7" s="3">
        <v>5</v>
      </c>
      <c r="B7" s="4" t="str">
        <f t="shared" si="0"/>
        <v>(5),</v>
      </c>
    </row>
    <row r="8" spans="1:2" ht="20.100000000000001" customHeight="1" x14ac:dyDescent="0.25">
      <c r="A8" s="3">
        <v>6</v>
      </c>
      <c r="B8" s="4" t="str">
        <f t="shared" si="0"/>
        <v>(6),</v>
      </c>
    </row>
  </sheetData>
  <autoFilter ref="A2:B8"/>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A1:B5"/>
  <sheetViews>
    <sheetView workbookViewId="0">
      <selection activeCell="B2" sqref="B2:B5"/>
    </sheetView>
  </sheetViews>
  <sheetFormatPr baseColWidth="10" defaultColWidth="10.85546875" defaultRowHeight="15.75" x14ac:dyDescent="0.25"/>
  <cols>
    <col min="1" max="1" width="5.5703125" style="2" customWidth="1"/>
    <col min="2" max="2" width="65.42578125" style="2" bestFit="1" customWidth="1"/>
    <col min="3" max="16384" width="10.85546875" style="2"/>
  </cols>
  <sheetData>
    <row r="1" spans="1:2" ht="20.100000000000001" customHeight="1" x14ac:dyDescent="0.25">
      <c r="A1" s="1" t="s">
        <v>37</v>
      </c>
      <c r="B1" s="1" t="s">
        <v>5597</v>
      </c>
    </row>
    <row r="2" spans="1:2" ht="20.100000000000001" customHeight="1" x14ac:dyDescent="0.25">
      <c r="A2" s="1" t="s">
        <v>44</v>
      </c>
      <c r="B2" s="1" t="s">
        <v>5611</v>
      </c>
    </row>
    <row r="3" spans="1:2" ht="20.100000000000001" customHeight="1" x14ac:dyDescent="0.25">
      <c r="A3" s="3">
        <v>18</v>
      </c>
      <c r="B3" s="4" t="str">
        <f>CONCATENATE("(",A3,"),")</f>
        <v>(18),</v>
      </c>
    </row>
    <row r="4" spans="1:2" ht="20.100000000000001" customHeight="1" x14ac:dyDescent="0.25">
      <c r="A4" s="3">
        <v>19</v>
      </c>
      <c r="B4" s="4" t="str">
        <f t="shared" ref="B4:B5" si="0">CONCATENATE("(",A4,"),")</f>
        <v>(19),</v>
      </c>
    </row>
    <row r="5" spans="1:2" ht="20.100000000000001" customHeight="1" x14ac:dyDescent="0.25">
      <c r="A5" s="3">
        <v>20</v>
      </c>
      <c r="B5" s="4" t="str">
        <f t="shared" si="0"/>
        <v>(20),</v>
      </c>
    </row>
  </sheetData>
  <autoFilter ref="A2:B5"/>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A1:B18"/>
  <sheetViews>
    <sheetView workbookViewId="0">
      <selection activeCell="B2" sqref="B2:B18"/>
    </sheetView>
  </sheetViews>
  <sheetFormatPr baseColWidth="10" defaultColWidth="10.85546875" defaultRowHeight="15.75" x14ac:dyDescent="0.25"/>
  <cols>
    <col min="1" max="1" width="5.5703125" style="2" customWidth="1"/>
    <col min="2" max="2" width="65.42578125" style="2" bestFit="1" customWidth="1"/>
    <col min="3" max="16384" width="10.85546875" style="2"/>
  </cols>
  <sheetData>
    <row r="1" spans="1:2" ht="20.100000000000001" customHeight="1" x14ac:dyDescent="0.25">
      <c r="A1" s="1" t="s">
        <v>37</v>
      </c>
      <c r="B1" s="1" t="s">
        <v>5597</v>
      </c>
    </row>
    <row r="2" spans="1:2" ht="20.100000000000001" customHeight="1" x14ac:dyDescent="0.25">
      <c r="A2" s="1" t="s">
        <v>44</v>
      </c>
      <c r="B2" s="1" t="s">
        <v>5610</v>
      </c>
    </row>
    <row r="3" spans="1:2" ht="20.100000000000001" customHeight="1" x14ac:dyDescent="0.25">
      <c r="A3" s="3">
        <v>21</v>
      </c>
      <c r="B3" s="4" t="str">
        <f>CONCATENATE("(",A3,"),")</f>
        <v>(21),</v>
      </c>
    </row>
    <row r="4" spans="1:2" ht="20.100000000000001" customHeight="1" x14ac:dyDescent="0.25">
      <c r="A4" s="3">
        <v>22</v>
      </c>
      <c r="B4" s="4" t="str">
        <f t="shared" ref="B4:B18" si="0">CONCATENATE("(",A4,"),")</f>
        <v>(22),</v>
      </c>
    </row>
    <row r="5" spans="1:2" ht="20.100000000000001" customHeight="1" x14ac:dyDescent="0.25">
      <c r="A5" s="3">
        <v>23</v>
      </c>
      <c r="B5" s="4" t="str">
        <f t="shared" si="0"/>
        <v>(23),</v>
      </c>
    </row>
    <row r="6" spans="1:2" ht="20.100000000000001" customHeight="1" x14ac:dyDescent="0.25">
      <c r="A6" s="3">
        <v>24</v>
      </c>
      <c r="B6" s="4" t="str">
        <f t="shared" si="0"/>
        <v>(24),</v>
      </c>
    </row>
    <row r="7" spans="1:2" ht="20.100000000000001" customHeight="1" x14ac:dyDescent="0.25">
      <c r="A7" s="3">
        <v>25</v>
      </c>
      <c r="B7" s="4" t="str">
        <f t="shared" si="0"/>
        <v>(25),</v>
      </c>
    </row>
    <row r="8" spans="1:2" ht="20.100000000000001" customHeight="1" x14ac:dyDescent="0.25">
      <c r="A8" s="3">
        <v>26</v>
      </c>
      <c r="B8" s="4" t="str">
        <f t="shared" si="0"/>
        <v>(26),</v>
      </c>
    </row>
    <row r="9" spans="1:2" ht="20.100000000000001" customHeight="1" x14ac:dyDescent="0.25">
      <c r="A9" s="3">
        <v>27</v>
      </c>
      <c r="B9" s="4" t="str">
        <f t="shared" si="0"/>
        <v>(27),</v>
      </c>
    </row>
    <row r="10" spans="1:2" ht="20.100000000000001" customHeight="1" x14ac:dyDescent="0.25">
      <c r="A10" s="3">
        <v>28</v>
      </c>
      <c r="B10" s="4" t="str">
        <f t="shared" si="0"/>
        <v>(28),</v>
      </c>
    </row>
    <row r="11" spans="1:2" ht="20.100000000000001" customHeight="1" x14ac:dyDescent="0.25">
      <c r="A11" s="3">
        <v>29</v>
      </c>
      <c r="B11" s="4" t="str">
        <f t="shared" si="0"/>
        <v>(29),</v>
      </c>
    </row>
    <row r="12" spans="1:2" ht="20.100000000000001" customHeight="1" x14ac:dyDescent="0.25">
      <c r="A12" s="3">
        <v>30</v>
      </c>
      <c r="B12" s="4" t="str">
        <f t="shared" si="0"/>
        <v>(30),</v>
      </c>
    </row>
    <row r="13" spans="1:2" ht="20.100000000000001" customHeight="1" x14ac:dyDescent="0.25">
      <c r="A13" s="3">
        <v>31</v>
      </c>
      <c r="B13" s="4" t="str">
        <f t="shared" si="0"/>
        <v>(31),</v>
      </c>
    </row>
    <row r="14" spans="1:2" ht="20.100000000000001" customHeight="1" x14ac:dyDescent="0.25">
      <c r="A14" s="3">
        <v>32</v>
      </c>
      <c r="B14" s="4" t="str">
        <f t="shared" si="0"/>
        <v>(32),</v>
      </c>
    </row>
    <row r="15" spans="1:2" ht="20.100000000000001" customHeight="1" x14ac:dyDescent="0.25">
      <c r="A15" s="3">
        <v>33</v>
      </c>
      <c r="B15" s="4" t="str">
        <f t="shared" si="0"/>
        <v>(33),</v>
      </c>
    </row>
    <row r="16" spans="1:2" ht="20.100000000000001" customHeight="1" x14ac:dyDescent="0.25">
      <c r="A16" s="3">
        <v>34</v>
      </c>
      <c r="B16" s="4" t="str">
        <f t="shared" si="0"/>
        <v>(34),</v>
      </c>
    </row>
    <row r="17" spans="1:2" ht="20.100000000000001" customHeight="1" x14ac:dyDescent="0.25">
      <c r="A17" s="3">
        <v>35</v>
      </c>
      <c r="B17" s="4" t="str">
        <f t="shared" si="0"/>
        <v>(35),</v>
      </c>
    </row>
    <row r="18" spans="1:2" ht="20.100000000000001" customHeight="1" x14ac:dyDescent="0.25">
      <c r="A18" s="3">
        <v>36</v>
      </c>
      <c r="B18" s="4" t="str">
        <f t="shared" si="0"/>
        <v>(36),</v>
      </c>
    </row>
  </sheetData>
  <autoFilter ref="A2:B18"/>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A1:F38"/>
  <sheetViews>
    <sheetView workbookViewId="0">
      <selection activeCell="F3" sqref="F3"/>
    </sheetView>
  </sheetViews>
  <sheetFormatPr baseColWidth="10" defaultColWidth="10.85546875" defaultRowHeight="15.75" x14ac:dyDescent="0.25"/>
  <cols>
    <col min="1" max="1" width="5.5703125" style="2" customWidth="1"/>
    <col min="2" max="2" width="10.5703125" style="2" customWidth="1"/>
    <col min="3" max="5" width="30.5703125" style="2" customWidth="1"/>
    <col min="6" max="6" width="65.42578125" style="2" bestFit="1" customWidth="1"/>
    <col min="7" max="16384" width="10.85546875" style="2"/>
  </cols>
  <sheetData>
    <row r="1" spans="1:6" ht="20.100000000000001" customHeight="1" x14ac:dyDescent="0.25">
      <c r="A1" s="1" t="s">
        <v>37</v>
      </c>
      <c r="B1" s="1" t="s">
        <v>54</v>
      </c>
      <c r="C1" s="1" t="s">
        <v>38</v>
      </c>
      <c r="D1" s="1" t="s">
        <v>39</v>
      </c>
      <c r="E1" s="1" t="s">
        <v>40</v>
      </c>
      <c r="F1" s="1" t="s">
        <v>5597</v>
      </c>
    </row>
    <row r="2" spans="1:6" ht="20.100000000000001" customHeight="1" x14ac:dyDescent="0.25">
      <c r="A2" s="1" t="s">
        <v>44</v>
      </c>
      <c r="B2" s="1" t="s">
        <v>41</v>
      </c>
      <c r="C2" s="1" t="s">
        <v>42</v>
      </c>
      <c r="D2" s="1" t="s">
        <v>43</v>
      </c>
      <c r="E2" s="1" t="s">
        <v>53</v>
      </c>
      <c r="F2" s="1" t="s">
        <v>5674</v>
      </c>
    </row>
    <row r="3" spans="1:6" ht="20.100000000000001" customHeight="1" x14ac:dyDescent="0.25">
      <c r="A3" s="3">
        <v>1</v>
      </c>
      <c r="B3" s="8"/>
      <c r="C3" s="4"/>
      <c r="D3" s="4"/>
      <c r="E3" s="4"/>
      <c r="F3" s="4" t="str">
        <f>CONCATENATE("(",A3,",'",B3,"','",C3,"',",D3,",",E3,"),")</f>
        <v>(1,'','',,),</v>
      </c>
    </row>
    <row r="4" spans="1:6" ht="20.100000000000001" customHeight="1" x14ac:dyDescent="0.25">
      <c r="A4" s="3">
        <v>2</v>
      </c>
      <c r="B4" s="8"/>
      <c r="C4" s="4"/>
      <c r="D4" s="4"/>
      <c r="E4" s="4"/>
      <c r="F4" s="4" t="str">
        <f t="shared" ref="F4:F38" si="0">CONCATENATE("(",A4,",'",B4,"','",C4,"',",D4,",",E4,"),")</f>
        <v>(2,'','',,),</v>
      </c>
    </row>
    <row r="5" spans="1:6" ht="20.100000000000001" customHeight="1" x14ac:dyDescent="0.25">
      <c r="A5" s="3">
        <v>3</v>
      </c>
      <c r="B5" s="8"/>
      <c r="C5" s="4"/>
      <c r="D5" s="4"/>
      <c r="E5" s="4"/>
      <c r="F5" s="4" t="str">
        <f t="shared" si="0"/>
        <v>(3,'','',,),</v>
      </c>
    </row>
    <row r="6" spans="1:6" ht="20.100000000000001" customHeight="1" x14ac:dyDescent="0.25">
      <c r="A6" s="3">
        <v>4</v>
      </c>
      <c r="B6" s="8"/>
      <c r="C6" s="4"/>
      <c r="D6" s="4"/>
      <c r="E6" s="4"/>
      <c r="F6" s="4" t="str">
        <f t="shared" si="0"/>
        <v>(4,'','',,),</v>
      </c>
    </row>
    <row r="7" spans="1:6" ht="20.100000000000001" customHeight="1" x14ac:dyDescent="0.25">
      <c r="A7" s="3">
        <v>5</v>
      </c>
      <c r="B7" s="8"/>
      <c r="C7" s="4"/>
      <c r="D7" s="4"/>
      <c r="E7" s="4"/>
      <c r="F7" s="4" t="str">
        <f t="shared" si="0"/>
        <v>(5,'','',,),</v>
      </c>
    </row>
    <row r="8" spans="1:6" ht="20.100000000000001" customHeight="1" x14ac:dyDescent="0.25">
      <c r="A8" s="3">
        <v>6</v>
      </c>
      <c r="B8" s="8"/>
      <c r="C8" s="4"/>
      <c r="D8" s="4"/>
      <c r="E8" s="4"/>
      <c r="F8" s="4" t="str">
        <f t="shared" si="0"/>
        <v>(6,'','',,),</v>
      </c>
    </row>
    <row r="9" spans="1:6" ht="20.100000000000001" customHeight="1" x14ac:dyDescent="0.25">
      <c r="A9" s="3">
        <v>7</v>
      </c>
      <c r="B9" s="8"/>
      <c r="C9" s="4"/>
      <c r="D9" s="4"/>
      <c r="E9" s="4"/>
      <c r="F9" s="4" t="str">
        <f t="shared" si="0"/>
        <v>(7,'','',,),</v>
      </c>
    </row>
    <row r="10" spans="1:6" ht="20.100000000000001" customHeight="1" x14ac:dyDescent="0.25">
      <c r="A10" s="3">
        <v>8</v>
      </c>
      <c r="B10" s="8"/>
      <c r="C10" s="4"/>
      <c r="D10" s="4"/>
      <c r="E10" s="4"/>
      <c r="F10" s="4" t="str">
        <f t="shared" si="0"/>
        <v>(8,'','',,),</v>
      </c>
    </row>
    <row r="11" spans="1:6" ht="20.100000000000001" customHeight="1" x14ac:dyDescent="0.25">
      <c r="A11" s="3">
        <v>9</v>
      </c>
      <c r="B11" s="8"/>
      <c r="C11" s="4"/>
      <c r="D11" s="4"/>
      <c r="E11" s="4"/>
      <c r="F11" s="4" t="str">
        <f t="shared" si="0"/>
        <v>(9,'','',,),</v>
      </c>
    </row>
    <row r="12" spans="1:6" ht="20.100000000000001" customHeight="1" x14ac:dyDescent="0.25">
      <c r="A12" s="3">
        <v>10</v>
      </c>
      <c r="B12" s="8"/>
      <c r="C12" s="4"/>
      <c r="D12" s="4"/>
      <c r="E12" s="4"/>
      <c r="F12" s="4" t="str">
        <f t="shared" si="0"/>
        <v>(10,'','',,),</v>
      </c>
    </row>
    <row r="13" spans="1:6" ht="20.100000000000001" customHeight="1" x14ac:dyDescent="0.25">
      <c r="A13" s="3">
        <v>11</v>
      </c>
      <c r="B13" s="8"/>
      <c r="C13" s="4"/>
      <c r="D13" s="4"/>
      <c r="E13" s="4"/>
      <c r="F13" s="4" t="str">
        <f t="shared" si="0"/>
        <v>(11,'','',,),</v>
      </c>
    </row>
    <row r="14" spans="1:6" ht="20.100000000000001" customHeight="1" x14ac:dyDescent="0.25">
      <c r="A14" s="3">
        <v>12</v>
      </c>
      <c r="B14" s="8"/>
      <c r="C14" s="4"/>
      <c r="D14" s="4"/>
      <c r="E14" s="4"/>
      <c r="F14" s="4" t="str">
        <f t="shared" si="0"/>
        <v>(12,'','',,),</v>
      </c>
    </row>
    <row r="15" spans="1:6" ht="20.100000000000001" customHeight="1" x14ac:dyDescent="0.25">
      <c r="A15" s="3">
        <v>13</v>
      </c>
      <c r="B15" s="8"/>
      <c r="C15" s="4"/>
      <c r="D15" s="4"/>
      <c r="E15" s="4"/>
      <c r="F15" s="4" t="str">
        <f t="shared" si="0"/>
        <v>(13,'','',,),</v>
      </c>
    </row>
    <row r="16" spans="1:6" ht="20.100000000000001" customHeight="1" x14ac:dyDescent="0.25">
      <c r="A16" s="3">
        <v>14</v>
      </c>
      <c r="B16" s="8"/>
      <c r="C16" s="4"/>
      <c r="D16" s="4"/>
      <c r="E16" s="4"/>
      <c r="F16" s="4" t="str">
        <f t="shared" si="0"/>
        <v>(14,'','',,),</v>
      </c>
    </row>
    <row r="17" spans="1:6" ht="20.100000000000001" customHeight="1" x14ac:dyDescent="0.25">
      <c r="A17" s="3">
        <v>15</v>
      </c>
      <c r="B17" s="8"/>
      <c r="C17" s="4"/>
      <c r="D17" s="4"/>
      <c r="E17" s="4"/>
      <c r="F17" s="4" t="str">
        <f t="shared" si="0"/>
        <v>(15,'','',,),</v>
      </c>
    </row>
    <row r="18" spans="1:6" ht="20.100000000000001" customHeight="1" x14ac:dyDescent="0.25">
      <c r="A18" s="3">
        <v>16</v>
      </c>
      <c r="B18" s="8"/>
      <c r="C18" s="4"/>
      <c r="D18" s="4"/>
      <c r="E18" s="4"/>
      <c r="F18" s="4" t="str">
        <f t="shared" si="0"/>
        <v>(16,'','',,),</v>
      </c>
    </row>
    <row r="19" spans="1:6" ht="20.100000000000001" customHeight="1" x14ac:dyDescent="0.25">
      <c r="A19" s="3">
        <v>17</v>
      </c>
      <c r="B19" s="8"/>
      <c r="C19" s="4"/>
      <c r="D19" s="4"/>
      <c r="E19" s="4"/>
      <c r="F19" s="4" t="str">
        <f t="shared" si="0"/>
        <v>(17,'','',,),</v>
      </c>
    </row>
    <row r="20" spans="1:6" ht="20.100000000000001" customHeight="1" x14ac:dyDescent="0.25">
      <c r="A20" s="3">
        <v>18</v>
      </c>
      <c r="B20" s="8"/>
      <c r="C20" s="4"/>
      <c r="D20" s="4"/>
      <c r="E20" s="4"/>
      <c r="F20" s="4" t="str">
        <f t="shared" si="0"/>
        <v>(18,'','',,),</v>
      </c>
    </row>
    <row r="21" spans="1:6" ht="20.100000000000001" customHeight="1" x14ac:dyDescent="0.25">
      <c r="A21" s="3">
        <v>19</v>
      </c>
      <c r="B21" s="8"/>
      <c r="C21" s="4"/>
      <c r="D21" s="4"/>
      <c r="E21" s="4"/>
      <c r="F21" s="4" t="str">
        <f t="shared" si="0"/>
        <v>(19,'','',,),</v>
      </c>
    </row>
    <row r="22" spans="1:6" ht="20.100000000000001" customHeight="1" x14ac:dyDescent="0.25">
      <c r="A22" s="3">
        <v>20</v>
      </c>
      <c r="B22" s="8"/>
      <c r="C22" s="4"/>
      <c r="D22" s="4"/>
      <c r="E22" s="4"/>
      <c r="F22" s="4" t="str">
        <f t="shared" si="0"/>
        <v>(20,'','',,),</v>
      </c>
    </row>
    <row r="23" spans="1:6" ht="20.100000000000001" customHeight="1" x14ac:dyDescent="0.25">
      <c r="A23" s="3">
        <v>21</v>
      </c>
      <c r="B23" s="8"/>
      <c r="C23" s="4"/>
      <c r="D23" s="4"/>
      <c r="E23" s="4"/>
      <c r="F23" s="4" t="str">
        <f t="shared" si="0"/>
        <v>(21,'','',,),</v>
      </c>
    </row>
    <row r="24" spans="1:6" ht="20.100000000000001" customHeight="1" x14ac:dyDescent="0.25">
      <c r="A24" s="3">
        <v>22</v>
      </c>
      <c r="B24" s="8"/>
      <c r="C24" s="4"/>
      <c r="D24" s="4"/>
      <c r="E24" s="4"/>
      <c r="F24" s="4" t="str">
        <f t="shared" si="0"/>
        <v>(22,'','',,),</v>
      </c>
    </row>
    <row r="25" spans="1:6" ht="20.100000000000001" customHeight="1" x14ac:dyDescent="0.25">
      <c r="A25" s="3">
        <v>23</v>
      </c>
      <c r="B25" s="8"/>
      <c r="C25" s="4"/>
      <c r="D25" s="4"/>
      <c r="E25" s="4"/>
      <c r="F25" s="4" t="str">
        <f t="shared" si="0"/>
        <v>(23,'','',,),</v>
      </c>
    </row>
    <row r="26" spans="1:6" ht="20.100000000000001" customHeight="1" x14ac:dyDescent="0.25">
      <c r="A26" s="3">
        <v>24</v>
      </c>
      <c r="B26" s="8"/>
      <c r="C26" s="4"/>
      <c r="D26" s="4"/>
      <c r="E26" s="4"/>
      <c r="F26" s="4" t="str">
        <f t="shared" si="0"/>
        <v>(24,'','',,),</v>
      </c>
    </row>
    <row r="27" spans="1:6" ht="20.100000000000001" customHeight="1" x14ac:dyDescent="0.25">
      <c r="A27" s="3">
        <v>25</v>
      </c>
      <c r="B27" s="8"/>
      <c r="C27" s="4"/>
      <c r="D27" s="4"/>
      <c r="E27" s="4"/>
      <c r="F27" s="4" t="str">
        <f t="shared" si="0"/>
        <v>(25,'','',,),</v>
      </c>
    </row>
    <row r="28" spans="1:6" ht="20.100000000000001" customHeight="1" x14ac:dyDescent="0.25">
      <c r="A28" s="3">
        <v>26</v>
      </c>
      <c r="B28" s="8"/>
      <c r="C28" s="4"/>
      <c r="D28" s="4"/>
      <c r="E28" s="4"/>
      <c r="F28" s="4" t="str">
        <f t="shared" si="0"/>
        <v>(26,'','',,),</v>
      </c>
    </row>
    <row r="29" spans="1:6" ht="20.100000000000001" customHeight="1" x14ac:dyDescent="0.25">
      <c r="A29" s="3">
        <v>27</v>
      </c>
      <c r="B29" s="8"/>
      <c r="C29" s="4"/>
      <c r="D29" s="4"/>
      <c r="E29" s="4"/>
      <c r="F29" s="4" t="str">
        <f t="shared" si="0"/>
        <v>(27,'','',,),</v>
      </c>
    </row>
    <row r="30" spans="1:6" ht="20.100000000000001" customHeight="1" x14ac:dyDescent="0.25">
      <c r="A30" s="3">
        <v>28</v>
      </c>
      <c r="B30" s="8"/>
      <c r="C30" s="4"/>
      <c r="D30" s="4"/>
      <c r="E30" s="4"/>
      <c r="F30" s="4" t="str">
        <f t="shared" si="0"/>
        <v>(28,'','',,),</v>
      </c>
    </row>
    <row r="31" spans="1:6" ht="20.100000000000001" customHeight="1" x14ac:dyDescent="0.25">
      <c r="A31" s="3">
        <v>29</v>
      </c>
      <c r="B31" s="8"/>
      <c r="C31" s="4"/>
      <c r="D31" s="4"/>
      <c r="E31" s="4"/>
      <c r="F31" s="4" t="str">
        <f t="shared" si="0"/>
        <v>(29,'','',,),</v>
      </c>
    </row>
    <row r="32" spans="1:6" ht="20.100000000000001" customHeight="1" x14ac:dyDescent="0.25">
      <c r="A32" s="3">
        <v>30</v>
      </c>
      <c r="B32" s="8"/>
      <c r="C32" s="4"/>
      <c r="D32" s="4"/>
      <c r="E32" s="4"/>
      <c r="F32" s="4" t="str">
        <f t="shared" si="0"/>
        <v>(30,'','',,),</v>
      </c>
    </row>
    <row r="33" spans="1:6" ht="20.100000000000001" customHeight="1" x14ac:dyDescent="0.25">
      <c r="A33" s="3">
        <v>31</v>
      </c>
      <c r="B33" s="8"/>
      <c r="C33" s="4"/>
      <c r="D33" s="4"/>
      <c r="E33" s="4"/>
      <c r="F33" s="4" t="str">
        <f t="shared" si="0"/>
        <v>(31,'','',,),</v>
      </c>
    </row>
    <row r="34" spans="1:6" ht="20.100000000000001" customHeight="1" x14ac:dyDescent="0.25">
      <c r="A34" s="3">
        <v>32</v>
      </c>
      <c r="B34" s="8"/>
      <c r="C34" s="4"/>
      <c r="D34" s="4"/>
      <c r="E34" s="4"/>
      <c r="F34" s="4" t="str">
        <f t="shared" si="0"/>
        <v>(32,'','',,),</v>
      </c>
    </row>
    <row r="35" spans="1:6" ht="20.100000000000001" customHeight="1" x14ac:dyDescent="0.25">
      <c r="A35" s="3">
        <v>33</v>
      </c>
      <c r="B35" s="8"/>
      <c r="C35" s="4"/>
      <c r="D35" s="4"/>
      <c r="E35" s="4"/>
      <c r="F35" s="4" t="str">
        <f t="shared" si="0"/>
        <v>(33,'','',,),</v>
      </c>
    </row>
    <row r="36" spans="1:6" ht="20.100000000000001" customHeight="1" x14ac:dyDescent="0.25">
      <c r="A36" s="3">
        <v>34</v>
      </c>
      <c r="B36" s="8"/>
      <c r="C36" s="4"/>
      <c r="D36" s="4"/>
      <c r="E36" s="4"/>
      <c r="F36" s="4" t="str">
        <f t="shared" si="0"/>
        <v>(34,'','',,),</v>
      </c>
    </row>
    <row r="37" spans="1:6" ht="20.100000000000001" customHeight="1" x14ac:dyDescent="0.25">
      <c r="A37" s="3">
        <v>35</v>
      </c>
      <c r="B37" s="8"/>
      <c r="C37" s="4"/>
      <c r="D37" s="4"/>
      <c r="E37" s="4"/>
      <c r="F37" s="4" t="str">
        <f t="shared" si="0"/>
        <v>(35,'','',,),</v>
      </c>
    </row>
    <row r="38" spans="1:6" ht="20.100000000000001" customHeight="1" x14ac:dyDescent="0.25">
      <c r="A38" s="3">
        <v>36</v>
      </c>
      <c r="B38" s="8"/>
      <c r="C38" s="4"/>
      <c r="D38" s="4"/>
      <c r="E38" s="4"/>
      <c r="F38" s="4" t="str">
        <f t="shared" si="0"/>
        <v>(36,'','',,),</v>
      </c>
    </row>
  </sheetData>
  <autoFilter ref="A2:B18"/>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C000"/>
  </sheetPr>
  <dimension ref="A1:K6"/>
  <sheetViews>
    <sheetView workbookViewId="0">
      <selection activeCell="K2" sqref="K2:K6"/>
    </sheetView>
  </sheetViews>
  <sheetFormatPr baseColWidth="10" defaultColWidth="10.85546875" defaultRowHeight="15.75" x14ac:dyDescent="0.25"/>
  <cols>
    <col min="1" max="1" width="5.5703125" style="2" customWidth="1"/>
    <col min="2" max="2" width="10.5703125" style="2" customWidth="1"/>
    <col min="3" max="5" width="30.5703125" style="2" customWidth="1"/>
    <col min="6" max="10" width="10.5703125" style="2" customWidth="1"/>
    <col min="11" max="11" width="100.7109375" style="2" customWidth="1"/>
    <col min="12" max="16384" width="10.85546875" style="2"/>
  </cols>
  <sheetData>
    <row r="1" spans="1:11" ht="20.100000000000001" customHeight="1" x14ac:dyDescent="0.25">
      <c r="A1" s="1" t="s">
        <v>37</v>
      </c>
      <c r="B1" s="1" t="s">
        <v>54</v>
      </c>
      <c r="C1" s="1" t="s">
        <v>38</v>
      </c>
      <c r="D1" s="1" t="s">
        <v>39</v>
      </c>
      <c r="E1" s="1" t="s">
        <v>40</v>
      </c>
      <c r="F1" s="1" t="s">
        <v>4344</v>
      </c>
      <c r="G1" s="1" t="s">
        <v>4345</v>
      </c>
      <c r="H1" s="1" t="s">
        <v>4346</v>
      </c>
      <c r="I1" s="1" t="s">
        <v>4347</v>
      </c>
      <c r="J1" s="1" t="s">
        <v>4348</v>
      </c>
      <c r="K1" s="1" t="s">
        <v>5597</v>
      </c>
    </row>
    <row r="2" spans="1:11" ht="20.100000000000001" customHeight="1" x14ac:dyDescent="0.25">
      <c r="A2" s="1" t="s">
        <v>44</v>
      </c>
      <c r="B2" s="1" t="s">
        <v>41</v>
      </c>
      <c r="C2" s="1" t="s">
        <v>42</v>
      </c>
      <c r="D2" s="1" t="s">
        <v>43</v>
      </c>
      <c r="E2" s="1" t="s">
        <v>53</v>
      </c>
      <c r="F2" s="1" t="s">
        <v>2094</v>
      </c>
      <c r="G2" s="1" t="s">
        <v>4077</v>
      </c>
      <c r="H2" s="1" t="s">
        <v>4349</v>
      </c>
      <c r="I2" s="1" t="s">
        <v>4350</v>
      </c>
      <c r="J2" s="1" t="s">
        <v>4351</v>
      </c>
      <c r="K2" s="1" t="s">
        <v>5609</v>
      </c>
    </row>
    <row r="3" spans="1:11" ht="20.100000000000001" customHeight="1" x14ac:dyDescent="0.25">
      <c r="A3" s="3">
        <v>1</v>
      </c>
      <c r="B3" s="8" t="s">
        <v>400</v>
      </c>
      <c r="C3" s="4" t="s">
        <v>4319</v>
      </c>
      <c r="D3" s="4" t="s">
        <v>4320</v>
      </c>
      <c r="E3" s="4" t="s">
        <v>4321</v>
      </c>
      <c r="F3" s="8" t="s">
        <v>4318</v>
      </c>
      <c r="G3" s="8" t="s">
        <v>4322</v>
      </c>
      <c r="H3" s="15">
        <v>-188</v>
      </c>
      <c r="I3" s="8" t="s">
        <v>4322</v>
      </c>
      <c r="J3" s="15">
        <v>1</v>
      </c>
      <c r="K3" s="16" t="str">
        <f>CONCATENATE("(",A3,",'",B3,"','",C3,"','",D3,"','",E3,"',",F3,",",G3,",",H3,",",I3,",",J3,"),")</f>
        <v>(1,'GN','الغاز الطبيعي','Natural Gas','Gaz naturel',0.7,0.01,-188,0.01,1),</v>
      </c>
    </row>
    <row r="4" spans="1:11" ht="20.100000000000001" customHeight="1" x14ac:dyDescent="0.25">
      <c r="A4" s="3">
        <v>2</v>
      </c>
      <c r="B4" s="8" t="s">
        <v>4323</v>
      </c>
      <c r="C4" s="4" t="s">
        <v>4325</v>
      </c>
      <c r="D4" s="4" t="s">
        <v>4326</v>
      </c>
      <c r="E4" s="4" t="s">
        <v>4327</v>
      </c>
      <c r="F4" s="8" t="s">
        <v>4324</v>
      </c>
      <c r="G4" s="8" t="s">
        <v>4329</v>
      </c>
      <c r="H4" s="15">
        <v>-30</v>
      </c>
      <c r="I4" s="8" t="s">
        <v>4328</v>
      </c>
      <c r="J4" s="15">
        <v>1</v>
      </c>
      <c r="K4" s="16" t="str">
        <f t="shared" ref="K4:K6" si="0">CONCATENATE("(",A4,",'",B4,"','",C4,"','",D4,"','",E4,"',",F4,",",G4,",",H4,",",I4,",",J4,"),")</f>
        <v>(2,'PB','النفط الخام','Crude Oil','Pétrole brut',0.85,10.5,-30,1.5,1),</v>
      </c>
    </row>
    <row r="5" spans="1:11" ht="20.100000000000001" customHeight="1" x14ac:dyDescent="0.25">
      <c r="A5" s="3">
        <v>3</v>
      </c>
      <c r="B5" s="8" t="s">
        <v>4330</v>
      </c>
      <c r="C5" s="4" t="s">
        <v>4332</v>
      </c>
      <c r="D5" s="4" t="s">
        <v>4333</v>
      </c>
      <c r="E5" s="4" t="s">
        <v>4334</v>
      </c>
      <c r="F5" s="8" t="s">
        <v>4331</v>
      </c>
      <c r="G5" s="8" t="s">
        <v>4336</v>
      </c>
      <c r="H5" s="15">
        <v>-40</v>
      </c>
      <c r="I5" s="8" t="s">
        <v>4335</v>
      </c>
      <c r="J5" s="15">
        <v>1</v>
      </c>
      <c r="K5" s="16" t="str">
        <f t="shared" si="0"/>
        <v>(3,'COND','المكثفات','Condensate','Condensat',0.75,0.8,-40,0.05,1),</v>
      </c>
    </row>
    <row r="6" spans="1:11" ht="20.100000000000001" customHeight="1" x14ac:dyDescent="0.25">
      <c r="A6" s="3">
        <v>4</v>
      </c>
      <c r="B6" s="8" t="s">
        <v>4337</v>
      </c>
      <c r="C6" s="4" t="s">
        <v>4339</v>
      </c>
      <c r="D6" s="4" t="s">
        <v>4340</v>
      </c>
      <c r="E6" s="4" t="s">
        <v>4341</v>
      </c>
      <c r="F6" s="8" t="s">
        <v>4338</v>
      </c>
      <c r="G6" s="8" t="s">
        <v>4343</v>
      </c>
      <c r="H6" s="15">
        <v>-104</v>
      </c>
      <c r="I6" s="8" t="s">
        <v>4342</v>
      </c>
      <c r="J6" s="15">
        <v>1</v>
      </c>
      <c r="K6" s="16" t="str">
        <f t="shared" si="0"/>
        <v>(4,'GPL','غاز البترول المسال','Liquefied Petroleum Gas','Gaz de Pétrole Liquéfié (GPL)',0.55,0.15,-104,0.02,1),</v>
      </c>
    </row>
  </sheetData>
  <autoFilter ref="A2:E6"/>
  <phoneticPr fontId="2" type="noConversion"/>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C000"/>
  </sheetPr>
  <dimension ref="A1:I10"/>
  <sheetViews>
    <sheetView topLeftCell="D1" workbookViewId="0">
      <selection activeCell="I2" sqref="I2:I10"/>
    </sheetView>
  </sheetViews>
  <sheetFormatPr baseColWidth="10" defaultColWidth="10.85546875" defaultRowHeight="15.75" x14ac:dyDescent="0.25"/>
  <cols>
    <col min="1" max="1" width="5.5703125" style="2" customWidth="1"/>
    <col min="2" max="5" width="20.5703125" style="2" customWidth="1"/>
    <col min="6" max="8" width="40.5703125" style="2" customWidth="1"/>
    <col min="9" max="9" width="100.7109375" style="2" customWidth="1"/>
    <col min="10" max="16384" width="10.85546875" style="2"/>
  </cols>
  <sheetData>
    <row r="1" spans="1:9" ht="20.100000000000001" customHeight="1" x14ac:dyDescent="0.25">
      <c r="A1" s="1" t="s">
        <v>37</v>
      </c>
      <c r="B1" s="1" t="s">
        <v>54</v>
      </c>
      <c r="C1" s="1" t="s">
        <v>38</v>
      </c>
      <c r="D1" s="1" t="s">
        <v>39</v>
      </c>
      <c r="E1" s="1" t="s">
        <v>40</v>
      </c>
      <c r="F1" s="1" t="s">
        <v>4352</v>
      </c>
      <c r="G1" s="1" t="s">
        <v>4353</v>
      </c>
      <c r="H1" s="1" t="s">
        <v>4354</v>
      </c>
      <c r="I1" s="1" t="s">
        <v>5597</v>
      </c>
    </row>
    <row r="2" spans="1:9" ht="20.100000000000001" customHeight="1" x14ac:dyDescent="0.25">
      <c r="A2" s="1" t="s">
        <v>44</v>
      </c>
      <c r="B2" s="1" t="s">
        <v>41</v>
      </c>
      <c r="C2" s="1" t="s">
        <v>42</v>
      </c>
      <c r="D2" s="1" t="s">
        <v>43</v>
      </c>
      <c r="E2" s="1" t="s">
        <v>53</v>
      </c>
      <c r="F2" s="1" t="s">
        <v>2094</v>
      </c>
      <c r="G2" s="1" t="s">
        <v>4077</v>
      </c>
      <c r="H2" s="1" t="s">
        <v>4349</v>
      </c>
      <c r="I2" s="1" t="s">
        <v>5608</v>
      </c>
    </row>
    <row r="3" spans="1:9" ht="20.100000000000001" customHeight="1" x14ac:dyDescent="0.25">
      <c r="A3" s="3">
        <v>1</v>
      </c>
      <c r="B3" s="8" t="s">
        <v>4355</v>
      </c>
      <c r="C3" s="4" t="s">
        <v>4359</v>
      </c>
      <c r="D3" s="4" t="s">
        <v>4360</v>
      </c>
      <c r="E3" s="4" t="s">
        <v>4361</v>
      </c>
      <c r="F3" s="4" t="s">
        <v>4356</v>
      </c>
      <c r="G3" s="4" t="s">
        <v>4357</v>
      </c>
      <c r="H3" s="4" t="s">
        <v>4358</v>
      </c>
      <c r="I3" s="16" t="str">
        <f>CONCATENATE("(",A3,",'",B3,"','",C3,"','",D3,"','",E3,"','",F3,"','",G3,"','",H3,"'),")</f>
        <v>(1,'INSERVICE','قيد الخدمة','In Service','En Service','العمليات العادية','Normal operations','Opérations normales'),</v>
      </c>
    </row>
    <row r="4" spans="1:9" ht="20.100000000000001" customHeight="1" x14ac:dyDescent="0.25">
      <c r="A4" s="3">
        <v>2</v>
      </c>
      <c r="B4" s="8" t="s">
        <v>4362</v>
      </c>
      <c r="C4" s="4" t="s">
        <v>4366</v>
      </c>
      <c r="D4" s="4" t="s">
        <v>4367</v>
      </c>
      <c r="E4" s="4" t="s">
        <v>4368</v>
      </c>
      <c r="F4" s="4" t="s">
        <v>4363</v>
      </c>
      <c r="G4" s="4" t="s">
        <v>4364</v>
      </c>
      <c r="H4" s="4" t="s">
        <v>4365</v>
      </c>
      <c r="I4" s="16" t="str">
        <f t="shared" ref="I4:I10" si="0">CONCATENATE("(",A4,",'",B4,"','",C4,"','",D4,"','",E4,"','",F4,"','",G4,"','",H4,"'),")</f>
        <v>(2,'STOPPED','متوقف مؤقتا','Stopped','À l'Arrêt','ظروف السوق، المرونة التشغيلية','Market conditions, operational flexibility','Conditions du marché, flexibilité opérationnelle'),</v>
      </c>
    </row>
    <row r="5" spans="1:9" ht="20.100000000000001" customHeight="1" x14ac:dyDescent="0.25">
      <c r="A5" s="3">
        <v>3</v>
      </c>
      <c r="B5" s="8" t="s">
        <v>4369</v>
      </c>
      <c r="C5" s="4" t="s">
        <v>4373</v>
      </c>
      <c r="D5" s="4" t="s">
        <v>4374</v>
      </c>
      <c r="E5" s="4" t="s">
        <v>4375</v>
      </c>
      <c r="F5" s="4" t="s">
        <v>4370</v>
      </c>
      <c r="G5" s="4" t="s">
        <v>4371</v>
      </c>
      <c r="H5" s="4" t="s">
        <v>4372</v>
      </c>
      <c r="I5" s="16" t="str">
        <f t="shared" si="0"/>
        <v>(3,'SHUTDOWN','متوقف','Shutdown','Arrêté','صيانة مخططة أو حادث غير متوقع','Planned maintenance or unexpected incident','Maintenance planifiée ou incident imprévu'),</v>
      </c>
    </row>
    <row r="6" spans="1:9" ht="20.100000000000001" customHeight="1" x14ac:dyDescent="0.25">
      <c r="A6" s="3">
        <v>4</v>
      </c>
      <c r="B6" s="8" t="s">
        <v>4376</v>
      </c>
      <c r="C6" s="4" t="s">
        <v>4380</v>
      </c>
      <c r="D6" s="4" t="s">
        <v>4381</v>
      </c>
      <c r="E6" s="4" t="s">
        <v>4382</v>
      </c>
      <c r="F6" s="4" t="s">
        <v>4377</v>
      </c>
      <c r="G6" s="4" t="s">
        <v>4378</v>
      </c>
      <c r="H6" s="4" t="s">
        <v>4379</v>
      </c>
      <c r="I6" s="16" t="str">
        <f t="shared" si="0"/>
        <v>(4,'MAINTENANCE','قيد الصيانة','Under Maintenance','En Maintenance','إصلاحات مجدولة، فحوصات','Scheduled repairs, inspections','Réparations programmées, inspections'),</v>
      </c>
    </row>
    <row r="7" spans="1:9" ht="20.100000000000001" customHeight="1" x14ac:dyDescent="0.25">
      <c r="A7" s="3">
        <v>5</v>
      </c>
      <c r="B7" s="8" t="s">
        <v>4383</v>
      </c>
      <c r="C7" s="4" t="s">
        <v>4387</v>
      </c>
      <c r="D7" s="4" t="s">
        <v>4388</v>
      </c>
      <c r="E7" s="4" t="s">
        <v>4389</v>
      </c>
      <c r="F7" s="4" t="s">
        <v>4384</v>
      </c>
      <c r="G7" s="4" t="s">
        <v>4385</v>
      </c>
      <c r="H7" s="4" t="s">
        <v>4386</v>
      </c>
      <c r="I7" s="16" t="str">
        <f t="shared" si="0"/>
        <v>(5,'TESTING','قيد الاختبار','Under Testing','En Test','ما قبل التشغيل، فحوصات ما بعد الإصلاح','Pre-commissioning, post-repair verifications','Pré-mise en service, vérifications post-réparation'),</v>
      </c>
    </row>
    <row r="8" spans="1:9" ht="20.100000000000001" customHeight="1" x14ac:dyDescent="0.25">
      <c r="A8" s="3">
        <v>6</v>
      </c>
      <c r="B8" s="8" t="s">
        <v>4390</v>
      </c>
      <c r="C8" s="4" t="s">
        <v>4394</v>
      </c>
      <c r="D8" s="4" t="s">
        <v>4395</v>
      </c>
      <c r="E8" s="4" t="s">
        <v>4396</v>
      </c>
      <c r="F8" s="4" t="s">
        <v>4391</v>
      </c>
      <c r="G8" s="4" t="s">
        <v>4392</v>
      </c>
      <c r="H8" s="4" t="s">
        <v>4393</v>
      </c>
      <c r="I8" s="16" t="str">
        <f t="shared" si="0"/>
        <v>(6,'REDUCED','طاقة مخفضة','Reduced Capacity','Capacité Réduite','عطل في المعدات، قيود تشغيلية','Equipment failure, operational constraints','Panne d'équipement, contraintes opérationnelles'),</v>
      </c>
    </row>
    <row r="9" spans="1:9" ht="20.100000000000001" customHeight="1" x14ac:dyDescent="0.25">
      <c r="A9" s="3">
        <v>7</v>
      </c>
      <c r="B9" s="8" t="s">
        <v>4397</v>
      </c>
      <c r="C9" s="4" t="s">
        <v>4401</v>
      </c>
      <c r="D9" s="4" t="s">
        <v>4402</v>
      </c>
      <c r="E9" s="4" t="s">
        <v>4403</v>
      </c>
      <c r="F9" s="4" t="s">
        <v>4398</v>
      </c>
      <c r="G9" s="4" t="s">
        <v>4399</v>
      </c>
      <c r="H9" s="4" t="s">
        <v>4400</v>
      </c>
      <c r="I9" s="16" t="str">
        <f t="shared" si="0"/>
        <v>(7,'EMERGENCY','حالة طوارئ / حادث','Emergency / Incident','Urgence / Incident','تسرب، انفجار، حادث أمني','Leak, rupture, security incident','Fuite, rupture, incident de sécurité'),</v>
      </c>
    </row>
    <row r="10" spans="1:9" ht="20.100000000000001" customHeight="1" x14ac:dyDescent="0.25">
      <c r="A10" s="3">
        <v>8</v>
      </c>
      <c r="B10" s="8" t="s">
        <v>4404</v>
      </c>
      <c r="C10" s="4" t="s">
        <v>4408</v>
      </c>
      <c r="D10" s="4" t="s">
        <v>4409</v>
      </c>
      <c r="E10" s="4" t="s">
        <v>4410</v>
      </c>
      <c r="F10" s="4" t="s">
        <v>4405</v>
      </c>
      <c r="G10" s="4" t="s">
        <v>4406</v>
      </c>
      <c r="H10" s="4" t="s">
        <v>4407</v>
      </c>
      <c r="I10" s="16" t="str">
        <f t="shared" si="0"/>
        <v>(8,'DECOMMISSIONED','خارج الخدمة','Decommissioned','Mis Hors Service','نهاية العمر التشغيلي','End of operational life','Fin de vie opérationnelle'),</v>
      </c>
    </row>
  </sheetData>
  <autoFilter ref="A2:H10"/>
  <phoneticPr fontId="2" type="noConversion"/>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C000"/>
  </sheetPr>
  <dimension ref="A1:I25"/>
  <sheetViews>
    <sheetView topLeftCell="F1" workbookViewId="0">
      <selection activeCell="I2" sqref="I2:I25"/>
    </sheetView>
  </sheetViews>
  <sheetFormatPr baseColWidth="10" defaultColWidth="10.85546875" defaultRowHeight="15.75" x14ac:dyDescent="0.25"/>
  <cols>
    <col min="1" max="1" width="5.5703125" style="2" customWidth="1"/>
    <col min="2" max="5" width="20.5703125" style="2" customWidth="1"/>
    <col min="6" max="8" width="40.5703125" style="2" customWidth="1"/>
    <col min="9" max="9" width="100.7109375" style="2" customWidth="1"/>
    <col min="10" max="16384" width="10.85546875" style="2"/>
  </cols>
  <sheetData>
    <row r="1" spans="1:9" ht="20.100000000000001" customHeight="1" x14ac:dyDescent="0.25">
      <c r="A1" s="1" t="s">
        <v>37</v>
      </c>
      <c r="B1" s="1" t="s">
        <v>54</v>
      </c>
      <c r="C1" s="1" t="s">
        <v>38</v>
      </c>
      <c r="D1" s="1" t="s">
        <v>39</v>
      </c>
      <c r="E1" s="1" t="s">
        <v>40</v>
      </c>
      <c r="F1" s="1" t="s">
        <v>4352</v>
      </c>
      <c r="G1" s="1" t="s">
        <v>4353</v>
      </c>
      <c r="H1" s="1" t="s">
        <v>4354</v>
      </c>
      <c r="I1" s="1" t="s">
        <v>5597</v>
      </c>
    </row>
    <row r="2" spans="1:9" ht="20.100000000000001" customHeight="1" x14ac:dyDescent="0.25">
      <c r="A2" s="1" t="s">
        <v>44</v>
      </c>
      <c r="B2" s="1" t="s">
        <v>41</v>
      </c>
      <c r="C2" s="1" t="s">
        <v>42</v>
      </c>
      <c r="D2" s="1" t="s">
        <v>43</v>
      </c>
      <c r="E2" s="1" t="s">
        <v>53</v>
      </c>
      <c r="F2" s="1" t="s">
        <v>2094</v>
      </c>
      <c r="G2" s="1" t="s">
        <v>4077</v>
      </c>
      <c r="H2" s="1" t="s">
        <v>4349</v>
      </c>
      <c r="I2" s="1" t="s">
        <v>5607</v>
      </c>
    </row>
    <row r="3" spans="1:9" ht="20.100000000000001" customHeight="1" x14ac:dyDescent="0.25">
      <c r="A3" s="3">
        <v>1</v>
      </c>
      <c r="B3" s="8" t="s">
        <v>4411</v>
      </c>
      <c r="C3" s="4" t="s">
        <v>4415</v>
      </c>
      <c r="D3" s="4" t="s">
        <v>4416</v>
      </c>
      <c r="E3" s="4" t="s">
        <v>4417</v>
      </c>
      <c r="F3" s="16" t="s">
        <v>4412</v>
      </c>
      <c r="G3" s="16" t="s">
        <v>4413</v>
      </c>
      <c r="H3" s="16" t="s">
        <v>4414</v>
      </c>
      <c r="I3" s="16" t="str">
        <f>CONCATENATE("(",A3,",'",B3,"','",C3,"','",D3,"','",E3,"','",F3,"','",G3,"','",H3,"'),")</f>
        <v>(1,'API-5L-B','فولاذ API 5L درجة B','API 5L Grade B','Acier API 5L Grade B','فولاذ كربوني منخفض المقاومة للأنابيب العامة، حد أدنى للخضوع 35 كيلو باوند/بوصة²','Low-strength carbon steel for general purpose pipelines, minimum yield 35 ksi','Acier au carbone de résistance faible pour pipelines usage général, limite élastique min 35 ksi'),</v>
      </c>
    </row>
    <row r="4" spans="1:9" ht="20.100000000000001" customHeight="1" x14ac:dyDescent="0.25">
      <c r="A4" s="3">
        <v>2</v>
      </c>
      <c r="B4" s="8" t="s">
        <v>4418</v>
      </c>
      <c r="C4" s="4" t="s">
        <v>4422</v>
      </c>
      <c r="D4" s="4" t="s">
        <v>4423</v>
      </c>
      <c r="E4" s="4" t="s">
        <v>4424</v>
      </c>
      <c r="F4" s="16" t="s">
        <v>4419</v>
      </c>
      <c r="G4" s="16" t="s">
        <v>4420</v>
      </c>
      <c r="H4" s="16" t="s">
        <v>4421</v>
      </c>
      <c r="I4" s="16" t="str">
        <f t="shared" ref="I4:I25" si="0">CONCATENATE("(",A4,",'",B4,"','",C4,"','",D4,"','",E4,"','",F4,"','",G4,"','",H4,"'),")</f>
        <v>(2,'API-5L-X42','فولاذ API 5L X42','API 5L Grade X42','Acier API 5L Grade X42','فولاذ متوسط المقاومة للضغوط المعتدلة، حد أدنى للخضوع 42 كيلو باوند/بوصة²','Medium-strength steel for moderate pressure applications, minimum yield 42 ksi','Acier de résistance moyenne pour applications à pression modérée, limite élastique min 42 ksi'),</v>
      </c>
    </row>
    <row r="5" spans="1:9" ht="20.100000000000001" customHeight="1" x14ac:dyDescent="0.25">
      <c r="A5" s="3">
        <v>3</v>
      </c>
      <c r="B5" s="8" t="s">
        <v>4425</v>
      </c>
      <c r="C5" s="4" t="s">
        <v>4429</v>
      </c>
      <c r="D5" s="4" t="s">
        <v>4430</v>
      </c>
      <c r="E5" s="4" t="s">
        <v>4431</v>
      </c>
      <c r="F5" s="16" t="s">
        <v>4426</v>
      </c>
      <c r="G5" s="16" t="s">
        <v>4427</v>
      </c>
      <c r="H5" s="16" t="s">
        <v>4428</v>
      </c>
      <c r="I5" s="16" t="str">
        <f t="shared" si="0"/>
        <v>(3,'API-5L-X52','فولاذ API 5L X52','API 5L Grade X52','Acier API 5L Grade X52','فولاذ عالي المقاومة للأنابيب القياسية، حد أدنى للخضوع 52 كيلو باوند/بوصة²','High-strength steel for standard pipelines, minimum yield 52 ksi, widely used','Acier haute résistance pour pipelines standard, limite élastique min 52 ksi, très utilisé'),</v>
      </c>
    </row>
    <row r="6" spans="1:9" ht="20.100000000000001" customHeight="1" x14ac:dyDescent="0.25">
      <c r="A6" s="3">
        <v>4</v>
      </c>
      <c r="B6" s="8" t="s">
        <v>4432</v>
      </c>
      <c r="C6" s="4" t="s">
        <v>4436</v>
      </c>
      <c r="D6" s="4" t="s">
        <v>4437</v>
      </c>
      <c r="E6" s="4" t="s">
        <v>4438</v>
      </c>
      <c r="F6" s="16" t="s">
        <v>4433</v>
      </c>
      <c r="G6" s="16" t="s">
        <v>4434</v>
      </c>
      <c r="H6" s="16" t="s">
        <v>4435</v>
      </c>
      <c r="I6" s="16" t="str">
        <f t="shared" si="0"/>
        <v>(4,'API-5L-X60','فولاذ API 5L X60','API 5L Grade X60','Acier API 5L Grade X60','فولاذ عالي المقاومة للنقل لمسافات طويلة، حد أدنى للخضوع 60 كيلو باوند/بوصة²','High-strength steel for long-distance transmission, minimum yield 60 ksi','Acier haute résistance pour transport longue distance, limite élastique min 60 ksi'),</v>
      </c>
    </row>
    <row r="7" spans="1:9" ht="20.100000000000001" customHeight="1" x14ac:dyDescent="0.25">
      <c r="A7" s="3">
        <v>5</v>
      </c>
      <c r="B7" s="8" t="s">
        <v>4439</v>
      </c>
      <c r="C7" s="4" t="s">
        <v>4443</v>
      </c>
      <c r="D7" s="4" t="s">
        <v>4444</v>
      </c>
      <c r="E7" s="4" t="s">
        <v>4445</v>
      </c>
      <c r="F7" s="16" t="s">
        <v>4440</v>
      </c>
      <c r="G7" s="16" t="s">
        <v>4441</v>
      </c>
      <c r="H7" s="16" t="s">
        <v>4442</v>
      </c>
      <c r="I7" s="16" t="str">
        <f t="shared" si="0"/>
        <v>(5,'API-5L-X65','فولاذ API 5L X65','API 5L Grade X65','Acier API 5L Grade X65','فولاذ عالي المقاومة للأنظمة عالية الضغط، حد أدنى للخضوع 65 كيلو باوند/بوصة²','High-strength steel for high-pressure systems, minimum yield 65 ksi, excellent toughness','Acier haute résistance pour systèmes haute pression, limite élastique min 65 ksi, excellente ténacité'),</v>
      </c>
    </row>
    <row r="8" spans="1:9" ht="20.100000000000001" customHeight="1" x14ac:dyDescent="0.25">
      <c r="A8" s="3">
        <v>6</v>
      </c>
      <c r="B8" s="8" t="s">
        <v>4446</v>
      </c>
      <c r="C8" s="4" t="s">
        <v>4450</v>
      </c>
      <c r="D8" s="4" t="s">
        <v>4451</v>
      </c>
      <c r="E8" s="4" t="s">
        <v>4452</v>
      </c>
      <c r="F8" s="16" t="s">
        <v>4447</v>
      </c>
      <c r="G8" s="16" t="s">
        <v>4448</v>
      </c>
      <c r="H8" s="16" t="s">
        <v>4449</v>
      </c>
      <c r="I8" s="16" t="str">
        <f t="shared" si="0"/>
        <v>(6,'API-5L-X70','فولاذ API 5L X70','API 5L Grade X70','Acier API 5L Grade X70','فولاذ فائق المقاومة للأنابيب الحديثة، حد أدنى للخضوع 70 كيلو باوند/بوصة²','Very high-strength steel for modern high-capacity pipelines, minimum yield 70 ksi','Acier très haute résistance pour pipelines modernes haute capacité, limite élastique min 70 ksi'),</v>
      </c>
    </row>
    <row r="9" spans="1:9" ht="20.100000000000001" customHeight="1" x14ac:dyDescent="0.25">
      <c r="A9" s="3">
        <v>7</v>
      </c>
      <c r="B9" s="8" t="s">
        <v>4453</v>
      </c>
      <c r="C9" s="4" t="s">
        <v>4457</v>
      </c>
      <c r="D9" s="4" t="s">
        <v>4458</v>
      </c>
      <c r="E9" s="4" t="s">
        <v>4459</v>
      </c>
      <c r="F9" s="16" t="s">
        <v>4454</v>
      </c>
      <c r="G9" s="16" t="s">
        <v>4455</v>
      </c>
      <c r="H9" s="16" t="s">
        <v>4456</v>
      </c>
      <c r="I9" s="16" t="str">
        <f t="shared" si="0"/>
        <v>(7,'API-5L-X80','فولاذ API 5L X80','API 5L Grade X80','Acier API 5L Grade X80','فولاذ فائق المقاومة للظروف القصوى، حد أدنى للخضوع 80 كيلو باوند/بوصة²','Ultra high-strength steel for extreme conditions and ultra-high pressure, minimum yield 80 ksi','Acier ultra haute résistance pour conditions extrêmes et ultra haute pression, limite élastique min 80 ksi'),</v>
      </c>
    </row>
    <row r="10" spans="1:9" ht="20.100000000000001" customHeight="1" x14ac:dyDescent="0.25">
      <c r="A10" s="3">
        <v>8</v>
      </c>
      <c r="B10" s="8" t="s">
        <v>4460</v>
      </c>
      <c r="C10" s="4" t="s">
        <v>4464</v>
      </c>
      <c r="D10" s="4" t="s">
        <v>4465</v>
      </c>
      <c r="E10" s="4" t="s">
        <v>4466</v>
      </c>
      <c r="F10" s="16" t="s">
        <v>4461</v>
      </c>
      <c r="G10" s="16" t="s">
        <v>4462</v>
      </c>
      <c r="H10" s="16" t="s">
        <v>4463</v>
      </c>
      <c r="I10" s="16" t="str">
        <f t="shared" si="0"/>
        <v>(8,'SS-316L','فولاذ مقاوم للصدأ 316L','Stainless Steel 316L','Acier Inoxydable 316L','فولاذ مقاوم للتآكل للغاز الحمضي، مقاوم ممتاز للكبريتيد والكلوريد','Corrosion-resistant steel for sour gas service, excellent resistance to H2S and chlorides','Acier résistant à la corrosion pour gaz acides, excellente résistance H2S et chlorures'),</v>
      </c>
    </row>
    <row r="11" spans="1:9" ht="20.100000000000001" customHeight="1" x14ac:dyDescent="0.25">
      <c r="A11" s="3">
        <v>9</v>
      </c>
      <c r="B11" s="8" t="s">
        <v>4467</v>
      </c>
      <c r="C11" s="4" t="s">
        <v>4471</v>
      </c>
      <c r="D11" s="4" t="s">
        <v>4472</v>
      </c>
      <c r="E11" s="4" t="s">
        <v>4473</v>
      </c>
      <c r="F11" s="16" t="s">
        <v>4468</v>
      </c>
      <c r="G11" s="16" t="s">
        <v>4469</v>
      </c>
      <c r="H11" s="16" t="s">
        <v>4470</v>
      </c>
      <c r="I11" s="16" t="str">
        <f t="shared" si="0"/>
        <v>(9,'DSS-2205','فولاذ مزدوج 2205','Duplex Stainless Steel 2205','Acier Inoxydable Duplex 2205','فولاذ عالي المقاومة ومقاوم للتآكل، مثالي للبيئات القاسية والتآكل بالنقر','High-strength corrosion-resistant steel, ideal for harsh environments and pitting resistance','Acier haute résistance et résistant à la corrosion, idéal pour environnements sévères et piqûres'),</v>
      </c>
    </row>
    <row r="12" spans="1:9" ht="20.100000000000001" customHeight="1" x14ac:dyDescent="0.25">
      <c r="A12" s="3">
        <v>10</v>
      </c>
      <c r="B12" s="8" t="s">
        <v>4474</v>
      </c>
      <c r="C12" s="4" t="s">
        <v>4478</v>
      </c>
      <c r="D12" s="4" t="s">
        <v>4479</v>
      </c>
      <c r="E12" s="4" t="s">
        <v>4480</v>
      </c>
      <c r="F12" s="16" t="s">
        <v>4475</v>
      </c>
      <c r="G12" s="16" t="s">
        <v>4476</v>
      </c>
      <c r="H12" s="16" t="s">
        <v>4477</v>
      </c>
      <c r="I12" s="16" t="str">
        <f t="shared" si="0"/>
        <v>(10,'FBE','إيبوكسي مدمج بالانصهار','Fusion Bonded Epoxy','Époxy Thermodurcissable','طلاء حماية خارجي أحادي الطبقة ضد التآكل، التصاق ممتاز ومقاومة كيميائية عالية','Single-layer external corrosion protection coating, excellent adhesion and chemical resistance','Revêtement externe monocouche protection corrosion, excellente adhérence et résistance chimique'),</v>
      </c>
    </row>
    <row r="13" spans="1:9" ht="20.100000000000001" customHeight="1" x14ac:dyDescent="0.25">
      <c r="A13" s="3">
        <v>11</v>
      </c>
      <c r="B13" s="8" t="s">
        <v>4481</v>
      </c>
      <c r="C13" s="4" t="s">
        <v>4485</v>
      </c>
      <c r="D13" s="4" t="s">
        <v>4486</v>
      </c>
      <c r="E13" s="4" t="s">
        <v>4487</v>
      </c>
      <c r="F13" s="16" t="s">
        <v>4482</v>
      </c>
      <c r="G13" s="16" t="s">
        <v>4483</v>
      </c>
      <c r="H13" s="16" t="s">
        <v>4484</v>
      </c>
      <c r="I13" s="16" t="str">
        <f t="shared" si="0"/>
        <v>(11,'3LPE','بولي إيثيلين ثلاثي الطبقات','3-Layer Polyethylene','Polyéthylène 3 Couches','نظام طلاء خارجي متعدد الطبقات (FBE + لاصق + PE)، حماية طويلة الأمد للأنابيب المدفونة','Multi-layer external coating (FBE + adhesive + PE), excellent long-term protection for buried pipelines','Système revêtement externe multicouche (FBE + adhésif + PE), excellente protection long terme pipelines enterrés'),</v>
      </c>
    </row>
    <row r="14" spans="1:9" ht="20.100000000000001" customHeight="1" x14ac:dyDescent="0.25">
      <c r="A14" s="3">
        <v>12</v>
      </c>
      <c r="B14" s="8" t="s">
        <v>4488</v>
      </c>
      <c r="C14" s="4" t="s">
        <v>4492</v>
      </c>
      <c r="D14" s="4" t="s">
        <v>4493</v>
      </c>
      <c r="E14" s="4" t="s">
        <v>4494</v>
      </c>
      <c r="F14" s="16" t="s">
        <v>4489</v>
      </c>
      <c r="G14" s="16" t="s">
        <v>4490</v>
      </c>
      <c r="H14" s="16" t="s">
        <v>4491</v>
      </c>
      <c r="I14" s="16" t="str">
        <f t="shared" si="0"/>
        <v>(12,'3LPP','بولي بروبيلين ثلاثي الطبقات','3-Layer Polypropylene','Polypropylène 3 Couches','نظام طلاء خارجي لدرجات الحرارة العالية (FBE + لاصق + PP)، مقاومة ميكانيكية وحرارية ممتازة','High-temperature external coating system (FBE + adhesive + PP), excellent mechanical and thermal resistance','Système revêtement externe haute température (FBE + adhésif + PP), excellente résistance mécanique et thermique'),</v>
      </c>
    </row>
    <row r="15" spans="1:9" ht="20.100000000000001" customHeight="1" x14ac:dyDescent="0.25">
      <c r="A15" s="3">
        <v>13</v>
      </c>
      <c r="B15" s="8" t="s">
        <v>4495</v>
      </c>
      <c r="C15" s="4" t="s">
        <v>4499</v>
      </c>
      <c r="D15" s="4" t="s">
        <v>4500</v>
      </c>
      <c r="E15" s="4" t="s">
        <v>4501</v>
      </c>
      <c r="F15" s="16" t="s">
        <v>4496</v>
      </c>
      <c r="G15" s="16" t="s">
        <v>4497</v>
      </c>
      <c r="H15" s="16" t="s">
        <v>4498</v>
      </c>
      <c r="I15" s="16" t="str">
        <f t="shared" si="0"/>
        <v>(13,'PU-EXT','طلاء بولي يوريثان خارجي','Polyurethane External Coating','Revêtement Polyuréthane Externe','طلاء خارجي مرن، مقاومة ممتازة للصدمات والتآكل الميكانيكي، مثالي للأنابيب المعرضة للحركة','Flexible external coating, excellent impact and abrasion resistance, ideal for pipelines subject to movement','Revêtement externe flexible, excellente résistance impacts et abrasion, idéal pipelines soumis à mouvement'),</v>
      </c>
    </row>
    <row r="16" spans="1:9" ht="20.100000000000001" customHeight="1" x14ac:dyDescent="0.25">
      <c r="A16" s="3">
        <v>14</v>
      </c>
      <c r="B16" s="8" t="s">
        <v>4502</v>
      </c>
      <c r="C16" s="4" t="s">
        <v>4506</v>
      </c>
      <c r="D16" s="4" t="s">
        <v>4507</v>
      </c>
      <c r="E16" s="4" t="s">
        <v>4508</v>
      </c>
      <c r="F16" s="16" t="s">
        <v>4503</v>
      </c>
      <c r="G16" s="16" t="s">
        <v>4504</v>
      </c>
      <c r="H16" s="16" t="s">
        <v>4505</v>
      </c>
      <c r="I16" s="16" t="str">
        <f t="shared" si="0"/>
        <v>(14,'CTE','مينا قطران الفحم','Coal Tar Enamel','Email au Goudron de Houille','طلاء خارجي تقليدي، حماية ممتازة ضد التآكل التربة، تطبيق ساخن متعدد الطبقات','Traditional external coating, excellent protection against soil corrosion, hot-applied multi-layer system','Revêtement externe traditionnel, excellente protection contre corrosion sol, système multicouche appliqué à chaud'),</v>
      </c>
    </row>
    <row r="17" spans="1:9" ht="20.100000000000001" customHeight="1" x14ac:dyDescent="0.25">
      <c r="A17" s="3">
        <v>15</v>
      </c>
      <c r="B17" s="8" t="s">
        <v>4509</v>
      </c>
      <c r="C17" s="4" t="s">
        <v>4513</v>
      </c>
      <c r="D17" s="4" t="s">
        <v>4514</v>
      </c>
      <c r="E17" s="4" t="s">
        <v>4515</v>
      </c>
      <c r="F17" s="16" t="s">
        <v>4510</v>
      </c>
      <c r="G17" s="16" t="s">
        <v>4511</v>
      </c>
      <c r="H17" s="16" t="s">
        <v>4512</v>
      </c>
      <c r="I17" s="16" t="str">
        <f t="shared" si="0"/>
        <v>(15,'TAPE-WRAP','نظام لف الشريط اللاصق','Tape Wrap System','Système Enrubannage','نظام حماية خارجي بالشريط اللاصق، حماية ميكانيكية وختم ممتاز، سهل التطبيق والإصلاح','External tape wrap protection system, mechanical protection and excellent sealing, easy application and repair','Système protection externe par enrubannage, protection mécanique et excellent scellement, application et réparation faciles'),</v>
      </c>
    </row>
    <row r="18" spans="1:9" ht="20.100000000000001" customHeight="1" x14ac:dyDescent="0.25">
      <c r="A18" s="3">
        <v>16</v>
      </c>
      <c r="B18" s="8" t="s">
        <v>4516</v>
      </c>
      <c r="C18" s="4" t="s">
        <v>4520</v>
      </c>
      <c r="D18" s="4" t="s">
        <v>4521</v>
      </c>
      <c r="E18" s="4" t="s">
        <v>4522</v>
      </c>
      <c r="F18" s="16" t="s">
        <v>4517</v>
      </c>
      <c r="G18" s="16" t="s">
        <v>4518</v>
      </c>
      <c r="H18" s="16" t="s">
        <v>4519</v>
      </c>
      <c r="I18" s="16" t="str">
        <f t="shared" si="0"/>
        <v>(16,'CONCRETE','طلاء خرساني للوزن','Concrete Weight Coating','Revêtement Béton Lestage','طلاء خارجي خرساني، حماية ميكانيكية وطفو سلبي للأنابيب البحرية والمغمورة','External concrete coating, mechanical protection and negative buoyancy for subsea and submerged pipelines','Revêtement externe béton, protection mécanique et flottabilité négative pour pipelines sous-marins et immergés'),</v>
      </c>
    </row>
    <row r="19" spans="1:9" ht="20.100000000000001" customHeight="1" x14ac:dyDescent="0.25">
      <c r="A19" s="3">
        <v>17</v>
      </c>
      <c r="B19" s="8" t="s">
        <v>4523</v>
      </c>
      <c r="C19" s="4" t="s">
        <v>4527</v>
      </c>
      <c r="D19" s="4" t="s">
        <v>4528</v>
      </c>
      <c r="E19" s="4" t="s">
        <v>4529</v>
      </c>
      <c r="F19" s="16" t="s">
        <v>4524</v>
      </c>
      <c r="G19" s="16" t="s">
        <v>4525</v>
      </c>
      <c r="H19" s="16" t="s">
        <v>4526</v>
      </c>
      <c r="I19" s="16" t="str">
        <f t="shared" si="0"/>
        <v>(17,'EPOXY-INT','بطانة إيبوكسي داخلية','Internal Epoxy Lining','Revêtement Époxy Interne','بطانة داخلية للحماية من التآكل وتحسين كفاءة التدفق، سطح أملس يقلل الاحتكاك والترسبات','Internal lining for corrosion protection and flow efficiency, smooth surface reduces friction and deposits','Revêtement interne protection corrosion et efficacité écoulement, surface lisse réduit friction et dépôts'),</v>
      </c>
    </row>
    <row r="20" spans="1:9" ht="20.100000000000001" customHeight="1" x14ac:dyDescent="0.25">
      <c r="A20" s="3">
        <v>18</v>
      </c>
      <c r="B20" s="8" t="s">
        <v>4530</v>
      </c>
      <c r="C20" s="4" t="s">
        <v>4534</v>
      </c>
      <c r="D20" s="4" t="s">
        <v>4535</v>
      </c>
      <c r="E20" s="4" t="s">
        <v>4536</v>
      </c>
      <c r="F20" s="16" t="s">
        <v>4531</v>
      </c>
      <c r="G20" s="16" t="s">
        <v>4532</v>
      </c>
      <c r="H20" s="16" t="s">
        <v>4533</v>
      </c>
      <c r="I20" s="16" t="str">
        <f t="shared" si="0"/>
        <v>(18,'PU-INT','بطانة بولي يوريثان داخلية','Polyurethane Internal Lining','Revêtement Polyuréthane Interne','بطانة داخلية مرنة، مقاومة كيميائية ممتازة ومقاومة للتآكل، مناسبة للسوائل العدوانية','Flexible internal lining, excellent chemical and abrasion resistance, suitable for aggressive fluids','Revêtement interne flexible, excellente résistance chimique et abrasion, adapté fluides agressifs'),</v>
      </c>
    </row>
    <row r="21" spans="1:9" ht="20.100000000000001" customHeight="1" x14ac:dyDescent="0.25">
      <c r="A21" s="3">
        <v>19</v>
      </c>
      <c r="B21" s="8" t="s">
        <v>4537</v>
      </c>
      <c r="C21" s="4" t="s">
        <v>4541</v>
      </c>
      <c r="D21" s="4" t="s">
        <v>4542</v>
      </c>
      <c r="E21" s="4" t="s">
        <v>4543</v>
      </c>
      <c r="F21" s="16" t="s">
        <v>4538</v>
      </c>
      <c r="G21" s="16" t="s">
        <v>4539</v>
      </c>
      <c r="H21" s="16" t="s">
        <v>4540</v>
      </c>
      <c r="I21" s="16" t="str">
        <f t="shared" si="0"/>
        <v>(19,'PHENOLIC-INT','بطانة فينولية داخلية','Phenolic Internal Lining','Revêtement Phénolique Interne','بطانة داخلية لدرجات الحرارة العالية، مقاومة حرارية وكيميائية ممتازة حتى 200 درجة مئوية','High-temperature internal lining, excellent thermal and chemical resistance up to 200°C','Revêtement interne haute température, excellente résistance thermique et chimique jusqu'à 200°C'),</v>
      </c>
    </row>
    <row r="22" spans="1:9" ht="20.100000000000001" customHeight="1" x14ac:dyDescent="0.25">
      <c r="A22" s="3">
        <v>20</v>
      </c>
      <c r="B22" s="8" t="s">
        <v>4544</v>
      </c>
      <c r="C22" s="4" t="s">
        <v>4548</v>
      </c>
      <c r="D22" s="4" t="s">
        <v>4549</v>
      </c>
      <c r="E22" s="4" t="s">
        <v>4550</v>
      </c>
      <c r="F22" s="16" t="s">
        <v>4545</v>
      </c>
      <c r="G22" s="16" t="s">
        <v>4546</v>
      </c>
      <c r="H22" s="16" t="s">
        <v>4547</v>
      </c>
      <c r="I22" s="16" t="str">
        <f t="shared" si="0"/>
        <v>(20,'CEMENT-INT','بطانة ملاط إسمنتي داخلية','Cement Mortar Lining','Revêtement Mortier Ciment Interne','بطانة داخلية إسمنتية تقليدية، حماية من التآكل ومقاومة كيميائية جيدة، شائعة في أنابيب المياه','Traditional cement internal lining, corrosion protection and good chemical resistance, common in water pipelines','Revêtement interne ciment traditionnel, protection corrosion et bonne résistance chimique, courant canalisations eau'),</v>
      </c>
    </row>
    <row r="23" spans="1:9" ht="20.100000000000001" customHeight="1" x14ac:dyDescent="0.25">
      <c r="A23" s="3">
        <v>21</v>
      </c>
      <c r="B23" s="8" t="s">
        <v>4551</v>
      </c>
      <c r="C23" s="4" t="s">
        <v>4555</v>
      </c>
      <c r="D23" s="4" t="s">
        <v>4556</v>
      </c>
      <c r="E23" s="4" t="s">
        <v>4557</v>
      </c>
      <c r="F23" s="16" t="s">
        <v>4552</v>
      </c>
      <c r="G23" s="16" t="s">
        <v>4553</v>
      </c>
      <c r="H23" s="16" t="s">
        <v>4554</v>
      </c>
      <c r="I23" s="16" t="str">
        <f t="shared" si="0"/>
        <v>(21,'HDPE-INT','بطانة HDPE داخلية','HDPE Internal Lining','Revêtement PEHD Interne','بطانة داخلية من البولي إيثيلين عالي الكثافة، سطح أملس جداً ومقاومة كيميائية ممتازة','High-density polyethylene internal lining, very smooth surface and excellent chemical resistance','Revêtement interne polyéthylène haute densité, surface très lisse et excellente résistance chimique'),</v>
      </c>
    </row>
    <row r="24" spans="1:9" ht="20.100000000000001" customHeight="1" x14ac:dyDescent="0.25">
      <c r="A24" s="3">
        <v>22</v>
      </c>
      <c r="B24" s="8" t="s">
        <v>4558</v>
      </c>
      <c r="C24" s="4" t="s">
        <v>4562</v>
      </c>
      <c r="D24" s="4" t="s">
        <v>4563</v>
      </c>
      <c r="E24" s="4" t="s">
        <v>4564</v>
      </c>
      <c r="F24" s="16" t="s">
        <v>4559</v>
      </c>
      <c r="G24" s="16" t="s">
        <v>4560</v>
      </c>
      <c r="H24" s="16" t="s">
        <v>4561</v>
      </c>
      <c r="I24" s="16" t="str">
        <f t="shared" si="0"/>
        <v>(22,'PRIMER-AC','طبقة أساس مضادة للتآكل','Anti-Corrosion Primer','Primaire Anticorrosion','طبقة أساسية تحضيرية مضادة للتآكل، تحسين الالتصاق وحماية أولية ضد التآكل','Preparatory base layer for corrosion protection, improves adhesion and provides initial corrosion protection','Couche base préparatoire protection corrosion, améliore adhérence et fournit protection initiale corrosion'),</v>
      </c>
    </row>
    <row r="25" spans="1:9" ht="20.100000000000001" customHeight="1" x14ac:dyDescent="0.25">
      <c r="A25" s="3">
        <v>23</v>
      </c>
      <c r="B25" s="8" t="s">
        <v>4565</v>
      </c>
      <c r="C25" s="4" t="s">
        <v>4569</v>
      </c>
      <c r="D25" s="4" t="s">
        <v>4570</v>
      </c>
      <c r="E25" s="4" t="s">
        <v>4571</v>
      </c>
      <c r="F25" s="16" t="s">
        <v>4566</v>
      </c>
      <c r="G25" s="16" t="s">
        <v>4567</v>
      </c>
      <c r="H25" s="16" t="s">
        <v>4568</v>
      </c>
      <c r="I25" s="16" t="str">
        <f t="shared" si="0"/>
        <v>(23,'WAX-COAT','طلاء شمعي','Wax Coating','Revêtement Cire','طلاء شمعي مؤقت للحماية أثناء النقل والتخزين، سهل الإزالة قبل التركيب','Temporary wax coating for protection during transport and storage, easily removable before installation','Revêtement cire temporaire protection durant transport et stockage, facilement amovible avant installation'),</v>
      </c>
    </row>
  </sheetData>
  <autoFilter ref="A2:I25"/>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C000"/>
  </sheetPr>
  <dimension ref="A1:F31"/>
  <sheetViews>
    <sheetView topLeftCell="A4" workbookViewId="0">
      <selection activeCell="F2" sqref="F2:F31"/>
    </sheetView>
  </sheetViews>
  <sheetFormatPr baseColWidth="10" defaultColWidth="10.85546875" defaultRowHeight="15.75" x14ac:dyDescent="0.25"/>
  <cols>
    <col min="1" max="1" width="5.5703125" style="2" customWidth="1"/>
    <col min="2" max="2" width="50.5703125" style="2" customWidth="1"/>
    <col min="3" max="3" width="20.5703125" style="2" customWidth="1"/>
    <col min="4" max="5" width="10.5703125" style="2" customWidth="1"/>
    <col min="6" max="6" width="65.42578125" style="2" bestFit="1" customWidth="1"/>
    <col min="7" max="16384" width="10.85546875" style="2"/>
  </cols>
  <sheetData>
    <row r="1" spans="1:6" ht="20.100000000000001" customHeight="1" x14ac:dyDescent="0.25">
      <c r="A1" s="1" t="s">
        <v>37</v>
      </c>
      <c r="B1" s="1" t="s">
        <v>4572</v>
      </c>
      <c r="C1" s="1" t="s">
        <v>4573</v>
      </c>
      <c r="D1" s="1" t="s">
        <v>4083</v>
      </c>
      <c r="E1" s="1" t="s">
        <v>4574</v>
      </c>
      <c r="F1" s="1" t="s">
        <v>5597</v>
      </c>
    </row>
    <row r="2" spans="1:6" ht="20.100000000000001" customHeight="1" x14ac:dyDescent="0.25">
      <c r="A2" s="1" t="s">
        <v>44</v>
      </c>
      <c r="B2" s="1" t="s">
        <v>41</v>
      </c>
      <c r="C2" s="1" t="s">
        <v>42</v>
      </c>
      <c r="D2" s="1" t="s">
        <v>43</v>
      </c>
      <c r="E2" s="1" t="s">
        <v>53</v>
      </c>
      <c r="F2" s="1" t="s">
        <v>5606</v>
      </c>
    </row>
    <row r="3" spans="1:6" ht="20.100000000000001" customHeight="1" x14ac:dyDescent="0.25">
      <c r="A3" s="3">
        <v>1</v>
      </c>
      <c r="B3" s="18" t="s">
        <v>4575</v>
      </c>
      <c r="C3" s="4" t="s">
        <v>4576</v>
      </c>
      <c r="D3" s="5">
        <v>1</v>
      </c>
      <c r="E3" s="5">
        <v>4</v>
      </c>
      <c r="F3" s="4" t="str">
        <f>CONCATENATE("(",A3,",'",B3,"','",C3,"',",D3,",",E3,"),")</f>
        <v>(1,'Société Nationale pour la Recherche, la Production, le Transport, la Transformation et la Commercial','SONATRACH',1,4),</v>
      </c>
    </row>
    <row r="4" spans="1:6" ht="20.100000000000001" customHeight="1" x14ac:dyDescent="0.25">
      <c r="A4" s="3">
        <v>2</v>
      </c>
      <c r="B4" s="17" t="s">
        <v>4577</v>
      </c>
      <c r="C4" s="4" t="s">
        <v>4578</v>
      </c>
      <c r="D4" s="5">
        <v>1</v>
      </c>
      <c r="E4" s="5">
        <v>4</v>
      </c>
      <c r="F4" s="4" t="str">
        <f t="shared" ref="F4:F31" si="0">CONCATENATE("(",A4,",'",B4,"','",C4,"',",D4,",",E4,"),")</f>
        <v>(2,'Société Nationale de l'Électricité et du Gaz','SONELGAZ',1,4),</v>
      </c>
    </row>
    <row r="5" spans="1:6" ht="20.100000000000001" customHeight="1" x14ac:dyDescent="0.25">
      <c r="A5" s="3">
        <v>3</v>
      </c>
      <c r="B5" s="17" t="s">
        <v>4579</v>
      </c>
      <c r="C5" s="4" t="s">
        <v>4580</v>
      </c>
      <c r="D5" s="5">
        <v>1</v>
      </c>
      <c r="E5" s="5">
        <v>4</v>
      </c>
      <c r="F5" s="4" t="str">
        <f t="shared" si="0"/>
        <v>(3,'Société Nationale de Transport Maritime des Hydrocarbures','SNTM-HYPROC',1,4),</v>
      </c>
    </row>
    <row r="6" spans="1:6" ht="20.100000000000001" customHeight="1" x14ac:dyDescent="0.25">
      <c r="A6" s="3">
        <v>4</v>
      </c>
      <c r="B6" s="17" t="s">
        <v>4581</v>
      </c>
      <c r="C6" s="4" t="s">
        <v>4582</v>
      </c>
      <c r="D6" s="5">
        <v>2</v>
      </c>
      <c r="E6" s="5">
        <v>4</v>
      </c>
      <c r="F6" s="4" t="str">
        <f t="shared" si="0"/>
        <v>(4,'Groupement TRC Reghaïa','GTP',2,4),</v>
      </c>
    </row>
    <row r="7" spans="1:6" ht="20.100000000000001" customHeight="1" x14ac:dyDescent="0.25">
      <c r="A7" s="3">
        <v>5</v>
      </c>
      <c r="B7" s="17" t="s">
        <v>4583</v>
      </c>
      <c r="C7" s="4" t="s">
        <v>4584</v>
      </c>
      <c r="D7" s="5">
        <v>2</v>
      </c>
      <c r="E7" s="5">
        <v>4</v>
      </c>
      <c r="F7" s="4" t="str">
        <f t="shared" si="0"/>
        <v>(5,'Tassili Airlines','TASSILI',2,4),</v>
      </c>
    </row>
    <row r="8" spans="1:6" ht="20.100000000000001" customHeight="1" x14ac:dyDescent="0.25">
      <c r="A8" s="3">
        <v>6</v>
      </c>
      <c r="B8" s="17" t="s">
        <v>4585</v>
      </c>
      <c r="C8" s="4" t="s">
        <v>4586</v>
      </c>
      <c r="D8" s="5">
        <v>3</v>
      </c>
      <c r="E8" s="5">
        <v>111</v>
      </c>
      <c r="F8" s="4" t="str">
        <f t="shared" si="0"/>
        <v>(6,'Ente Nazionale Idrocarburi','ENI',3,111),</v>
      </c>
    </row>
    <row r="9" spans="1:6" ht="20.100000000000001" customHeight="1" x14ac:dyDescent="0.25">
      <c r="A9" s="3">
        <v>7</v>
      </c>
      <c r="B9" s="17" t="s">
        <v>4587</v>
      </c>
      <c r="C9" s="4" t="s">
        <v>4588</v>
      </c>
      <c r="D9" s="5">
        <v>3</v>
      </c>
      <c r="E9" s="5">
        <v>77</v>
      </c>
      <c r="F9" s="4" t="str">
        <f t="shared" si="0"/>
        <v>(7,'TotalEnergies SE','TOTALENERGIES',3,77),</v>
      </c>
    </row>
    <row r="10" spans="1:6" ht="20.100000000000001" customHeight="1" x14ac:dyDescent="0.25">
      <c r="A10" s="3">
        <v>8</v>
      </c>
      <c r="B10" s="17" t="s">
        <v>4589</v>
      </c>
      <c r="C10" s="4" t="s">
        <v>4590</v>
      </c>
      <c r="D10" s="5">
        <v>3</v>
      </c>
      <c r="E10" s="5">
        <v>235</v>
      </c>
      <c r="F10" s="4" t="str">
        <f t="shared" si="0"/>
        <v>(8,'British Petroleum plc','BP',3,235),</v>
      </c>
    </row>
    <row r="11" spans="1:6" ht="20.100000000000001" customHeight="1" x14ac:dyDescent="0.25">
      <c r="A11" s="3">
        <v>9</v>
      </c>
      <c r="B11" s="17" t="s">
        <v>4591</v>
      </c>
      <c r="C11" s="4" t="s">
        <v>4592</v>
      </c>
      <c r="D11" s="5">
        <v>3</v>
      </c>
      <c r="E11" s="5">
        <v>167</v>
      </c>
      <c r="F11" s="4" t="str">
        <f t="shared" si="0"/>
        <v>(9,'Equinor ASA','EQUINOR',3,167),</v>
      </c>
    </row>
    <row r="12" spans="1:6" ht="20.100000000000001" customHeight="1" x14ac:dyDescent="0.25">
      <c r="A12" s="3">
        <v>10</v>
      </c>
      <c r="B12" s="17" t="s">
        <v>4593</v>
      </c>
      <c r="C12" s="4" t="s">
        <v>4594</v>
      </c>
      <c r="D12" s="5">
        <v>3</v>
      </c>
      <c r="E12" s="5">
        <v>210</v>
      </c>
      <c r="F12" s="4" t="str">
        <f t="shared" si="0"/>
        <v>(10,'Repsol S.A.','REPSOL',3,210),</v>
      </c>
    </row>
    <row r="13" spans="1:6" ht="20.100000000000001" customHeight="1" x14ac:dyDescent="0.25">
      <c r="A13" s="3">
        <v>11</v>
      </c>
      <c r="B13" s="17" t="s">
        <v>4595</v>
      </c>
      <c r="C13" s="4" t="s">
        <v>4596</v>
      </c>
      <c r="D13" s="5">
        <v>4</v>
      </c>
      <c r="E13" s="5">
        <v>4</v>
      </c>
      <c r="F13" s="4" t="str">
        <f t="shared" si="0"/>
        <v>(11,'In Salah Gas Joint Venture','ISG-JV',4,4),</v>
      </c>
    </row>
    <row r="14" spans="1:6" ht="20.100000000000001" customHeight="1" x14ac:dyDescent="0.25">
      <c r="A14" s="3">
        <v>12</v>
      </c>
      <c r="B14" s="17" t="s">
        <v>4597</v>
      </c>
      <c r="C14" s="4" t="s">
        <v>4598</v>
      </c>
      <c r="D14" s="5">
        <v>4</v>
      </c>
      <c r="E14" s="5">
        <v>4</v>
      </c>
      <c r="F14" s="4" t="str">
        <f t="shared" si="0"/>
        <v>(12,'In Amenas Joint Venture','IAM-JV',4,4),</v>
      </c>
    </row>
    <row r="15" spans="1:6" ht="20.100000000000001" customHeight="1" x14ac:dyDescent="0.25">
      <c r="A15" s="3">
        <v>13</v>
      </c>
      <c r="B15" s="17" t="s">
        <v>4599</v>
      </c>
      <c r="C15" s="4" t="s">
        <v>4600</v>
      </c>
      <c r="D15" s="5">
        <v>4</v>
      </c>
      <c r="E15" s="5">
        <v>4</v>
      </c>
      <c r="F15" s="4" t="str">
        <f t="shared" si="0"/>
        <v>(13,'Tin Fouye Tabankort Condensate Company','TFCC',4,4),</v>
      </c>
    </row>
    <row r="16" spans="1:6" ht="20.100000000000001" customHeight="1" x14ac:dyDescent="0.25">
      <c r="A16" s="3">
        <v>14</v>
      </c>
      <c r="B16" s="17" t="s">
        <v>4601</v>
      </c>
      <c r="C16" s="4" t="s">
        <v>4602</v>
      </c>
      <c r="D16" s="5">
        <v>5</v>
      </c>
      <c r="E16" s="5">
        <v>4</v>
      </c>
      <c r="F16" s="4" t="str">
        <f t="shared" si="0"/>
        <v>(14,'Société Nationale de Transport Maritime','SNTM',5,4),</v>
      </c>
    </row>
    <row r="17" spans="1:6" ht="20.100000000000001" customHeight="1" x14ac:dyDescent="0.25">
      <c r="A17" s="3">
        <v>15</v>
      </c>
      <c r="B17" s="17" t="s">
        <v>4603</v>
      </c>
      <c r="C17" s="4" t="s">
        <v>4604</v>
      </c>
      <c r="D17" s="5">
        <v>5</v>
      </c>
      <c r="E17" s="5">
        <v>4</v>
      </c>
      <c r="F17" s="4" t="str">
        <f t="shared" si="0"/>
        <v>(15,'Groupement Transport Par Canalisation','GTP-CANAL',5,4),</v>
      </c>
    </row>
    <row r="18" spans="1:6" ht="20.100000000000001" customHeight="1" x14ac:dyDescent="0.25">
      <c r="A18" s="3">
        <v>16</v>
      </c>
      <c r="B18" s="17" t="s">
        <v>4605</v>
      </c>
      <c r="C18" s="4" t="s">
        <v>4606</v>
      </c>
      <c r="D18" s="5">
        <v>6</v>
      </c>
      <c r="E18" s="5">
        <v>4</v>
      </c>
      <c r="F18" s="4" t="str">
        <f t="shared" si="0"/>
        <v>(16,'Raffinerie d'Alger','RA1K',6,4),</v>
      </c>
    </row>
    <row r="19" spans="1:6" ht="20.100000000000001" customHeight="1" x14ac:dyDescent="0.25">
      <c r="A19" s="3">
        <v>17</v>
      </c>
      <c r="B19" s="17" t="s">
        <v>4607</v>
      </c>
      <c r="C19" s="4" t="s">
        <v>4608</v>
      </c>
      <c r="D19" s="5">
        <v>6</v>
      </c>
      <c r="E19" s="5">
        <v>4</v>
      </c>
      <c r="F19" s="4" t="str">
        <f t="shared" si="0"/>
        <v>(17,'Raffinerie d'Arzew','RA1Z',6,4),</v>
      </c>
    </row>
    <row r="20" spans="1:6" ht="20.100000000000001" customHeight="1" x14ac:dyDescent="0.25">
      <c r="A20" s="3">
        <v>18</v>
      </c>
      <c r="B20" s="17" t="s">
        <v>4609</v>
      </c>
      <c r="C20" s="4" t="s">
        <v>4610</v>
      </c>
      <c r="D20" s="5">
        <v>6</v>
      </c>
      <c r="E20" s="5">
        <v>4</v>
      </c>
      <c r="F20" s="4" t="str">
        <f t="shared" si="0"/>
        <v>(18,'Raffinerie de Skikda','RA1S',6,4),</v>
      </c>
    </row>
    <row r="21" spans="1:6" ht="20.100000000000001" customHeight="1" x14ac:dyDescent="0.25">
      <c r="A21" s="3">
        <v>19</v>
      </c>
      <c r="B21" s="17" t="s">
        <v>4611</v>
      </c>
      <c r="C21" s="4" t="s">
        <v>4612</v>
      </c>
      <c r="D21" s="5">
        <v>6</v>
      </c>
      <c r="E21" s="5">
        <v>4</v>
      </c>
      <c r="F21" s="4" t="str">
        <f t="shared" si="0"/>
        <v>(19,'Raffinerie d'Hassi Messaoud','RHMS',6,4),</v>
      </c>
    </row>
    <row r="22" spans="1:6" ht="20.100000000000001" customHeight="1" x14ac:dyDescent="0.25">
      <c r="A22" s="3">
        <v>20</v>
      </c>
      <c r="B22" s="18" t="s">
        <v>4613</v>
      </c>
      <c r="C22" s="4" t="s">
        <v>4614</v>
      </c>
      <c r="D22" s="5">
        <v>7</v>
      </c>
      <c r="E22" s="5">
        <v>4</v>
      </c>
      <c r="F22" s="4" t="str">
        <f t="shared" si="0"/>
        <v>(20,'Entreprise Nationale de Raffinage et de Distribution des Produits Pétroliers','NAFTAL',7,4),</v>
      </c>
    </row>
    <row r="23" spans="1:6" ht="20.100000000000001" customHeight="1" x14ac:dyDescent="0.25">
      <c r="A23" s="3">
        <v>21</v>
      </c>
      <c r="B23" s="17" t="s">
        <v>4615</v>
      </c>
      <c r="C23" s="4" t="s">
        <v>4616</v>
      </c>
      <c r="D23" s="5">
        <v>7</v>
      </c>
      <c r="E23" s="5">
        <v>4</v>
      </c>
      <c r="F23" s="4" t="str">
        <f t="shared" si="0"/>
        <v>(21,'Algerian Distribution Company','ALDIC',7,4),</v>
      </c>
    </row>
    <row r="24" spans="1:6" ht="20.100000000000001" customHeight="1" x14ac:dyDescent="0.25">
      <c r="A24" s="3">
        <v>22</v>
      </c>
      <c r="B24" s="17" t="s">
        <v>4617</v>
      </c>
      <c r="C24" s="4" t="s">
        <v>4618</v>
      </c>
      <c r="D24" s="5">
        <v>8</v>
      </c>
      <c r="E24" s="5">
        <v>4</v>
      </c>
      <c r="F24" s="4" t="str">
        <f t="shared" si="0"/>
        <v>(22,'Entreprise Nationale des Grands Travaux Pétroliers','ENGTP',8,4),</v>
      </c>
    </row>
    <row r="25" spans="1:6" ht="20.100000000000001" customHeight="1" x14ac:dyDescent="0.25">
      <c r="A25" s="3">
        <v>23</v>
      </c>
      <c r="B25" s="17" t="s">
        <v>4619</v>
      </c>
      <c r="C25" s="4" t="s">
        <v>4620</v>
      </c>
      <c r="D25" s="5">
        <v>8</v>
      </c>
      <c r="E25" s="5">
        <v>4</v>
      </c>
      <c r="F25" s="4" t="str">
        <f t="shared" si="0"/>
        <v>(23,'Société Algérienne des Foires et Exportations','SAFIR',8,4),</v>
      </c>
    </row>
    <row r="26" spans="1:6" ht="20.100000000000001" customHeight="1" x14ac:dyDescent="0.25">
      <c r="A26" s="3">
        <v>24</v>
      </c>
      <c r="B26" s="17" t="s">
        <v>4621</v>
      </c>
      <c r="C26" s="4" t="s">
        <v>4622</v>
      </c>
      <c r="D26" s="5">
        <v>8</v>
      </c>
      <c r="E26" s="5">
        <v>77</v>
      </c>
      <c r="F26" s="4" t="str">
        <f t="shared" si="0"/>
        <v>(24,'Technip Energies N.V.','TECHNIP',8,77),</v>
      </c>
    </row>
    <row r="27" spans="1:6" ht="20.100000000000001" customHeight="1" x14ac:dyDescent="0.25">
      <c r="A27" s="3">
        <v>25</v>
      </c>
      <c r="B27" s="17" t="s">
        <v>4623</v>
      </c>
      <c r="C27" s="4" t="s">
        <v>4624</v>
      </c>
      <c r="D27" s="5">
        <v>8</v>
      </c>
      <c r="E27" s="5">
        <v>111</v>
      </c>
      <c r="F27" s="4" t="str">
        <f t="shared" si="0"/>
        <v>(25,'Saipem S.p.A.','SAIPEM',8,111),</v>
      </c>
    </row>
    <row r="28" spans="1:6" ht="20.100000000000001" customHeight="1" x14ac:dyDescent="0.25">
      <c r="A28" s="3">
        <v>26</v>
      </c>
      <c r="B28" s="17" t="s">
        <v>4625</v>
      </c>
      <c r="C28" s="4" t="s">
        <v>4626</v>
      </c>
      <c r="D28" s="5">
        <v>9</v>
      </c>
      <c r="E28" s="5">
        <v>4</v>
      </c>
      <c r="F28" s="4" t="str">
        <f t="shared" si="0"/>
        <v>(26,'Algerian Energy Company','ALGERCO',9,4),</v>
      </c>
    </row>
    <row r="29" spans="1:6" ht="20.100000000000001" customHeight="1" x14ac:dyDescent="0.25">
      <c r="A29" s="3">
        <v>27</v>
      </c>
      <c r="B29" s="17" t="s">
        <v>4627</v>
      </c>
      <c r="C29" s="4" t="s">
        <v>4628</v>
      </c>
      <c r="D29" s="5">
        <v>9</v>
      </c>
      <c r="E29" s="5">
        <v>4</v>
      </c>
      <c r="F29" s="4" t="str">
        <f t="shared" si="0"/>
        <v>(27,'Algerian National Pipeline Infrastructure','ALNAFT',9,4),</v>
      </c>
    </row>
    <row r="30" spans="1:6" ht="20.100000000000001" customHeight="1" x14ac:dyDescent="0.25">
      <c r="A30" s="3">
        <v>28</v>
      </c>
      <c r="B30" s="17" t="s">
        <v>4629</v>
      </c>
      <c r="C30" s="4" t="s">
        <v>4630</v>
      </c>
      <c r="D30" s="5">
        <v>4</v>
      </c>
      <c r="E30" s="5">
        <v>46</v>
      </c>
      <c r="F30" s="4" t="str">
        <f t="shared" si="0"/>
        <v>(28,'China Petroleum &amp; Chemical Corporation','Sinopec',4,46),</v>
      </c>
    </row>
    <row r="31" spans="1:6" ht="20.100000000000001" customHeight="1" x14ac:dyDescent="0.25">
      <c r="A31" s="3">
        <v>29</v>
      </c>
      <c r="B31" s="17" t="s">
        <v>4631</v>
      </c>
      <c r="C31" s="4" t="s">
        <v>4632</v>
      </c>
      <c r="D31" s="5">
        <v>4</v>
      </c>
      <c r="E31" s="5">
        <v>237</v>
      </c>
      <c r="F31" s="4" t="str">
        <f t="shared" si="0"/>
        <v>(29,'Occidental Petroleum Corporation','Occidental',4,237),</v>
      </c>
    </row>
  </sheetData>
  <autoFilter ref="A2:F31"/>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C000"/>
  </sheetPr>
  <dimension ref="A1:F41"/>
  <sheetViews>
    <sheetView workbookViewId="0">
      <selection activeCell="B3" sqref="B3"/>
    </sheetView>
  </sheetViews>
  <sheetFormatPr baseColWidth="10" defaultColWidth="10.85546875" defaultRowHeight="15.75" x14ac:dyDescent="0.25"/>
  <cols>
    <col min="1" max="1" width="5.5703125" style="2" customWidth="1"/>
    <col min="2" max="2" width="50.5703125" style="2" customWidth="1"/>
    <col min="3" max="3" width="20.5703125" style="2" customWidth="1"/>
    <col min="4" max="5" width="10.5703125" style="2" customWidth="1"/>
    <col min="6" max="6" width="65.42578125" style="2" bestFit="1" customWidth="1"/>
    <col min="7" max="16384" width="10.85546875" style="2"/>
  </cols>
  <sheetData>
    <row r="1" spans="1:6" ht="20.100000000000001" customHeight="1" x14ac:dyDescent="0.25">
      <c r="A1" s="1" t="s">
        <v>37</v>
      </c>
      <c r="B1" s="1" t="s">
        <v>4572</v>
      </c>
      <c r="C1" s="1" t="s">
        <v>4573</v>
      </c>
      <c r="D1" s="1" t="s">
        <v>4083</v>
      </c>
      <c r="E1" s="1" t="s">
        <v>4574</v>
      </c>
      <c r="F1" s="1" t="s">
        <v>5597</v>
      </c>
    </row>
    <row r="2" spans="1:6" ht="20.100000000000001" customHeight="1" x14ac:dyDescent="0.25">
      <c r="A2" s="1" t="s">
        <v>44</v>
      </c>
      <c r="B2" s="1" t="s">
        <v>41</v>
      </c>
      <c r="C2" s="1" t="s">
        <v>42</v>
      </c>
      <c r="D2" s="1" t="s">
        <v>43</v>
      </c>
      <c r="E2" s="1" t="s">
        <v>53</v>
      </c>
      <c r="F2" s="1" t="s">
        <v>5605</v>
      </c>
    </row>
    <row r="3" spans="1:6" ht="20.100000000000001" customHeight="1" x14ac:dyDescent="0.25">
      <c r="A3" s="3">
        <v>1</v>
      </c>
      <c r="B3" s="18" t="s">
        <v>4623</v>
      </c>
      <c r="C3" s="4" t="s">
        <v>4633</v>
      </c>
      <c r="D3" s="5">
        <v>10</v>
      </c>
      <c r="E3" s="5">
        <v>111</v>
      </c>
      <c r="F3" s="4" t="str">
        <f>CONCATENATE("(",A3,",'",B3,"','",C3,"',",D3,",",E3,"),")</f>
        <v>(1,'Saipem S.p.A.','SAIPEM-EPC',10,111),</v>
      </c>
    </row>
    <row r="4" spans="1:6" ht="20.100000000000001" customHeight="1" x14ac:dyDescent="0.25">
      <c r="A4" s="3">
        <v>2</v>
      </c>
      <c r="B4" s="17" t="s">
        <v>4634</v>
      </c>
      <c r="C4" s="4" t="s">
        <v>4635</v>
      </c>
      <c r="D4" s="5">
        <v>10</v>
      </c>
      <c r="E4" s="5">
        <v>77</v>
      </c>
      <c r="F4" s="4" t="str">
        <f t="shared" ref="F4:F41" si="0">CONCATENATE("(",A4,",'",B4,"','",C4,"',",D4,",",E4,"),")</f>
        <v>(2,'Technip Energies Algeria','TECHNIP-EPC',10,77),</v>
      </c>
    </row>
    <row r="5" spans="1:6" ht="20.100000000000001" customHeight="1" x14ac:dyDescent="0.25">
      <c r="A5" s="3">
        <v>3</v>
      </c>
      <c r="B5" s="17" t="s">
        <v>4636</v>
      </c>
      <c r="C5" s="4" t="s">
        <v>4637</v>
      </c>
      <c r="D5" s="5">
        <v>10</v>
      </c>
      <c r="E5" s="5">
        <v>46</v>
      </c>
      <c r="F5" s="4" t="str">
        <f t="shared" si="0"/>
        <v>(3,'China National Petroleum Corporation','CNPC-EPC',10,46),</v>
      </c>
    </row>
    <row r="6" spans="1:6" ht="20.100000000000001" customHeight="1" x14ac:dyDescent="0.25">
      <c r="A6" s="3">
        <v>4</v>
      </c>
      <c r="B6" s="17" t="s">
        <v>4638</v>
      </c>
      <c r="C6" s="4" t="s">
        <v>4639</v>
      </c>
      <c r="D6" s="5">
        <v>11</v>
      </c>
      <c r="E6" s="5">
        <v>4</v>
      </c>
      <c r="F6" s="4" t="str">
        <f t="shared" si="0"/>
        <v>(4,'Cosider Travaux Publics','COSIDER-TP',11,4),</v>
      </c>
    </row>
    <row r="7" spans="1:6" ht="20.100000000000001" customHeight="1" x14ac:dyDescent="0.25">
      <c r="A7" s="3">
        <v>5</v>
      </c>
      <c r="B7" s="17" t="s">
        <v>4640</v>
      </c>
      <c r="C7" s="4" t="s">
        <v>4641</v>
      </c>
      <c r="D7" s="5">
        <v>11</v>
      </c>
      <c r="E7" s="5">
        <v>4</v>
      </c>
      <c r="F7" s="4" t="str">
        <f t="shared" si="0"/>
        <v>(5,'Entreprise de Travaux Routiers Hydrauliques et Bâtiments','ETRHB',11,4),</v>
      </c>
    </row>
    <row r="8" spans="1:6" ht="20.100000000000001" customHeight="1" x14ac:dyDescent="0.25">
      <c r="A8" s="3">
        <v>6</v>
      </c>
      <c r="B8" s="17" t="s">
        <v>4642</v>
      </c>
      <c r="C8" s="4" t="s">
        <v>4643</v>
      </c>
      <c r="D8" s="5">
        <v>11</v>
      </c>
      <c r="E8" s="5">
        <v>4</v>
      </c>
      <c r="F8" s="4" t="str">
        <f t="shared" si="0"/>
        <v>(6,'ENGTP Construction Division','ENGTP-CONSTR',11,4),</v>
      </c>
    </row>
    <row r="9" spans="1:6" ht="20.100000000000001" customHeight="1" x14ac:dyDescent="0.25">
      <c r="A9" s="3">
        <v>7</v>
      </c>
      <c r="B9" s="17" t="s">
        <v>4644</v>
      </c>
      <c r="C9" s="4" t="s">
        <v>4645</v>
      </c>
      <c r="D9" s="5">
        <v>12</v>
      </c>
      <c r="E9" s="5">
        <v>235</v>
      </c>
      <c r="F9" s="4" t="str">
        <f t="shared" si="0"/>
        <v>(7,'Wood Group Algeria','WOOD',12,235),</v>
      </c>
    </row>
    <row r="10" spans="1:6" ht="20.100000000000001" customHeight="1" x14ac:dyDescent="0.25">
      <c r="A10" s="3">
        <v>8</v>
      </c>
      <c r="B10" s="17" t="s">
        <v>4646</v>
      </c>
      <c r="C10" s="4" t="s">
        <v>4647</v>
      </c>
      <c r="D10" s="5">
        <v>12</v>
      </c>
      <c r="E10" s="5">
        <v>14</v>
      </c>
      <c r="F10" s="4" t="str">
        <f t="shared" si="0"/>
        <v>(8,'Worley Algeria','WORLEY',12,14),</v>
      </c>
    </row>
    <row r="11" spans="1:6" ht="20.100000000000001" customHeight="1" x14ac:dyDescent="0.25">
      <c r="A11" s="3">
        <v>9</v>
      </c>
      <c r="B11" s="17" t="s">
        <v>4648</v>
      </c>
      <c r="C11" s="4" t="s">
        <v>4649</v>
      </c>
      <c r="D11" s="5">
        <v>12</v>
      </c>
      <c r="E11" s="5">
        <v>235</v>
      </c>
      <c r="F11" s="4" t="str">
        <f t="shared" si="0"/>
        <v>(9,'Penspen Limited','PENSPEN',12,235),</v>
      </c>
    </row>
    <row r="12" spans="1:6" ht="20.100000000000001" customHeight="1" x14ac:dyDescent="0.25">
      <c r="A12" s="3">
        <v>10</v>
      </c>
      <c r="B12" s="17" t="s">
        <v>4650</v>
      </c>
      <c r="C12" s="4" t="s">
        <v>4651</v>
      </c>
      <c r="D12" s="5">
        <v>13</v>
      </c>
      <c r="E12" s="5">
        <v>235</v>
      </c>
      <c r="F12" s="4" t="str">
        <f t="shared" si="0"/>
        <v>(10,'Amec Foster Wheeler Algeria','AFW-PMC',13,235),</v>
      </c>
    </row>
    <row r="13" spans="1:6" ht="20.100000000000001" customHeight="1" x14ac:dyDescent="0.25">
      <c r="A13" s="3">
        <v>11</v>
      </c>
      <c r="B13" s="17" t="s">
        <v>4652</v>
      </c>
      <c r="C13" s="4" t="s">
        <v>4653</v>
      </c>
      <c r="D13" s="5">
        <v>13</v>
      </c>
      <c r="E13" s="5">
        <v>237</v>
      </c>
      <c r="F13" s="4" t="str">
        <f t="shared" si="0"/>
        <v>(11,'KBR Inc.','KBR',13,237),</v>
      </c>
    </row>
    <row r="14" spans="1:6" ht="20.100000000000001" customHeight="1" x14ac:dyDescent="0.25">
      <c r="A14" s="3">
        <v>12</v>
      </c>
      <c r="B14" s="17" t="s">
        <v>4654</v>
      </c>
      <c r="C14" s="4" t="s">
        <v>4655</v>
      </c>
      <c r="D14" s="5">
        <v>14</v>
      </c>
      <c r="E14" s="5">
        <v>237</v>
      </c>
      <c r="F14" s="4" t="str">
        <f t="shared" si="0"/>
        <v>(12,'GE Oil &amp; Gas Algeria','GE-OG',14,237),</v>
      </c>
    </row>
    <row r="15" spans="1:6" ht="20.100000000000001" customHeight="1" x14ac:dyDescent="0.25">
      <c r="A15" s="3">
        <v>13</v>
      </c>
      <c r="B15" s="17" t="s">
        <v>4656</v>
      </c>
      <c r="C15" s="4" t="s">
        <v>4657</v>
      </c>
      <c r="D15" s="5">
        <v>14</v>
      </c>
      <c r="E15" s="5">
        <v>84</v>
      </c>
      <c r="F15" s="4" t="str">
        <f t="shared" si="0"/>
        <v>(13,'Siemens Energy Algeria','SIEMENS-E',14,84),</v>
      </c>
    </row>
    <row r="16" spans="1:6" ht="20.100000000000001" customHeight="1" x14ac:dyDescent="0.25">
      <c r="A16" s="3">
        <v>14</v>
      </c>
      <c r="B16" s="17" t="s">
        <v>4658</v>
      </c>
      <c r="C16" s="4" t="s">
        <v>4659</v>
      </c>
      <c r="D16" s="5">
        <v>14</v>
      </c>
      <c r="E16" s="5">
        <v>216</v>
      </c>
      <c r="F16" s="4" t="str">
        <f t="shared" si="0"/>
        <v>(14,'Sulzer Pumps Services Algeria','SULZER',14,216),</v>
      </c>
    </row>
    <row r="17" spans="1:6" ht="20.100000000000001" customHeight="1" x14ac:dyDescent="0.25">
      <c r="A17" s="3">
        <v>15</v>
      </c>
      <c r="B17" s="17" t="s">
        <v>4660</v>
      </c>
      <c r="C17" s="4" t="s">
        <v>4661</v>
      </c>
      <c r="D17" s="5">
        <v>14</v>
      </c>
      <c r="E17" s="5">
        <v>111</v>
      </c>
      <c r="F17" s="4" t="str">
        <f t="shared" si="0"/>
        <v>(15,'Nuovo Pignone Algeria','NUOVO-PIG',14,111),</v>
      </c>
    </row>
    <row r="18" spans="1:6" ht="20.100000000000001" customHeight="1" x14ac:dyDescent="0.25">
      <c r="A18" s="3">
        <v>16</v>
      </c>
      <c r="B18" s="17" t="s">
        <v>4662</v>
      </c>
      <c r="C18" s="4" t="s">
        <v>4663</v>
      </c>
      <c r="D18" s="5">
        <v>15</v>
      </c>
      <c r="E18" s="5">
        <v>4</v>
      </c>
      <c r="F18" s="4" t="str">
        <f t="shared" si="0"/>
        <v>(16,'Alfapipe Spa','ALFAPIPE',15,4),</v>
      </c>
    </row>
    <row r="19" spans="1:6" ht="20.100000000000001" customHeight="1" x14ac:dyDescent="0.25">
      <c r="A19" s="3">
        <v>17</v>
      </c>
      <c r="B19" s="17" t="s">
        <v>4664</v>
      </c>
      <c r="C19" s="4" t="s">
        <v>4665</v>
      </c>
      <c r="D19" s="5">
        <v>15</v>
      </c>
      <c r="E19" s="5">
        <v>84</v>
      </c>
      <c r="F19" s="4" t="str">
        <f t="shared" si="0"/>
        <v>(17,'Europipe GmbH','EUROPIPE',15,84),</v>
      </c>
    </row>
    <row r="20" spans="1:6" ht="20.100000000000001" customHeight="1" x14ac:dyDescent="0.25">
      <c r="A20" s="3">
        <v>18</v>
      </c>
      <c r="B20" s="17" t="s">
        <v>4666</v>
      </c>
      <c r="C20" s="4" t="s">
        <v>4667</v>
      </c>
      <c r="D20" s="5">
        <v>15</v>
      </c>
      <c r="E20" s="5">
        <v>77</v>
      </c>
      <c r="F20" s="4" t="str">
        <f t="shared" si="0"/>
        <v>(18,'Vallourec Algérie','VALLOUREC',15,77),</v>
      </c>
    </row>
    <row r="21" spans="1:6" ht="20.100000000000001" customHeight="1" x14ac:dyDescent="0.25">
      <c r="A21" s="3">
        <v>19</v>
      </c>
      <c r="B21" s="17" t="s">
        <v>4668</v>
      </c>
      <c r="C21" s="4" t="s">
        <v>4669</v>
      </c>
      <c r="D21" s="5">
        <v>16</v>
      </c>
      <c r="E21" s="5">
        <v>77</v>
      </c>
      <c r="F21" s="4" t="str">
        <f t="shared" si="0"/>
        <v>(19,'Schneider Electric Algérie','SCHNEIDER',16,77),</v>
      </c>
    </row>
    <row r="22" spans="1:6" ht="20.100000000000001" customHeight="1" x14ac:dyDescent="0.25">
      <c r="A22" s="3">
        <v>20</v>
      </c>
      <c r="B22" s="17" t="s">
        <v>4670</v>
      </c>
      <c r="C22" s="4" t="s">
        <v>4671</v>
      </c>
      <c r="D22" s="5">
        <v>16</v>
      </c>
      <c r="E22" s="5">
        <v>84</v>
      </c>
      <c r="F22" s="4" t="str">
        <f t="shared" si="0"/>
        <v>(20,'Siemens Automation Algeria','SIEMENS-AUTO',16,84),</v>
      </c>
    </row>
    <row r="23" spans="1:6" ht="20.100000000000001" customHeight="1" x14ac:dyDescent="0.25">
      <c r="A23" s="3">
        <v>21</v>
      </c>
      <c r="B23" s="17" t="s">
        <v>4672</v>
      </c>
      <c r="C23" s="4" t="s">
        <v>4673</v>
      </c>
      <c r="D23" s="5">
        <v>16</v>
      </c>
      <c r="E23" s="5">
        <v>237</v>
      </c>
      <c r="F23" s="4" t="str">
        <f t="shared" si="0"/>
        <v>(21,'Honeywell Process Solutions Algeria','HONEYWELL',16,237),</v>
      </c>
    </row>
    <row r="24" spans="1:6" ht="20.100000000000001" customHeight="1" x14ac:dyDescent="0.25">
      <c r="A24" s="3">
        <v>22</v>
      </c>
      <c r="B24" s="17" t="s">
        <v>4674</v>
      </c>
      <c r="C24" s="4" t="s">
        <v>4675</v>
      </c>
      <c r="D24" s="5">
        <v>17</v>
      </c>
      <c r="E24" s="5">
        <v>237</v>
      </c>
      <c r="F24" s="4" t="str">
        <f t="shared" si="0"/>
        <v>(22,'Emerson Process Management Algeria','EMERSON',17,237),</v>
      </c>
    </row>
    <row r="25" spans="1:6" ht="20.100000000000001" customHeight="1" x14ac:dyDescent="0.25">
      <c r="A25" s="3">
        <v>23</v>
      </c>
      <c r="B25" s="17" t="s">
        <v>4676</v>
      </c>
      <c r="C25" s="4" t="s">
        <v>4677</v>
      </c>
      <c r="D25" s="5">
        <v>17</v>
      </c>
      <c r="E25" s="5">
        <v>216</v>
      </c>
      <c r="F25" s="4" t="str">
        <f t="shared" si="0"/>
        <v>(23,'Endress+Hauser Algeria','E+H',17,216),</v>
      </c>
    </row>
    <row r="26" spans="1:6" ht="20.100000000000001" customHeight="1" x14ac:dyDescent="0.25">
      <c r="A26" s="3">
        <v>24</v>
      </c>
      <c r="B26" s="17" t="s">
        <v>4678</v>
      </c>
      <c r="C26" s="4" t="s">
        <v>4679</v>
      </c>
      <c r="D26" s="5">
        <v>17</v>
      </c>
      <c r="E26" s="5">
        <v>216</v>
      </c>
      <c r="F26" s="4" t="str">
        <f t="shared" si="0"/>
        <v>(24,'ABB Measurement &amp; Analytics Algeria','ABB-MEAS',17,216),</v>
      </c>
    </row>
    <row r="27" spans="1:6" ht="20.100000000000001" customHeight="1" x14ac:dyDescent="0.25">
      <c r="A27" s="3">
        <v>25</v>
      </c>
      <c r="B27" s="17" t="s">
        <v>4680</v>
      </c>
      <c r="C27" s="4" t="s">
        <v>4681</v>
      </c>
      <c r="D27" s="5">
        <v>18</v>
      </c>
      <c r="E27" s="5">
        <v>4</v>
      </c>
      <c r="F27" s="4" t="str">
        <f t="shared" si="0"/>
        <v>(25,'Entreprise Nationale de Forage','ENAFOR',18,4),</v>
      </c>
    </row>
    <row r="28" spans="1:6" ht="20.100000000000001" customHeight="1" x14ac:dyDescent="0.25">
      <c r="A28" s="3">
        <v>26</v>
      </c>
      <c r="B28" s="17" t="s">
        <v>4682</v>
      </c>
      <c r="C28" s="4" t="s">
        <v>4683</v>
      </c>
      <c r="D28" s="5">
        <v>18</v>
      </c>
      <c r="E28" s="5">
        <v>216</v>
      </c>
      <c r="F28" s="4" t="str">
        <f t="shared" si="0"/>
        <v>(26,'SGS Algeria','SGS',18,216),</v>
      </c>
    </row>
    <row r="29" spans="1:6" ht="20.100000000000001" customHeight="1" x14ac:dyDescent="0.25">
      <c r="A29" s="3">
        <v>27</v>
      </c>
      <c r="B29" s="17" t="s">
        <v>4684</v>
      </c>
      <c r="C29" s="4" t="s">
        <v>4685</v>
      </c>
      <c r="D29" s="5">
        <v>18</v>
      </c>
      <c r="E29" s="5">
        <v>210</v>
      </c>
      <c r="F29" s="4" t="str">
        <f t="shared" si="0"/>
        <v>(27,'Applus+ Algeria','APPLUS',18,210),</v>
      </c>
    </row>
    <row r="30" spans="1:6" ht="20.100000000000001" customHeight="1" x14ac:dyDescent="0.25">
      <c r="A30" s="3">
        <v>28</v>
      </c>
      <c r="B30" s="17" t="s">
        <v>4686</v>
      </c>
      <c r="C30" s="4" t="s">
        <v>167</v>
      </c>
      <c r="D30" s="5">
        <v>19</v>
      </c>
      <c r="E30" s="5">
        <v>77</v>
      </c>
      <c r="F30" s="4" t="str">
        <f t="shared" si="0"/>
        <v>(28,'Bureau Veritas Algeria','BV',19,77),</v>
      </c>
    </row>
    <row r="31" spans="1:6" ht="20.100000000000001" customHeight="1" x14ac:dyDescent="0.25">
      <c r="A31" s="3">
        <v>29</v>
      </c>
      <c r="B31" s="17" t="s">
        <v>4687</v>
      </c>
      <c r="C31" s="4" t="s">
        <v>4688</v>
      </c>
      <c r="D31" s="5">
        <v>19</v>
      </c>
      <c r="E31" s="5">
        <v>84</v>
      </c>
      <c r="F31" s="4" t="str">
        <f t="shared" si="0"/>
        <v>(29,'TÜV Rheinland Algeria','TUV',19,84),</v>
      </c>
    </row>
    <row r="32" spans="1:6" ht="20.100000000000001" customHeight="1" x14ac:dyDescent="0.25">
      <c r="A32" s="3">
        <v>30</v>
      </c>
      <c r="B32" s="18" t="s">
        <v>4689</v>
      </c>
      <c r="C32" s="4" t="s">
        <v>4690</v>
      </c>
      <c r="D32" s="5">
        <v>19</v>
      </c>
      <c r="E32" s="5">
        <v>167</v>
      </c>
      <c r="F32" s="4" t="str">
        <f t="shared" si="0"/>
        <v>(30,'DNV Algeria','DNV',19,167),</v>
      </c>
    </row>
    <row r="33" spans="1:6" ht="20.100000000000001" customHeight="1" x14ac:dyDescent="0.25">
      <c r="A33" s="3">
        <v>31</v>
      </c>
      <c r="B33" s="17" t="s">
        <v>4691</v>
      </c>
      <c r="C33" s="4" t="s">
        <v>4692</v>
      </c>
      <c r="D33" s="5">
        <v>20</v>
      </c>
      <c r="E33" s="5">
        <v>4</v>
      </c>
      <c r="F33" s="4" t="str">
        <f t="shared" si="0"/>
        <v>(31,'Entreprise Nationale des Travaux aux Puits','ENTP',20,4),</v>
      </c>
    </row>
    <row r="34" spans="1:6" ht="20.100000000000001" customHeight="1" x14ac:dyDescent="0.25">
      <c r="A34" s="3">
        <v>32</v>
      </c>
      <c r="B34" s="17" t="s">
        <v>4693</v>
      </c>
      <c r="C34" s="4" t="s">
        <v>4694</v>
      </c>
      <c r="D34" s="5">
        <v>20</v>
      </c>
      <c r="E34" s="5">
        <v>235</v>
      </c>
      <c r="F34" s="4" t="str">
        <f t="shared" si="0"/>
        <v>(32,'Wood Group PSN Algeria','WOOD-PSN',20,235),</v>
      </c>
    </row>
    <row r="35" spans="1:6" ht="20.100000000000001" customHeight="1" x14ac:dyDescent="0.25">
      <c r="A35" s="3">
        <v>33</v>
      </c>
      <c r="B35" s="17" t="s">
        <v>4695</v>
      </c>
      <c r="C35" s="4" t="s">
        <v>4696</v>
      </c>
      <c r="D35" s="5">
        <v>21</v>
      </c>
      <c r="E35" s="5">
        <v>4</v>
      </c>
      <c r="F35" s="4" t="str">
        <f t="shared" si="0"/>
        <v>(33,'Société de Transport de Marchandises Express','TRANSMEX',21,4),</v>
      </c>
    </row>
    <row r="36" spans="1:6" ht="20.100000000000001" customHeight="1" x14ac:dyDescent="0.25">
      <c r="A36" s="3">
        <v>34</v>
      </c>
      <c r="B36" s="17" t="s">
        <v>4697</v>
      </c>
      <c r="C36" s="4" t="s">
        <v>4698</v>
      </c>
      <c r="D36" s="5">
        <v>21</v>
      </c>
      <c r="E36" s="5">
        <v>234</v>
      </c>
      <c r="F36" s="4" t="str">
        <f t="shared" si="0"/>
        <v>(34,'Gulf Agency Company Algeria','GAC',21,234),</v>
      </c>
    </row>
    <row r="37" spans="1:6" ht="20.100000000000001" customHeight="1" x14ac:dyDescent="0.25">
      <c r="A37" s="3">
        <v>35</v>
      </c>
      <c r="B37" s="17" t="s">
        <v>4699</v>
      </c>
      <c r="C37" s="4" t="s">
        <v>4700</v>
      </c>
      <c r="D37" s="5">
        <v>21</v>
      </c>
      <c r="E37" s="5">
        <v>77</v>
      </c>
      <c r="F37" s="4" t="str">
        <f t="shared" si="0"/>
        <v>(35,'SDV Logistique Internationale Algérie','SDV',21,77),</v>
      </c>
    </row>
    <row r="38" spans="1:6" ht="20.100000000000001" customHeight="1" x14ac:dyDescent="0.25">
      <c r="A38" s="3">
        <v>36</v>
      </c>
      <c r="B38" s="17" t="s">
        <v>4701</v>
      </c>
      <c r="C38" s="4" t="s">
        <v>4702</v>
      </c>
      <c r="D38" s="5">
        <v>22</v>
      </c>
      <c r="E38" s="5">
        <v>4</v>
      </c>
      <c r="F38" s="4" t="str">
        <f t="shared" si="0"/>
        <v>(36,'Kanaghaz Engineering','KANAGHAZ',22,4),</v>
      </c>
    </row>
    <row r="39" spans="1:6" ht="20.100000000000001" customHeight="1" x14ac:dyDescent="0.25">
      <c r="A39" s="3">
        <v>37</v>
      </c>
      <c r="B39" s="17" t="s">
        <v>4703</v>
      </c>
      <c r="C39" s="4" t="s">
        <v>4704</v>
      </c>
      <c r="D39" s="5">
        <v>22</v>
      </c>
      <c r="E39" s="5">
        <v>4</v>
      </c>
      <c r="F39" s="4" t="str">
        <f t="shared" si="0"/>
        <v>(37,'General Emballage Algérie','GEA',22,4),</v>
      </c>
    </row>
    <row r="40" spans="1:6" ht="20.100000000000001" customHeight="1" x14ac:dyDescent="0.25">
      <c r="A40" s="3">
        <v>38</v>
      </c>
      <c r="B40" s="17" t="s">
        <v>4705</v>
      </c>
      <c r="C40" s="4" t="s">
        <v>4706</v>
      </c>
      <c r="D40" s="5">
        <v>22</v>
      </c>
      <c r="E40" s="5">
        <v>4</v>
      </c>
      <c r="F40" s="4" t="str">
        <f t="shared" si="0"/>
        <v>(38,'Groupe Industriel des Ciments d'Algérie','GICA',22,4),</v>
      </c>
    </row>
    <row r="41" spans="1:6" ht="20.100000000000001" customHeight="1" x14ac:dyDescent="0.25">
      <c r="A41" s="3">
        <v>39</v>
      </c>
      <c r="B41" s="17" t="s">
        <v>4575</v>
      </c>
      <c r="C41" s="4" t="s">
        <v>4576</v>
      </c>
      <c r="D41" s="5">
        <v>22</v>
      </c>
      <c r="E41" s="5">
        <v>4</v>
      </c>
      <c r="F41" s="4" t="str">
        <f t="shared" si="0"/>
        <v>(39,'Société Nationale pour la Recherche, la Production, le Transport, la Transformation et la Commercial','SONATRACH',22,4),</v>
      </c>
    </row>
  </sheetData>
  <autoFilter ref="A2:F41"/>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1:I232"/>
  <sheetViews>
    <sheetView tabSelected="1" topLeftCell="A36" workbookViewId="0">
      <selection activeCell="Z36" sqref="Z36"/>
    </sheetView>
  </sheetViews>
  <sheetFormatPr baseColWidth="10" defaultColWidth="10.85546875" defaultRowHeight="15.75" x14ac:dyDescent="0.25"/>
  <cols>
    <col min="1" max="1" width="5.5703125" style="2" customWidth="1"/>
    <col min="2" max="2" width="13.140625" style="2" bestFit="1" customWidth="1"/>
    <col min="3" max="3" width="75.7109375" style="2" customWidth="1"/>
    <col min="4" max="5" width="15.5703125" style="2" customWidth="1"/>
    <col min="6" max="6" width="17.28515625" style="2" bestFit="1" customWidth="1"/>
    <col min="7" max="8" width="15.5703125" style="2" customWidth="1"/>
    <col min="9" max="9" width="89.5703125" style="2" bestFit="1" customWidth="1"/>
    <col min="10" max="16384" width="10.85546875" style="2"/>
  </cols>
  <sheetData>
    <row r="1" spans="1:9" ht="20.100000000000001" customHeight="1" x14ac:dyDescent="0.25">
      <c r="A1" s="1" t="s">
        <v>37</v>
      </c>
      <c r="B1" s="1" t="s">
        <v>54</v>
      </c>
      <c r="C1" s="1" t="s">
        <v>4572</v>
      </c>
      <c r="D1" s="1" t="s">
        <v>4707</v>
      </c>
      <c r="E1" s="1" t="s">
        <v>4709</v>
      </c>
      <c r="F1" s="1" t="s">
        <v>4708</v>
      </c>
      <c r="G1" s="1" t="s">
        <v>4710</v>
      </c>
      <c r="H1" s="1" t="s">
        <v>4711</v>
      </c>
      <c r="I1" s="1" t="s">
        <v>5597</v>
      </c>
    </row>
    <row r="2" spans="1:9" ht="20.100000000000001" customHeight="1" x14ac:dyDescent="0.25">
      <c r="A2" s="1" t="s">
        <v>44</v>
      </c>
      <c r="B2" s="1" t="s">
        <v>41</v>
      </c>
      <c r="C2" s="1" t="s">
        <v>42</v>
      </c>
      <c r="D2" s="1" t="s">
        <v>43</v>
      </c>
      <c r="E2" s="1" t="s">
        <v>53</v>
      </c>
      <c r="F2" s="1" t="s">
        <v>2094</v>
      </c>
      <c r="G2" s="1" t="s">
        <v>4077</v>
      </c>
      <c r="H2" s="1" t="s">
        <v>4349</v>
      </c>
      <c r="I2" s="1" t="s">
        <v>5599</v>
      </c>
    </row>
    <row r="3" spans="1:9" ht="20.100000000000001" customHeight="1" x14ac:dyDescent="0.25">
      <c r="A3" s="3">
        <v>1</v>
      </c>
      <c r="B3" s="18" t="s">
        <v>4848</v>
      </c>
      <c r="C3" s="4" t="s">
        <v>6047</v>
      </c>
      <c r="D3" s="22">
        <v>38426</v>
      </c>
      <c r="E3" s="22">
        <v>39406</v>
      </c>
      <c r="F3" s="5" t="s">
        <v>972</v>
      </c>
      <c r="G3" s="5">
        <v>1</v>
      </c>
      <c r="H3" s="5">
        <v>10</v>
      </c>
      <c r="I3" s="4" t="str">
        <f t="shared" ref="I3:I14" si="0">CONCATENATE("(",A3,",'",B3,"','",C3,"','",TEXT(D3,"aaaa-mm-jj"),"','",TEXT(E3,"aaaa-mm-jj"),"',",F3,",",G3,",",H3,"),")</f>
        <v>(1,'ONET-DD','Terminal d\'Exportation Terrestre Deb Deb','2005-03-15','2007-11-20',NULL,1,10),</v>
      </c>
    </row>
    <row r="4" spans="1:9" ht="20.100000000000001" customHeight="1" x14ac:dyDescent="0.25">
      <c r="A4" s="3">
        <v>2</v>
      </c>
      <c r="B4" s="17" t="s">
        <v>4849</v>
      </c>
      <c r="C4" s="4" t="s">
        <v>6048</v>
      </c>
      <c r="D4" s="22">
        <v>39609</v>
      </c>
      <c r="E4" s="22">
        <v>40436</v>
      </c>
      <c r="F4" s="5" t="s">
        <v>972</v>
      </c>
      <c r="G4" s="5">
        <v>1</v>
      </c>
      <c r="H4" s="5">
        <v>10</v>
      </c>
      <c r="I4" s="4" t="str">
        <f t="shared" si="0"/>
        <v>(2,'ONET-OSS','Terminal d\'Exportation Terrestre Oued Saf Saf','2008-06-10','2010-09-15',NULL,1,10),</v>
      </c>
    </row>
    <row r="5" spans="1:9" ht="20.100000000000001" customHeight="1" x14ac:dyDescent="0.25">
      <c r="A5" s="3">
        <v>3</v>
      </c>
      <c r="B5" s="17" t="s">
        <v>4850</v>
      </c>
      <c r="C5" s="4" t="s">
        <v>6049</v>
      </c>
      <c r="D5" s="22">
        <v>38827</v>
      </c>
      <c r="E5" s="22">
        <v>39792</v>
      </c>
      <c r="F5" s="5" t="s">
        <v>972</v>
      </c>
      <c r="G5" s="5">
        <v>1</v>
      </c>
      <c r="H5" s="5">
        <v>10</v>
      </c>
      <c r="I5" s="4" t="str">
        <f t="shared" si="0"/>
        <v>(3,'ONET-BS','Terminal d\'Exportation Terrestre Beni Saf','2006-04-20','2008-12-10',NULL,1,10),</v>
      </c>
    </row>
    <row r="6" spans="1:9" ht="20.100000000000001" customHeight="1" x14ac:dyDescent="0.25">
      <c r="A6" s="3">
        <v>4</v>
      </c>
      <c r="B6" s="17" t="s">
        <v>6799</v>
      </c>
      <c r="C6" s="43" t="s">
        <v>6800</v>
      </c>
      <c r="D6" s="22">
        <v>40909</v>
      </c>
      <c r="E6" s="22">
        <v>40909</v>
      </c>
      <c r="F6" s="5" t="s">
        <v>972</v>
      </c>
      <c r="G6" s="5">
        <v>1</v>
      </c>
      <c r="H6" s="5">
        <v>10</v>
      </c>
      <c r="I6" s="4" t="str">
        <f t="shared" si="0"/>
        <v>(4,'ONET-KL','Terminal d\'Exportation Terrestre El Kala','2012-01-01','2012-01-01',NULL,1,10),</v>
      </c>
    </row>
    <row r="7" spans="1:9" ht="20.100000000000001" customHeight="1" x14ac:dyDescent="0.25">
      <c r="A7" s="3">
        <v>5</v>
      </c>
      <c r="B7" s="17" t="s">
        <v>4851</v>
      </c>
      <c r="C7" s="4" t="s">
        <v>6050</v>
      </c>
      <c r="D7" s="22">
        <v>28505</v>
      </c>
      <c r="E7" s="22">
        <v>29757</v>
      </c>
      <c r="F7" s="5" t="s">
        <v>972</v>
      </c>
      <c r="G7" s="5">
        <v>1</v>
      </c>
      <c r="H7" s="5">
        <v>10</v>
      </c>
      <c r="I7" s="4" t="str">
        <f t="shared" si="0"/>
        <v>(5,'DZAZW','Terminal d\'Exportation Maritime Export port','1978-01-15','1981-06-20',NULL,1,10),</v>
      </c>
    </row>
    <row r="8" spans="1:9" ht="20.100000000000001" customHeight="1" x14ac:dyDescent="0.25">
      <c r="A8" s="3">
        <v>6</v>
      </c>
      <c r="B8" s="17" t="s">
        <v>4852</v>
      </c>
      <c r="C8" s="4" t="s">
        <v>6050</v>
      </c>
      <c r="D8" s="22">
        <v>26368</v>
      </c>
      <c r="E8" s="22">
        <v>27662</v>
      </c>
      <c r="F8" s="5" t="s">
        <v>972</v>
      </c>
      <c r="G8" s="5">
        <v>1</v>
      </c>
      <c r="H8" s="5">
        <v>10</v>
      </c>
      <c r="I8" s="4" t="str">
        <f t="shared" si="0"/>
        <v>(6,'DZSKI','Terminal d\'Exportation Maritime Export port','1972-03-10','1975-09-25',NULL,1,10),</v>
      </c>
    </row>
    <row r="9" spans="1:9" ht="20.100000000000001" customHeight="1" x14ac:dyDescent="0.25">
      <c r="A9" s="3">
        <v>7</v>
      </c>
      <c r="B9" s="17" t="s">
        <v>4853</v>
      </c>
      <c r="C9" s="4" t="s">
        <v>6050</v>
      </c>
      <c r="D9" s="22">
        <v>35927</v>
      </c>
      <c r="E9" s="22">
        <v>36968</v>
      </c>
      <c r="F9" s="5" t="s">
        <v>972</v>
      </c>
      <c r="G9" s="5">
        <v>1</v>
      </c>
      <c r="H9" s="5">
        <v>10</v>
      </c>
      <c r="I9" s="4" t="str">
        <f t="shared" si="0"/>
        <v>(7,'DZBJA','Terminal d\'Exportation Maritime Export port','1998-05-12','2001-03-18',NULL,1,10),</v>
      </c>
    </row>
    <row r="10" spans="1:9" ht="20.100000000000001" customHeight="1" x14ac:dyDescent="0.25">
      <c r="A10" s="3">
        <v>8</v>
      </c>
      <c r="B10" s="17" t="s">
        <v>4854</v>
      </c>
      <c r="C10" s="4" t="s">
        <v>4855</v>
      </c>
      <c r="D10" s="22">
        <v>37660</v>
      </c>
      <c r="E10" s="22">
        <v>38640</v>
      </c>
      <c r="F10" s="5" t="s">
        <v>972</v>
      </c>
      <c r="G10" s="5">
        <v>1</v>
      </c>
      <c r="H10" s="5">
        <v>10</v>
      </c>
      <c r="I10" s="4" t="str">
        <f t="shared" si="0"/>
        <v>(8,'CDHL','Terminal de Distribution CDHL','2003-02-08','2005-10-15',NULL,1,10),</v>
      </c>
    </row>
    <row r="11" spans="1:9" ht="20.100000000000001" customHeight="1" x14ac:dyDescent="0.25">
      <c r="A11" s="3">
        <v>9</v>
      </c>
      <c r="B11" s="17" t="s">
        <v>4856</v>
      </c>
      <c r="C11" s="4" t="s">
        <v>4857</v>
      </c>
      <c r="D11" s="22">
        <v>38188</v>
      </c>
      <c r="E11" s="22">
        <v>39051</v>
      </c>
      <c r="F11" s="5" t="s">
        <v>972</v>
      </c>
      <c r="G11" s="5">
        <v>1</v>
      </c>
      <c r="H11" s="5">
        <v>10</v>
      </c>
      <c r="I11" s="4" t="str">
        <f t="shared" si="0"/>
        <v>(9,'CNDG','Terminal de Distribution CNDG','2004-07-20','2006-11-30',NULL,1,10),</v>
      </c>
    </row>
    <row r="12" spans="1:9" ht="20.100000000000001" customHeight="1" x14ac:dyDescent="0.25">
      <c r="A12" s="3">
        <v>10</v>
      </c>
      <c r="B12" s="17" t="s">
        <v>4858</v>
      </c>
      <c r="C12" s="4" t="s">
        <v>4859</v>
      </c>
      <c r="D12" s="22">
        <v>39340</v>
      </c>
      <c r="E12" s="22">
        <v>40047</v>
      </c>
      <c r="F12" s="5" t="s">
        <v>972</v>
      </c>
      <c r="G12" s="5">
        <v>1</v>
      </c>
      <c r="H12" s="5">
        <v>10</v>
      </c>
      <c r="I12" s="4" t="str">
        <f t="shared" si="0"/>
        <v>(10,'DT-MED','Terminal de Distribution Medjedel','2007-09-15','2009-08-22',NULL,1,10),</v>
      </c>
    </row>
    <row r="13" spans="1:9" ht="20.100000000000001" customHeight="1" x14ac:dyDescent="0.25">
      <c r="A13" s="3">
        <v>11</v>
      </c>
      <c r="B13" s="17" t="s">
        <v>4860</v>
      </c>
      <c r="C13" s="4" t="s">
        <v>6051</v>
      </c>
      <c r="D13" s="22">
        <v>39556</v>
      </c>
      <c r="E13" s="22">
        <v>40371</v>
      </c>
      <c r="F13" s="5" t="s">
        <v>972</v>
      </c>
      <c r="G13" s="5">
        <v>1</v>
      </c>
      <c r="H13" s="5">
        <v>10</v>
      </c>
      <c r="I13" s="4" t="str">
        <f t="shared" si="0"/>
        <v>(11,'DT-MSL','Terminal de Distribution M\'Sila','2008-04-18','2010-07-12',NULL,1,10),</v>
      </c>
    </row>
    <row r="14" spans="1:9" ht="20.100000000000001" customHeight="1" x14ac:dyDescent="0.25">
      <c r="A14" s="3">
        <v>12</v>
      </c>
      <c r="B14" s="17" t="s">
        <v>4861</v>
      </c>
      <c r="C14" s="4" t="s">
        <v>4862</v>
      </c>
      <c r="D14" s="22">
        <v>40122</v>
      </c>
      <c r="E14" s="22">
        <v>40719</v>
      </c>
      <c r="F14" s="5" t="s">
        <v>972</v>
      </c>
      <c r="G14" s="5">
        <v>1</v>
      </c>
      <c r="H14" s="5">
        <v>10</v>
      </c>
      <c r="I14" s="4" t="str">
        <f t="shared" si="0"/>
        <v>(12,'DT-DJM','Terminal de Distribution SP1 Bis Djamaa','2009-11-05','2011-06-25',NULL,1,10),</v>
      </c>
    </row>
    <row r="15" spans="1:9" ht="20.100000000000001" customHeight="1" x14ac:dyDescent="0.25">
      <c r="A15" s="3">
        <v>13</v>
      </c>
      <c r="B15" s="17" t="s">
        <v>6803</v>
      </c>
      <c r="C15" s="43" t="s">
        <v>6804</v>
      </c>
      <c r="D15" s="22">
        <v>40179</v>
      </c>
      <c r="E15" s="22">
        <v>40179</v>
      </c>
      <c r="F15" s="5" t="s">
        <v>972</v>
      </c>
      <c r="G15" s="5">
        <v>1</v>
      </c>
      <c r="H15" s="5">
        <v>10</v>
      </c>
      <c r="I15" s="4"/>
    </row>
    <row r="16" spans="1:9" ht="20.100000000000001" customHeight="1" x14ac:dyDescent="0.25">
      <c r="A16" s="3">
        <v>14</v>
      </c>
      <c r="B16" s="17" t="s">
        <v>4863</v>
      </c>
      <c r="C16" s="4" t="s">
        <v>4864</v>
      </c>
      <c r="D16" s="22">
        <v>40249</v>
      </c>
      <c r="E16" s="22">
        <v>41160</v>
      </c>
      <c r="F16" s="5" t="s">
        <v>972</v>
      </c>
      <c r="G16" s="5">
        <v>1</v>
      </c>
      <c r="H16" s="5">
        <v>10</v>
      </c>
      <c r="I16" s="4" t="str">
        <f t="shared" ref="I16:I79" si="1">CONCATENATE("(",A16,",'",B16,"','",C16,"','",TEXT(D16,"aaaa-mm-jj"),"','",TEXT(E16,"aaaa-mm-jj"),"',",F16,",",G16,",",H16,"),")</f>
        <v>(14,'TT-ARH','Terminal de Transfert Al Aricha','2010-03-12','2012-09-08',NULL,1,10),</v>
      </c>
    </row>
    <row r="17" spans="1:9" ht="20.100000000000001" customHeight="1" x14ac:dyDescent="0.25">
      <c r="A17" s="3">
        <v>15</v>
      </c>
      <c r="B17" s="17" t="s">
        <v>4865</v>
      </c>
      <c r="C17" s="4" t="s">
        <v>4866</v>
      </c>
      <c r="D17" s="22">
        <v>40683</v>
      </c>
      <c r="E17" s="22">
        <v>41593</v>
      </c>
      <c r="F17" s="5" t="s">
        <v>972</v>
      </c>
      <c r="G17" s="5">
        <v>1</v>
      </c>
      <c r="H17" s="5">
        <v>10</v>
      </c>
      <c r="I17" s="4" t="str">
        <f t="shared" si="1"/>
        <v>(15,'TT-BNM','Terminal de Transfert Beni Mensour','2011-05-20','2013-11-15',NULL,1,10),</v>
      </c>
    </row>
    <row r="18" spans="1:9" ht="20.100000000000001" customHeight="1" x14ac:dyDescent="0.25">
      <c r="A18" s="3">
        <v>16</v>
      </c>
      <c r="B18" s="17" t="s">
        <v>4867</v>
      </c>
      <c r="C18" s="4" t="s">
        <v>4868</v>
      </c>
      <c r="D18" s="22">
        <v>37478</v>
      </c>
      <c r="E18" s="22">
        <v>38341</v>
      </c>
      <c r="F18" s="5" t="s">
        <v>972</v>
      </c>
      <c r="G18" s="5">
        <v>1</v>
      </c>
      <c r="H18" s="5">
        <v>10</v>
      </c>
      <c r="I18" s="4" t="str">
        <f t="shared" si="1"/>
        <v>(16,'TT-HMD','Terminal de Transfert Hassi Messaoud','2002-08-10','2004-12-20',NULL,1,10),</v>
      </c>
    </row>
    <row r="19" spans="1:9" ht="20.100000000000001" customHeight="1" x14ac:dyDescent="0.25">
      <c r="A19" s="3">
        <v>17</v>
      </c>
      <c r="B19" s="17" t="s">
        <v>4869</v>
      </c>
      <c r="C19" s="4" t="s">
        <v>4870</v>
      </c>
      <c r="D19" s="22">
        <v>38518</v>
      </c>
      <c r="E19" s="22">
        <v>39385</v>
      </c>
      <c r="F19" s="5" t="s">
        <v>972</v>
      </c>
      <c r="G19" s="5">
        <v>1</v>
      </c>
      <c r="H19" s="5">
        <v>10</v>
      </c>
      <c r="I19" s="4" t="str">
        <f t="shared" si="1"/>
        <v>(17,'TT-MSD','Terminal de Transfert Mesdar','2005-06-15','2007-10-30',NULL,1,10),</v>
      </c>
    </row>
    <row r="20" spans="1:9" ht="20.100000000000001" customHeight="1" x14ac:dyDescent="0.25">
      <c r="A20" s="3">
        <v>18</v>
      </c>
      <c r="B20" s="17" t="s">
        <v>4871</v>
      </c>
      <c r="C20" s="4" t="s">
        <v>4872</v>
      </c>
      <c r="D20" s="22">
        <v>38982</v>
      </c>
      <c r="E20" s="22">
        <v>39678</v>
      </c>
      <c r="F20" s="5" t="s">
        <v>972</v>
      </c>
      <c r="G20" s="5">
        <v>1</v>
      </c>
      <c r="H20" s="5">
        <v>10</v>
      </c>
      <c r="I20" s="4" t="str">
        <f t="shared" si="1"/>
        <v>(18,'TT-OHT','Terminal de Transfert Ohanet','2006-09-22','2008-08-18',NULL,1,10),</v>
      </c>
    </row>
    <row r="21" spans="1:9" ht="20.100000000000001" customHeight="1" x14ac:dyDescent="0.25">
      <c r="A21" s="3">
        <v>19</v>
      </c>
      <c r="B21" s="17" t="s">
        <v>4873</v>
      </c>
      <c r="C21" s="4" t="s">
        <v>4874</v>
      </c>
      <c r="D21" s="22">
        <v>39421</v>
      </c>
      <c r="E21" s="22">
        <v>40014</v>
      </c>
      <c r="F21" s="5" t="s">
        <v>972</v>
      </c>
      <c r="G21" s="5">
        <v>1</v>
      </c>
      <c r="H21" s="5">
        <v>10</v>
      </c>
      <c r="I21" s="4" t="str">
        <f t="shared" si="1"/>
        <v>(19,'TT-137','Terminal de Transfert PC1/PK137','2007-12-05','2009-07-20',NULL,1,10),</v>
      </c>
    </row>
    <row r="22" spans="1:9" ht="20.100000000000001" customHeight="1" x14ac:dyDescent="0.25">
      <c r="A22" s="3">
        <v>20</v>
      </c>
      <c r="B22" s="17" t="s">
        <v>4875</v>
      </c>
      <c r="C22" s="4" t="s">
        <v>4876</v>
      </c>
      <c r="D22" s="22">
        <v>39525</v>
      </c>
      <c r="E22" s="22">
        <v>40323</v>
      </c>
      <c r="F22" s="5" t="s">
        <v>972</v>
      </c>
      <c r="G22" s="5">
        <v>1</v>
      </c>
      <c r="H22" s="5">
        <v>10</v>
      </c>
      <c r="I22" s="4" t="str">
        <f t="shared" si="1"/>
        <v>(20,'TT-RDN','Terminal de Transfert Rhoude Nouss','2008-03-18','2010-05-25',NULL,1,10),</v>
      </c>
    </row>
    <row r="23" spans="1:9" ht="20.100000000000001" customHeight="1" x14ac:dyDescent="0.25">
      <c r="A23" s="3">
        <v>21</v>
      </c>
      <c r="B23" s="17" t="s">
        <v>4877</v>
      </c>
      <c r="C23" s="4" t="s">
        <v>4878</v>
      </c>
      <c r="D23" s="22">
        <v>34709</v>
      </c>
      <c r="E23" s="22">
        <v>35688</v>
      </c>
      <c r="F23" s="5" t="s">
        <v>972</v>
      </c>
      <c r="G23" s="5">
        <v>1</v>
      </c>
      <c r="H23" s="5">
        <v>10</v>
      </c>
      <c r="I23" s="4" t="str">
        <f t="shared" si="1"/>
        <v>(21,'PT-ALG','Terminal de Pipeline Alger','1995-01-10','1997-09-15',NULL,1,10),</v>
      </c>
    </row>
    <row r="24" spans="1:9" ht="20.100000000000001" customHeight="1" x14ac:dyDescent="0.25">
      <c r="A24" s="3">
        <v>22</v>
      </c>
      <c r="B24" s="17" t="s">
        <v>4879</v>
      </c>
      <c r="C24" s="4" t="s">
        <v>4880</v>
      </c>
      <c r="D24" s="22">
        <v>35907</v>
      </c>
      <c r="E24" s="22">
        <v>36860</v>
      </c>
      <c r="F24" s="5" t="s">
        <v>972</v>
      </c>
      <c r="G24" s="5">
        <v>1</v>
      </c>
      <c r="H24" s="5">
        <v>10</v>
      </c>
      <c r="I24" s="4" t="str">
        <f t="shared" si="1"/>
        <v>(22,'PT-ALR','Terminal de Pipeline Alrar','1998-04-22','2000-11-30',NULL,1,10),</v>
      </c>
    </row>
    <row r="25" spans="1:9" ht="20.100000000000001" customHeight="1" x14ac:dyDescent="0.25">
      <c r="A25" s="3">
        <v>23</v>
      </c>
      <c r="B25" s="17" t="s">
        <v>4881</v>
      </c>
      <c r="C25" s="4" t="s">
        <v>4882</v>
      </c>
      <c r="D25" s="22">
        <v>29387</v>
      </c>
      <c r="E25" s="22">
        <v>30375</v>
      </c>
      <c r="F25" s="5" t="s">
        <v>972</v>
      </c>
      <c r="G25" s="5">
        <v>1</v>
      </c>
      <c r="H25" s="5">
        <v>10</v>
      </c>
      <c r="I25" s="4" t="str">
        <f t="shared" si="1"/>
        <v>(23,'PR-ARZ','Terminal de Pipeline Arzew','1980-06-15','1983-02-28',NULL,1,10),</v>
      </c>
    </row>
    <row r="26" spans="1:9" ht="20.100000000000001" customHeight="1" x14ac:dyDescent="0.25">
      <c r="A26" s="3">
        <v>24</v>
      </c>
      <c r="B26" s="17" t="s">
        <v>4883</v>
      </c>
      <c r="C26" s="4" t="s">
        <v>4884</v>
      </c>
      <c r="D26" s="22">
        <v>35662</v>
      </c>
      <c r="E26" s="22">
        <v>36504</v>
      </c>
      <c r="F26" s="5" t="s">
        <v>972</v>
      </c>
      <c r="G26" s="5">
        <v>1</v>
      </c>
      <c r="H26" s="5">
        <v>10</v>
      </c>
      <c r="I26" s="4" t="str">
        <f t="shared" si="1"/>
        <v>(24,'PT-BJA','Terminal de Pipeline Bejaia','1997-08-20','1999-12-10',NULL,1,10),</v>
      </c>
    </row>
    <row r="27" spans="1:9" ht="20.100000000000001" customHeight="1" x14ac:dyDescent="0.25">
      <c r="A27" s="3">
        <v>25</v>
      </c>
      <c r="B27" s="17" t="s">
        <v>4885</v>
      </c>
      <c r="C27" s="4" t="s">
        <v>4886</v>
      </c>
      <c r="D27" s="22">
        <v>36965</v>
      </c>
      <c r="E27" s="22">
        <v>37827</v>
      </c>
      <c r="F27" s="5" t="s">
        <v>972</v>
      </c>
      <c r="G27" s="5">
        <v>1</v>
      </c>
      <c r="H27" s="5">
        <v>10</v>
      </c>
      <c r="I27" s="4" t="str">
        <f t="shared" si="1"/>
        <v>(25,'PT-BRN','Terminal de Pipeline Bir Rebaa North','2001-03-15','2003-07-25',NULL,1,10),</v>
      </c>
    </row>
    <row r="28" spans="1:9" ht="20.100000000000001" customHeight="1" x14ac:dyDescent="0.25">
      <c r="A28" s="3">
        <v>26</v>
      </c>
      <c r="B28" s="17" t="s">
        <v>4887</v>
      </c>
      <c r="C28" s="4" t="s">
        <v>4888</v>
      </c>
      <c r="D28" s="22">
        <v>35377</v>
      </c>
      <c r="E28" s="22">
        <v>36029</v>
      </c>
      <c r="F28" s="5" t="s">
        <v>972</v>
      </c>
      <c r="G28" s="5">
        <v>1</v>
      </c>
      <c r="H28" s="5">
        <v>10</v>
      </c>
      <c r="I28" s="4" t="str">
        <f t="shared" si="1"/>
        <v>(26,'PT-BMN','Terminal de Pipeline Bord Menaiel','1996-11-08','1998-08-22',NULL,1,10),</v>
      </c>
    </row>
    <row r="29" spans="1:9" ht="20.100000000000001" customHeight="1" x14ac:dyDescent="0.25">
      <c r="A29" s="3">
        <v>27</v>
      </c>
      <c r="B29" s="17" t="s">
        <v>4889</v>
      </c>
      <c r="C29" s="4" t="s">
        <v>4890</v>
      </c>
      <c r="D29" s="22">
        <v>36658</v>
      </c>
      <c r="E29" s="22">
        <v>37547</v>
      </c>
      <c r="F29" s="5" t="s">
        <v>972</v>
      </c>
      <c r="G29" s="5">
        <v>1</v>
      </c>
      <c r="H29" s="5">
        <v>10</v>
      </c>
      <c r="I29" s="4" t="str">
        <f t="shared" si="1"/>
        <v>(27,'PT-BRM','Terminal de Pipeline El Borma','2000-05-12','2002-10-18',NULL,1,10),</v>
      </c>
    </row>
    <row r="30" spans="1:9" ht="20.100000000000001" customHeight="1" x14ac:dyDescent="0.25">
      <c r="A30" s="3">
        <v>28</v>
      </c>
      <c r="B30" s="17" t="s">
        <v>4891</v>
      </c>
      <c r="C30" s="4" t="s">
        <v>4892</v>
      </c>
      <c r="D30" s="22">
        <v>37869</v>
      </c>
      <c r="E30" s="22">
        <v>38523</v>
      </c>
      <c r="F30" s="5" t="s">
        <v>972</v>
      </c>
      <c r="G30" s="5">
        <v>1</v>
      </c>
      <c r="H30" s="5">
        <v>10</v>
      </c>
      <c r="I30" s="4" t="str">
        <f t="shared" si="1"/>
        <v>(28,'PT-GST','Terminal de Pipeline Gassi Touil','2003-09-05','2005-06-20',NULL,1,10),</v>
      </c>
    </row>
    <row r="31" spans="1:9" ht="20.100000000000001" customHeight="1" x14ac:dyDescent="0.25">
      <c r="A31" s="3">
        <v>29</v>
      </c>
      <c r="B31" s="17" t="s">
        <v>4893</v>
      </c>
      <c r="C31" s="4" t="s">
        <v>4894</v>
      </c>
      <c r="D31" s="22">
        <v>38035</v>
      </c>
      <c r="E31" s="22">
        <v>38837</v>
      </c>
      <c r="F31" s="5" t="s">
        <v>972</v>
      </c>
      <c r="G31" s="5">
        <v>1</v>
      </c>
      <c r="H31" s="5">
        <v>10</v>
      </c>
      <c r="I31" s="4" t="str">
        <f t="shared" si="1"/>
        <v>(29,'PT-HBK','Terminal de Pipeline Hassi Berkine','2004-02-18','2006-04-30',NULL,1,10),</v>
      </c>
    </row>
    <row r="32" spans="1:9" ht="20.100000000000001" customHeight="1" x14ac:dyDescent="0.25">
      <c r="A32" s="3">
        <v>30</v>
      </c>
      <c r="B32" s="17" t="s">
        <v>4895</v>
      </c>
      <c r="C32" s="4" t="s">
        <v>4896</v>
      </c>
      <c r="D32" s="22">
        <v>38555</v>
      </c>
      <c r="E32" s="22">
        <v>39340</v>
      </c>
      <c r="F32" s="5" t="s">
        <v>972</v>
      </c>
      <c r="G32" s="5">
        <v>1</v>
      </c>
      <c r="H32" s="5">
        <v>10</v>
      </c>
      <c r="I32" s="4" t="str">
        <f t="shared" si="1"/>
        <v>(30,'PT-HTJ','Terminal de Pipeline Hassi tedjirane','2005-07-22','2007-09-15',NULL,1,10),</v>
      </c>
    </row>
    <row r="33" spans="1:9" ht="20.100000000000001" customHeight="1" x14ac:dyDescent="0.25">
      <c r="A33" s="3">
        <v>31</v>
      </c>
      <c r="B33" s="17" t="s">
        <v>4897</v>
      </c>
      <c r="C33" s="4" t="s">
        <v>4898</v>
      </c>
      <c r="D33" s="22">
        <v>37537</v>
      </c>
      <c r="E33" s="22">
        <v>38224</v>
      </c>
      <c r="F33" s="5" t="s">
        <v>972</v>
      </c>
      <c r="G33" s="5">
        <v>1</v>
      </c>
      <c r="H33" s="5">
        <v>10</v>
      </c>
      <c r="I33" s="4" t="str">
        <f t="shared" si="1"/>
        <v>(31,'PT-NMS','Terminal de Pipeline In Amenas','2002-10-08','2004-08-25',NULL,1,10),</v>
      </c>
    </row>
    <row r="34" spans="1:9" ht="20.100000000000001" customHeight="1" x14ac:dyDescent="0.25">
      <c r="A34" s="3">
        <v>32</v>
      </c>
      <c r="B34" s="17" t="s">
        <v>4899</v>
      </c>
      <c r="C34" s="4" t="s">
        <v>4900</v>
      </c>
      <c r="D34" s="22">
        <v>39066</v>
      </c>
      <c r="E34" s="22">
        <v>39772</v>
      </c>
      <c r="F34" s="5" t="s">
        <v>972</v>
      </c>
      <c r="G34" s="5">
        <v>1</v>
      </c>
      <c r="H34" s="5">
        <v>10</v>
      </c>
      <c r="I34" s="4" t="str">
        <f t="shared" si="1"/>
        <v>(32,'PT-NSL','Terminal de Pipeline In Salah','2006-12-15','2008-11-20',NULL,1,10),</v>
      </c>
    </row>
    <row r="35" spans="1:9" ht="20.100000000000001" customHeight="1" x14ac:dyDescent="0.25">
      <c r="A35" s="3">
        <v>33</v>
      </c>
      <c r="B35" s="17" t="s">
        <v>4901</v>
      </c>
      <c r="C35" s="4" t="s">
        <v>4902</v>
      </c>
      <c r="D35" s="22">
        <v>35509</v>
      </c>
      <c r="E35" s="22">
        <v>36290</v>
      </c>
      <c r="F35" s="5" t="s">
        <v>972</v>
      </c>
      <c r="G35" s="5">
        <v>1</v>
      </c>
      <c r="H35" s="5">
        <v>10</v>
      </c>
      <c r="I35" s="4" t="str">
        <f t="shared" si="1"/>
        <v>(33,'PT-ISR','Terminal de Pipeline Isser','1997-03-20','1999-05-10',NULL,1,10),</v>
      </c>
    </row>
    <row r="36" spans="1:9" ht="20.100000000000001" customHeight="1" x14ac:dyDescent="0.25">
      <c r="A36" s="3">
        <v>34</v>
      </c>
      <c r="B36" s="17" t="s">
        <v>4903</v>
      </c>
      <c r="C36" s="4" t="s">
        <v>4904</v>
      </c>
      <c r="D36" s="22">
        <v>40341</v>
      </c>
      <c r="E36" s="22">
        <v>41212</v>
      </c>
      <c r="F36" s="5" t="s">
        <v>972</v>
      </c>
      <c r="G36" s="5">
        <v>1</v>
      </c>
      <c r="H36" s="5">
        <v>10</v>
      </c>
      <c r="I36" s="4" t="str">
        <f t="shared" si="1"/>
        <v>(34,'PT-RGN','Terminal de Pipeline Reggane','Saturday-06-jj','Tuesday-10-jj',NULL,1,10),</v>
      </c>
    </row>
    <row r="37" spans="1:9" ht="20.100000000000001" customHeight="1" x14ac:dyDescent="0.25">
      <c r="A37" s="3">
        <v>35</v>
      </c>
      <c r="B37" s="17" t="s">
        <v>4905</v>
      </c>
      <c r="C37" s="4" t="s">
        <v>4906</v>
      </c>
      <c r="D37" s="22">
        <v>37152</v>
      </c>
      <c r="E37" s="22">
        <v>37977</v>
      </c>
      <c r="F37" s="5" t="s">
        <v>972</v>
      </c>
      <c r="G37" s="5">
        <v>1</v>
      </c>
      <c r="H37" s="5">
        <v>10</v>
      </c>
      <c r="I37" s="4" t="str">
        <f t="shared" si="1"/>
        <v>(35,'PT-RBL','Terminal de Pipeline Rhoude El Baguel','Tuesday-09-jj','Monday-12-jj',NULL,1,10),</v>
      </c>
    </row>
    <row r="38" spans="1:9" ht="20.100000000000001" customHeight="1" x14ac:dyDescent="0.25">
      <c r="A38" s="3">
        <v>36</v>
      </c>
      <c r="B38" s="17" t="s">
        <v>4907</v>
      </c>
      <c r="C38" s="4" t="s">
        <v>4908</v>
      </c>
      <c r="D38" s="22">
        <v>27494</v>
      </c>
      <c r="E38" s="22">
        <v>28505</v>
      </c>
      <c r="F38" s="5" t="s">
        <v>972</v>
      </c>
      <c r="G38" s="5">
        <v>1</v>
      </c>
      <c r="H38" s="5">
        <v>10</v>
      </c>
      <c r="I38" s="4" t="str">
        <f t="shared" si="1"/>
        <v>(36,'PT-SKD','Terminal de Pipeline Skikda','1975-04-10','1978-01-15',NULL,1,10),</v>
      </c>
    </row>
    <row r="39" spans="1:9" ht="20.100000000000001" customHeight="1" x14ac:dyDescent="0.25">
      <c r="A39" s="3">
        <v>37</v>
      </c>
      <c r="B39" s="17" t="s">
        <v>6820</v>
      </c>
      <c r="C39" s="4" t="s">
        <v>6858</v>
      </c>
      <c r="D39" s="22">
        <v>36540</v>
      </c>
      <c r="E39" s="22">
        <v>37154</v>
      </c>
      <c r="F39" s="5" t="s">
        <v>972</v>
      </c>
      <c r="G39" s="5">
        <v>1</v>
      </c>
      <c r="H39" s="5">
        <v>10</v>
      </c>
      <c r="I39" s="4" t="str">
        <f t="shared" si="1"/>
        <v>(37,'SP1-OZ1/OZ2','Station de Pompage SP1-OZ1/OZ2','Saturday-01-jj','Thursday-09-jj',NULL,1,10),</v>
      </c>
    </row>
    <row r="40" spans="1:9" ht="20.100000000000001" customHeight="1" x14ac:dyDescent="0.25">
      <c r="A40" s="42">
        <v>38</v>
      </c>
      <c r="B40" s="51" t="s">
        <v>4909</v>
      </c>
      <c r="C40" s="43" t="s">
        <v>4910</v>
      </c>
      <c r="D40" s="52">
        <v>36540</v>
      </c>
      <c r="E40" s="52">
        <v>37154</v>
      </c>
      <c r="F40" s="50" t="s">
        <v>972</v>
      </c>
      <c r="G40" s="50">
        <v>1</v>
      </c>
      <c r="H40" s="50">
        <v>10</v>
      </c>
      <c r="I40" s="43" t="str">
        <f t="shared" si="1"/>
        <v>(38,'SP1-OZ2','Station de Pompage SP1-OZ2','2000-01-15','2001-09-20',NULL,1,10),</v>
      </c>
    </row>
    <row r="41" spans="1:9" ht="20.100000000000001" customHeight="1" x14ac:dyDescent="0.25">
      <c r="A41" s="3">
        <v>39</v>
      </c>
      <c r="B41" s="17" t="s">
        <v>6821</v>
      </c>
      <c r="C41" s="4" t="s">
        <v>6859</v>
      </c>
      <c r="D41" s="22">
        <v>36960</v>
      </c>
      <c r="E41" s="22">
        <v>37575</v>
      </c>
      <c r="F41" s="5" t="s">
        <v>972</v>
      </c>
      <c r="G41" s="5">
        <v>1</v>
      </c>
      <c r="H41" s="5">
        <v>10</v>
      </c>
      <c r="I41" s="4" t="str">
        <f t="shared" si="1"/>
        <v>(39,'SP2-OZ1/OZ2','Station de Pompage SP2-OZ1/OZ2','Saturday-03-jj','Friday-11-jj',NULL,1,10),</v>
      </c>
    </row>
    <row r="42" spans="1:9" ht="20.100000000000001" customHeight="1" x14ac:dyDescent="0.25">
      <c r="A42" s="42">
        <v>40</v>
      </c>
      <c r="B42" s="51" t="s">
        <v>4911</v>
      </c>
      <c r="C42" s="43" t="s">
        <v>4912</v>
      </c>
      <c r="D42" s="52">
        <v>36960</v>
      </c>
      <c r="E42" s="52">
        <v>37575</v>
      </c>
      <c r="F42" s="50" t="s">
        <v>972</v>
      </c>
      <c r="G42" s="50">
        <v>1</v>
      </c>
      <c r="H42" s="50">
        <v>10</v>
      </c>
      <c r="I42" s="43" t="str">
        <f t="shared" si="1"/>
        <v>(40,'SP2-OZ2','Station de Pompage SP2-OZ2','2001-03-10','2002-11-15',NULL,1,10),</v>
      </c>
    </row>
    <row r="43" spans="1:9" ht="20.100000000000001" customHeight="1" x14ac:dyDescent="0.25">
      <c r="A43" s="3">
        <v>41</v>
      </c>
      <c r="B43" s="17" t="s">
        <v>6822</v>
      </c>
      <c r="C43" s="4" t="s">
        <v>6859</v>
      </c>
      <c r="D43" s="22">
        <v>37396</v>
      </c>
      <c r="E43" s="22">
        <v>37985</v>
      </c>
      <c r="F43" s="5" t="s">
        <v>972</v>
      </c>
      <c r="G43" s="5">
        <v>1</v>
      </c>
      <c r="H43" s="5">
        <v>10</v>
      </c>
      <c r="I43" s="4" t="str">
        <f t="shared" si="1"/>
        <v>(41,'SP3-OZ1/OZ2','Station de Pompage SP2-OZ1/OZ2','Monday-05-jj','Tuesday-12-jj',NULL,1,10),</v>
      </c>
    </row>
    <row r="44" spans="1:9" ht="20.100000000000001" customHeight="1" x14ac:dyDescent="0.25">
      <c r="A44" s="42">
        <v>42</v>
      </c>
      <c r="B44" s="51" t="s">
        <v>6065</v>
      </c>
      <c r="C44" s="43" t="s">
        <v>4912</v>
      </c>
      <c r="D44" s="52">
        <v>37396</v>
      </c>
      <c r="E44" s="52">
        <v>37985</v>
      </c>
      <c r="F44" s="50" t="s">
        <v>972</v>
      </c>
      <c r="G44" s="50">
        <v>1</v>
      </c>
      <c r="H44" s="50">
        <v>10</v>
      </c>
      <c r="I44" s="43" t="str">
        <f t="shared" si="1"/>
        <v>(42,'SP3-OZ2','Station de Pompage SP2-OZ2','2002-05-20','2003-12-30',NULL,1,10),</v>
      </c>
    </row>
    <row r="45" spans="1:9" ht="20.100000000000001" customHeight="1" x14ac:dyDescent="0.25">
      <c r="A45" s="3">
        <v>43</v>
      </c>
      <c r="B45" s="17" t="s">
        <v>6823</v>
      </c>
      <c r="C45" s="4" t="s">
        <v>6859</v>
      </c>
      <c r="D45" s="22">
        <v>37848</v>
      </c>
      <c r="E45" s="22">
        <v>38433</v>
      </c>
      <c r="F45" s="5" t="s">
        <v>972</v>
      </c>
      <c r="G45" s="5">
        <v>1</v>
      </c>
      <c r="H45" s="5">
        <v>10</v>
      </c>
      <c r="I45" s="4" t="str">
        <f t="shared" si="1"/>
        <v>(43,'SP4-OZ1/OZ2','Station de Pompage SP2-OZ1/OZ2','Friday-08-jj','Tuesday-03-jj',NULL,1,10),</v>
      </c>
    </row>
    <row r="46" spans="1:9" ht="20.100000000000001" customHeight="1" x14ac:dyDescent="0.25">
      <c r="A46" s="42">
        <v>44</v>
      </c>
      <c r="B46" s="51" t="s">
        <v>6066</v>
      </c>
      <c r="C46" s="43" t="s">
        <v>4912</v>
      </c>
      <c r="D46" s="52">
        <v>37848</v>
      </c>
      <c r="E46" s="52">
        <v>38433</v>
      </c>
      <c r="F46" s="50" t="s">
        <v>972</v>
      </c>
      <c r="G46" s="50">
        <v>1</v>
      </c>
      <c r="H46" s="50">
        <v>10</v>
      </c>
      <c r="I46" s="43" t="str">
        <f t="shared" si="1"/>
        <v>(44,'SP4-OZ2','Station de Pompage SP2-OZ2','2003-08-15','2005-03-22',NULL,1,10),</v>
      </c>
    </row>
    <row r="47" spans="1:9" ht="20.100000000000001" customHeight="1" x14ac:dyDescent="0.25">
      <c r="A47" s="3">
        <v>45</v>
      </c>
      <c r="B47" s="17" t="s">
        <v>6824</v>
      </c>
      <c r="C47" s="4" t="s">
        <v>6859</v>
      </c>
      <c r="D47" s="22">
        <v>38265</v>
      </c>
      <c r="E47" s="22">
        <v>38886</v>
      </c>
      <c r="F47" s="5" t="s">
        <v>972</v>
      </c>
      <c r="G47" s="5">
        <v>1</v>
      </c>
      <c r="H47" s="5">
        <v>10</v>
      </c>
      <c r="I47" s="4" t="str">
        <f t="shared" si="1"/>
        <v>(45,'SP5-OZ1/OZ2','Station de Pompage SP2-OZ1/OZ2','Tuesday-10-jj','Sunday-06-jj',NULL,1,10),</v>
      </c>
    </row>
    <row r="48" spans="1:9" ht="20.100000000000001" customHeight="1" x14ac:dyDescent="0.25">
      <c r="A48" s="42">
        <v>46</v>
      </c>
      <c r="B48" s="51" t="s">
        <v>6067</v>
      </c>
      <c r="C48" s="43" t="s">
        <v>4912</v>
      </c>
      <c r="D48" s="52">
        <v>38265</v>
      </c>
      <c r="E48" s="52">
        <v>38886</v>
      </c>
      <c r="F48" s="50" t="s">
        <v>972</v>
      </c>
      <c r="G48" s="50">
        <v>1</v>
      </c>
      <c r="H48" s="50">
        <v>10</v>
      </c>
      <c r="I48" s="43" t="str">
        <f t="shared" si="1"/>
        <v>(46,'SP5-OZ2','Station de Pompage SP2-OZ2','2004-10-05','2006-06-18',NULL,1,10),</v>
      </c>
    </row>
    <row r="49" spans="1:9" ht="20.100000000000001" customHeight="1" x14ac:dyDescent="0.25">
      <c r="A49" s="3">
        <v>47</v>
      </c>
      <c r="B49" s="17" t="s">
        <v>6825</v>
      </c>
      <c r="C49" s="4" t="s">
        <v>6859</v>
      </c>
      <c r="D49" s="22">
        <v>38698</v>
      </c>
      <c r="E49" s="22">
        <v>39319</v>
      </c>
      <c r="F49" s="5" t="s">
        <v>972</v>
      </c>
      <c r="G49" s="5">
        <v>1</v>
      </c>
      <c r="H49" s="5">
        <v>10</v>
      </c>
      <c r="I49" s="4" t="str">
        <f t="shared" si="1"/>
        <v>(47,'SP6-OZ1/OZ2','Station de Pompage SP2-OZ1/OZ2','Monday-12-jj','Saturday-08-jj',NULL,1,10),</v>
      </c>
    </row>
    <row r="50" spans="1:9" ht="20.100000000000001" customHeight="1" x14ac:dyDescent="0.25">
      <c r="A50" s="42">
        <v>48</v>
      </c>
      <c r="B50" s="51" t="s">
        <v>6068</v>
      </c>
      <c r="C50" s="43" t="s">
        <v>4912</v>
      </c>
      <c r="D50" s="52">
        <v>38698</v>
      </c>
      <c r="E50" s="52">
        <v>39319</v>
      </c>
      <c r="F50" s="50" t="s">
        <v>972</v>
      </c>
      <c r="G50" s="50">
        <v>1</v>
      </c>
      <c r="H50" s="50">
        <v>10</v>
      </c>
      <c r="I50" s="43" t="str">
        <f t="shared" si="1"/>
        <v>(48,'SP6-OZ2','Station de Pompage SP2-OZ2','2005-12-12','2007-08-25',NULL,1,10),</v>
      </c>
    </row>
    <row r="51" spans="1:9" ht="20.100000000000001" customHeight="1" x14ac:dyDescent="0.25">
      <c r="A51" s="3">
        <v>49</v>
      </c>
      <c r="B51" s="17" t="s">
        <v>6826</v>
      </c>
      <c r="C51" s="4" t="s">
        <v>6860</v>
      </c>
      <c r="D51" s="22">
        <v>38796</v>
      </c>
      <c r="E51" s="22">
        <v>39396</v>
      </c>
      <c r="F51" s="5" t="s">
        <v>972</v>
      </c>
      <c r="G51" s="5">
        <v>1</v>
      </c>
      <c r="H51" s="5">
        <v>10</v>
      </c>
      <c r="I51" s="4" t="str">
        <f t="shared" si="1"/>
        <v>(49,'PRS-OZ1/OZ2','Station de Pompage PRS-OZ1/OZ2','Monday-03-jj','Saturday-11-jj',NULL,1,10),</v>
      </c>
    </row>
    <row r="52" spans="1:9" ht="20.100000000000001" customHeight="1" x14ac:dyDescent="0.25">
      <c r="A52" s="42">
        <v>50</v>
      </c>
      <c r="B52" s="51" t="s">
        <v>4913</v>
      </c>
      <c r="C52" s="43" t="s">
        <v>4914</v>
      </c>
      <c r="D52" s="52">
        <v>38796</v>
      </c>
      <c r="E52" s="52">
        <v>39396</v>
      </c>
      <c r="F52" s="50" t="s">
        <v>972</v>
      </c>
      <c r="G52" s="50">
        <v>1</v>
      </c>
      <c r="H52" s="50">
        <v>10</v>
      </c>
      <c r="I52" s="43" t="str">
        <f t="shared" si="1"/>
        <v>(50,'PRS-OZ2','Station de Régulation PRS-OZ2','2006-03-20','2007-11-10',NULL,1,10),</v>
      </c>
    </row>
    <row r="53" spans="1:9" ht="20.100000000000001" customHeight="1" x14ac:dyDescent="0.25">
      <c r="A53" s="3">
        <v>51</v>
      </c>
      <c r="B53" s="17" t="s">
        <v>4915</v>
      </c>
      <c r="C53" s="4" t="s">
        <v>4916</v>
      </c>
      <c r="D53" s="22">
        <v>37057</v>
      </c>
      <c r="E53" s="22">
        <v>37672</v>
      </c>
      <c r="F53" s="5" t="s">
        <v>972</v>
      </c>
      <c r="G53" s="5">
        <v>1</v>
      </c>
      <c r="H53" s="5">
        <v>10</v>
      </c>
      <c r="I53" s="4" t="str">
        <f t="shared" si="1"/>
        <v>(51,'SP1-OK1','Station de Pompage SP1-OK1','2001-06-15','2003-02-20',NULL,1,10),</v>
      </c>
    </row>
    <row r="54" spans="1:9" ht="20.100000000000001" customHeight="1" x14ac:dyDescent="0.25">
      <c r="A54" s="3">
        <v>52</v>
      </c>
      <c r="B54" s="17" t="s">
        <v>4917</v>
      </c>
      <c r="C54" s="4" t="s">
        <v>4918</v>
      </c>
      <c r="D54" s="22">
        <v>40278</v>
      </c>
      <c r="E54" s="22">
        <v>40923</v>
      </c>
      <c r="F54" s="5" t="s">
        <v>972</v>
      </c>
      <c r="G54" s="5">
        <v>1</v>
      </c>
      <c r="H54" s="5">
        <v>10</v>
      </c>
      <c r="I54" s="4" t="str">
        <f t="shared" si="1"/>
        <v>(52,'SP1-OK1-NEW','Station de Pompage SP1-OK1-NEW','2010-04-10','2012-01-15',NULL,1,10),</v>
      </c>
    </row>
    <row r="55" spans="1:9" ht="20.100000000000001" customHeight="1" x14ac:dyDescent="0.25">
      <c r="A55" s="3">
        <v>53</v>
      </c>
      <c r="B55" s="17" t="s">
        <v>4919</v>
      </c>
      <c r="C55" s="4" t="s">
        <v>4920</v>
      </c>
      <c r="D55" s="22">
        <v>37490</v>
      </c>
      <c r="E55" s="22">
        <v>38137</v>
      </c>
      <c r="F55" s="5" t="s">
        <v>972</v>
      </c>
      <c r="G55" s="5">
        <v>1</v>
      </c>
      <c r="H55" s="5">
        <v>10</v>
      </c>
      <c r="I55" s="4" t="str">
        <f t="shared" si="1"/>
        <v>(53,'SP2-OK1','Station de Pompage SP2-OK1','2002-08-22','2004-05-30',NULL,1,10),</v>
      </c>
    </row>
    <row r="56" spans="1:9" ht="20.100000000000001" customHeight="1" x14ac:dyDescent="0.25">
      <c r="A56" s="3">
        <v>54</v>
      </c>
      <c r="B56" s="17" t="s">
        <v>4921</v>
      </c>
      <c r="C56" s="4" t="s">
        <v>4922</v>
      </c>
      <c r="D56" s="22">
        <v>37930</v>
      </c>
      <c r="E56" s="22">
        <v>38551</v>
      </c>
      <c r="F56" s="5" t="s">
        <v>972</v>
      </c>
      <c r="G56" s="5">
        <v>1</v>
      </c>
      <c r="H56" s="5">
        <v>10</v>
      </c>
      <c r="I56" s="4" t="str">
        <f t="shared" si="1"/>
        <v>(54,'SP3-OK1','Station de Pompage SP3-OK1','2003-11-05','2005-07-18',NULL,1,10),</v>
      </c>
    </row>
    <row r="57" spans="1:9" ht="20.100000000000001" customHeight="1" x14ac:dyDescent="0.25">
      <c r="A57" s="3">
        <v>55</v>
      </c>
      <c r="B57" s="17" t="s">
        <v>4923</v>
      </c>
      <c r="C57" s="4" t="s">
        <v>4924</v>
      </c>
      <c r="D57" s="22">
        <v>39859</v>
      </c>
      <c r="E57" s="22">
        <v>40479</v>
      </c>
      <c r="F57" s="5" t="s">
        <v>972</v>
      </c>
      <c r="G57" s="5">
        <v>1</v>
      </c>
      <c r="H57" s="5">
        <v>10</v>
      </c>
      <c r="I57" s="4" t="str">
        <f t="shared" si="1"/>
        <v>(55,'SP3-OK1-BIS','Station de Pompage SP3-OK1-BIS','2009-02-15','2010-10-28',NULL,1,10),</v>
      </c>
    </row>
    <row r="58" spans="1:9" ht="20.100000000000001" customHeight="1" x14ac:dyDescent="0.25">
      <c r="A58" s="3">
        <v>56</v>
      </c>
      <c r="B58" s="17" t="s">
        <v>4925</v>
      </c>
      <c r="C58" s="4" t="s">
        <v>4926</v>
      </c>
      <c r="D58" s="22">
        <v>38125</v>
      </c>
      <c r="E58" s="22">
        <v>38739</v>
      </c>
      <c r="F58" s="5" t="s">
        <v>972</v>
      </c>
      <c r="G58" s="5">
        <v>1</v>
      </c>
      <c r="H58" s="5">
        <v>10</v>
      </c>
      <c r="I58" s="4" t="str">
        <f t="shared" si="1"/>
        <v>(56,'SP4-OK1','Station de Pompage SP4-OK1','2004-05-18','2006-01-22',NULL,1,10),</v>
      </c>
    </row>
    <row r="59" spans="1:9" ht="20.100000000000001" customHeight="1" x14ac:dyDescent="0.25">
      <c r="A59" s="3">
        <v>57</v>
      </c>
      <c r="B59" s="17" t="s">
        <v>4927</v>
      </c>
      <c r="C59" s="4" t="s">
        <v>4928</v>
      </c>
      <c r="D59" s="22">
        <v>37327</v>
      </c>
      <c r="E59" s="22">
        <v>37950</v>
      </c>
      <c r="F59" s="5" t="s">
        <v>972</v>
      </c>
      <c r="G59" s="5">
        <v>1</v>
      </c>
      <c r="H59" s="5">
        <v>10</v>
      </c>
      <c r="I59" s="4" t="str">
        <f t="shared" si="1"/>
        <v>(57,'SP1-OB1','Station de Pompage SP1-OB1','2002-03-12','2003-11-25',NULL,1,10),</v>
      </c>
    </row>
    <row r="60" spans="1:9" ht="20.100000000000001" customHeight="1" x14ac:dyDescent="0.25">
      <c r="A60" s="3">
        <v>58</v>
      </c>
      <c r="B60" s="17" t="s">
        <v>4929</v>
      </c>
      <c r="C60" s="4" t="s">
        <v>4930</v>
      </c>
      <c r="D60" s="22">
        <v>39649</v>
      </c>
      <c r="E60" s="22">
        <v>40283</v>
      </c>
      <c r="F60" s="5" t="s">
        <v>972</v>
      </c>
      <c r="G60" s="5">
        <v>1</v>
      </c>
      <c r="H60" s="5">
        <v>10</v>
      </c>
      <c r="I60" s="4" t="str">
        <f t="shared" si="1"/>
        <v>(58,'SP1-BIS-OB1','Station de Pompage SP1-BIS-OB1','2008-07-20','2010-04-15',NULL,1,10),</v>
      </c>
    </row>
    <row r="61" spans="1:9" ht="20.100000000000001" customHeight="1" x14ac:dyDescent="0.25">
      <c r="A61" s="3">
        <v>59</v>
      </c>
      <c r="B61" s="17" t="s">
        <v>4931</v>
      </c>
      <c r="C61" s="4" t="s">
        <v>4932</v>
      </c>
      <c r="D61" s="22">
        <v>37874</v>
      </c>
      <c r="E61" s="22">
        <v>38521</v>
      </c>
      <c r="F61" s="5" t="s">
        <v>972</v>
      </c>
      <c r="G61" s="5">
        <v>1</v>
      </c>
      <c r="H61" s="5">
        <v>10</v>
      </c>
      <c r="I61" s="4" t="str">
        <f t="shared" si="1"/>
        <v>(59,'SP2-OB1','Station de Pompage SP2-OB1','2003-09-10','2005-06-18',NULL,1,10),</v>
      </c>
    </row>
    <row r="62" spans="1:9" ht="20.100000000000001" customHeight="1" x14ac:dyDescent="0.25">
      <c r="A62" s="3">
        <v>60</v>
      </c>
      <c r="B62" s="17" t="s">
        <v>4933</v>
      </c>
      <c r="C62" s="4" t="s">
        <v>4934</v>
      </c>
      <c r="D62" s="22">
        <v>38326</v>
      </c>
      <c r="E62" s="22">
        <v>38951</v>
      </c>
      <c r="F62" s="5" t="s">
        <v>972</v>
      </c>
      <c r="G62" s="5">
        <v>1</v>
      </c>
      <c r="H62" s="5">
        <v>10</v>
      </c>
      <c r="I62" s="4" t="str">
        <f t="shared" si="1"/>
        <v>(60,'SP3-OB1','Station de Pompage SP3-OB1','2004-12-05','2006-08-22',NULL,1,10),</v>
      </c>
    </row>
    <row r="63" spans="1:9" ht="20.100000000000001" customHeight="1" x14ac:dyDescent="0.25">
      <c r="A63" s="3">
        <v>61</v>
      </c>
      <c r="B63" s="17" t="s">
        <v>4935</v>
      </c>
      <c r="C63" s="4" t="s">
        <v>4936</v>
      </c>
      <c r="D63" s="22">
        <v>39190</v>
      </c>
      <c r="E63" s="22">
        <v>39843</v>
      </c>
      <c r="F63" s="5" t="s">
        <v>972</v>
      </c>
      <c r="G63" s="5">
        <v>1</v>
      </c>
      <c r="H63" s="5">
        <v>10</v>
      </c>
      <c r="I63" s="4" t="str">
        <f t="shared" si="1"/>
        <v>(61,'SP1-BIS-OG1','Station de Pompage SP1-BIS-OG1','2007-04-18','2009-01-30',NULL,1,10),</v>
      </c>
    </row>
    <row r="64" spans="1:9" ht="20.100000000000001" customHeight="1" x14ac:dyDescent="0.25">
      <c r="A64" s="3">
        <v>62</v>
      </c>
      <c r="B64" s="17" t="s">
        <v>4937</v>
      </c>
      <c r="C64" s="4" t="s">
        <v>4938</v>
      </c>
      <c r="D64" s="22">
        <v>38405</v>
      </c>
      <c r="E64" s="22">
        <v>39005</v>
      </c>
      <c r="F64" s="5" t="s">
        <v>972</v>
      </c>
      <c r="G64" s="5">
        <v>1</v>
      </c>
      <c r="H64" s="5">
        <v>10</v>
      </c>
      <c r="I64" s="4" t="str">
        <f t="shared" si="1"/>
        <v>(62,'SP1-OT1','Station de Pompage SP1-OT1','2005-02-22','2006-10-15',NULL,1,10),</v>
      </c>
    </row>
    <row r="65" spans="1:9" ht="20.100000000000001" customHeight="1" x14ac:dyDescent="0.25">
      <c r="A65" s="3">
        <v>63</v>
      </c>
      <c r="B65" s="17" t="s">
        <v>4939</v>
      </c>
      <c r="C65" s="4" t="s">
        <v>4940</v>
      </c>
      <c r="D65" s="22">
        <v>38405</v>
      </c>
      <c r="E65" s="22">
        <v>39005</v>
      </c>
      <c r="F65" s="5" t="s">
        <v>972</v>
      </c>
      <c r="G65" s="5">
        <v>1</v>
      </c>
      <c r="H65" s="5">
        <v>10</v>
      </c>
      <c r="I65" s="4" t="str">
        <f t="shared" si="1"/>
        <v>(63,'SP2-OT1','Station de Pompage SP2-OT1','2005-02-22','2006-10-15',NULL,1,10),</v>
      </c>
    </row>
    <row r="66" spans="1:9" ht="20.100000000000001" customHeight="1" x14ac:dyDescent="0.25">
      <c r="A66" s="3">
        <v>64</v>
      </c>
      <c r="B66" s="17" t="s">
        <v>4941</v>
      </c>
      <c r="C66" s="4" t="s">
        <v>4942</v>
      </c>
      <c r="D66" s="22">
        <v>38852</v>
      </c>
      <c r="E66" s="22">
        <v>39467</v>
      </c>
      <c r="F66" s="5" t="s">
        <v>972</v>
      </c>
      <c r="G66" s="5">
        <v>1</v>
      </c>
      <c r="H66" s="5">
        <v>10</v>
      </c>
      <c r="I66" s="4" t="str">
        <f t="shared" si="1"/>
        <v>(64,'SP1-OH1','Station de Pompage SP1-OH1','2006-05-15','2008-01-20',NULL,1,10),</v>
      </c>
    </row>
    <row r="67" spans="1:9" ht="20.100000000000001" customHeight="1" x14ac:dyDescent="0.25">
      <c r="A67" s="3">
        <v>65</v>
      </c>
      <c r="B67" s="17" t="s">
        <v>4943</v>
      </c>
      <c r="C67" s="4" t="s">
        <v>4944</v>
      </c>
      <c r="D67" s="22">
        <v>38852</v>
      </c>
      <c r="E67" s="22">
        <v>39467</v>
      </c>
      <c r="F67" s="5" t="s">
        <v>972</v>
      </c>
      <c r="G67" s="5">
        <v>1</v>
      </c>
      <c r="H67" s="5">
        <v>10</v>
      </c>
      <c r="I67" s="4" t="str">
        <f t="shared" si="1"/>
        <v>(65,'SP2-OH1','Station de Pompage SP2-OH1','2006-05-15','2008-01-20',NULL,1,10),</v>
      </c>
    </row>
    <row r="68" spans="1:9" ht="20.100000000000001" customHeight="1" x14ac:dyDescent="0.25">
      <c r="A68" s="3">
        <v>66</v>
      </c>
      <c r="B68" s="17" t="s">
        <v>4945</v>
      </c>
      <c r="C68" s="4" t="s">
        <v>4946</v>
      </c>
      <c r="D68" s="22">
        <v>38852</v>
      </c>
      <c r="E68" s="22">
        <v>39467</v>
      </c>
      <c r="F68" s="5" t="s">
        <v>972</v>
      </c>
      <c r="G68" s="5">
        <v>1</v>
      </c>
      <c r="H68" s="5">
        <v>10</v>
      </c>
      <c r="I68" s="4" t="str">
        <f t="shared" si="1"/>
        <v>(66,'SP3-OH1','Station de Pompage SP3-OH1','2006-05-15','2008-01-20',NULL,1,10),</v>
      </c>
    </row>
    <row r="69" spans="1:9" ht="20.100000000000001" customHeight="1" x14ac:dyDescent="0.25">
      <c r="A69" s="55">
        <v>66</v>
      </c>
      <c r="B69" s="56" t="s">
        <v>6805</v>
      </c>
      <c r="C69" s="57" t="s">
        <v>6806</v>
      </c>
      <c r="D69" s="58">
        <v>38852</v>
      </c>
      <c r="E69" s="58">
        <v>39467</v>
      </c>
      <c r="F69" s="59" t="s">
        <v>972</v>
      </c>
      <c r="G69" s="59">
        <v>1</v>
      </c>
      <c r="H69" s="59">
        <v>10</v>
      </c>
      <c r="I69" s="57" t="str">
        <f t="shared" si="1"/>
        <v>(66,'SP4-OH1','Station de Pompage SP4-OH1','2006-05-15','2008-01-20',NULL,1,10),</v>
      </c>
    </row>
    <row r="70" spans="1:9" ht="20.100000000000001" customHeight="1" x14ac:dyDescent="0.25">
      <c r="A70" s="3">
        <v>67</v>
      </c>
      <c r="B70" s="17" t="s">
        <v>4947</v>
      </c>
      <c r="C70" s="4" t="s">
        <v>4948</v>
      </c>
      <c r="D70" s="22">
        <v>39304</v>
      </c>
      <c r="E70" s="22">
        <v>39928</v>
      </c>
      <c r="F70" s="5" t="s">
        <v>972</v>
      </c>
      <c r="G70" s="5">
        <v>1</v>
      </c>
      <c r="H70" s="5">
        <v>10</v>
      </c>
      <c r="I70" s="4" t="str">
        <f t="shared" si="1"/>
        <v>(67,'SP1-OD1','Station de Pompage SP1-OD1','2007-08-10','2009-04-25',NULL,1,10),</v>
      </c>
    </row>
    <row r="71" spans="1:9" ht="20.100000000000001" customHeight="1" x14ac:dyDescent="0.25">
      <c r="A71" s="3">
        <v>68</v>
      </c>
      <c r="B71" s="17" t="s">
        <v>4949</v>
      </c>
      <c r="C71" s="4" t="s">
        <v>4950</v>
      </c>
      <c r="D71" s="22">
        <v>39767</v>
      </c>
      <c r="E71" s="22">
        <v>40389</v>
      </c>
      <c r="F71" s="5" t="s">
        <v>972</v>
      </c>
      <c r="G71" s="5">
        <v>1</v>
      </c>
      <c r="H71" s="5">
        <v>10</v>
      </c>
      <c r="I71" s="4" t="str">
        <f t="shared" si="1"/>
        <v>(68,'SP1-OH2','Station de Pompage SP1-OH2','2008-11-15','2010-07-30',NULL,1,10),</v>
      </c>
    </row>
    <row r="72" spans="1:9" ht="20.100000000000001" customHeight="1" x14ac:dyDescent="0.25">
      <c r="A72" s="3">
        <v>69</v>
      </c>
      <c r="B72" s="17" t="s">
        <v>4951</v>
      </c>
      <c r="C72" s="4" t="s">
        <v>4952</v>
      </c>
      <c r="D72" s="22">
        <v>39892</v>
      </c>
      <c r="E72" s="22">
        <v>40558</v>
      </c>
      <c r="F72" s="5" t="s">
        <v>972</v>
      </c>
      <c r="G72" s="5">
        <v>1</v>
      </c>
      <c r="H72" s="5">
        <v>10</v>
      </c>
      <c r="I72" s="4" t="str">
        <f t="shared" si="1"/>
        <v>(69,'SP1-OH3/OH4','Station de Pompage SP1-OH3/OH4','2009-03-20','2011-01-15',NULL,1,10),</v>
      </c>
    </row>
    <row r="73" spans="1:9" ht="20.100000000000001" customHeight="1" x14ac:dyDescent="0.25">
      <c r="A73" s="3">
        <v>70</v>
      </c>
      <c r="B73" s="17" t="s">
        <v>4953</v>
      </c>
      <c r="C73" s="4" t="s">
        <v>4954</v>
      </c>
      <c r="D73" s="22">
        <v>39892</v>
      </c>
      <c r="E73" s="22">
        <v>40558</v>
      </c>
      <c r="F73" s="5" t="s">
        <v>972</v>
      </c>
      <c r="G73" s="5">
        <v>1</v>
      </c>
      <c r="H73" s="5">
        <v>10</v>
      </c>
      <c r="I73" s="4" t="str">
        <f t="shared" si="1"/>
        <v>(70,'SP2-OH3/OH4','Station de Pompage SP2-OH3/OH4','2009-03-20','2011-01-15',NULL,1,10),</v>
      </c>
    </row>
    <row r="74" spans="1:9" ht="20.100000000000001" customHeight="1" x14ac:dyDescent="0.25">
      <c r="A74" s="3">
        <v>71</v>
      </c>
      <c r="B74" s="17" t="s">
        <v>4955</v>
      </c>
      <c r="C74" s="4" t="s">
        <v>4956</v>
      </c>
      <c r="D74" s="22">
        <v>40337</v>
      </c>
      <c r="E74" s="22">
        <v>40990</v>
      </c>
      <c r="F74" s="5" t="s">
        <v>972</v>
      </c>
      <c r="G74" s="5">
        <v>1</v>
      </c>
      <c r="H74" s="5">
        <v>10</v>
      </c>
      <c r="I74" s="4" t="str">
        <f t="shared" si="1"/>
        <v>(71,'SP4-NZ1','Station de Pompage SP4-NZ1','2010-06-08','2012-03-22',NULL,1,10),</v>
      </c>
    </row>
    <row r="75" spans="1:9" ht="20.100000000000001" customHeight="1" x14ac:dyDescent="0.25">
      <c r="A75" s="3">
        <v>72</v>
      </c>
      <c r="B75" s="17" t="s">
        <v>4957</v>
      </c>
      <c r="C75" s="4" t="s">
        <v>4958</v>
      </c>
      <c r="D75" s="22">
        <v>40337</v>
      </c>
      <c r="E75" s="22">
        <v>40990</v>
      </c>
      <c r="F75" s="5" t="s">
        <v>972</v>
      </c>
      <c r="G75" s="5">
        <v>1</v>
      </c>
      <c r="H75" s="5">
        <v>10</v>
      </c>
      <c r="I75" s="4" t="str">
        <f t="shared" si="1"/>
        <v>(72,'SP5-NZ1','Station de Pompage SP5-NZ1','2010-06-08','2012-03-22',NULL,1,10),</v>
      </c>
    </row>
    <row r="76" spans="1:9" ht="20.100000000000001" customHeight="1" x14ac:dyDescent="0.25">
      <c r="A76" s="3">
        <v>73</v>
      </c>
      <c r="B76" s="17" t="s">
        <v>4959</v>
      </c>
      <c r="C76" s="4" t="s">
        <v>4960</v>
      </c>
      <c r="D76" s="22">
        <v>40337</v>
      </c>
      <c r="E76" s="22">
        <v>40990</v>
      </c>
      <c r="F76" s="5" t="s">
        <v>972</v>
      </c>
      <c r="G76" s="5">
        <v>1</v>
      </c>
      <c r="H76" s="5">
        <v>10</v>
      </c>
      <c r="I76" s="4" t="str">
        <f t="shared" si="1"/>
        <v>(73,'SP6-NZ1','Station de Pompage SP6-NZ1','2010-06-08','2012-03-22',NULL,1,10),</v>
      </c>
    </row>
    <row r="77" spans="1:9" ht="20.100000000000001" customHeight="1" x14ac:dyDescent="0.25">
      <c r="A77" s="3">
        <v>74</v>
      </c>
      <c r="B77" s="17" t="s">
        <v>4961</v>
      </c>
      <c r="C77" s="4" t="s">
        <v>4962</v>
      </c>
      <c r="D77" s="22">
        <v>40337</v>
      </c>
      <c r="E77" s="22">
        <v>40990</v>
      </c>
      <c r="F77" s="5" t="s">
        <v>972</v>
      </c>
      <c r="G77" s="5">
        <v>1</v>
      </c>
      <c r="H77" s="5">
        <v>10</v>
      </c>
      <c r="I77" s="4" t="str">
        <f t="shared" si="1"/>
        <v>(74,'PRS-NZ1','Station de Régulation PRS-NZ1','2010-06-08','2012-03-22',NULL,1,10),</v>
      </c>
    </row>
    <row r="78" spans="1:9" ht="20.100000000000001" customHeight="1" x14ac:dyDescent="0.25">
      <c r="A78" s="3">
        <v>75</v>
      </c>
      <c r="B78" s="17" t="s">
        <v>4963</v>
      </c>
      <c r="C78" s="4" t="s">
        <v>4964</v>
      </c>
      <c r="D78" s="22">
        <v>40798</v>
      </c>
      <c r="E78" s="22">
        <v>41443</v>
      </c>
      <c r="F78" s="5" t="s">
        <v>972</v>
      </c>
      <c r="G78" s="5">
        <v>1</v>
      </c>
      <c r="H78" s="5">
        <v>10</v>
      </c>
      <c r="I78" s="4" t="str">
        <f t="shared" si="1"/>
        <v>(75,'SP1-NK1','Station de Pompage SP1-NK1','2011-09-12','2013-06-18',NULL,1,10),</v>
      </c>
    </row>
    <row r="79" spans="1:9" ht="20.100000000000001" customHeight="1" x14ac:dyDescent="0.25">
      <c r="A79" s="3">
        <v>76</v>
      </c>
      <c r="B79" s="17" t="s">
        <v>4965</v>
      </c>
      <c r="C79" s="4" t="s">
        <v>4966</v>
      </c>
      <c r="D79" s="22">
        <v>40798</v>
      </c>
      <c r="E79" s="22">
        <v>41443</v>
      </c>
      <c r="F79" s="5" t="s">
        <v>972</v>
      </c>
      <c r="G79" s="5">
        <v>1</v>
      </c>
      <c r="H79" s="5">
        <v>10</v>
      </c>
      <c r="I79" s="4" t="str">
        <f t="shared" si="1"/>
        <v>(76,'SP3-NK1','Station de Pompage SP3-NK1','2011-09-12','2013-06-18',NULL,1,10),</v>
      </c>
    </row>
    <row r="80" spans="1:9" ht="20.100000000000001" customHeight="1" x14ac:dyDescent="0.25">
      <c r="A80" s="3">
        <v>77</v>
      </c>
      <c r="B80" s="17" t="s">
        <v>4967</v>
      </c>
      <c r="C80" s="4" t="s">
        <v>4968</v>
      </c>
      <c r="D80" s="22">
        <v>40954</v>
      </c>
      <c r="E80" s="22">
        <v>41598</v>
      </c>
      <c r="F80" s="5" t="s">
        <v>972</v>
      </c>
      <c r="G80" s="5">
        <v>1</v>
      </c>
      <c r="H80" s="5">
        <v>10</v>
      </c>
      <c r="I80" s="4" t="str">
        <f t="shared" ref="I80:I143" si="2">CONCATENATE("(",A80,",'",B80,"','",C80,"','",TEXT(D80,"aaaa-mm-jj"),"','",TEXT(E80,"aaaa-mm-jj"),"',",F80,",",G80,",",H80,"),")</f>
        <v>(77,'SP4-LNZ1','Station de Pompage SP4-LNZ1','2012-02-15','2013-11-20',NULL,1,10),</v>
      </c>
    </row>
    <row r="81" spans="1:9" ht="20.100000000000001" customHeight="1" x14ac:dyDescent="0.25">
      <c r="A81" s="3">
        <v>78</v>
      </c>
      <c r="B81" s="17" t="s">
        <v>4969</v>
      </c>
      <c r="C81" s="4" t="s">
        <v>4970</v>
      </c>
      <c r="D81" s="22">
        <v>40954</v>
      </c>
      <c r="E81" s="22">
        <v>41598</v>
      </c>
      <c r="F81" s="5" t="s">
        <v>972</v>
      </c>
      <c r="G81" s="5">
        <v>1</v>
      </c>
      <c r="H81" s="5">
        <v>10</v>
      </c>
      <c r="I81" s="4" t="str">
        <f t="shared" si="2"/>
        <v>(78,'SP5-LNZ1','Station de Pompage SP5-LNZ1','2012-02-15','2013-11-20',NULL,1,10),</v>
      </c>
    </row>
    <row r="82" spans="1:9" ht="20.100000000000001" customHeight="1" x14ac:dyDescent="0.25">
      <c r="A82" s="3">
        <v>79</v>
      </c>
      <c r="B82" s="17" t="s">
        <v>4971</v>
      </c>
      <c r="C82" s="4" t="s">
        <v>4972</v>
      </c>
      <c r="D82" s="22">
        <v>40954</v>
      </c>
      <c r="E82" s="22">
        <v>41598</v>
      </c>
      <c r="F82" s="5" t="s">
        <v>972</v>
      </c>
      <c r="G82" s="5">
        <v>1</v>
      </c>
      <c r="H82" s="5">
        <v>10</v>
      </c>
      <c r="I82" s="4" t="str">
        <f t="shared" si="2"/>
        <v>(79,'SP6-LNZ1','Station de Pompage SP6-LNZ1','2012-02-15','2013-11-20',NULL,1,10),</v>
      </c>
    </row>
    <row r="83" spans="1:9" ht="20.100000000000001" customHeight="1" x14ac:dyDescent="0.25">
      <c r="A83" s="3">
        <v>80</v>
      </c>
      <c r="B83" s="17" t="s">
        <v>4973</v>
      </c>
      <c r="C83" s="4" t="s">
        <v>4974</v>
      </c>
      <c r="D83" s="22">
        <v>41374</v>
      </c>
      <c r="E83" s="22">
        <v>42029</v>
      </c>
      <c r="F83" s="5" t="s">
        <v>972</v>
      </c>
      <c r="G83" s="5">
        <v>1</v>
      </c>
      <c r="H83" s="5">
        <v>10</v>
      </c>
      <c r="I83" s="4" t="str">
        <f t="shared" si="2"/>
        <v>(80,'SP0-LZ1','Station de Pompage SP0-LZ1','2013-04-10','2015-01-25',NULL,1,10),</v>
      </c>
    </row>
    <row r="84" spans="1:9" ht="20.100000000000001" customHeight="1" x14ac:dyDescent="0.25">
      <c r="A84" s="3">
        <v>81</v>
      </c>
      <c r="B84" s="17" t="s">
        <v>4975</v>
      </c>
      <c r="C84" s="4" t="s">
        <v>4976</v>
      </c>
      <c r="D84" s="22">
        <v>41374</v>
      </c>
      <c r="E84" s="22">
        <v>42029</v>
      </c>
      <c r="F84" s="5" t="s">
        <v>972</v>
      </c>
      <c r="G84" s="5">
        <v>1</v>
      </c>
      <c r="H84" s="5">
        <v>10</v>
      </c>
      <c r="I84" s="4" t="str">
        <f t="shared" si="2"/>
        <v>(81,'SP1-LZ1','Station de Pompage SP1-LZ1','2013-04-10','2015-01-25',NULL,1,10),</v>
      </c>
    </row>
    <row r="85" spans="1:9" ht="20.100000000000001" customHeight="1" x14ac:dyDescent="0.25">
      <c r="A85" s="3">
        <v>82</v>
      </c>
      <c r="B85" s="17" t="s">
        <v>4977</v>
      </c>
      <c r="C85" s="4" t="s">
        <v>4978</v>
      </c>
      <c r="D85" s="22">
        <v>41374</v>
      </c>
      <c r="E85" s="22">
        <v>42029</v>
      </c>
      <c r="F85" s="5" t="s">
        <v>972</v>
      </c>
      <c r="G85" s="5">
        <v>1</v>
      </c>
      <c r="H85" s="5">
        <v>10</v>
      </c>
      <c r="I85" s="4" t="str">
        <f t="shared" si="2"/>
        <v>(82,'SP1-LZ2','Station de Pompage SP1-LZ2','2013-04-10','2015-01-25',NULL,1,10),</v>
      </c>
    </row>
    <row r="86" spans="1:9" ht="20.100000000000001" customHeight="1" x14ac:dyDescent="0.25">
      <c r="A86" s="3">
        <v>83</v>
      </c>
      <c r="B86" s="17" t="s">
        <v>4979</v>
      </c>
      <c r="C86" s="4" t="s">
        <v>4980</v>
      </c>
      <c r="D86" s="22">
        <v>41374</v>
      </c>
      <c r="E86" s="22">
        <v>42029</v>
      </c>
      <c r="F86" s="5" t="s">
        <v>972</v>
      </c>
      <c r="G86" s="5">
        <v>1</v>
      </c>
      <c r="H86" s="5">
        <v>10</v>
      </c>
      <c r="I86" s="4" t="str">
        <f t="shared" si="2"/>
        <v>(83,'PRS-LZ1/LZ2','Station de Régulation PRS-LZ1/LZ2','2013-04-10','2015-01-25',NULL,1,10),</v>
      </c>
    </row>
    <row r="87" spans="1:9" ht="20.100000000000001" customHeight="1" x14ac:dyDescent="0.25">
      <c r="A87" s="3">
        <v>84</v>
      </c>
      <c r="B87" s="17" t="s">
        <v>4981</v>
      </c>
      <c r="C87" s="4" t="s">
        <v>4982</v>
      </c>
      <c r="D87" s="22">
        <v>41838</v>
      </c>
      <c r="E87" s="22">
        <v>42490</v>
      </c>
      <c r="F87" s="5" t="s">
        <v>972</v>
      </c>
      <c r="G87" s="5">
        <v>1</v>
      </c>
      <c r="H87" s="5">
        <v>10</v>
      </c>
      <c r="I87" s="4" t="str">
        <f t="shared" si="2"/>
        <v>(84,'SPRN-LR1','Station de Pompage SPRN-LR1','2014-07-18','2016-04-30',NULL,1,10),</v>
      </c>
    </row>
    <row r="88" spans="1:9" ht="20.100000000000001" customHeight="1" x14ac:dyDescent="0.25">
      <c r="A88" s="3">
        <v>85</v>
      </c>
      <c r="B88" s="17" t="s">
        <v>6069</v>
      </c>
      <c r="C88" s="4" t="s">
        <v>4984</v>
      </c>
      <c r="D88" s="22">
        <v>41838</v>
      </c>
      <c r="E88" s="22">
        <v>42490</v>
      </c>
      <c r="F88" s="5" t="s">
        <v>972</v>
      </c>
      <c r="G88" s="5">
        <v>1</v>
      </c>
      <c r="H88" s="5">
        <v>10</v>
      </c>
      <c r="I88" s="4" t="str">
        <f t="shared" si="2"/>
        <v>(85,'SP0-LR1','Station de Pompage SP1-LR1','2014-07-18','2016-04-30',NULL,1,10),</v>
      </c>
    </row>
    <row r="89" spans="1:9" ht="20.100000000000001" customHeight="1" x14ac:dyDescent="0.25">
      <c r="A89" s="3">
        <v>86</v>
      </c>
      <c r="B89" s="17" t="s">
        <v>4983</v>
      </c>
      <c r="C89" s="4" t="s">
        <v>4984</v>
      </c>
      <c r="D89" s="22">
        <v>41838</v>
      </c>
      <c r="E89" s="22">
        <v>42490</v>
      </c>
      <c r="F89" s="5" t="s">
        <v>972</v>
      </c>
      <c r="G89" s="5">
        <v>1</v>
      </c>
      <c r="H89" s="5">
        <v>10</v>
      </c>
      <c r="I89" s="4" t="str">
        <f t="shared" si="2"/>
        <v>(86,'SP1-LR1','Station de Pompage SP1-LR1','2014-07-18','2016-04-30',NULL,1,10),</v>
      </c>
    </row>
    <row r="90" spans="1:9" ht="20.100000000000001" customHeight="1" x14ac:dyDescent="0.25">
      <c r="A90" s="3">
        <v>87</v>
      </c>
      <c r="B90" s="17" t="s">
        <v>4985</v>
      </c>
      <c r="C90" s="4" t="s">
        <v>4986</v>
      </c>
      <c r="D90" s="22">
        <v>41838</v>
      </c>
      <c r="E90" s="22">
        <v>42490</v>
      </c>
      <c r="F90" s="5" t="s">
        <v>972</v>
      </c>
      <c r="G90" s="5">
        <v>1</v>
      </c>
      <c r="H90" s="5">
        <v>10</v>
      </c>
      <c r="I90" s="4" t="str">
        <f t="shared" si="2"/>
        <v>(87,'SP2-LR1','Station de Pompage SP2-LR1','2014-07-18','2016-04-30',NULL,1,10),</v>
      </c>
    </row>
    <row r="91" spans="1:9" ht="20.100000000000001" customHeight="1" x14ac:dyDescent="0.25">
      <c r="A91" s="3">
        <v>88</v>
      </c>
      <c r="B91" s="17" t="s">
        <v>4987</v>
      </c>
      <c r="C91" s="4" t="s">
        <v>4988</v>
      </c>
      <c r="D91" s="22">
        <v>42299</v>
      </c>
      <c r="E91" s="22">
        <v>42962</v>
      </c>
      <c r="F91" s="5" t="s">
        <v>972</v>
      </c>
      <c r="G91" s="5">
        <v>1</v>
      </c>
      <c r="H91" s="5">
        <v>10</v>
      </c>
      <c r="I91" s="4" t="str">
        <f t="shared" si="2"/>
        <v>(88,'SP1-LNZ1','Station de Pompage SP1-LNZ1','2015-10-22','2017-08-15',NULL,1,10),</v>
      </c>
    </row>
    <row r="92" spans="1:9" ht="20.100000000000001" customHeight="1" x14ac:dyDescent="0.25">
      <c r="A92" s="3">
        <v>89</v>
      </c>
      <c r="B92" s="17" t="s">
        <v>4989</v>
      </c>
      <c r="C92" s="4" t="s">
        <v>4990</v>
      </c>
      <c r="D92" s="22">
        <v>42299</v>
      </c>
      <c r="E92" s="22">
        <v>42962</v>
      </c>
      <c r="F92" s="5" t="s">
        <v>972</v>
      </c>
      <c r="G92" s="5">
        <v>1</v>
      </c>
      <c r="H92" s="5">
        <v>10</v>
      </c>
      <c r="I92" s="4" t="str">
        <f t="shared" si="2"/>
        <v>(89,'SP3-LNZ1','Station de Pompage SP3-LNZ1','2015-10-22','2017-08-15',NULL,1,10),</v>
      </c>
    </row>
    <row r="93" spans="1:9" ht="20.100000000000001" customHeight="1" x14ac:dyDescent="0.25">
      <c r="A93" s="3">
        <v>90</v>
      </c>
      <c r="B93" s="17" t="s">
        <v>4991</v>
      </c>
      <c r="C93" s="4" t="s">
        <v>4992</v>
      </c>
      <c r="D93" s="22">
        <v>36566</v>
      </c>
      <c r="E93" s="22">
        <v>37271</v>
      </c>
      <c r="F93" s="5" t="s">
        <v>972</v>
      </c>
      <c r="G93" s="5">
        <v>1</v>
      </c>
      <c r="H93" s="5">
        <v>10</v>
      </c>
      <c r="I93" s="4" t="str">
        <f t="shared" si="2"/>
        <v>(90,'SC1-GZ0','Station de Compression SC1-GZ0','2000-02-10','2002-01-15',NULL,1,10),</v>
      </c>
    </row>
    <row r="94" spans="1:9" ht="20.100000000000001" customHeight="1" x14ac:dyDescent="0.25">
      <c r="A94" s="3">
        <v>91</v>
      </c>
      <c r="B94" s="17" t="s">
        <v>4993</v>
      </c>
      <c r="C94" s="4" t="s">
        <v>4994</v>
      </c>
      <c r="D94" s="22">
        <v>36566</v>
      </c>
      <c r="E94" s="22">
        <v>37271</v>
      </c>
      <c r="F94" s="5" t="s">
        <v>972</v>
      </c>
      <c r="G94" s="5">
        <v>1</v>
      </c>
      <c r="H94" s="5">
        <v>10</v>
      </c>
      <c r="I94" s="4" t="str">
        <f t="shared" si="2"/>
        <v>(91,'SC2-GZ0','Station de Compression SC2-GZ0','2000-02-10','2002-01-15',NULL,1,10),</v>
      </c>
    </row>
    <row r="95" spans="1:9" ht="20.100000000000001" customHeight="1" x14ac:dyDescent="0.25">
      <c r="A95" s="3">
        <v>92</v>
      </c>
      <c r="B95" s="17" t="s">
        <v>4995</v>
      </c>
      <c r="C95" s="4" t="s">
        <v>4996</v>
      </c>
      <c r="D95" s="22">
        <v>36566</v>
      </c>
      <c r="E95" s="22">
        <v>37271</v>
      </c>
      <c r="F95" s="5" t="s">
        <v>972</v>
      </c>
      <c r="G95" s="5">
        <v>1</v>
      </c>
      <c r="H95" s="5">
        <v>10</v>
      </c>
      <c r="I95" s="4" t="str">
        <f t="shared" si="2"/>
        <v>(92,'SC3-GZ0','Station de Compression SC3-GZ0','2000-02-10','2002-01-15',NULL,1,10),</v>
      </c>
    </row>
    <row r="96" spans="1:9" ht="20.100000000000001" customHeight="1" x14ac:dyDescent="0.25">
      <c r="A96" s="3">
        <v>93</v>
      </c>
      <c r="B96" s="17" t="s">
        <v>4997</v>
      </c>
      <c r="C96" s="4" t="s">
        <v>4998</v>
      </c>
      <c r="D96" s="22">
        <v>36566</v>
      </c>
      <c r="E96" s="22">
        <v>37271</v>
      </c>
      <c r="F96" s="5" t="s">
        <v>972</v>
      </c>
      <c r="G96" s="5">
        <v>1</v>
      </c>
      <c r="H96" s="5">
        <v>10</v>
      </c>
      <c r="I96" s="4" t="str">
        <f t="shared" si="2"/>
        <v>(93,'SC4-GZ0','Station de Compression SC4-GZ0','2000-02-10','2002-01-15',NULL,1,10),</v>
      </c>
    </row>
    <row r="97" spans="1:9" ht="20.100000000000001" customHeight="1" x14ac:dyDescent="0.25">
      <c r="A97" s="3">
        <v>94</v>
      </c>
      <c r="B97" s="17" t="s">
        <v>4999</v>
      </c>
      <c r="C97" s="4" t="s">
        <v>5000</v>
      </c>
      <c r="D97" s="22">
        <v>37756</v>
      </c>
      <c r="E97" s="22">
        <v>38462</v>
      </c>
      <c r="F97" s="5" t="s">
        <v>972</v>
      </c>
      <c r="G97" s="5">
        <v>1</v>
      </c>
      <c r="H97" s="5">
        <v>10</v>
      </c>
      <c r="I97" s="4" t="str">
        <f t="shared" si="2"/>
        <v>(94,'SC1-GZ1','Station de Compression SC1-GZ1','2003-05-15','2005-04-20',NULL,1,10),</v>
      </c>
    </row>
    <row r="98" spans="1:9" ht="20.100000000000001" customHeight="1" x14ac:dyDescent="0.25">
      <c r="A98" s="3">
        <v>95</v>
      </c>
      <c r="B98" s="17" t="s">
        <v>5001</v>
      </c>
      <c r="C98" s="4" t="s">
        <v>5002</v>
      </c>
      <c r="D98" s="22">
        <v>37756</v>
      </c>
      <c r="E98" s="22">
        <v>38462</v>
      </c>
      <c r="F98" s="5" t="s">
        <v>972</v>
      </c>
      <c r="G98" s="5">
        <v>1</v>
      </c>
      <c r="H98" s="5">
        <v>10</v>
      </c>
      <c r="I98" s="4" t="str">
        <f t="shared" si="2"/>
        <v>(95,'SC1-GZ2','Station de Compression SC1-GZ2','2003-05-15','2005-04-20',NULL,1,10),</v>
      </c>
    </row>
    <row r="99" spans="1:9" ht="20.100000000000001" customHeight="1" x14ac:dyDescent="0.25">
      <c r="A99" s="3">
        <v>96</v>
      </c>
      <c r="B99" s="17" t="s">
        <v>5003</v>
      </c>
      <c r="C99" s="4" t="s">
        <v>5004</v>
      </c>
      <c r="D99" s="22">
        <v>37756</v>
      </c>
      <c r="E99" s="22">
        <v>38462</v>
      </c>
      <c r="F99" s="5" t="s">
        <v>972</v>
      </c>
      <c r="G99" s="5">
        <v>1</v>
      </c>
      <c r="H99" s="5">
        <v>10</v>
      </c>
      <c r="I99" s="4" t="str">
        <f t="shared" si="2"/>
        <v>(96,'SC1-GZ3','Station de Compression SC1-GZ3','2003-05-15','2005-04-20',NULL,1,10),</v>
      </c>
    </row>
    <row r="100" spans="1:9" ht="20.100000000000001" customHeight="1" x14ac:dyDescent="0.25">
      <c r="A100" s="3">
        <v>97</v>
      </c>
      <c r="B100" s="17" t="s">
        <v>5005</v>
      </c>
      <c r="C100" s="4" t="s">
        <v>5006</v>
      </c>
      <c r="D100" s="22">
        <v>38219</v>
      </c>
      <c r="E100" s="22">
        <v>38923</v>
      </c>
      <c r="F100" s="5" t="s">
        <v>972</v>
      </c>
      <c r="G100" s="5">
        <v>1</v>
      </c>
      <c r="H100" s="5">
        <v>10</v>
      </c>
      <c r="I100" s="4" t="str">
        <f t="shared" si="2"/>
        <v>(97,'SC2-GZ1','Station de Compression SC2-GZ1','2004-08-20','2006-07-25',NULL,1,10),</v>
      </c>
    </row>
    <row r="101" spans="1:9" ht="20.100000000000001" customHeight="1" x14ac:dyDescent="0.25">
      <c r="A101" s="3">
        <v>98</v>
      </c>
      <c r="B101" s="17" t="s">
        <v>5007</v>
      </c>
      <c r="C101" s="4" t="s">
        <v>5008</v>
      </c>
      <c r="D101" s="22">
        <v>38219</v>
      </c>
      <c r="E101" s="22">
        <v>38923</v>
      </c>
      <c r="F101" s="5" t="s">
        <v>972</v>
      </c>
      <c r="G101" s="5">
        <v>1</v>
      </c>
      <c r="H101" s="5">
        <v>10</v>
      </c>
      <c r="I101" s="4" t="str">
        <f t="shared" si="2"/>
        <v>(98,'SC2-GZ2','Station de Compression SC2-GZ2','2004-08-20','2006-07-25',NULL,1,10),</v>
      </c>
    </row>
    <row r="102" spans="1:9" ht="20.100000000000001" customHeight="1" x14ac:dyDescent="0.25">
      <c r="A102" s="3">
        <v>99</v>
      </c>
      <c r="B102" s="17" t="s">
        <v>5009</v>
      </c>
      <c r="C102" s="4" t="s">
        <v>5010</v>
      </c>
      <c r="D102" s="22">
        <v>38219</v>
      </c>
      <c r="E102" s="22">
        <v>38923</v>
      </c>
      <c r="F102" s="5" t="s">
        <v>972</v>
      </c>
      <c r="G102" s="5">
        <v>1</v>
      </c>
      <c r="H102" s="5">
        <v>10</v>
      </c>
      <c r="I102" s="4" t="str">
        <f t="shared" si="2"/>
        <v>(99,'SC2-GZ3','Station de Compression SC2-GZ3','2004-08-20','2006-07-25',NULL,1,10),</v>
      </c>
    </row>
    <row r="103" spans="1:9" ht="20.100000000000001" customHeight="1" x14ac:dyDescent="0.25">
      <c r="A103" s="3">
        <v>100</v>
      </c>
      <c r="B103" s="17" t="s">
        <v>5011</v>
      </c>
      <c r="C103" s="4" t="s">
        <v>5012</v>
      </c>
      <c r="D103" s="22">
        <v>38666</v>
      </c>
      <c r="E103" s="22">
        <v>39370</v>
      </c>
      <c r="F103" s="5" t="s">
        <v>972</v>
      </c>
      <c r="G103" s="5">
        <v>1</v>
      </c>
      <c r="H103" s="5">
        <v>10</v>
      </c>
      <c r="I103" s="4" t="str">
        <f t="shared" si="2"/>
        <v>(100,'SC3-GZ1','Station de Compression SC3-GZ1','2005-11-10','2007-10-15',NULL,1,10),</v>
      </c>
    </row>
    <row r="104" spans="1:9" ht="20.100000000000001" customHeight="1" x14ac:dyDescent="0.25">
      <c r="A104" s="3">
        <v>101</v>
      </c>
      <c r="B104" s="17" t="s">
        <v>5013</v>
      </c>
      <c r="C104" s="4" t="s">
        <v>5014</v>
      </c>
      <c r="D104" s="22">
        <v>38666</v>
      </c>
      <c r="E104" s="22">
        <v>39370</v>
      </c>
      <c r="F104" s="5" t="s">
        <v>972</v>
      </c>
      <c r="G104" s="5">
        <v>1</v>
      </c>
      <c r="H104" s="5">
        <v>10</v>
      </c>
      <c r="I104" s="4" t="str">
        <f t="shared" si="2"/>
        <v>(101,'SC3-GZ2','Station de Compression SC3-GZ2','2005-11-10','2007-10-15',NULL,1,10),</v>
      </c>
    </row>
    <row r="105" spans="1:9" ht="20.100000000000001" customHeight="1" x14ac:dyDescent="0.25">
      <c r="A105" s="3">
        <v>102</v>
      </c>
      <c r="B105" s="17" t="s">
        <v>5015</v>
      </c>
      <c r="C105" s="4" t="s">
        <v>5016</v>
      </c>
      <c r="D105" s="22">
        <v>38666</v>
      </c>
      <c r="E105" s="22">
        <v>39370</v>
      </c>
      <c r="F105" s="5" t="s">
        <v>972</v>
      </c>
      <c r="G105" s="5">
        <v>1</v>
      </c>
      <c r="H105" s="5">
        <v>10</v>
      </c>
      <c r="I105" s="4" t="str">
        <f t="shared" si="2"/>
        <v>(102,'SC3-GZ3','Station de Compression SC3-GZ3','2005-11-10','2007-10-15',NULL,1,10),</v>
      </c>
    </row>
    <row r="106" spans="1:9" ht="20.100000000000001" customHeight="1" x14ac:dyDescent="0.25">
      <c r="A106" s="3">
        <v>103</v>
      </c>
      <c r="B106" s="17" t="s">
        <v>5017</v>
      </c>
      <c r="C106" s="4" t="s">
        <v>5018</v>
      </c>
      <c r="D106" s="22">
        <v>38791</v>
      </c>
      <c r="E106" s="22">
        <v>39498</v>
      </c>
      <c r="F106" s="5" t="s">
        <v>972</v>
      </c>
      <c r="G106" s="5">
        <v>1</v>
      </c>
      <c r="H106" s="5">
        <v>10</v>
      </c>
      <c r="I106" s="4" t="str">
        <f t="shared" si="2"/>
        <v>(103,'SC4-GZ1','Station de Compression SC4-GZ1','2006-03-15','2008-02-20',NULL,1,10),</v>
      </c>
    </row>
    <row r="107" spans="1:9" ht="20.100000000000001" customHeight="1" x14ac:dyDescent="0.25">
      <c r="A107" s="3">
        <v>104</v>
      </c>
      <c r="B107" s="17" t="s">
        <v>5019</v>
      </c>
      <c r="C107" s="4" t="s">
        <v>5020</v>
      </c>
      <c r="D107" s="22">
        <v>38791</v>
      </c>
      <c r="E107" s="22">
        <v>39498</v>
      </c>
      <c r="F107" s="5" t="s">
        <v>972</v>
      </c>
      <c r="G107" s="5">
        <v>1</v>
      </c>
      <c r="H107" s="5">
        <v>10</v>
      </c>
      <c r="I107" s="4" t="str">
        <f t="shared" si="2"/>
        <v>(104,'SC4-GZ2','Station de Compression SC4-GZ2','2006-03-15','2008-02-20',NULL,1,10),</v>
      </c>
    </row>
    <row r="108" spans="1:9" ht="20.100000000000001" customHeight="1" x14ac:dyDescent="0.25">
      <c r="A108" s="3">
        <v>105</v>
      </c>
      <c r="B108" s="17" t="s">
        <v>5021</v>
      </c>
      <c r="C108" s="4" t="s">
        <v>5022</v>
      </c>
      <c r="D108" s="22">
        <v>38791</v>
      </c>
      <c r="E108" s="22">
        <v>39498</v>
      </c>
      <c r="F108" s="5" t="s">
        <v>972</v>
      </c>
      <c r="G108" s="5">
        <v>1</v>
      </c>
      <c r="H108" s="5">
        <v>10</v>
      </c>
      <c r="I108" s="4" t="str">
        <f t="shared" si="2"/>
        <v>(105,'SC4-GZ3','Station de Compression SC4-GZ3','2006-03-15','2008-02-20',NULL,1,10),</v>
      </c>
    </row>
    <row r="109" spans="1:9" ht="20.100000000000001" customHeight="1" x14ac:dyDescent="0.25">
      <c r="A109" s="3">
        <v>106</v>
      </c>
      <c r="B109" s="17" t="s">
        <v>5023</v>
      </c>
      <c r="C109" s="4" t="s">
        <v>5024</v>
      </c>
      <c r="D109" s="22">
        <v>39253</v>
      </c>
      <c r="E109" s="22">
        <v>39958</v>
      </c>
      <c r="F109" s="5" t="s">
        <v>972</v>
      </c>
      <c r="G109" s="5">
        <v>1</v>
      </c>
      <c r="H109" s="5">
        <v>10</v>
      </c>
      <c r="I109" s="4" t="str">
        <f t="shared" si="2"/>
        <v>(106,'SC5-GZ1','Station de Compression SC5-GZ1','2007-06-20','2009-05-25',NULL,1,10),</v>
      </c>
    </row>
    <row r="110" spans="1:9" ht="20.100000000000001" customHeight="1" x14ac:dyDescent="0.25">
      <c r="A110" s="3">
        <v>107</v>
      </c>
      <c r="B110" s="17" t="s">
        <v>5025</v>
      </c>
      <c r="C110" s="4" t="s">
        <v>5026</v>
      </c>
      <c r="D110" s="22">
        <v>39253</v>
      </c>
      <c r="E110" s="22">
        <v>39958</v>
      </c>
      <c r="F110" s="5" t="s">
        <v>972</v>
      </c>
      <c r="G110" s="5">
        <v>1</v>
      </c>
      <c r="H110" s="5">
        <v>10</v>
      </c>
      <c r="I110" s="4" t="str">
        <f t="shared" si="2"/>
        <v>(107,'SC5-GZ2','Station de Compression SC5-GZ2','2007-06-20','2009-05-25',NULL,1,10),</v>
      </c>
    </row>
    <row r="111" spans="1:9" ht="20.100000000000001" customHeight="1" x14ac:dyDescent="0.25">
      <c r="A111" s="3">
        <v>108</v>
      </c>
      <c r="B111" s="17" t="s">
        <v>5027</v>
      </c>
      <c r="C111" s="4" t="s">
        <v>5028</v>
      </c>
      <c r="D111" s="22">
        <v>39253</v>
      </c>
      <c r="E111" s="22">
        <v>39958</v>
      </c>
      <c r="F111" s="5" t="s">
        <v>972</v>
      </c>
      <c r="G111" s="5">
        <v>1</v>
      </c>
      <c r="H111" s="5">
        <v>10</v>
      </c>
      <c r="I111" s="4" t="str">
        <f t="shared" si="2"/>
        <v>(108,'SC5-GZ3','Station de Compression SC5-GZ3','2007-06-20','2009-05-25',NULL,1,10),</v>
      </c>
    </row>
    <row r="112" spans="1:9" ht="20.100000000000001" customHeight="1" x14ac:dyDescent="0.25">
      <c r="A112" s="3">
        <v>109</v>
      </c>
      <c r="B112" s="17" t="s">
        <v>5029</v>
      </c>
      <c r="C112" s="4" t="s">
        <v>5030</v>
      </c>
      <c r="D112" s="22">
        <v>39703</v>
      </c>
      <c r="E112" s="22">
        <v>40408</v>
      </c>
      <c r="F112" s="5" t="s">
        <v>972</v>
      </c>
      <c r="G112" s="5">
        <v>1</v>
      </c>
      <c r="H112" s="5">
        <v>10</v>
      </c>
      <c r="I112" s="4" t="str">
        <f t="shared" si="2"/>
        <v>(109,'SC3-GPDF','Station de Compression SC3-GPDF','2008-09-12','2010-08-18',NULL,1,10),</v>
      </c>
    </row>
    <row r="113" spans="1:9" ht="20.100000000000001" customHeight="1" x14ac:dyDescent="0.25">
      <c r="A113" s="3">
        <v>110</v>
      </c>
      <c r="B113" s="17" t="s">
        <v>5031</v>
      </c>
      <c r="C113" s="4" t="s">
        <v>5032</v>
      </c>
      <c r="D113" s="22">
        <v>40152</v>
      </c>
      <c r="E113" s="22">
        <v>40857</v>
      </c>
      <c r="F113" s="5" t="s">
        <v>972</v>
      </c>
      <c r="G113" s="5">
        <v>1</v>
      </c>
      <c r="H113" s="5">
        <v>10</v>
      </c>
      <c r="I113" s="4" t="str">
        <f t="shared" si="2"/>
        <v>(110,'SC1-GK1','Station de Compression SC1-GK1','2009-12-05','2011-11-10',NULL,1,10),</v>
      </c>
    </row>
    <row r="114" spans="1:9" ht="20.100000000000001" customHeight="1" x14ac:dyDescent="0.25">
      <c r="A114" s="3">
        <v>111</v>
      </c>
      <c r="B114" s="17" t="s">
        <v>5033</v>
      </c>
      <c r="C114" s="4" t="s">
        <v>5034</v>
      </c>
      <c r="D114" s="22">
        <v>40152</v>
      </c>
      <c r="E114" s="22">
        <v>40857</v>
      </c>
      <c r="F114" s="5" t="s">
        <v>972</v>
      </c>
      <c r="G114" s="5">
        <v>1</v>
      </c>
      <c r="H114" s="5">
        <v>10</v>
      </c>
      <c r="I114" s="4" t="str">
        <f t="shared" si="2"/>
        <v>(111,'SC2-GK1','Station de Compression SC2-GK1','2009-12-05','2011-11-10',NULL,1,10),</v>
      </c>
    </row>
    <row r="115" spans="1:9" ht="20.100000000000001" customHeight="1" x14ac:dyDescent="0.25">
      <c r="A115" s="3">
        <v>112</v>
      </c>
      <c r="B115" s="17" t="s">
        <v>5035</v>
      </c>
      <c r="C115" s="4" t="s">
        <v>5036</v>
      </c>
      <c r="D115" s="22">
        <v>40152</v>
      </c>
      <c r="E115" s="22">
        <v>40857</v>
      </c>
      <c r="F115" s="5" t="s">
        <v>972</v>
      </c>
      <c r="G115" s="5">
        <v>1</v>
      </c>
      <c r="H115" s="5">
        <v>10</v>
      </c>
      <c r="I115" s="4" t="str">
        <f t="shared" si="2"/>
        <v>(112,'SC3-GK1','Station de Compression SC3-GK1','2009-12-05','2011-11-10',NULL,1,10),</v>
      </c>
    </row>
    <row r="116" spans="1:9" ht="20.100000000000001" customHeight="1" x14ac:dyDescent="0.25">
      <c r="A116" s="3">
        <v>113</v>
      </c>
      <c r="B116" s="17" t="s">
        <v>5037</v>
      </c>
      <c r="C116" s="4" t="s">
        <v>5038</v>
      </c>
      <c r="D116" s="22">
        <v>40152</v>
      </c>
      <c r="E116" s="22">
        <v>40857</v>
      </c>
      <c r="F116" s="5" t="s">
        <v>972</v>
      </c>
      <c r="G116" s="5">
        <v>1</v>
      </c>
      <c r="H116" s="5">
        <v>10</v>
      </c>
      <c r="I116" s="4" t="str">
        <f t="shared" si="2"/>
        <v>(113,'SC4-GK1','Station de Compression SC4-GK1','2009-12-05','2011-11-10',NULL,1,10),</v>
      </c>
    </row>
    <row r="117" spans="1:9" ht="20.100000000000001" customHeight="1" x14ac:dyDescent="0.25">
      <c r="A117" s="3">
        <v>114</v>
      </c>
      <c r="B117" s="17" t="s">
        <v>5039</v>
      </c>
      <c r="C117" s="4" t="s">
        <v>5040</v>
      </c>
      <c r="D117" s="22">
        <v>40152</v>
      </c>
      <c r="E117" s="22">
        <v>40857</v>
      </c>
      <c r="F117" s="5" t="s">
        <v>972</v>
      </c>
      <c r="G117" s="5">
        <v>1</v>
      </c>
      <c r="H117" s="5">
        <v>10</v>
      </c>
      <c r="I117" s="4" t="str">
        <f t="shared" si="2"/>
        <v>(114,'SC5-GK1','Station de Compression SC5-GK1','2009-12-05','2011-11-10',NULL,1,10),</v>
      </c>
    </row>
    <row r="118" spans="1:9" ht="20.100000000000001" customHeight="1" x14ac:dyDescent="0.25">
      <c r="A118" s="3">
        <v>115</v>
      </c>
      <c r="B118" s="17" t="s">
        <v>5041</v>
      </c>
      <c r="C118" s="4" t="s">
        <v>5042</v>
      </c>
      <c r="D118" s="22">
        <v>40283</v>
      </c>
      <c r="E118" s="22">
        <v>40988</v>
      </c>
      <c r="F118" s="5" t="s">
        <v>972</v>
      </c>
      <c r="G118" s="5">
        <v>1</v>
      </c>
      <c r="H118" s="5">
        <v>10</v>
      </c>
      <c r="I118" s="4" t="str">
        <f t="shared" si="2"/>
        <v>(115,'S01-GO2','Station de Compression S01-GO2','2010-04-15','2012-03-20',NULL,1,10),</v>
      </c>
    </row>
    <row r="119" spans="1:9" ht="20.100000000000001" customHeight="1" x14ac:dyDescent="0.25">
      <c r="A119" s="3">
        <v>116</v>
      </c>
      <c r="B119" s="17" t="s">
        <v>5043</v>
      </c>
      <c r="C119" s="4" t="s">
        <v>5044</v>
      </c>
      <c r="D119" s="22">
        <v>40744</v>
      </c>
      <c r="E119" s="22">
        <v>41450</v>
      </c>
      <c r="F119" s="5" t="s">
        <v>972</v>
      </c>
      <c r="G119" s="5">
        <v>1</v>
      </c>
      <c r="H119" s="5">
        <v>10</v>
      </c>
      <c r="I119" s="4" t="str">
        <f t="shared" si="2"/>
        <v>(116,'S01-GG1','Station de Compression S01-GG1','2011-07-20','2013-06-25',NULL,1,10),</v>
      </c>
    </row>
    <row r="120" spans="1:9" ht="20.100000000000001" customHeight="1" x14ac:dyDescent="0.25">
      <c r="A120" s="3">
        <v>117</v>
      </c>
      <c r="B120" s="17" t="s">
        <v>5045</v>
      </c>
      <c r="C120" s="4" t="s">
        <v>5046</v>
      </c>
      <c r="D120" s="22">
        <v>41192</v>
      </c>
      <c r="E120" s="22">
        <v>41897</v>
      </c>
      <c r="F120" s="5" t="s">
        <v>972</v>
      </c>
      <c r="G120" s="5">
        <v>1</v>
      </c>
      <c r="H120" s="5">
        <v>10</v>
      </c>
      <c r="I120" s="4" t="str">
        <f t="shared" si="2"/>
        <v>(117,'S01-GR5','Station de Compression S01-GR5','2012-10-10','2014-09-15',NULL,1,10),</v>
      </c>
    </row>
    <row r="121" spans="1:9" ht="20.100000000000001" customHeight="1" x14ac:dyDescent="0.25">
      <c r="A121" s="3">
        <v>118</v>
      </c>
      <c r="B121" s="17" t="s">
        <v>5047</v>
      </c>
      <c r="C121" s="4" t="s">
        <v>5048</v>
      </c>
      <c r="D121" s="22">
        <v>41323</v>
      </c>
      <c r="E121" s="22">
        <v>42026</v>
      </c>
      <c r="F121" s="5" t="s">
        <v>972</v>
      </c>
      <c r="G121" s="5">
        <v>1</v>
      </c>
      <c r="H121" s="5">
        <v>10</v>
      </c>
      <c r="I121" s="4" t="str">
        <f t="shared" si="2"/>
        <v>(118,'S01-GR7','Station de Compression S01-GR7','2013-02-18','2015-01-22',NULL,1,10),</v>
      </c>
    </row>
    <row r="122" spans="1:9" ht="20.100000000000001" customHeight="1" x14ac:dyDescent="0.25">
      <c r="A122" s="3">
        <v>119</v>
      </c>
      <c r="B122" s="17" t="s">
        <v>5049</v>
      </c>
      <c r="C122" s="4" t="s">
        <v>5050</v>
      </c>
      <c r="D122" s="22">
        <v>41781</v>
      </c>
      <c r="E122" s="22">
        <v>42488</v>
      </c>
      <c r="F122" s="5" t="s">
        <v>972</v>
      </c>
      <c r="G122" s="5">
        <v>1</v>
      </c>
      <c r="H122" s="5">
        <v>10</v>
      </c>
      <c r="I122" s="4" t="str">
        <f t="shared" si="2"/>
        <v>(119,'SC-TFT','Station de Compression SC-TFT','2014-05-22','2016-04-28',NULL,1,10),</v>
      </c>
    </row>
    <row r="123" spans="1:9" ht="20.100000000000001" customHeight="1" x14ac:dyDescent="0.25">
      <c r="A123" s="3">
        <v>120</v>
      </c>
      <c r="B123" s="17" t="s">
        <v>5051</v>
      </c>
      <c r="C123" s="4" t="s">
        <v>5052</v>
      </c>
      <c r="D123" s="22">
        <v>42228</v>
      </c>
      <c r="E123" s="22">
        <v>42934</v>
      </c>
      <c r="F123" s="5" t="s">
        <v>972</v>
      </c>
      <c r="G123" s="5">
        <v>1</v>
      </c>
      <c r="H123" s="5">
        <v>10</v>
      </c>
      <c r="I123" s="4" t="str">
        <f t="shared" si="2"/>
        <v>(120,'SC1-GR2','Station de Compression SC1-GR2','2015-08-12','2017-07-18',NULL,1,10),</v>
      </c>
    </row>
    <row r="124" spans="1:9" ht="20.100000000000001" customHeight="1" x14ac:dyDescent="0.25">
      <c r="A124" s="3">
        <v>121</v>
      </c>
      <c r="B124" s="17" t="s">
        <v>5053</v>
      </c>
      <c r="C124" s="4" t="s">
        <v>5054</v>
      </c>
      <c r="D124" s="22">
        <v>42228</v>
      </c>
      <c r="E124" s="22">
        <v>42934</v>
      </c>
      <c r="F124" s="5" t="s">
        <v>972</v>
      </c>
      <c r="G124" s="5">
        <v>1</v>
      </c>
      <c r="H124" s="5">
        <v>10</v>
      </c>
      <c r="I124" s="4" t="str">
        <f t="shared" si="2"/>
        <v>(121,'SC2-GR2','Station de Compression SC2-GR2','2015-08-12','2017-07-18',NULL,1,10),</v>
      </c>
    </row>
    <row r="125" spans="1:9" ht="20.100000000000001" customHeight="1" x14ac:dyDescent="0.25">
      <c r="A125" s="3">
        <v>122</v>
      </c>
      <c r="B125" s="17" t="s">
        <v>5055</v>
      </c>
      <c r="C125" s="4" t="s">
        <v>5056</v>
      </c>
      <c r="D125" s="22">
        <v>42228</v>
      </c>
      <c r="E125" s="22">
        <v>42934</v>
      </c>
      <c r="F125" s="5" t="s">
        <v>972</v>
      </c>
      <c r="G125" s="5">
        <v>1</v>
      </c>
      <c r="H125" s="5">
        <v>10</v>
      </c>
      <c r="I125" s="4" t="str">
        <f t="shared" si="2"/>
        <v>(122,'SC3-GR2','Station de Compression SC3-GR2','2015-08-12','2017-07-18',NULL,1,10),</v>
      </c>
    </row>
    <row r="126" spans="1:9" ht="20.100000000000001" customHeight="1" x14ac:dyDescent="0.25">
      <c r="A126" s="3">
        <v>123</v>
      </c>
      <c r="B126" s="17" t="s">
        <v>5057</v>
      </c>
      <c r="C126" s="4" t="s">
        <v>5058</v>
      </c>
      <c r="D126" s="22">
        <v>42228</v>
      </c>
      <c r="E126" s="22">
        <v>42934</v>
      </c>
      <c r="F126" s="5" t="s">
        <v>972</v>
      </c>
      <c r="G126" s="5">
        <v>1</v>
      </c>
      <c r="H126" s="5">
        <v>10</v>
      </c>
      <c r="I126" s="4" t="str">
        <f t="shared" si="2"/>
        <v>(123,'SC4-GR2','Station de Compression SC4-GR2','2015-08-12','2017-07-18',NULL,1,10),</v>
      </c>
    </row>
    <row r="127" spans="1:9" ht="20.100000000000001" customHeight="1" x14ac:dyDescent="0.25">
      <c r="A127" s="3">
        <v>124</v>
      </c>
      <c r="B127" s="17" t="s">
        <v>5059</v>
      </c>
      <c r="C127" s="4" t="s">
        <v>5060</v>
      </c>
      <c r="D127" s="22">
        <v>22903</v>
      </c>
      <c r="E127" s="22">
        <v>23652</v>
      </c>
      <c r="F127" s="5" t="s">
        <v>972</v>
      </c>
      <c r="G127" s="5">
        <v>1</v>
      </c>
      <c r="H127" s="5">
        <v>4</v>
      </c>
      <c r="I127" s="4" t="str">
        <f t="shared" si="2"/>
        <v>(124,'GL1Z','Complexe GNL GL1Z','1962-09-14','1964-10-02',NULL,1,4),</v>
      </c>
    </row>
    <row r="128" spans="1:9" ht="20.100000000000001" customHeight="1" x14ac:dyDescent="0.25">
      <c r="A128" s="3">
        <v>125</v>
      </c>
      <c r="B128" s="17" t="s">
        <v>5061</v>
      </c>
      <c r="C128" s="4" t="s">
        <v>5062</v>
      </c>
      <c r="D128" s="22">
        <v>28564</v>
      </c>
      <c r="E128" s="22">
        <v>29849</v>
      </c>
      <c r="F128" s="5" t="s">
        <v>972</v>
      </c>
      <c r="G128" s="5">
        <v>1</v>
      </c>
      <c r="H128" s="5">
        <v>4</v>
      </c>
      <c r="I128" s="4" t="str">
        <f t="shared" si="2"/>
        <v>(125,'GL2Z','Complexe GNL GL2Z','1978-03-15','1981-09-20',NULL,1,4),</v>
      </c>
    </row>
    <row r="129" spans="1:9" ht="20.100000000000001" customHeight="1" x14ac:dyDescent="0.25">
      <c r="A129" s="3">
        <v>126</v>
      </c>
      <c r="B129" s="17" t="s">
        <v>5063</v>
      </c>
      <c r="C129" s="4" t="s">
        <v>5064</v>
      </c>
      <c r="D129" s="22">
        <v>40318</v>
      </c>
      <c r="E129" s="22">
        <v>41618</v>
      </c>
      <c r="F129" s="5" t="s">
        <v>972</v>
      </c>
      <c r="G129" s="5">
        <v>1</v>
      </c>
      <c r="H129" s="5">
        <v>4</v>
      </c>
      <c r="I129" s="4" t="str">
        <f t="shared" si="2"/>
        <v>(126,'GL3Z','Complexe GNL GL3Z','2010-05-20','2013-12-10',NULL,1,4),</v>
      </c>
    </row>
    <row r="130" spans="1:9" ht="20.100000000000001" customHeight="1" x14ac:dyDescent="0.25">
      <c r="A130" s="3">
        <v>127</v>
      </c>
      <c r="B130" s="17" t="s">
        <v>5065</v>
      </c>
      <c r="C130" s="4" t="s">
        <v>5066</v>
      </c>
      <c r="D130" s="22">
        <v>24473</v>
      </c>
      <c r="E130" s="22">
        <v>26495</v>
      </c>
      <c r="F130" s="5" t="s">
        <v>972</v>
      </c>
      <c r="G130" s="5">
        <v>1</v>
      </c>
      <c r="H130" s="5">
        <v>4</v>
      </c>
      <c r="I130" s="4" t="str">
        <f t="shared" si="2"/>
        <v>(127,'GL1K','Complexe GNL GL1K','1967-01-01','1972-07-15',NULL,1,4),</v>
      </c>
    </row>
    <row r="131" spans="1:9" ht="20.100000000000001" customHeight="1" x14ac:dyDescent="0.25">
      <c r="A131" s="3">
        <v>128</v>
      </c>
      <c r="B131" s="17" t="s">
        <v>5067</v>
      </c>
      <c r="C131" s="4" t="s">
        <v>5068</v>
      </c>
      <c r="D131" s="22">
        <v>25617</v>
      </c>
      <c r="E131" s="22">
        <v>27240</v>
      </c>
      <c r="F131" s="5" t="s">
        <v>972</v>
      </c>
      <c r="G131" s="5">
        <v>1</v>
      </c>
      <c r="H131" s="5">
        <v>4</v>
      </c>
      <c r="I131" s="4" t="str">
        <f t="shared" si="2"/>
        <v>(128,'GP1Z','Usine GPL GP1Z','1970-02-18','1974-07-30',NULL,1,4),</v>
      </c>
    </row>
    <row r="132" spans="1:9" ht="20.100000000000001" customHeight="1" x14ac:dyDescent="0.25">
      <c r="A132" s="3">
        <v>129</v>
      </c>
      <c r="B132" s="17" t="s">
        <v>5069</v>
      </c>
      <c r="C132" s="4" t="s">
        <v>5070</v>
      </c>
      <c r="D132" s="22">
        <v>27872</v>
      </c>
      <c r="E132" s="22">
        <v>29509</v>
      </c>
      <c r="F132" s="5" t="s">
        <v>972</v>
      </c>
      <c r="G132" s="5">
        <v>1</v>
      </c>
      <c r="H132" s="5">
        <v>4</v>
      </c>
      <c r="I132" s="4" t="str">
        <f t="shared" si="2"/>
        <v>(129,'GP2Z','Usine GPL GP2Z','1976-04-22','1980-10-15',NULL,1,4),</v>
      </c>
    </row>
    <row r="133" spans="1:9" ht="20.100000000000001" customHeight="1" x14ac:dyDescent="0.25">
      <c r="A133" s="3">
        <v>130</v>
      </c>
      <c r="B133" s="17" t="s">
        <v>5071</v>
      </c>
      <c r="C133" s="4" t="s">
        <v>5072</v>
      </c>
      <c r="D133" s="22">
        <v>22442</v>
      </c>
      <c r="E133" s="22">
        <v>23456</v>
      </c>
      <c r="F133" s="5" t="s">
        <v>972</v>
      </c>
      <c r="G133" s="5">
        <v>1</v>
      </c>
      <c r="H133" s="5">
        <v>5</v>
      </c>
      <c r="I133" s="4" t="str">
        <f t="shared" si="2"/>
        <v>(130,'RA1G','Raffinerie RA1G','1961-06-10','1964-03-20',NULL,1,5),</v>
      </c>
    </row>
    <row r="134" spans="1:9" ht="20.100000000000001" customHeight="1" x14ac:dyDescent="0.25">
      <c r="A134" s="3">
        <v>131</v>
      </c>
      <c r="B134" s="17" t="s">
        <v>4608</v>
      </c>
      <c r="C134" s="4" t="s">
        <v>5073</v>
      </c>
      <c r="D134" s="22">
        <v>26191</v>
      </c>
      <c r="E134" s="22">
        <v>27539</v>
      </c>
      <c r="F134" s="5" t="s">
        <v>972</v>
      </c>
      <c r="G134" s="5">
        <v>1</v>
      </c>
      <c r="H134" s="5">
        <v>5</v>
      </c>
      <c r="I134" s="4" t="str">
        <f t="shared" si="2"/>
        <v>(131,'RA1Z','Raffinerie RA1Z','1971-09-15','1975-05-25',NULL,1,5),</v>
      </c>
    </row>
    <row r="135" spans="1:9" ht="20.100000000000001" customHeight="1" x14ac:dyDescent="0.25">
      <c r="A135" s="3">
        <v>132</v>
      </c>
      <c r="B135" s="17" t="s">
        <v>5074</v>
      </c>
      <c r="C135" s="4" t="s">
        <v>5075</v>
      </c>
      <c r="D135" s="22">
        <v>35023</v>
      </c>
      <c r="E135" s="22">
        <v>36037</v>
      </c>
      <c r="F135" s="5" t="s">
        <v>972</v>
      </c>
      <c r="G135" s="5">
        <v>1</v>
      </c>
      <c r="H135" s="5">
        <v>5</v>
      </c>
      <c r="I135" s="4" t="str">
        <f t="shared" si="2"/>
        <v>(132,'RHM2','Raffinerie RHM2','1995-11-20','1998-08-30',NULL,1,5),</v>
      </c>
    </row>
    <row r="136" spans="1:9" ht="20.100000000000001" customHeight="1" x14ac:dyDescent="0.25">
      <c r="A136" s="3">
        <v>133</v>
      </c>
      <c r="B136" s="17" t="s">
        <v>4606</v>
      </c>
      <c r="C136" s="4" t="s">
        <v>5076</v>
      </c>
      <c r="D136" s="22">
        <v>28196</v>
      </c>
      <c r="E136" s="22">
        <v>29573</v>
      </c>
      <c r="F136" s="5" t="s">
        <v>972</v>
      </c>
      <c r="G136" s="5">
        <v>1</v>
      </c>
      <c r="H136" s="5">
        <v>5</v>
      </c>
      <c r="I136" s="4" t="str">
        <f t="shared" si="2"/>
        <v>(133,'RA1K','Raffinerie RA1K','1977-03-12','1980-12-18',NULL,1,5),</v>
      </c>
    </row>
    <row r="137" spans="1:9" ht="20.100000000000001" customHeight="1" x14ac:dyDescent="0.25">
      <c r="A137" s="3">
        <v>134</v>
      </c>
      <c r="B137" s="17" t="s">
        <v>5077</v>
      </c>
      <c r="C137" s="4" t="s">
        <v>5078</v>
      </c>
      <c r="D137" s="22">
        <v>28196</v>
      </c>
      <c r="E137" s="22">
        <v>29573</v>
      </c>
      <c r="F137" s="5" t="s">
        <v>972</v>
      </c>
      <c r="G137" s="5">
        <v>1</v>
      </c>
      <c r="H137" s="5">
        <v>5</v>
      </c>
      <c r="I137" s="4" t="str">
        <f t="shared" si="2"/>
        <v>(134,'RA2K','Raffinerie RA2K','1977-03-12','1980-12-18',NULL,1,5),</v>
      </c>
    </row>
    <row r="138" spans="1:9" ht="20.100000000000001" customHeight="1" x14ac:dyDescent="0.25">
      <c r="A138" s="3">
        <v>135</v>
      </c>
      <c r="B138" s="17" t="s">
        <v>5079</v>
      </c>
      <c r="C138" s="4" t="s">
        <v>5080</v>
      </c>
      <c r="D138" s="22">
        <v>24966</v>
      </c>
      <c r="E138" s="22">
        <v>26710</v>
      </c>
      <c r="F138" s="5" t="s">
        <v>972</v>
      </c>
      <c r="G138" s="5">
        <v>1</v>
      </c>
      <c r="H138" s="5">
        <v>5</v>
      </c>
      <c r="I138" s="4" t="str">
        <f t="shared" si="2"/>
        <v>(135,'RA1D','Raffinerie RA1D','1968-05-08','1973-02-15',NULL,1,5),</v>
      </c>
    </row>
    <row r="139" spans="1:9" ht="20.100000000000001" customHeight="1" x14ac:dyDescent="0.25">
      <c r="A139" s="3">
        <v>136</v>
      </c>
      <c r="B139" s="17" t="s">
        <v>5081</v>
      </c>
      <c r="C139" s="4" t="s">
        <v>5082</v>
      </c>
      <c r="D139" s="22">
        <v>29054</v>
      </c>
      <c r="E139" s="22">
        <v>30277</v>
      </c>
      <c r="F139" s="5" t="s">
        <v>972</v>
      </c>
      <c r="G139" s="5">
        <v>1</v>
      </c>
      <c r="H139" s="5">
        <v>4</v>
      </c>
      <c r="I139" s="4" t="str">
        <f t="shared" si="2"/>
        <v>(136,'CP1Z','Usine de Condensats CP1Z','1979-07-18','1982-11-22',NULL,1,4),</v>
      </c>
    </row>
    <row r="140" spans="1:9" ht="20.100000000000001" customHeight="1" x14ac:dyDescent="0.25">
      <c r="A140" s="3">
        <v>137</v>
      </c>
      <c r="B140" s="17" t="s">
        <v>5083</v>
      </c>
      <c r="C140" s="4" t="s">
        <v>5084</v>
      </c>
      <c r="D140" s="22">
        <v>29519</v>
      </c>
      <c r="E140" s="22">
        <v>30863</v>
      </c>
      <c r="F140" s="5" t="s">
        <v>972</v>
      </c>
      <c r="G140" s="5">
        <v>1</v>
      </c>
      <c r="H140" s="5">
        <v>4</v>
      </c>
      <c r="I140" s="4" t="str">
        <f t="shared" si="2"/>
        <v>(137,'CP2K','Usine de Condensats CP2K','1980-10-25','1984-06-30',NULL,1,4),</v>
      </c>
    </row>
    <row r="141" spans="1:9" ht="20.100000000000001" customHeight="1" x14ac:dyDescent="0.25">
      <c r="A141" s="3">
        <v>138</v>
      </c>
      <c r="B141" s="17" t="s">
        <v>5085</v>
      </c>
      <c r="C141" s="4" t="s">
        <v>5086</v>
      </c>
      <c r="D141" s="22">
        <v>25583</v>
      </c>
      <c r="E141" s="22">
        <v>27657</v>
      </c>
      <c r="F141" s="5" t="s">
        <v>972</v>
      </c>
      <c r="G141" s="5">
        <v>1</v>
      </c>
      <c r="H141" s="5">
        <v>5</v>
      </c>
      <c r="I141" s="4" t="str">
        <f t="shared" si="2"/>
        <v>(138,'SORFERT','Complexe Pétrochimique SORFERT','1970-01-15','1975-09-20',NULL,1,5),</v>
      </c>
    </row>
    <row r="142" spans="1:9" ht="20.100000000000001" customHeight="1" x14ac:dyDescent="0.25">
      <c r="A142" s="3">
        <v>139</v>
      </c>
      <c r="B142" s="17" t="s">
        <v>5087</v>
      </c>
      <c r="C142" s="4" t="s">
        <v>5088</v>
      </c>
      <c r="D142" s="22">
        <v>37721</v>
      </c>
      <c r="E142" s="22">
        <v>39767</v>
      </c>
      <c r="F142" s="5" t="s">
        <v>972</v>
      </c>
      <c r="G142" s="5">
        <v>1</v>
      </c>
      <c r="H142" s="5">
        <v>5</v>
      </c>
      <c r="I142" s="4" t="str">
        <f t="shared" si="2"/>
        <v>(139,'AOA','Complexe Pétrochimique AOA','2003-04-10','2008-11-15',NULL,1,5),</v>
      </c>
    </row>
    <row r="143" spans="1:9" ht="20.100000000000001" customHeight="1" x14ac:dyDescent="0.25">
      <c r="A143" s="3">
        <v>140</v>
      </c>
      <c r="B143" s="17" t="s">
        <v>5089</v>
      </c>
      <c r="C143" s="4" t="s">
        <v>6052</v>
      </c>
      <c r="D143" s="22">
        <v>35966</v>
      </c>
      <c r="E143" s="22">
        <v>37253</v>
      </c>
      <c r="F143" s="5" t="s">
        <v>972</v>
      </c>
      <c r="G143" s="5">
        <v>1</v>
      </c>
      <c r="H143" s="5">
        <v>2</v>
      </c>
      <c r="I143" s="4" t="str">
        <f t="shared" si="2"/>
        <v>(140,'CPF-OHD','Usine d\'Ourhoud','1998-06-20','2001-12-28',NULL,1,2),</v>
      </c>
    </row>
    <row r="144" spans="1:9" ht="20.100000000000001" customHeight="1" x14ac:dyDescent="0.25">
      <c r="A144" s="3">
        <v>141</v>
      </c>
      <c r="B144" s="17" t="s">
        <v>5090</v>
      </c>
      <c r="C144" s="4" t="s">
        <v>6053</v>
      </c>
      <c r="D144" s="22">
        <v>36784</v>
      </c>
      <c r="E144" s="22">
        <v>37863</v>
      </c>
      <c r="F144" s="5" t="s">
        <v>972</v>
      </c>
      <c r="G144" s="5">
        <v>1</v>
      </c>
      <c r="H144" s="5">
        <v>2</v>
      </c>
      <c r="I144" s="4" t="str">
        <f t="shared" ref="I144:I207" si="3">CONCATENATE("(",A144,",'",B144,"','",C144,"','",TEXT(D144,"aaaa-mm-jj"),"','",TEXT(E144,"aaaa-mm-jj"),"',",F144,",",G144,",",H144,"),")</f>
        <v>(141,'CPF-MNS','Unité de Traitement Central d\'In Amenas','2000-09-15','2003-08-30',NULL,1,2),</v>
      </c>
    </row>
    <row r="145" spans="1:9" ht="20.100000000000001" customHeight="1" x14ac:dyDescent="0.25">
      <c r="A145" s="3">
        <v>142</v>
      </c>
      <c r="B145" s="17" t="s">
        <v>5091</v>
      </c>
      <c r="C145" s="4" t="s">
        <v>5092</v>
      </c>
      <c r="D145" s="22">
        <v>37215</v>
      </c>
      <c r="E145" s="22">
        <v>38285</v>
      </c>
      <c r="F145" s="5" t="s">
        <v>972</v>
      </c>
      <c r="G145" s="5">
        <v>1</v>
      </c>
      <c r="H145" s="5">
        <v>2</v>
      </c>
      <c r="I145" s="4" t="str">
        <f t="shared" si="3"/>
        <v>(142,'CPF-BBK','Unité de Traitement Central de Berkine (El Merk)','2001-11-20','2004-10-25',NULL,1,2),</v>
      </c>
    </row>
    <row r="146" spans="1:9" ht="20.100000000000001" customHeight="1" x14ac:dyDescent="0.25">
      <c r="A146" s="3">
        <v>143</v>
      </c>
      <c r="B146" s="17" t="s">
        <v>5093</v>
      </c>
      <c r="C146" s="4" t="s">
        <v>6054</v>
      </c>
      <c r="D146" s="22">
        <v>28559</v>
      </c>
      <c r="E146" s="22">
        <v>30147</v>
      </c>
      <c r="F146" s="5" t="s">
        <v>972</v>
      </c>
      <c r="G146" s="5">
        <v>1</v>
      </c>
      <c r="H146" s="5">
        <v>2</v>
      </c>
      <c r="I146" s="4" t="str">
        <f t="shared" si="3"/>
        <v>(143,'GPC-HRM','Station Centrale de Hassi R\'Mel','1978-03-10','1982-07-15',NULL,1,2),</v>
      </c>
    </row>
    <row r="147" spans="1:9" ht="20.100000000000001" customHeight="1" x14ac:dyDescent="0.25">
      <c r="A147" s="3">
        <v>144</v>
      </c>
      <c r="B147" s="17" t="s">
        <v>5094</v>
      </c>
      <c r="C147" s="4" t="s">
        <v>6055</v>
      </c>
      <c r="D147" s="22">
        <v>36658</v>
      </c>
      <c r="E147" s="22">
        <v>37945</v>
      </c>
      <c r="F147" s="5" t="s">
        <v>972</v>
      </c>
      <c r="G147" s="5">
        <v>1</v>
      </c>
      <c r="H147" s="5">
        <v>2</v>
      </c>
      <c r="I147" s="4" t="str">
        <f t="shared" si="3"/>
        <v>(144,'GPC-OHT','Unité de Traitement Central d\'Ohanet - Train de Gaz','2000-05-12','2003-11-20',NULL,1,2),</v>
      </c>
    </row>
    <row r="148" spans="1:9" ht="20.100000000000001" customHeight="1" x14ac:dyDescent="0.25">
      <c r="A148" s="3">
        <v>145</v>
      </c>
      <c r="B148" s="17" t="s">
        <v>5095</v>
      </c>
      <c r="C148" s="4" t="s">
        <v>5096</v>
      </c>
      <c r="D148" s="22">
        <v>38217</v>
      </c>
      <c r="E148" s="22">
        <v>39258</v>
      </c>
      <c r="F148" s="5" t="s">
        <v>972</v>
      </c>
      <c r="G148" s="5">
        <v>1</v>
      </c>
      <c r="H148" s="5">
        <v>2</v>
      </c>
      <c r="I148" s="4" t="str">
        <f t="shared" si="3"/>
        <v>(145,'GPC-TFT','Unité de Traitement Central de Tin-Fouyé-Tabenkort','2004-08-18','2007-06-25',NULL,1,2),</v>
      </c>
    </row>
    <row r="149" spans="1:9" ht="20.100000000000001" customHeight="1" x14ac:dyDescent="0.25">
      <c r="A149" s="3">
        <v>146</v>
      </c>
      <c r="B149" s="17" t="s">
        <v>5097</v>
      </c>
      <c r="C149" s="4" t="s">
        <v>6056</v>
      </c>
      <c r="D149" s="22">
        <v>44635</v>
      </c>
      <c r="E149" s="22">
        <v>45889</v>
      </c>
      <c r="F149" s="5" t="s">
        <v>972</v>
      </c>
      <c r="G149" s="5">
        <v>1</v>
      </c>
      <c r="H149" s="5">
        <v>2</v>
      </c>
      <c r="I149" s="4" t="str">
        <f t="shared" si="3"/>
        <v>(146,'GPC-TSL','Complexe Gazier d\'Ain Tsila','2022-03-15','2025-08-20',NULL,1,2),</v>
      </c>
    </row>
    <row r="150" spans="1:9" ht="20.100000000000001" customHeight="1" x14ac:dyDescent="0.25">
      <c r="A150" s="3">
        <v>147</v>
      </c>
      <c r="B150" s="17" t="s">
        <v>5098</v>
      </c>
      <c r="C150" s="4" t="s">
        <v>5099</v>
      </c>
      <c r="D150" s="22">
        <v>40473</v>
      </c>
      <c r="E150" s="22">
        <v>41759</v>
      </c>
      <c r="F150" s="5" t="s">
        <v>972</v>
      </c>
      <c r="G150" s="5">
        <v>1</v>
      </c>
      <c r="H150" s="5">
        <v>2</v>
      </c>
      <c r="I150" s="4" t="str">
        <f t="shared" si="3"/>
        <v>(147,'GPC-RGN','Traitement du Gaz du Bassin de Reggane','2010-10-22','2014-04-30',NULL,1,2),</v>
      </c>
    </row>
    <row r="151" spans="1:9" ht="20.100000000000001" customHeight="1" x14ac:dyDescent="0.25">
      <c r="A151" s="3">
        <v>148</v>
      </c>
      <c r="B151" s="17" t="s">
        <v>5100</v>
      </c>
      <c r="C151" s="4" t="s">
        <v>6057</v>
      </c>
      <c r="D151" s="22">
        <v>37087</v>
      </c>
      <c r="E151" s="22">
        <v>38066</v>
      </c>
      <c r="F151" s="5" t="s">
        <v>972</v>
      </c>
      <c r="G151" s="5">
        <v>1</v>
      </c>
      <c r="H151" s="5">
        <v>2</v>
      </c>
      <c r="I151" s="4" t="str">
        <f t="shared" si="3"/>
        <v>(148,'CRP-OHT','Unité de Condensats d\'Ohanet','2001-07-15','2004-03-20',NULL,1,2),</v>
      </c>
    </row>
    <row r="152" spans="1:9" ht="20.100000000000001" customHeight="1" x14ac:dyDescent="0.25">
      <c r="A152" s="3">
        <v>149</v>
      </c>
      <c r="B152" s="17" t="s">
        <v>5101</v>
      </c>
      <c r="C152" s="4" t="s">
        <v>5102</v>
      </c>
      <c r="D152" s="22">
        <v>38615</v>
      </c>
      <c r="E152" s="22">
        <v>39596</v>
      </c>
      <c r="F152" s="5" t="s">
        <v>972</v>
      </c>
      <c r="G152" s="5">
        <v>1</v>
      </c>
      <c r="H152" s="5">
        <v>2</v>
      </c>
      <c r="I152" s="4" t="str">
        <f t="shared" si="3"/>
        <v>(149,'CRP-TFT','Unité de Condensats de Tin-Fouyé','2005-09-20','2008-05-28',NULL,1,2),</v>
      </c>
    </row>
    <row r="153" spans="1:9" ht="20.100000000000001" customHeight="1" x14ac:dyDescent="0.25">
      <c r="A153" s="3">
        <v>150</v>
      </c>
      <c r="B153" s="17" t="s">
        <v>5103</v>
      </c>
      <c r="C153" s="4" t="s">
        <v>6058</v>
      </c>
      <c r="D153" s="22">
        <v>44936</v>
      </c>
      <c r="E153" s="22">
        <v>45945</v>
      </c>
      <c r="F153" s="5" t="s">
        <v>972</v>
      </c>
      <c r="G153" s="5">
        <v>1</v>
      </c>
      <c r="H153" s="5">
        <v>2</v>
      </c>
      <c r="I153" s="4" t="str">
        <f t="shared" si="3"/>
        <v>(150,'CRP-TSL','Usine de récupération des Condensats d\'Ain Tsila','2023-01-10','2025-10-15',NULL,1,2),</v>
      </c>
    </row>
    <row r="154" spans="1:9" ht="20.100000000000001" customHeight="1" x14ac:dyDescent="0.25">
      <c r="A154" s="3">
        <v>151</v>
      </c>
      <c r="B154" s="17" t="s">
        <v>5104</v>
      </c>
      <c r="C154" s="4" t="s">
        <v>6059</v>
      </c>
      <c r="D154" s="22">
        <v>37565</v>
      </c>
      <c r="E154" s="22">
        <v>38545</v>
      </c>
      <c r="F154" s="5" t="s">
        <v>972</v>
      </c>
      <c r="G154" s="5">
        <v>1</v>
      </c>
      <c r="H154" s="5">
        <v>2</v>
      </c>
      <c r="I154" s="4" t="str">
        <f t="shared" si="3"/>
        <v>(151,'CRP-MRK','Unité de Condensats d\'El Merk','2002-11-05','2005-07-12',NULL,1,2),</v>
      </c>
    </row>
    <row r="155" spans="1:9" ht="20.100000000000001" customHeight="1" x14ac:dyDescent="0.25">
      <c r="A155" s="3">
        <v>152</v>
      </c>
      <c r="B155" s="17" t="s">
        <v>5105</v>
      </c>
      <c r="C155" s="4" t="s">
        <v>6060</v>
      </c>
      <c r="D155" s="22">
        <v>37060</v>
      </c>
      <c r="E155" s="22">
        <v>38042</v>
      </c>
      <c r="F155" s="5" t="s">
        <v>972</v>
      </c>
      <c r="G155" s="5">
        <v>1</v>
      </c>
      <c r="H155" s="5">
        <v>2</v>
      </c>
      <c r="I155" s="4" t="str">
        <f t="shared" si="3"/>
        <v>(152,'CRP-MNS','Usine de récupération des Condensats d\'In Amenas','2001-06-18','2004-02-25',NULL,1,2),</v>
      </c>
    </row>
    <row r="156" spans="1:9" ht="20.100000000000001" customHeight="1" x14ac:dyDescent="0.25">
      <c r="A156" s="3">
        <v>153</v>
      </c>
      <c r="B156" s="17" t="s">
        <v>5106</v>
      </c>
      <c r="C156" s="4" t="s">
        <v>6061</v>
      </c>
      <c r="D156" s="22">
        <v>30061</v>
      </c>
      <c r="E156" s="22">
        <v>31396</v>
      </c>
      <c r="F156" s="5" t="s">
        <v>972</v>
      </c>
      <c r="G156" s="5">
        <v>1</v>
      </c>
      <c r="H156" s="5">
        <v>2</v>
      </c>
      <c r="I156" s="4" t="str">
        <f t="shared" si="3"/>
        <v>(153,'LPG1-HRM','Unités GPL/Condensats de Hassi R\'Mel','1982-04-20','1985-12-15',NULL,1,2),</v>
      </c>
    </row>
    <row r="157" spans="1:9" ht="20.100000000000001" customHeight="1" x14ac:dyDescent="0.25">
      <c r="A157" s="3">
        <v>154</v>
      </c>
      <c r="B157" s="17" t="s">
        <v>5107</v>
      </c>
      <c r="C157" s="4" t="s">
        <v>6062</v>
      </c>
      <c r="D157" s="22">
        <v>33095</v>
      </c>
      <c r="E157" s="22">
        <v>34140</v>
      </c>
      <c r="F157" s="5" t="s">
        <v>972</v>
      </c>
      <c r="G157" s="5">
        <v>1</v>
      </c>
      <c r="H157" s="5">
        <v>2</v>
      </c>
      <c r="I157" s="4" t="str">
        <f t="shared" si="3"/>
        <v>(154,'LPG2-HRM','Complexe de récupération Centrale GPL de Hassi R\'Mel','1990-08-10','1993-06-20',NULL,1,2),</v>
      </c>
    </row>
    <row r="158" spans="1:9" ht="20.100000000000001" customHeight="1" x14ac:dyDescent="0.25">
      <c r="A158" s="3">
        <v>155</v>
      </c>
      <c r="B158" s="17" t="s">
        <v>5108</v>
      </c>
      <c r="C158" s="4" t="s">
        <v>6063</v>
      </c>
      <c r="D158" s="22">
        <v>35018</v>
      </c>
      <c r="E158" s="22">
        <v>36060</v>
      </c>
      <c r="F158" s="5" t="s">
        <v>972</v>
      </c>
      <c r="G158" s="5">
        <v>1</v>
      </c>
      <c r="H158" s="5">
        <v>2</v>
      </c>
      <c r="I158" s="4" t="str">
        <f t="shared" si="3"/>
        <v>(155,'LPGE-HRM','Complexe de récupération d\'Éthane de Hassi R\'Mel','1995-11-15','1998-09-22',NULL,1,2),</v>
      </c>
    </row>
    <row r="159" spans="1:9" ht="20.100000000000001" customHeight="1" x14ac:dyDescent="0.25">
      <c r="A159" s="3">
        <v>156</v>
      </c>
      <c r="B159" s="17" t="s">
        <v>5109</v>
      </c>
      <c r="C159" s="4" t="s">
        <v>5110</v>
      </c>
      <c r="D159" s="22">
        <v>38801</v>
      </c>
      <c r="E159" s="22">
        <v>39843</v>
      </c>
      <c r="F159" s="5" t="s">
        <v>972</v>
      </c>
      <c r="G159" s="5">
        <v>1</v>
      </c>
      <c r="H159" s="5">
        <v>2</v>
      </c>
      <c r="I159" s="4" t="str">
        <f t="shared" si="3"/>
        <v>(156,'LPG-TFT','Complexe de récupération GPL de Tin-Fouyé','2006-03-25','2009-01-30',NULL,1,2),</v>
      </c>
    </row>
    <row r="160" spans="1:9" ht="20.100000000000001" customHeight="1" x14ac:dyDescent="0.25">
      <c r="A160" s="3">
        <v>157</v>
      </c>
      <c r="B160" s="17" t="s">
        <v>5111</v>
      </c>
      <c r="C160" s="4" t="s">
        <v>6064</v>
      </c>
      <c r="D160" s="22">
        <v>45089</v>
      </c>
      <c r="E160" s="22">
        <v>46009</v>
      </c>
      <c r="F160" s="5" t="s">
        <v>972</v>
      </c>
      <c r="G160" s="5">
        <v>1</v>
      </c>
      <c r="H160" s="5">
        <v>2</v>
      </c>
      <c r="I160" s="4" t="str">
        <f t="shared" si="3"/>
        <v>(157,'LPG-TSL','Complexe de récupération GPL d\'Ain Tsila','2023-06-12','2025-12-18',NULL,1,2),</v>
      </c>
    </row>
    <row r="161" spans="1:9" ht="20.100000000000001" customHeight="1" x14ac:dyDescent="0.25">
      <c r="A161" s="3">
        <v>158</v>
      </c>
      <c r="B161" s="17" t="s">
        <v>5112</v>
      </c>
      <c r="C161" s="4" t="s">
        <v>5167</v>
      </c>
      <c r="D161" s="22">
        <v>23788</v>
      </c>
      <c r="E161" s="22">
        <v>24775</v>
      </c>
      <c r="F161" s="5" t="s">
        <v>972</v>
      </c>
      <c r="G161" s="5">
        <v>1</v>
      </c>
      <c r="H161" s="5">
        <v>10</v>
      </c>
      <c r="I161" s="4" t="str">
        <f t="shared" si="3"/>
        <v>(158,'OZ1','Pipeline OZ1','1965-02-15','1967-10-30',NULL,1,10),</v>
      </c>
    </row>
    <row r="162" spans="1:9" ht="20.100000000000001" customHeight="1" x14ac:dyDescent="0.25">
      <c r="A162" s="3">
        <v>159</v>
      </c>
      <c r="B162" s="17" t="s">
        <v>5113</v>
      </c>
      <c r="C162" s="4" t="s">
        <v>5168</v>
      </c>
      <c r="D162" s="5" t="s">
        <v>5223</v>
      </c>
      <c r="E162" s="5" t="s">
        <v>5223</v>
      </c>
      <c r="F162" s="5" t="s">
        <v>972</v>
      </c>
      <c r="G162" s="5">
        <v>1</v>
      </c>
      <c r="H162" s="5">
        <v>10</v>
      </c>
      <c r="I162" s="4" t="str">
        <f t="shared" si="3"/>
        <v>(159,'OZ2','Pipeline OZ2','2003-08-18','2003-08-18',NULL,1,10),</v>
      </c>
    </row>
    <row r="163" spans="1:9" ht="20.100000000000001" customHeight="1" x14ac:dyDescent="0.25">
      <c r="A163" s="3">
        <v>160</v>
      </c>
      <c r="B163" s="17" t="s">
        <v>5114</v>
      </c>
      <c r="C163" s="4" t="s">
        <v>5169</v>
      </c>
      <c r="D163" s="5" t="s">
        <v>5224</v>
      </c>
      <c r="E163" s="5" t="s">
        <v>5224</v>
      </c>
      <c r="F163" s="5" t="s">
        <v>972</v>
      </c>
      <c r="G163" s="5">
        <v>1</v>
      </c>
      <c r="H163" s="5">
        <v>10</v>
      </c>
      <c r="I163" s="4" t="str">
        <f t="shared" si="3"/>
        <v>(160,'OK1','Pipeline OK1','1972-01-01','1972-01-01',NULL,1,10),</v>
      </c>
    </row>
    <row r="164" spans="1:9" ht="20.100000000000001" customHeight="1" x14ac:dyDescent="0.25">
      <c r="A164" s="3">
        <v>161</v>
      </c>
      <c r="B164" s="17" t="s">
        <v>5115</v>
      </c>
      <c r="C164" s="4" t="s">
        <v>5170</v>
      </c>
      <c r="D164" s="22">
        <v>21064</v>
      </c>
      <c r="E164" s="22">
        <v>21889</v>
      </c>
      <c r="F164" s="5" t="s">
        <v>972</v>
      </c>
      <c r="G164" s="5">
        <v>1</v>
      </c>
      <c r="H164" s="5">
        <v>10</v>
      </c>
      <c r="I164" s="4" t="str">
        <f t="shared" si="3"/>
        <v>(161,'OB1','Pipeline OB1','1957-09-01','1959-12-05',NULL,1,10),</v>
      </c>
    </row>
    <row r="165" spans="1:9" ht="20.100000000000001" customHeight="1" x14ac:dyDescent="0.25">
      <c r="A165" s="3">
        <v>162</v>
      </c>
      <c r="B165" s="17" t="s">
        <v>5116</v>
      </c>
      <c r="C165" s="4" t="s">
        <v>5171</v>
      </c>
      <c r="D165" s="22">
        <v>35236</v>
      </c>
      <c r="E165" s="22">
        <v>36479</v>
      </c>
      <c r="F165" s="5" t="s">
        <v>972</v>
      </c>
      <c r="G165" s="5">
        <v>1</v>
      </c>
      <c r="H165" s="5">
        <v>10</v>
      </c>
      <c r="I165" s="4" t="str">
        <f t="shared" si="3"/>
        <v>(162,'ROB1-01','Pipeline ROB1-01','1996-06-20','1999-11-15',NULL,1,10),</v>
      </c>
    </row>
    <row r="166" spans="1:9" ht="20.100000000000001" customHeight="1" x14ac:dyDescent="0.25">
      <c r="A166" s="3">
        <v>163</v>
      </c>
      <c r="B166" s="17" t="s">
        <v>5117</v>
      </c>
      <c r="C166" s="4" t="s">
        <v>5172</v>
      </c>
      <c r="D166" s="22">
        <v>36595</v>
      </c>
      <c r="E166" s="22">
        <v>37855</v>
      </c>
      <c r="F166" s="5" t="s">
        <v>972</v>
      </c>
      <c r="G166" s="5">
        <v>1</v>
      </c>
      <c r="H166" s="5">
        <v>10</v>
      </c>
      <c r="I166" s="4" t="str">
        <f t="shared" si="3"/>
        <v>(163,'ROB1-02','Pipeline ROB1-02','2000-03-10','2003-08-22',NULL,1,10),</v>
      </c>
    </row>
    <row r="167" spans="1:9" ht="20.100000000000001" customHeight="1" x14ac:dyDescent="0.25">
      <c r="A167" s="3">
        <v>164</v>
      </c>
      <c r="B167" s="17" t="s">
        <v>5118</v>
      </c>
      <c r="C167" s="4" t="s">
        <v>5173</v>
      </c>
      <c r="D167" s="5" t="s">
        <v>5225</v>
      </c>
      <c r="E167" s="5" t="s">
        <v>5225</v>
      </c>
      <c r="F167" s="5" t="s">
        <v>972</v>
      </c>
      <c r="G167" s="5">
        <v>1</v>
      </c>
      <c r="H167" s="5">
        <v>10</v>
      </c>
      <c r="I167" s="4" t="str">
        <f t="shared" si="3"/>
        <v>(164,'OG1','Pipeline OG1','2005-07-04','2005-07-04',NULL,1,10),</v>
      </c>
    </row>
    <row r="168" spans="1:9" ht="20.100000000000001" customHeight="1" x14ac:dyDescent="0.25">
      <c r="A168" s="3">
        <v>165</v>
      </c>
      <c r="B168" s="17" t="s">
        <v>5119</v>
      </c>
      <c r="C168" s="4" t="s">
        <v>5174</v>
      </c>
      <c r="D168" s="22">
        <v>21337</v>
      </c>
      <c r="E168" s="22">
        <v>21930</v>
      </c>
      <c r="F168" s="5" t="s">
        <v>972</v>
      </c>
      <c r="G168" s="5">
        <v>1</v>
      </c>
      <c r="H168" s="5">
        <v>10</v>
      </c>
      <c r="I168" s="4" t="str">
        <f t="shared" si="3"/>
        <v>(165,'OT1','Pipeline OT1','1958-06-01','1960-01-15',NULL,1,10),</v>
      </c>
    </row>
    <row r="169" spans="1:9" ht="20.100000000000001" customHeight="1" x14ac:dyDescent="0.25">
      <c r="A169" s="3">
        <v>166</v>
      </c>
      <c r="B169" s="17" t="s">
        <v>5120</v>
      </c>
      <c r="C169" s="4" t="s">
        <v>5175</v>
      </c>
      <c r="D169" s="22" t="s">
        <v>5227</v>
      </c>
      <c r="E169" s="22" t="s">
        <v>5227</v>
      </c>
      <c r="F169" s="5" t="s">
        <v>972</v>
      </c>
      <c r="G169" s="5">
        <v>1</v>
      </c>
      <c r="H169" s="5">
        <v>10</v>
      </c>
      <c r="I169" s="4" t="str">
        <f t="shared" si="3"/>
        <v>(166,'OH1','Pipeline OH1','1982-01-01','1982-01-01',NULL,1,10),</v>
      </c>
    </row>
    <row r="170" spans="1:9" ht="20.100000000000001" customHeight="1" x14ac:dyDescent="0.25">
      <c r="A170" s="3">
        <v>167</v>
      </c>
      <c r="B170" s="18" t="s">
        <v>5121</v>
      </c>
      <c r="C170" s="4" t="s">
        <v>5176</v>
      </c>
      <c r="D170" s="22">
        <v>38582</v>
      </c>
      <c r="E170" s="22">
        <v>39624</v>
      </c>
      <c r="F170" s="5" t="s">
        <v>972</v>
      </c>
      <c r="G170" s="5">
        <v>1</v>
      </c>
      <c r="H170" s="5">
        <v>10</v>
      </c>
      <c r="I170" s="4" t="str">
        <f t="shared" si="3"/>
        <v>(167,'ROH1','Pipeline ROH1','2005-08-18','2008-06-25',NULL,1,10),</v>
      </c>
    </row>
    <row r="171" spans="1:9" ht="20.100000000000001" customHeight="1" x14ac:dyDescent="0.25">
      <c r="A171" s="3">
        <v>168</v>
      </c>
      <c r="B171" s="17" t="s">
        <v>5122</v>
      </c>
      <c r="C171" s="4" t="s">
        <v>5177</v>
      </c>
      <c r="D171" s="22" t="s">
        <v>5229</v>
      </c>
      <c r="E171" s="22" t="s">
        <v>5229</v>
      </c>
      <c r="F171" s="5" t="s">
        <v>972</v>
      </c>
      <c r="G171" s="5">
        <v>1</v>
      </c>
      <c r="H171" s="5">
        <v>10</v>
      </c>
      <c r="I171" s="4" t="str">
        <f t="shared" si="3"/>
        <v>(168,'OH2','Pipeline OH2','1972-04-10','1972-04-10',NULL,1,10),</v>
      </c>
    </row>
    <row r="172" spans="1:9" ht="20.100000000000001" customHeight="1" x14ac:dyDescent="0.25">
      <c r="A172" s="3">
        <v>169</v>
      </c>
      <c r="B172" s="17" t="s">
        <v>5123</v>
      </c>
      <c r="C172" s="4" t="s">
        <v>5178</v>
      </c>
      <c r="D172" s="22">
        <v>35476</v>
      </c>
      <c r="E172" s="22">
        <v>37026</v>
      </c>
      <c r="F172" s="5" t="s">
        <v>972</v>
      </c>
      <c r="G172" s="5">
        <v>1</v>
      </c>
      <c r="H172" s="5">
        <v>10</v>
      </c>
      <c r="I172" s="4" t="str">
        <f t="shared" si="3"/>
        <v>(169,'OH3','Pipeline OH3','1997-02-15','2001-05-15',NULL,1,10),</v>
      </c>
    </row>
    <row r="173" spans="1:9" ht="20.100000000000001" customHeight="1" x14ac:dyDescent="0.25">
      <c r="A173" s="3">
        <v>170</v>
      </c>
      <c r="B173" s="17" t="s">
        <v>5124</v>
      </c>
      <c r="C173" s="4" t="s">
        <v>5179</v>
      </c>
      <c r="D173" s="22" t="s">
        <v>5231</v>
      </c>
      <c r="E173" s="22" t="s">
        <v>5231</v>
      </c>
      <c r="F173" s="5" t="s">
        <v>972</v>
      </c>
      <c r="G173" s="5">
        <v>1</v>
      </c>
      <c r="H173" s="5">
        <v>10</v>
      </c>
      <c r="I173" s="4" t="str">
        <f t="shared" si="3"/>
        <v>(170,'OH4','Pipeline OH4','2006-01-01','2006-01-01',NULL,1,10),</v>
      </c>
    </row>
    <row r="174" spans="1:9" ht="20.100000000000001" customHeight="1" x14ac:dyDescent="0.25">
      <c r="A174" s="3">
        <v>171</v>
      </c>
      <c r="B174" s="17" t="s">
        <v>5125</v>
      </c>
      <c r="C174" s="4" t="s">
        <v>5180</v>
      </c>
      <c r="D174" s="22" t="s">
        <v>5228</v>
      </c>
      <c r="E174" s="22" t="s">
        <v>5228</v>
      </c>
      <c r="F174" s="5" t="s">
        <v>972</v>
      </c>
      <c r="G174" s="5">
        <v>1</v>
      </c>
      <c r="H174" s="5">
        <v>10</v>
      </c>
      <c r="I174" s="4" t="str">
        <f t="shared" si="3"/>
        <v>(171,'OD1','Pipeline OD1','1977-03-23','1977-03-23',NULL,1,10),</v>
      </c>
    </row>
    <row r="175" spans="1:9" ht="20.100000000000001" customHeight="1" x14ac:dyDescent="0.25">
      <c r="A175" s="3">
        <v>172</v>
      </c>
      <c r="B175" s="17" t="s">
        <v>5126</v>
      </c>
      <c r="C175" s="4" t="s">
        <v>5181</v>
      </c>
      <c r="D175" s="22">
        <v>38457</v>
      </c>
      <c r="E175" s="22">
        <v>39721</v>
      </c>
      <c r="F175" s="5" t="s">
        <v>972</v>
      </c>
      <c r="G175" s="5">
        <v>1</v>
      </c>
      <c r="H175" s="5">
        <v>10</v>
      </c>
      <c r="I175" s="4" t="str">
        <f t="shared" si="3"/>
        <v>(172,'ROD1','Pipeline ROD1','2005-04-15','2008-09-30',NULL,1,10),</v>
      </c>
    </row>
    <row r="176" spans="1:9" ht="20.100000000000001" customHeight="1" x14ac:dyDescent="0.25">
      <c r="A176" s="3">
        <v>173</v>
      </c>
      <c r="B176" s="17" t="s">
        <v>5127</v>
      </c>
      <c r="C176" s="4" t="s">
        <v>5182</v>
      </c>
      <c r="D176" s="22">
        <v>38970</v>
      </c>
      <c r="E176" s="22">
        <v>39921</v>
      </c>
      <c r="F176" s="5" t="s">
        <v>972</v>
      </c>
      <c r="G176" s="5">
        <v>1</v>
      </c>
      <c r="H176" s="5">
        <v>10</v>
      </c>
      <c r="I176" s="4" t="str">
        <f t="shared" si="3"/>
        <v>(173,'OD2','Pipeline OD2','2006-09-10','2009-04-18',NULL,1,10),</v>
      </c>
    </row>
    <row r="177" spans="1:9" ht="20.100000000000001" customHeight="1" x14ac:dyDescent="0.25">
      <c r="A177" s="3">
        <v>174</v>
      </c>
      <c r="B177" s="17" t="s">
        <v>5128</v>
      </c>
      <c r="C177" s="4" t="s">
        <v>5183</v>
      </c>
      <c r="D177" s="22">
        <v>39380</v>
      </c>
      <c r="E177" s="22">
        <v>40410</v>
      </c>
      <c r="F177" s="5" t="s">
        <v>972</v>
      </c>
      <c r="G177" s="5">
        <v>1</v>
      </c>
      <c r="H177" s="5">
        <v>10</v>
      </c>
      <c r="I177" s="4" t="str">
        <f t="shared" si="3"/>
        <v>(174,'OD3','Pipeline OD3','2007-10-25','2010-08-20',NULL,1,10),</v>
      </c>
    </row>
    <row r="178" spans="1:9" ht="20.100000000000001" customHeight="1" x14ac:dyDescent="0.25">
      <c r="A178" s="3">
        <v>175</v>
      </c>
      <c r="B178" s="17" t="s">
        <v>5129</v>
      </c>
      <c r="C178" s="4" t="s">
        <v>5184</v>
      </c>
      <c r="D178" s="22" t="s">
        <v>5232</v>
      </c>
      <c r="E178" s="22" t="s">
        <v>5232</v>
      </c>
      <c r="F178" s="5" t="s">
        <v>972</v>
      </c>
      <c r="G178" s="5">
        <v>1</v>
      </c>
      <c r="H178" s="5">
        <v>10</v>
      </c>
      <c r="I178" s="4" t="str">
        <f t="shared" si="3"/>
        <v>(175,'NZ1','Pipeline NZ1','1978-11-01','1978-11-01',NULL,1,10),</v>
      </c>
    </row>
    <row r="179" spans="1:9" ht="20.100000000000001" customHeight="1" x14ac:dyDescent="0.25">
      <c r="A179" s="3">
        <v>176</v>
      </c>
      <c r="B179" s="17" t="s">
        <v>5130</v>
      </c>
      <c r="C179" s="4" t="s">
        <v>5185</v>
      </c>
      <c r="D179" s="22" t="s">
        <v>5233</v>
      </c>
      <c r="E179" s="22" t="s">
        <v>5233</v>
      </c>
      <c r="F179" s="5" t="s">
        <v>972</v>
      </c>
      <c r="G179" s="5">
        <v>1</v>
      </c>
      <c r="H179" s="5">
        <v>10</v>
      </c>
      <c r="I179" s="4" t="str">
        <f t="shared" si="3"/>
        <v>(176,'NK1','Pipeline NK1','2009-08-04','2009-08-04',NULL,1,10),</v>
      </c>
    </row>
    <row r="180" spans="1:9" ht="20.100000000000001" customHeight="1" x14ac:dyDescent="0.25">
      <c r="A180" s="3">
        <v>177</v>
      </c>
      <c r="B180" s="17" t="s">
        <v>5131</v>
      </c>
      <c r="C180" s="4" t="s">
        <v>5186</v>
      </c>
      <c r="D180" s="22" t="s">
        <v>5226</v>
      </c>
      <c r="E180" s="22" t="s">
        <v>5226</v>
      </c>
      <c r="F180" s="5" t="s">
        <v>972</v>
      </c>
      <c r="G180" s="5">
        <v>1</v>
      </c>
      <c r="H180" s="5">
        <v>10</v>
      </c>
      <c r="I180" s="4" t="str">
        <f t="shared" si="3"/>
        <v>(177,'NH2','Pipeline NH2','1960-01-01','1960-01-01',NULL,1,10),</v>
      </c>
    </row>
    <row r="181" spans="1:9" ht="20.100000000000001" customHeight="1" x14ac:dyDescent="0.25">
      <c r="A181" s="3">
        <v>178</v>
      </c>
      <c r="B181" s="17" t="s">
        <v>5132</v>
      </c>
      <c r="C181" s="4" t="s">
        <v>5187</v>
      </c>
      <c r="D181" s="25">
        <v>37639</v>
      </c>
      <c r="E181" s="25">
        <v>38647</v>
      </c>
      <c r="F181" s="5" t="s">
        <v>972</v>
      </c>
      <c r="G181" s="5">
        <v>1</v>
      </c>
      <c r="H181" s="5">
        <v>10</v>
      </c>
      <c r="I181" s="4" t="str">
        <f t="shared" si="3"/>
        <v>(178,'LNZ1','Pipeline LNZ1','2003-01-18','2005-10-22',NULL,1,10),</v>
      </c>
    </row>
    <row r="182" spans="1:9" ht="20.100000000000001" customHeight="1" x14ac:dyDescent="0.25">
      <c r="A182" s="3">
        <v>179</v>
      </c>
      <c r="B182" s="17" t="s">
        <v>5133</v>
      </c>
      <c r="C182" s="4" t="s">
        <v>5188</v>
      </c>
      <c r="D182" s="22" t="s">
        <v>5234</v>
      </c>
      <c r="E182" s="22" t="s">
        <v>5234</v>
      </c>
      <c r="F182" s="5" t="s">
        <v>972</v>
      </c>
      <c r="G182" s="5">
        <v>1</v>
      </c>
      <c r="H182" s="5">
        <v>10</v>
      </c>
      <c r="I182" s="4" t="str">
        <f t="shared" si="3"/>
        <v>(179,'LZ1','Pipeline LZ1','1984-02-08','1984-02-08',NULL,1,10),</v>
      </c>
    </row>
    <row r="183" spans="1:9" ht="20.100000000000001" customHeight="1" x14ac:dyDescent="0.25">
      <c r="A183" s="3">
        <v>180</v>
      </c>
      <c r="B183" s="17" t="s">
        <v>5134</v>
      </c>
      <c r="C183" s="4" t="s">
        <v>5189</v>
      </c>
      <c r="D183" s="22" t="s">
        <v>5235</v>
      </c>
      <c r="E183" s="22" t="s">
        <v>5235</v>
      </c>
      <c r="F183" s="5" t="s">
        <v>972</v>
      </c>
      <c r="G183" s="5">
        <v>1</v>
      </c>
      <c r="H183" s="5">
        <v>10</v>
      </c>
      <c r="I183" s="4" t="str">
        <f t="shared" si="3"/>
        <v>(180,'LZ2','Pipeline LZ2','2010-11-01','2010-11-01',NULL,1,10),</v>
      </c>
    </row>
    <row r="184" spans="1:9" ht="20.100000000000001" customHeight="1" x14ac:dyDescent="0.25">
      <c r="A184" s="3">
        <v>181</v>
      </c>
      <c r="B184" s="17" t="s">
        <v>5135</v>
      </c>
      <c r="C184" s="4" t="s">
        <v>5190</v>
      </c>
      <c r="D184" s="22" t="s">
        <v>5236</v>
      </c>
      <c r="E184" s="22" t="s">
        <v>5236</v>
      </c>
      <c r="F184" s="5" t="s">
        <v>972</v>
      </c>
      <c r="G184" s="5">
        <v>1</v>
      </c>
      <c r="H184" s="5">
        <v>10</v>
      </c>
      <c r="I184" s="4" t="str">
        <f t="shared" si="3"/>
        <v>(181,'LR1','Pipeline LR1','1996-01-01','1996-01-01',NULL,1,10),</v>
      </c>
    </row>
    <row r="185" spans="1:9" ht="20.100000000000001" customHeight="1" x14ac:dyDescent="0.25">
      <c r="A185" s="3">
        <v>182</v>
      </c>
      <c r="B185" s="17" t="s">
        <v>5136</v>
      </c>
      <c r="C185" s="4" t="s">
        <v>5191</v>
      </c>
      <c r="D185" s="22" t="s">
        <v>5237</v>
      </c>
      <c r="E185" s="5" t="s">
        <v>5237</v>
      </c>
      <c r="F185" s="5" t="s">
        <v>972</v>
      </c>
      <c r="G185" s="5">
        <v>1</v>
      </c>
      <c r="H185" s="5">
        <v>10</v>
      </c>
      <c r="I185" s="4" t="str">
        <f t="shared" si="3"/>
        <v>(182,'DLR1','Pipeline DLR1','2004-10-04','2004-10-04',NULL,1,10),</v>
      </c>
    </row>
    <row r="186" spans="1:9" ht="20.100000000000001" customHeight="1" x14ac:dyDescent="0.25">
      <c r="A186" s="3">
        <v>183</v>
      </c>
      <c r="B186" s="17" t="s">
        <v>5137</v>
      </c>
      <c r="C186" s="4" t="s">
        <v>5192</v>
      </c>
      <c r="D186" s="22" t="s">
        <v>5238</v>
      </c>
      <c r="E186" s="5" t="s">
        <v>5238</v>
      </c>
      <c r="F186" s="5" t="s">
        <v>972</v>
      </c>
      <c r="G186" s="5">
        <v>1</v>
      </c>
      <c r="H186" s="5">
        <v>10</v>
      </c>
      <c r="I186" s="4" t="str">
        <f t="shared" si="3"/>
        <v>(183,'ELR1','Pipeline ELR1','2014-01-01','2014-01-01',NULL,1,10),</v>
      </c>
    </row>
    <row r="187" spans="1:9" ht="20.100000000000001" customHeight="1" x14ac:dyDescent="0.25">
      <c r="A187" s="3">
        <v>184</v>
      </c>
      <c r="B187" s="17" t="s">
        <v>5138</v>
      </c>
      <c r="C187" s="4" t="s">
        <v>5193</v>
      </c>
      <c r="D187" s="22">
        <v>21976</v>
      </c>
      <c r="E187" s="22">
        <v>22372</v>
      </c>
      <c r="F187" s="5" t="s">
        <v>972</v>
      </c>
      <c r="G187" s="5">
        <v>1</v>
      </c>
      <c r="H187" s="5">
        <v>10</v>
      </c>
      <c r="I187" s="4" t="str">
        <f t="shared" si="3"/>
        <v>(184,'GZ0','Pipeline GZ0','1960-03-01','1961-04-01',NULL,1,10),</v>
      </c>
    </row>
    <row r="188" spans="1:9" ht="20.100000000000001" customHeight="1" x14ac:dyDescent="0.25">
      <c r="A188" s="3">
        <v>185</v>
      </c>
      <c r="B188" s="17" t="s">
        <v>5139</v>
      </c>
      <c r="C188" s="4" t="s">
        <v>5194</v>
      </c>
      <c r="D188" s="22" t="s">
        <v>5240</v>
      </c>
      <c r="E188" s="5" t="s">
        <v>5240</v>
      </c>
      <c r="F188" s="5" t="s">
        <v>972</v>
      </c>
      <c r="G188" s="5">
        <v>1</v>
      </c>
      <c r="H188" s="5">
        <v>10</v>
      </c>
      <c r="I188" s="4" t="str">
        <f t="shared" si="3"/>
        <v>(185,'GZ0 Bis','Pipeline GZ0 Bis','2022-09-01','2022-09-01',NULL,1,10),</v>
      </c>
    </row>
    <row r="189" spans="1:9" ht="20.100000000000001" customHeight="1" x14ac:dyDescent="0.25">
      <c r="A189" s="3">
        <v>186</v>
      </c>
      <c r="B189" s="17" t="s">
        <v>5140</v>
      </c>
      <c r="C189" s="4" t="s">
        <v>5195</v>
      </c>
      <c r="D189" s="22" t="s">
        <v>5239</v>
      </c>
      <c r="E189" s="5" t="s">
        <v>5239</v>
      </c>
      <c r="F189" s="5" t="s">
        <v>972</v>
      </c>
      <c r="G189" s="5">
        <v>1</v>
      </c>
      <c r="H189" s="5">
        <v>10</v>
      </c>
      <c r="I189" s="4" t="str">
        <f t="shared" si="3"/>
        <v>(186,'GZ1','Pipeline GZ1','1976-01-01','1976-01-01',NULL,1,10),</v>
      </c>
    </row>
    <row r="190" spans="1:9" ht="20.100000000000001" customHeight="1" x14ac:dyDescent="0.25">
      <c r="A190" s="3">
        <v>187</v>
      </c>
      <c r="B190" s="17" t="s">
        <v>5141</v>
      </c>
      <c r="C190" s="4" t="s">
        <v>5196</v>
      </c>
      <c r="D190" s="22" t="s">
        <v>5227</v>
      </c>
      <c r="E190" s="5" t="s">
        <v>5227</v>
      </c>
      <c r="F190" s="5" t="s">
        <v>972</v>
      </c>
      <c r="G190" s="5">
        <v>1</v>
      </c>
      <c r="H190" s="5">
        <v>10</v>
      </c>
      <c r="I190" s="4" t="str">
        <f t="shared" si="3"/>
        <v>(187,'GZ2','Pipeline GZ2','1982-01-01','1982-01-01',NULL,1,10),</v>
      </c>
    </row>
    <row r="191" spans="1:9" ht="20.100000000000001" customHeight="1" x14ac:dyDescent="0.25">
      <c r="A191" s="3">
        <v>188</v>
      </c>
      <c r="B191" s="17" t="s">
        <v>5142</v>
      </c>
      <c r="C191" s="4" t="s">
        <v>5197</v>
      </c>
      <c r="D191" s="22">
        <v>37333</v>
      </c>
      <c r="E191" s="22">
        <v>38405</v>
      </c>
      <c r="F191" s="5" t="s">
        <v>972</v>
      </c>
      <c r="G191" s="5">
        <v>1</v>
      </c>
      <c r="H191" s="5">
        <v>10</v>
      </c>
      <c r="I191" s="4" t="str">
        <f t="shared" si="3"/>
        <v>(188,'RGZ2','Pipeline RGZ2','2002-03-18','2005-02-22',NULL,1,10),</v>
      </c>
    </row>
    <row r="192" spans="1:9" ht="20.100000000000001" customHeight="1" x14ac:dyDescent="0.25">
      <c r="A192" s="3">
        <v>189</v>
      </c>
      <c r="B192" s="17" t="s">
        <v>5143</v>
      </c>
      <c r="C192" s="4" t="s">
        <v>5198</v>
      </c>
      <c r="D192" s="22" t="s">
        <v>5241</v>
      </c>
      <c r="E192" s="5" t="s">
        <v>5241</v>
      </c>
      <c r="F192" s="5" t="s">
        <v>972</v>
      </c>
      <c r="G192" s="5">
        <v>1</v>
      </c>
      <c r="H192" s="5">
        <v>10</v>
      </c>
      <c r="I192" s="4" t="str">
        <f t="shared" si="3"/>
        <v>(189,'GZ3','Pipeline GZ3','1989-01-01','1989-01-01',NULL,1,10),</v>
      </c>
    </row>
    <row r="193" spans="1:9" ht="20.100000000000001" customHeight="1" x14ac:dyDescent="0.25">
      <c r="A193" s="3">
        <v>190</v>
      </c>
      <c r="B193" s="17" t="s">
        <v>5144</v>
      </c>
      <c r="C193" s="4" t="s">
        <v>5199</v>
      </c>
      <c r="D193" s="22" t="s">
        <v>5242</v>
      </c>
      <c r="E193" s="5" t="s">
        <v>5242</v>
      </c>
      <c r="F193" s="5" t="s">
        <v>972</v>
      </c>
      <c r="G193" s="5">
        <v>1</v>
      </c>
      <c r="H193" s="5">
        <v>10</v>
      </c>
      <c r="I193" s="4" t="str">
        <f t="shared" si="3"/>
        <v>(190,'RGZ3-01','Pipeline RGZ3-01','2018-01-01','2018-01-01',NULL,1,10),</v>
      </c>
    </row>
    <row r="194" spans="1:9" ht="20.100000000000001" customHeight="1" x14ac:dyDescent="0.25">
      <c r="A194" s="3">
        <v>191</v>
      </c>
      <c r="B194" s="17" t="s">
        <v>5145</v>
      </c>
      <c r="C194" s="4" t="s">
        <v>5200</v>
      </c>
      <c r="D194" s="22">
        <v>37753</v>
      </c>
      <c r="E194" s="22">
        <v>38949</v>
      </c>
      <c r="F194" s="5" t="s">
        <v>972</v>
      </c>
      <c r="G194" s="5">
        <v>1</v>
      </c>
      <c r="H194" s="5">
        <v>10</v>
      </c>
      <c r="I194" s="4" t="str">
        <f t="shared" si="3"/>
        <v>(191,'RGZ3-02','Pipeline RGZ3-02','2003-05-12','2006-08-20',NULL,1,10),</v>
      </c>
    </row>
    <row r="195" spans="1:9" ht="20.100000000000001" customHeight="1" x14ac:dyDescent="0.25">
      <c r="A195" s="3">
        <v>192</v>
      </c>
      <c r="B195" s="17" t="s">
        <v>5146</v>
      </c>
      <c r="C195" s="4" t="s">
        <v>5201</v>
      </c>
      <c r="D195" s="22" t="s">
        <v>5243</v>
      </c>
      <c r="E195" s="22" t="s">
        <v>5243</v>
      </c>
      <c r="F195" s="5" t="s">
        <v>972</v>
      </c>
      <c r="G195" s="5">
        <v>1</v>
      </c>
      <c r="H195" s="5">
        <v>10</v>
      </c>
      <c r="I195" s="4" t="str">
        <f t="shared" si="3"/>
        <v>(192,'GZ4-01','Pipeline GZ4-01','2010-04-16','2010-04-16',NULL,1,10),</v>
      </c>
    </row>
    <row r="196" spans="1:9" ht="20.100000000000001" customHeight="1" x14ac:dyDescent="0.25">
      <c r="A196" s="3">
        <v>193</v>
      </c>
      <c r="B196" s="17" t="s">
        <v>5147</v>
      </c>
      <c r="C196" s="4" t="s">
        <v>5202</v>
      </c>
      <c r="D196" s="22">
        <v>38006</v>
      </c>
      <c r="E196" s="22">
        <v>39018</v>
      </c>
      <c r="F196" s="5" t="s">
        <v>972</v>
      </c>
      <c r="G196" s="5">
        <v>1</v>
      </c>
      <c r="H196" s="5">
        <v>10</v>
      </c>
      <c r="I196" s="4" t="str">
        <f t="shared" si="3"/>
        <v>(193,'GZ4-02','Pipeline GZ4-02','2004-01-20','2006-10-28',NULL,1,10),</v>
      </c>
    </row>
    <row r="197" spans="1:9" ht="20.100000000000001" customHeight="1" x14ac:dyDescent="0.25">
      <c r="A197" s="3">
        <v>194</v>
      </c>
      <c r="B197" s="17" t="s">
        <v>5148</v>
      </c>
      <c r="C197" s="4" t="s">
        <v>5203</v>
      </c>
      <c r="D197" s="22">
        <v>38398</v>
      </c>
      <c r="E197" s="22">
        <v>39416</v>
      </c>
      <c r="F197" s="5" t="s">
        <v>972</v>
      </c>
      <c r="G197" s="5">
        <v>1</v>
      </c>
      <c r="H197" s="5">
        <v>10</v>
      </c>
      <c r="I197" s="4" t="str">
        <f t="shared" si="3"/>
        <v>(194,'GZ4-03','Pipeline GZ4-03','2005-02-15','2007-11-30',NULL,1,10),</v>
      </c>
    </row>
    <row r="198" spans="1:9" ht="20.100000000000001" customHeight="1" x14ac:dyDescent="0.25">
      <c r="A198" s="3">
        <v>195</v>
      </c>
      <c r="B198" s="17" t="s">
        <v>5149</v>
      </c>
      <c r="C198" s="4" t="s">
        <v>5204</v>
      </c>
      <c r="D198" s="22" t="s">
        <v>5245</v>
      </c>
      <c r="E198" s="22" t="s">
        <v>5246</v>
      </c>
      <c r="F198" s="5" t="s">
        <v>972</v>
      </c>
      <c r="G198" s="5">
        <v>1</v>
      </c>
      <c r="H198" s="5">
        <v>10</v>
      </c>
      <c r="I198" s="4" t="str">
        <f t="shared" si="3"/>
        <v>(195,'GK1','Pipeline GK1','1971-01-01','1978-01-01',NULL,1,10),</v>
      </c>
    </row>
    <row r="199" spans="1:9" ht="20.100000000000001" customHeight="1" x14ac:dyDescent="0.25">
      <c r="A199" s="3">
        <v>196</v>
      </c>
      <c r="B199" s="17" t="s">
        <v>5150</v>
      </c>
      <c r="C199" s="4" t="s">
        <v>5205</v>
      </c>
      <c r="D199" s="22" t="s">
        <v>5247</v>
      </c>
      <c r="E199" s="22" t="s">
        <v>5248</v>
      </c>
      <c r="F199" s="5" t="s">
        <v>972</v>
      </c>
      <c r="G199" s="5">
        <v>1</v>
      </c>
      <c r="H199" s="5">
        <v>10</v>
      </c>
      <c r="I199" s="4" t="str">
        <f t="shared" si="3"/>
        <v>(196,'GK2','Pipeline GK2','1998-01-01','2001-01-01',NULL,1,10),</v>
      </c>
    </row>
    <row r="200" spans="1:9" ht="20.100000000000001" customHeight="1" x14ac:dyDescent="0.25">
      <c r="A200" s="3">
        <v>197</v>
      </c>
      <c r="B200" s="17" t="s">
        <v>5151</v>
      </c>
      <c r="C200" s="4" t="s">
        <v>5206</v>
      </c>
      <c r="D200" s="22" t="s">
        <v>5249</v>
      </c>
      <c r="E200" s="22" t="s">
        <v>5249</v>
      </c>
      <c r="F200" s="5" t="s">
        <v>972</v>
      </c>
      <c r="G200" s="5">
        <v>1</v>
      </c>
      <c r="H200" s="5">
        <v>10</v>
      </c>
      <c r="I200" s="4" t="str">
        <f t="shared" si="3"/>
        <v>(197,'GK3-01','Pipeline GK3-01','2012-01-01','2012-01-01',NULL,1,10),</v>
      </c>
    </row>
    <row r="201" spans="1:9" ht="20.100000000000001" customHeight="1" x14ac:dyDescent="0.25">
      <c r="A201" s="3">
        <v>198</v>
      </c>
      <c r="B201" s="17" t="s">
        <v>5152</v>
      </c>
      <c r="C201" s="4" t="s">
        <v>5207</v>
      </c>
      <c r="D201" s="22">
        <v>37700</v>
      </c>
      <c r="E201" s="22">
        <v>38640</v>
      </c>
      <c r="F201" s="5" t="s">
        <v>972</v>
      </c>
      <c r="G201" s="5">
        <v>1</v>
      </c>
      <c r="H201" s="5">
        <v>10</v>
      </c>
      <c r="I201" s="4" t="str">
        <f t="shared" si="3"/>
        <v>(198,'GK3-02','Pipeline GK3-02','2003-03-20','2005-10-15',NULL,1,10),</v>
      </c>
    </row>
    <row r="202" spans="1:9" ht="20.100000000000001" customHeight="1" x14ac:dyDescent="0.25">
      <c r="A202" s="3">
        <v>199</v>
      </c>
      <c r="B202" s="17" t="s">
        <v>5153</v>
      </c>
      <c r="C202" s="4" t="s">
        <v>5208</v>
      </c>
      <c r="D202" s="22" t="s">
        <v>5253</v>
      </c>
      <c r="E202" s="22" t="s">
        <v>5253</v>
      </c>
      <c r="F202" s="5" t="s">
        <v>972</v>
      </c>
      <c r="G202" s="5">
        <v>1</v>
      </c>
      <c r="H202" s="5">
        <v>10</v>
      </c>
      <c r="I202" s="4" t="str">
        <f t="shared" si="3"/>
        <v>(199,'GG1','Pipeline GG1','1981-01-01','1981-01-01',NULL,1,10),</v>
      </c>
    </row>
    <row r="203" spans="1:9" ht="20.100000000000001" customHeight="1" x14ac:dyDescent="0.25">
      <c r="A203" s="3">
        <v>200</v>
      </c>
      <c r="B203" s="17" t="s">
        <v>5154</v>
      </c>
      <c r="C203" s="4" t="s">
        <v>5209</v>
      </c>
      <c r="D203" s="22" t="s">
        <v>5254</v>
      </c>
      <c r="E203" s="22" t="s">
        <v>5254</v>
      </c>
      <c r="F203" s="5" t="s">
        <v>972</v>
      </c>
      <c r="G203" s="5">
        <v>1</v>
      </c>
      <c r="H203" s="5">
        <v>10</v>
      </c>
      <c r="I203" s="4" t="str">
        <f t="shared" si="3"/>
        <v>(200,'RGG1','Pipeline RGG1','2019-01-01','2019-01-01',NULL,1,10),</v>
      </c>
    </row>
    <row r="204" spans="1:9" ht="20.100000000000001" customHeight="1" x14ac:dyDescent="0.25">
      <c r="A204" s="3">
        <v>201</v>
      </c>
      <c r="B204" s="17" t="s">
        <v>5155</v>
      </c>
      <c r="C204" s="4" t="s">
        <v>5210</v>
      </c>
      <c r="D204" s="22">
        <v>34222</v>
      </c>
      <c r="E204" s="22">
        <v>35389</v>
      </c>
      <c r="F204" s="5" t="s">
        <v>972</v>
      </c>
      <c r="G204" s="5">
        <v>1</v>
      </c>
      <c r="H204" s="5">
        <v>10</v>
      </c>
      <c r="I204" s="4" t="str">
        <f t="shared" si="3"/>
        <v>(201,'GM1','Pipeline GM1','1993-09-10','1996-11-20',NULL,1,10),</v>
      </c>
    </row>
    <row r="205" spans="1:9" ht="20.100000000000001" customHeight="1" x14ac:dyDescent="0.25">
      <c r="A205" s="3">
        <v>202</v>
      </c>
      <c r="B205" s="17" t="s">
        <v>5156</v>
      </c>
      <c r="C205" s="4" t="s">
        <v>5211</v>
      </c>
      <c r="D205" s="22" t="s">
        <v>5255</v>
      </c>
      <c r="E205" s="22" t="s">
        <v>5255</v>
      </c>
      <c r="F205" s="5" t="s">
        <v>972</v>
      </c>
      <c r="G205" s="5">
        <v>1</v>
      </c>
      <c r="H205" s="5">
        <v>10</v>
      </c>
      <c r="I205" s="4" t="str">
        <f t="shared" si="3"/>
        <v>(202,'GR1','Pipeline GR1','1986-01-01','1986-01-01',NULL,1,10),</v>
      </c>
    </row>
    <row r="206" spans="1:9" ht="20.100000000000001" customHeight="1" x14ac:dyDescent="0.25">
      <c r="A206" s="3">
        <v>203</v>
      </c>
      <c r="B206" s="17" t="s">
        <v>5157</v>
      </c>
      <c r="C206" s="4" t="s">
        <v>5212</v>
      </c>
      <c r="D206" s="22" t="s">
        <v>5230</v>
      </c>
      <c r="E206" s="22" t="s">
        <v>5230</v>
      </c>
      <c r="F206" s="5" t="s">
        <v>972</v>
      </c>
      <c r="G206" s="5">
        <v>1</v>
      </c>
      <c r="H206" s="5">
        <v>10</v>
      </c>
      <c r="I206" s="4" t="str">
        <f t="shared" si="3"/>
        <v>(203,'GR2','Pipeline GR2','1999-01-01','1999-01-01',NULL,1,10),</v>
      </c>
    </row>
    <row r="207" spans="1:9" ht="20.100000000000001" customHeight="1" x14ac:dyDescent="0.25">
      <c r="A207" s="3">
        <v>204</v>
      </c>
      <c r="B207" s="17" t="s">
        <v>5158</v>
      </c>
      <c r="C207" s="4" t="s">
        <v>5213</v>
      </c>
      <c r="D207" s="22">
        <v>38064</v>
      </c>
      <c r="E207" s="22">
        <v>39285</v>
      </c>
      <c r="F207" s="5" t="s">
        <v>972</v>
      </c>
      <c r="G207" s="5">
        <v>1</v>
      </c>
      <c r="H207" s="5">
        <v>10</v>
      </c>
      <c r="I207" s="4" t="str">
        <f t="shared" si="3"/>
        <v>(204,'GR3','Pipeline GR3','2004-03-18','2007-07-22',NULL,1,10),</v>
      </c>
    </row>
    <row r="208" spans="1:9" ht="20.100000000000001" customHeight="1" x14ac:dyDescent="0.25">
      <c r="A208" s="3">
        <v>205</v>
      </c>
      <c r="B208" s="17" t="s">
        <v>5159</v>
      </c>
      <c r="C208" s="4" t="s">
        <v>5214</v>
      </c>
      <c r="D208" s="22" t="s">
        <v>5238</v>
      </c>
      <c r="E208" s="22" t="s">
        <v>5238</v>
      </c>
      <c r="F208" s="5" t="s">
        <v>972</v>
      </c>
      <c r="G208" s="5">
        <v>1</v>
      </c>
      <c r="H208" s="5">
        <v>10</v>
      </c>
      <c r="I208" s="4" t="str">
        <f t="shared" ref="I208:I232" si="4">CONCATENATE("(",A208,",'",B208,"','",C208,"','",TEXT(D208,"aaaa-mm-jj"),"','",TEXT(E208,"aaaa-mm-jj"),"',",F208,",",G208,",",H208,"),")</f>
        <v>(205,'GR4','Pipeline GR4','2014-01-01','2014-01-01',NULL,1,10),</v>
      </c>
    </row>
    <row r="209" spans="1:9" ht="20.100000000000001" customHeight="1" x14ac:dyDescent="0.25">
      <c r="A209" s="3">
        <v>206</v>
      </c>
      <c r="B209" s="17" t="s">
        <v>5160</v>
      </c>
      <c r="C209" s="4" t="s">
        <v>5215</v>
      </c>
      <c r="D209" s="22" t="s">
        <v>5257</v>
      </c>
      <c r="E209" s="22" t="s">
        <v>5257</v>
      </c>
      <c r="F209" s="5" t="s">
        <v>972</v>
      </c>
      <c r="G209" s="5">
        <v>1</v>
      </c>
      <c r="H209" s="5">
        <v>10</v>
      </c>
      <c r="I209" s="4" t="str">
        <f t="shared" si="4"/>
        <v>(206,'GR5','Pipeline GR5','2017-06-01','2017-06-01',NULL,1,10),</v>
      </c>
    </row>
    <row r="210" spans="1:9" ht="20.100000000000001" customHeight="1" x14ac:dyDescent="0.25">
      <c r="A210" s="3">
        <v>207</v>
      </c>
      <c r="B210" s="17" t="s">
        <v>5161</v>
      </c>
      <c r="C210" s="4" t="s">
        <v>5216</v>
      </c>
      <c r="D210" s="22" t="s">
        <v>5256</v>
      </c>
      <c r="E210" s="22" t="s">
        <v>5256</v>
      </c>
      <c r="F210" s="5" t="s">
        <v>972</v>
      </c>
      <c r="G210" s="5">
        <v>1</v>
      </c>
      <c r="H210" s="5">
        <v>10</v>
      </c>
      <c r="I210" s="4" t="str">
        <f t="shared" si="4"/>
        <v>(207,'GR6','Pipeline GR6','2017-01-01','2017-01-01',NULL,1,10),</v>
      </c>
    </row>
    <row r="211" spans="1:9" ht="20.100000000000001" customHeight="1" x14ac:dyDescent="0.25">
      <c r="A211" s="3">
        <v>208</v>
      </c>
      <c r="B211" s="17" t="s">
        <v>5162</v>
      </c>
      <c r="C211" s="4" t="s">
        <v>5217</v>
      </c>
      <c r="D211" s="22" t="s">
        <v>5258</v>
      </c>
      <c r="E211" s="22" t="s">
        <v>5258</v>
      </c>
      <c r="F211" s="5" t="s">
        <v>972</v>
      </c>
      <c r="G211" s="5">
        <v>1</v>
      </c>
      <c r="H211" s="5">
        <v>10</v>
      </c>
      <c r="I211" s="4" t="str">
        <f t="shared" si="4"/>
        <v>(208,'GR7','Pipeline GR7','2019-12-01','2019-12-01',NULL,1,10),</v>
      </c>
    </row>
    <row r="212" spans="1:9" ht="20.100000000000001" customHeight="1" x14ac:dyDescent="0.25">
      <c r="A212" s="3">
        <v>209</v>
      </c>
      <c r="B212" s="17" t="s">
        <v>4153</v>
      </c>
      <c r="C212" s="4" t="s">
        <v>5218</v>
      </c>
      <c r="D212" s="22" t="s">
        <v>5236</v>
      </c>
      <c r="E212" s="22" t="s">
        <v>5236</v>
      </c>
      <c r="F212" s="5" t="s">
        <v>972</v>
      </c>
      <c r="G212" s="5">
        <v>1</v>
      </c>
      <c r="H212" s="5">
        <v>10</v>
      </c>
      <c r="I212" s="4" t="str">
        <f t="shared" si="4"/>
        <v>(209,'GPDF','Pipeline GPDF','1996-01-01','1996-01-01',NULL,1,10),</v>
      </c>
    </row>
    <row r="213" spans="1:9" ht="20.100000000000001" customHeight="1" x14ac:dyDescent="0.25">
      <c r="A213" s="3">
        <v>210</v>
      </c>
      <c r="B213" s="17" t="s">
        <v>5163</v>
      </c>
      <c r="C213" s="4" t="s">
        <v>5219</v>
      </c>
      <c r="D213" s="22" t="s">
        <v>5244</v>
      </c>
      <c r="E213" s="22" t="s">
        <v>5244</v>
      </c>
      <c r="F213" s="5" t="s">
        <v>972</v>
      </c>
      <c r="G213" s="5">
        <v>1</v>
      </c>
      <c r="H213" s="5">
        <v>10</v>
      </c>
      <c r="I213" s="4" t="str">
        <f t="shared" si="4"/>
        <v>(210,'EGPDF','Pipeline EGPDF','2021-01-01','2021-01-01',NULL,1,10),</v>
      </c>
    </row>
    <row r="214" spans="1:9" ht="20.100000000000001" customHeight="1" x14ac:dyDescent="0.25">
      <c r="A214" s="3">
        <v>211</v>
      </c>
      <c r="B214" s="17" t="s">
        <v>5164</v>
      </c>
      <c r="C214" s="4" t="s">
        <v>5220</v>
      </c>
      <c r="D214" s="22" t="s">
        <v>5227</v>
      </c>
      <c r="E214" s="22" t="s">
        <v>5227</v>
      </c>
      <c r="F214" s="5" t="s">
        <v>972</v>
      </c>
      <c r="G214" s="5">
        <v>1</v>
      </c>
      <c r="H214" s="5">
        <v>10</v>
      </c>
      <c r="I214" s="4" t="str">
        <f t="shared" si="4"/>
        <v>(211,'GO1','Pipeline GO1','1982-01-01','1982-01-01',NULL,1,10),</v>
      </c>
    </row>
    <row r="215" spans="1:9" ht="20.100000000000001" customHeight="1" x14ac:dyDescent="0.25">
      <c r="A215" s="3">
        <v>212</v>
      </c>
      <c r="B215" s="17" t="s">
        <v>5165</v>
      </c>
      <c r="C215" s="4" t="s">
        <v>5221</v>
      </c>
      <c r="D215" s="22" t="s">
        <v>5250</v>
      </c>
      <c r="E215" s="5" t="s">
        <v>5250</v>
      </c>
      <c r="F215" s="5" t="s">
        <v>972</v>
      </c>
      <c r="G215" s="5">
        <v>1</v>
      </c>
      <c r="H215" s="5">
        <v>10</v>
      </c>
      <c r="I215" s="4" t="str">
        <f t="shared" si="4"/>
        <v>(212,'GO2','Pipeline GO2','1987-01-01','1987-01-01',NULL,1,10),</v>
      </c>
    </row>
    <row r="216" spans="1:9" ht="20.100000000000001" customHeight="1" x14ac:dyDescent="0.25">
      <c r="A216" s="3">
        <v>213</v>
      </c>
      <c r="B216" s="17" t="s">
        <v>5166</v>
      </c>
      <c r="C216" s="4" t="s">
        <v>5222</v>
      </c>
      <c r="D216" s="22" t="s">
        <v>5251</v>
      </c>
      <c r="E216" s="5" t="s">
        <v>5252</v>
      </c>
      <c r="F216" s="5" t="s">
        <v>972</v>
      </c>
      <c r="G216" s="5">
        <v>1</v>
      </c>
      <c r="H216" s="5">
        <v>10</v>
      </c>
      <c r="I216" s="4" t="str">
        <f t="shared" si="4"/>
        <v>(213,'GO3','Pipeline GO3','2008-01-01','2010-01-01',NULL,1,10),</v>
      </c>
    </row>
    <row r="217" spans="1:9" ht="20.100000000000001" customHeight="1" x14ac:dyDescent="0.25">
      <c r="A217" s="3">
        <v>214</v>
      </c>
      <c r="B217" s="17" t="s">
        <v>6807</v>
      </c>
      <c r="C217" s="4" t="s">
        <v>6815</v>
      </c>
      <c r="D217" s="22">
        <v>24053</v>
      </c>
      <c r="E217" s="5" t="s">
        <v>972</v>
      </c>
      <c r="F217" s="5" t="s">
        <v>972</v>
      </c>
      <c r="G217" s="5">
        <v>1</v>
      </c>
      <c r="H217" s="5">
        <v>10</v>
      </c>
      <c r="I217" s="4" t="str">
        <f t="shared" si="4"/>
        <v>(214,'S01-OZ1','Segment 01-OZ1','1965-11-07','NULL',NULL,1,10),</v>
      </c>
    </row>
    <row r="218" spans="1:9" ht="20.100000000000001" customHeight="1" x14ac:dyDescent="0.25">
      <c r="A218" s="3">
        <v>215</v>
      </c>
      <c r="B218" s="17" t="s">
        <v>6809</v>
      </c>
      <c r="C218" s="4" t="s">
        <v>6827</v>
      </c>
      <c r="D218" s="22">
        <v>24053</v>
      </c>
      <c r="E218" s="5" t="s">
        <v>972</v>
      </c>
      <c r="F218" s="5" t="s">
        <v>972</v>
      </c>
      <c r="G218" s="5">
        <v>1</v>
      </c>
      <c r="H218" s="5">
        <v>10</v>
      </c>
      <c r="I218" s="4" t="str">
        <f t="shared" si="4"/>
        <v>(215,'S02-OZ1','Segment 02-OZ1','1965-11-07','NULL',NULL,1,10),</v>
      </c>
    </row>
    <row r="219" spans="1:9" ht="20.100000000000001" customHeight="1" x14ac:dyDescent="0.25">
      <c r="A219" s="3">
        <v>216</v>
      </c>
      <c r="B219" s="17" t="s">
        <v>6810</v>
      </c>
      <c r="C219" s="4" t="s">
        <v>6828</v>
      </c>
      <c r="D219" s="22">
        <v>24053</v>
      </c>
      <c r="E219" s="5" t="s">
        <v>972</v>
      </c>
      <c r="F219" s="5" t="s">
        <v>972</v>
      </c>
      <c r="G219" s="5">
        <v>1</v>
      </c>
      <c r="H219" s="5">
        <v>10</v>
      </c>
      <c r="I219" s="4" t="str">
        <f t="shared" si="4"/>
        <v>(216,'S03-OZ1','Segment 03-OZ1','1965-11-07','NULL',NULL,1,10),</v>
      </c>
    </row>
    <row r="220" spans="1:9" ht="20.100000000000001" customHeight="1" x14ac:dyDescent="0.25">
      <c r="A220" s="3">
        <v>217</v>
      </c>
      <c r="B220" s="17" t="s">
        <v>6811</v>
      </c>
      <c r="C220" s="4" t="s">
        <v>6829</v>
      </c>
      <c r="D220" s="22">
        <v>24053</v>
      </c>
      <c r="E220" s="5" t="s">
        <v>972</v>
      </c>
      <c r="F220" s="5" t="s">
        <v>972</v>
      </c>
      <c r="G220" s="5">
        <v>1</v>
      </c>
      <c r="H220" s="5">
        <v>10</v>
      </c>
      <c r="I220" s="4" t="str">
        <f t="shared" si="4"/>
        <v>(217,'S04-OZ1','Segment 04-OZ1','1965-11-07','NULL',NULL,1,10),</v>
      </c>
    </row>
    <row r="221" spans="1:9" ht="20.100000000000001" customHeight="1" x14ac:dyDescent="0.25">
      <c r="A221" s="3">
        <v>218</v>
      </c>
      <c r="B221" s="17" t="s">
        <v>6812</v>
      </c>
      <c r="C221" s="4" t="s">
        <v>6830</v>
      </c>
      <c r="D221" s="22">
        <v>24053</v>
      </c>
      <c r="E221" s="5" t="s">
        <v>972</v>
      </c>
      <c r="F221" s="5" t="s">
        <v>972</v>
      </c>
      <c r="G221" s="5">
        <v>1</v>
      </c>
      <c r="H221" s="5">
        <v>10</v>
      </c>
      <c r="I221" s="4" t="str">
        <f t="shared" si="4"/>
        <v>(218,'S05-OZ1','Segment 05-OZ1','1965-11-07','NULL',NULL,1,10),</v>
      </c>
    </row>
    <row r="222" spans="1:9" ht="20.100000000000001" customHeight="1" x14ac:dyDescent="0.25">
      <c r="A222" s="3">
        <v>219</v>
      </c>
      <c r="B222" s="17" t="s">
        <v>6813</v>
      </c>
      <c r="C222" s="4" t="s">
        <v>6831</v>
      </c>
      <c r="D222" s="22">
        <v>24053</v>
      </c>
      <c r="E222" s="5" t="s">
        <v>972</v>
      </c>
      <c r="F222" s="5" t="s">
        <v>972</v>
      </c>
      <c r="G222" s="5">
        <v>1</v>
      </c>
      <c r="H222" s="5">
        <v>10</v>
      </c>
      <c r="I222" s="4" t="str">
        <f t="shared" si="4"/>
        <v>(219,'S06-OZ1','Segment 06-OZ1','1965-11-07','NULL',NULL,1,10),</v>
      </c>
    </row>
    <row r="223" spans="1:9" ht="20.100000000000001" customHeight="1" x14ac:dyDescent="0.25">
      <c r="A223" s="3">
        <v>220</v>
      </c>
      <c r="B223" s="17" t="s">
        <v>6814</v>
      </c>
      <c r="C223" s="4" t="s">
        <v>6832</v>
      </c>
      <c r="D223" s="22">
        <v>24053</v>
      </c>
      <c r="E223" s="5" t="s">
        <v>972</v>
      </c>
      <c r="F223" s="5" t="s">
        <v>972</v>
      </c>
      <c r="G223" s="5">
        <v>1</v>
      </c>
      <c r="H223" s="5">
        <v>10</v>
      </c>
      <c r="I223" s="4" t="str">
        <f t="shared" si="4"/>
        <v>(220,'S07-OZ1','Segment 07-OZ1','1965-11-07','NULL',NULL,1,10),</v>
      </c>
    </row>
    <row r="224" spans="1:9" ht="20.100000000000001" customHeight="1" x14ac:dyDescent="0.25">
      <c r="A224" s="3">
        <v>221</v>
      </c>
      <c r="B224" s="17" t="s">
        <v>6833</v>
      </c>
      <c r="C224" s="4" t="s">
        <v>6840</v>
      </c>
      <c r="D224" s="22">
        <v>37851</v>
      </c>
      <c r="E224" s="5" t="s">
        <v>972</v>
      </c>
      <c r="F224" s="5" t="s">
        <v>972</v>
      </c>
      <c r="G224" s="5">
        <v>1</v>
      </c>
      <c r="H224" s="5">
        <v>10</v>
      </c>
      <c r="I224" s="4" t="str">
        <f t="shared" si="4"/>
        <v>(221,'S01-OZ2','Segment 01-OZ2','2003-08-18','NULL',NULL,1,10),</v>
      </c>
    </row>
    <row r="225" spans="1:9" ht="20.100000000000001" customHeight="1" x14ac:dyDescent="0.25">
      <c r="A225" s="3">
        <v>222</v>
      </c>
      <c r="B225" s="17" t="s">
        <v>6834</v>
      </c>
      <c r="C225" s="4" t="s">
        <v>6816</v>
      </c>
      <c r="D225" s="22">
        <v>37851</v>
      </c>
      <c r="E225" s="5" t="s">
        <v>972</v>
      </c>
      <c r="F225" s="5" t="s">
        <v>972</v>
      </c>
      <c r="G225" s="5">
        <v>1</v>
      </c>
      <c r="H225" s="5">
        <v>10</v>
      </c>
      <c r="I225" s="4" t="str">
        <f t="shared" si="4"/>
        <v>(222,'S02-OZ2','Segment 02-OZ2','2003-08-18','NULL',NULL,1,10),</v>
      </c>
    </row>
    <row r="226" spans="1:9" ht="20.100000000000001" customHeight="1" x14ac:dyDescent="0.25">
      <c r="A226" s="3">
        <v>223</v>
      </c>
      <c r="B226" s="17" t="s">
        <v>6835</v>
      </c>
      <c r="C226" s="4" t="s">
        <v>6841</v>
      </c>
      <c r="D226" s="22">
        <v>37851</v>
      </c>
      <c r="E226" s="5" t="s">
        <v>972</v>
      </c>
      <c r="F226" s="5" t="s">
        <v>972</v>
      </c>
      <c r="G226" s="5">
        <v>1</v>
      </c>
      <c r="H226" s="5">
        <v>10</v>
      </c>
      <c r="I226" s="4" t="str">
        <f t="shared" si="4"/>
        <v>(223,'S03-OZ2','Segment 03-OZ2','2003-08-18','NULL',NULL,1,10),</v>
      </c>
    </row>
    <row r="227" spans="1:9" ht="20.100000000000001" customHeight="1" x14ac:dyDescent="0.25">
      <c r="A227" s="3">
        <v>224</v>
      </c>
      <c r="B227" s="17" t="s">
        <v>6836</v>
      </c>
      <c r="C227" s="4" t="s">
        <v>6842</v>
      </c>
      <c r="D227" s="22">
        <v>37851</v>
      </c>
      <c r="E227" s="5" t="s">
        <v>972</v>
      </c>
      <c r="F227" s="5" t="s">
        <v>972</v>
      </c>
      <c r="G227" s="5">
        <v>1</v>
      </c>
      <c r="H227" s="5">
        <v>10</v>
      </c>
      <c r="I227" s="4" t="str">
        <f t="shared" si="4"/>
        <v>(224,'S04-OZ2','Segment 04-OZ2','2003-08-18','NULL',NULL,1,10),</v>
      </c>
    </row>
    <row r="228" spans="1:9" ht="20.100000000000001" customHeight="1" x14ac:dyDescent="0.25">
      <c r="A228" s="3">
        <v>225</v>
      </c>
      <c r="B228" s="17" t="s">
        <v>6837</v>
      </c>
      <c r="C228" s="4" t="s">
        <v>6843</v>
      </c>
      <c r="D228" s="22">
        <v>37851</v>
      </c>
      <c r="E228" s="5" t="s">
        <v>972</v>
      </c>
      <c r="F228" s="5" t="s">
        <v>972</v>
      </c>
      <c r="G228" s="5">
        <v>1</v>
      </c>
      <c r="H228" s="5">
        <v>10</v>
      </c>
      <c r="I228" s="4" t="str">
        <f t="shared" si="4"/>
        <v>(225,'S05-OZ2','Segment 05-OZ2','2003-08-18','NULL',NULL,1,10),</v>
      </c>
    </row>
    <row r="229" spans="1:9" ht="20.100000000000001" customHeight="1" x14ac:dyDescent="0.25">
      <c r="A229" s="3">
        <v>226</v>
      </c>
      <c r="B229" s="17" t="s">
        <v>6838</v>
      </c>
      <c r="C229" s="4" t="s">
        <v>6844</v>
      </c>
      <c r="D229" s="22">
        <v>37851</v>
      </c>
      <c r="E229" s="5" t="s">
        <v>972</v>
      </c>
      <c r="F229" s="5" t="s">
        <v>972</v>
      </c>
      <c r="G229" s="5">
        <v>1</v>
      </c>
      <c r="H229" s="5">
        <v>10</v>
      </c>
      <c r="I229" s="4" t="str">
        <f t="shared" si="4"/>
        <v>(226,'S06-OZ2','Segment 06-OZ2','2003-08-18','NULL',NULL,1,10),</v>
      </c>
    </row>
    <row r="230" spans="1:9" ht="20.100000000000001" customHeight="1" x14ac:dyDescent="0.25">
      <c r="A230" s="3">
        <v>227</v>
      </c>
      <c r="B230" s="17" t="s">
        <v>6839</v>
      </c>
      <c r="C230" s="4" t="s">
        <v>6845</v>
      </c>
      <c r="D230" s="22">
        <v>37851</v>
      </c>
      <c r="E230" s="5" t="s">
        <v>972</v>
      </c>
      <c r="F230" s="5" t="s">
        <v>972</v>
      </c>
      <c r="G230" s="5">
        <v>1</v>
      </c>
      <c r="H230" s="5">
        <v>10</v>
      </c>
      <c r="I230" s="4" t="str">
        <f t="shared" si="4"/>
        <v>(227,'S07-OZ2','Segment 07-OZ2','2003-08-18','NULL',NULL,1,10),</v>
      </c>
    </row>
    <row r="231" spans="1:9" ht="20.100000000000001" customHeight="1" x14ac:dyDescent="0.25">
      <c r="A231" s="3"/>
      <c r="B231" s="17"/>
      <c r="C231" s="4"/>
      <c r="D231" s="22"/>
      <c r="E231" s="5" t="s">
        <v>972</v>
      </c>
      <c r="F231" s="5" t="s">
        <v>972</v>
      </c>
      <c r="G231" s="5">
        <v>1</v>
      </c>
      <c r="H231" s="5">
        <v>10</v>
      </c>
      <c r="I231" s="4" t="str">
        <f t="shared" si="4"/>
        <v>(,'','','1900-01-00','NULL',NULL,1,10),</v>
      </c>
    </row>
    <row r="232" spans="1:9" ht="20.100000000000001" customHeight="1" x14ac:dyDescent="0.25">
      <c r="A232" s="3"/>
      <c r="B232" s="17"/>
      <c r="C232" s="4"/>
      <c r="D232" s="22"/>
      <c r="E232" s="5" t="s">
        <v>972</v>
      </c>
      <c r="F232" s="5" t="s">
        <v>972</v>
      </c>
      <c r="G232" s="5">
        <v>1</v>
      </c>
      <c r="H232" s="5">
        <v>10</v>
      </c>
      <c r="I232" s="4" t="str">
        <f t="shared" si="4"/>
        <v>(,'','','1900-01-00','NULL',NULL,1,10),</v>
      </c>
    </row>
  </sheetData>
  <autoFilter ref="A2:H179"/>
  <phoneticPr fontId="2" type="noConversion"/>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1:D157"/>
  <sheetViews>
    <sheetView workbookViewId="0">
      <selection activeCell="I59" sqref="I59"/>
    </sheetView>
  </sheetViews>
  <sheetFormatPr baseColWidth="10" defaultColWidth="10.85546875" defaultRowHeight="15.75" x14ac:dyDescent="0.25"/>
  <cols>
    <col min="1" max="1" width="5.5703125" style="2" customWidth="1"/>
    <col min="2" max="3" width="15.5703125" style="2" customWidth="1"/>
    <col min="4" max="4" width="65.42578125" style="2" bestFit="1" customWidth="1"/>
    <col min="5" max="16384" width="10.85546875" style="2"/>
  </cols>
  <sheetData>
    <row r="1" spans="1:4" ht="20.100000000000001" customHeight="1" x14ac:dyDescent="0.25">
      <c r="A1" s="1" t="s">
        <v>37</v>
      </c>
      <c r="B1" s="1" t="s">
        <v>5489</v>
      </c>
      <c r="C1" s="1" t="s">
        <v>4798</v>
      </c>
      <c r="D1" s="1" t="s">
        <v>5597</v>
      </c>
    </row>
    <row r="2" spans="1:4" ht="20.100000000000001" customHeight="1" x14ac:dyDescent="0.25">
      <c r="A2" s="1" t="s">
        <v>44</v>
      </c>
      <c r="B2" s="1" t="s">
        <v>4350</v>
      </c>
      <c r="C2" s="1" t="s">
        <v>4351</v>
      </c>
      <c r="D2" s="1" t="s">
        <v>5600</v>
      </c>
    </row>
    <row r="3" spans="1:4" ht="20.100000000000001" customHeight="1" x14ac:dyDescent="0.25">
      <c r="A3" s="3">
        <v>1</v>
      </c>
      <c r="B3" s="5">
        <v>1</v>
      </c>
      <c r="C3" s="5">
        <v>21</v>
      </c>
      <c r="D3" s="4" t="str">
        <f>CONCATENATE("(",A3,",",B3,",",C3,"),")</f>
        <v>(1,1,21),</v>
      </c>
    </row>
    <row r="4" spans="1:4" ht="20.100000000000001" customHeight="1" x14ac:dyDescent="0.25">
      <c r="A4" s="3">
        <v>2</v>
      </c>
      <c r="B4" s="5">
        <v>1</v>
      </c>
      <c r="C4" s="5">
        <v>67</v>
      </c>
      <c r="D4" s="4" t="str">
        <f t="shared" ref="D4:D67" si="0">CONCATENATE("(",A4,",",B4,",",C4,"),")</f>
        <v>(2,1,67),</v>
      </c>
    </row>
    <row r="5" spans="1:4" ht="20.100000000000001" customHeight="1" x14ac:dyDescent="0.25">
      <c r="A5" s="3">
        <v>3</v>
      </c>
      <c r="B5" s="5">
        <v>1</v>
      </c>
      <c r="C5" s="5">
        <v>14</v>
      </c>
      <c r="D5" s="4" t="str">
        <f t="shared" si="0"/>
        <v>(3,1,14),</v>
      </c>
    </row>
    <row r="6" spans="1:4" ht="20.100000000000001" customHeight="1" x14ac:dyDescent="0.25">
      <c r="A6" s="3">
        <v>4</v>
      </c>
      <c r="B6" s="5">
        <v>1</v>
      </c>
      <c r="C6" s="5">
        <v>2</v>
      </c>
      <c r="D6" s="4" t="str">
        <f t="shared" si="0"/>
        <v>(4,1,2),</v>
      </c>
    </row>
    <row r="7" spans="1:4" ht="20.100000000000001" customHeight="1" x14ac:dyDescent="0.25">
      <c r="A7" s="3">
        <v>5</v>
      </c>
      <c r="B7" s="5">
        <v>1</v>
      </c>
      <c r="C7" s="5">
        <v>76</v>
      </c>
      <c r="D7" s="4" t="str">
        <f t="shared" si="0"/>
        <v>(5,1,76),</v>
      </c>
    </row>
    <row r="8" spans="1:4" ht="20.100000000000001" customHeight="1" x14ac:dyDescent="0.25">
      <c r="A8" s="3">
        <v>6</v>
      </c>
      <c r="B8" s="5">
        <v>1</v>
      </c>
      <c r="C8" s="5">
        <v>11</v>
      </c>
      <c r="D8" s="4" t="str">
        <f t="shared" si="0"/>
        <v>(6,1,11),</v>
      </c>
    </row>
    <row r="9" spans="1:4" ht="20.100000000000001" customHeight="1" x14ac:dyDescent="0.25">
      <c r="A9" s="3">
        <v>7</v>
      </c>
      <c r="B9" s="5">
        <v>1</v>
      </c>
      <c r="C9" s="5">
        <v>34</v>
      </c>
      <c r="D9" s="4" t="str">
        <f t="shared" si="0"/>
        <v>(7,1,34),</v>
      </c>
    </row>
    <row r="10" spans="1:4" ht="20.100000000000001" customHeight="1" x14ac:dyDescent="0.25">
      <c r="A10" s="3">
        <v>8</v>
      </c>
      <c r="B10" s="5">
        <v>1</v>
      </c>
      <c r="C10" s="5">
        <v>35</v>
      </c>
      <c r="D10" s="4" t="str">
        <f t="shared" si="0"/>
        <v>(8,1,35),</v>
      </c>
    </row>
    <row r="11" spans="1:4" ht="20.100000000000001" customHeight="1" x14ac:dyDescent="0.25">
      <c r="A11" s="3">
        <v>9</v>
      </c>
      <c r="B11" s="5">
        <v>1</v>
      </c>
      <c r="C11" s="5">
        <v>48</v>
      </c>
      <c r="D11" s="4" t="str">
        <f t="shared" si="0"/>
        <v>(9,1,48),</v>
      </c>
    </row>
    <row r="12" spans="1:4" ht="20.100000000000001" customHeight="1" x14ac:dyDescent="0.25">
      <c r="A12" s="3">
        <v>10</v>
      </c>
      <c r="B12" s="5">
        <v>1</v>
      </c>
      <c r="C12" s="5">
        <v>59</v>
      </c>
      <c r="D12" s="4" t="str">
        <f t="shared" si="0"/>
        <v>(10,1,59),</v>
      </c>
    </row>
    <row r="13" spans="1:4" ht="20.100000000000001" customHeight="1" x14ac:dyDescent="0.25">
      <c r="A13" s="3">
        <v>11</v>
      </c>
      <c r="B13" s="5">
        <v>1</v>
      </c>
      <c r="C13" s="5">
        <v>23</v>
      </c>
      <c r="D13" s="4" t="str">
        <f t="shared" si="0"/>
        <v>(11,1,23),</v>
      </c>
    </row>
    <row r="14" spans="1:4" ht="20.100000000000001" customHeight="1" x14ac:dyDescent="0.25">
      <c r="A14" s="3">
        <v>12</v>
      </c>
      <c r="B14" s="5">
        <v>1</v>
      </c>
      <c r="C14" s="5">
        <v>5</v>
      </c>
      <c r="D14" s="4" t="str">
        <f t="shared" si="0"/>
        <v>(12,1,5),</v>
      </c>
    </row>
    <row r="15" spans="1:4" ht="20.100000000000001" customHeight="1" x14ac:dyDescent="0.25">
      <c r="A15" s="3">
        <v>13</v>
      </c>
      <c r="B15" s="5">
        <v>1</v>
      </c>
      <c r="C15" s="5">
        <v>13</v>
      </c>
      <c r="D15" s="4" t="str">
        <f t="shared" si="0"/>
        <v>(13,1,13),</v>
      </c>
    </row>
    <row r="16" spans="1:4" ht="20.100000000000001" customHeight="1" x14ac:dyDescent="0.25">
      <c r="A16" s="3">
        <v>14</v>
      </c>
      <c r="B16" s="5">
        <v>1</v>
      </c>
      <c r="C16" s="5">
        <v>34</v>
      </c>
      <c r="D16" s="4" t="str">
        <f t="shared" si="0"/>
        <v>(14,1,34),</v>
      </c>
    </row>
    <row r="17" spans="1:4" ht="20.100000000000001" customHeight="1" x14ac:dyDescent="0.25">
      <c r="A17" s="3">
        <v>15</v>
      </c>
      <c r="B17" s="5">
        <v>1</v>
      </c>
      <c r="C17" s="5">
        <v>50</v>
      </c>
      <c r="D17" s="4" t="str">
        <f t="shared" si="0"/>
        <v>(15,1,50),</v>
      </c>
    </row>
    <row r="18" spans="1:4" ht="20.100000000000001" customHeight="1" x14ac:dyDescent="0.25">
      <c r="A18" s="3">
        <v>16</v>
      </c>
      <c r="B18" s="5">
        <v>1</v>
      </c>
      <c r="C18" s="5">
        <v>63</v>
      </c>
      <c r="D18" s="4" t="str">
        <f t="shared" si="0"/>
        <v>(16,1,63),</v>
      </c>
    </row>
    <row r="19" spans="1:4" ht="20.100000000000001" customHeight="1" x14ac:dyDescent="0.25">
      <c r="A19" s="3">
        <v>17</v>
      </c>
      <c r="B19" s="5">
        <v>1</v>
      </c>
      <c r="C19" s="5">
        <v>85</v>
      </c>
      <c r="D19" s="4" t="str">
        <f t="shared" si="0"/>
        <v>(17,1,85),</v>
      </c>
    </row>
    <row r="20" spans="1:4" ht="20.100000000000001" customHeight="1" x14ac:dyDescent="0.25">
      <c r="A20" s="3">
        <v>18</v>
      </c>
      <c r="B20" s="5">
        <v>1</v>
      </c>
      <c r="C20" s="5">
        <v>71</v>
      </c>
      <c r="D20" s="4" t="str">
        <f t="shared" si="0"/>
        <v>(18,1,71),</v>
      </c>
    </row>
    <row r="21" spans="1:4" ht="20.100000000000001" customHeight="1" x14ac:dyDescent="0.25">
      <c r="A21" s="3">
        <v>19</v>
      </c>
      <c r="B21" s="5">
        <v>1</v>
      </c>
      <c r="C21" s="5">
        <v>7</v>
      </c>
      <c r="D21" s="4" t="str">
        <f t="shared" si="0"/>
        <v>(19,1,7),</v>
      </c>
    </row>
    <row r="22" spans="1:4" ht="20.100000000000001" customHeight="1" x14ac:dyDescent="0.25">
      <c r="A22" s="3">
        <v>20</v>
      </c>
      <c r="B22" s="5">
        <v>1</v>
      </c>
      <c r="C22" s="5">
        <v>8</v>
      </c>
      <c r="D22" s="4" t="str">
        <f t="shared" si="0"/>
        <v>(20,1,8),</v>
      </c>
    </row>
    <row r="23" spans="1:4" ht="20.100000000000001" customHeight="1" x14ac:dyDescent="0.25">
      <c r="A23" s="3">
        <v>21</v>
      </c>
      <c r="B23" s="5">
        <v>1</v>
      </c>
      <c r="C23" s="5">
        <v>9</v>
      </c>
      <c r="D23" s="4" t="str">
        <f t="shared" si="0"/>
        <v>(21,1,9),</v>
      </c>
    </row>
    <row r="24" spans="1:4" ht="20.100000000000001" customHeight="1" x14ac:dyDescent="0.25">
      <c r="A24" s="3">
        <v>22</v>
      </c>
      <c r="B24" s="5">
        <v>1</v>
      </c>
      <c r="C24" s="5">
        <v>11</v>
      </c>
      <c r="D24" s="4" t="str">
        <f t="shared" si="0"/>
        <v>(22,1,11),</v>
      </c>
    </row>
    <row r="25" spans="1:4" ht="20.100000000000001" customHeight="1" x14ac:dyDescent="0.25">
      <c r="A25" s="3">
        <v>23</v>
      </c>
      <c r="B25" s="5">
        <v>1</v>
      </c>
      <c r="C25" s="5">
        <v>17</v>
      </c>
      <c r="D25" s="4" t="str">
        <f t="shared" si="0"/>
        <v>(23,1,17),</v>
      </c>
    </row>
    <row r="26" spans="1:4" ht="20.100000000000001" customHeight="1" x14ac:dyDescent="0.25">
      <c r="A26" s="3">
        <v>24</v>
      </c>
      <c r="B26" s="5">
        <v>1</v>
      </c>
      <c r="C26" s="5">
        <v>18</v>
      </c>
      <c r="D26" s="4" t="str">
        <f t="shared" si="0"/>
        <v>(24,1,18),</v>
      </c>
    </row>
    <row r="27" spans="1:4" ht="20.100000000000001" customHeight="1" x14ac:dyDescent="0.25">
      <c r="A27" s="3">
        <v>25</v>
      </c>
      <c r="B27" s="5">
        <v>1</v>
      </c>
      <c r="C27" s="5">
        <v>25</v>
      </c>
      <c r="D27" s="4" t="str">
        <f t="shared" si="0"/>
        <v>(25,1,25),</v>
      </c>
    </row>
    <row r="28" spans="1:4" ht="20.100000000000001" customHeight="1" x14ac:dyDescent="0.25">
      <c r="A28" s="3">
        <v>26</v>
      </c>
      <c r="B28" s="5">
        <v>1</v>
      </c>
      <c r="C28" s="5">
        <v>30</v>
      </c>
      <c r="D28" s="4" t="str">
        <f t="shared" si="0"/>
        <v>(26,1,30),</v>
      </c>
    </row>
    <row r="29" spans="1:4" ht="20.100000000000001" customHeight="1" x14ac:dyDescent="0.25">
      <c r="A29" s="3">
        <v>27</v>
      </c>
      <c r="B29" s="5">
        <v>1</v>
      </c>
      <c r="C29" s="5">
        <v>32</v>
      </c>
      <c r="D29" s="4" t="str">
        <f t="shared" si="0"/>
        <v>(27,1,32),</v>
      </c>
    </row>
    <row r="30" spans="1:4" ht="20.100000000000001" customHeight="1" x14ac:dyDescent="0.25">
      <c r="A30" s="3">
        <v>28</v>
      </c>
      <c r="B30" s="5">
        <v>1</v>
      </c>
      <c r="C30" s="5">
        <v>36</v>
      </c>
      <c r="D30" s="4" t="str">
        <f t="shared" si="0"/>
        <v>(28,1,36),</v>
      </c>
    </row>
    <row r="31" spans="1:4" ht="20.100000000000001" customHeight="1" x14ac:dyDescent="0.25">
      <c r="A31" s="3">
        <v>29</v>
      </c>
      <c r="B31" s="5">
        <v>1</v>
      </c>
      <c r="C31" s="5">
        <v>37</v>
      </c>
      <c r="D31" s="4" t="str">
        <f t="shared" si="0"/>
        <v>(29,1,37),</v>
      </c>
    </row>
    <row r="32" spans="1:4" ht="20.100000000000001" customHeight="1" x14ac:dyDescent="0.25">
      <c r="A32" s="3">
        <v>30</v>
      </c>
      <c r="B32" s="5">
        <v>1</v>
      </c>
      <c r="C32" s="5">
        <v>38</v>
      </c>
      <c r="D32" s="4" t="str">
        <f t="shared" si="0"/>
        <v>(30,1,38),</v>
      </c>
    </row>
    <row r="33" spans="1:4" ht="20.100000000000001" customHeight="1" x14ac:dyDescent="0.25">
      <c r="A33" s="3">
        <v>31</v>
      </c>
      <c r="B33" s="5">
        <v>1</v>
      </c>
      <c r="C33" s="5">
        <v>39</v>
      </c>
      <c r="D33" s="4" t="str">
        <f t="shared" si="0"/>
        <v>(31,1,39),</v>
      </c>
    </row>
    <row r="34" spans="1:4" ht="20.100000000000001" customHeight="1" x14ac:dyDescent="0.25">
      <c r="A34" s="3">
        <v>32</v>
      </c>
      <c r="B34" s="5">
        <v>1</v>
      </c>
      <c r="C34" s="5">
        <v>69</v>
      </c>
      <c r="D34" s="4" t="str">
        <f t="shared" si="0"/>
        <v>(32,1,69),</v>
      </c>
    </row>
    <row r="35" spans="1:4" ht="20.100000000000001" customHeight="1" x14ac:dyDescent="0.25">
      <c r="A35" s="3">
        <v>33</v>
      </c>
      <c r="B35" s="5">
        <v>1</v>
      </c>
      <c r="C35" s="5">
        <v>71</v>
      </c>
      <c r="D35" s="4" t="str">
        <f t="shared" si="0"/>
        <v>(33,1,71),</v>
      </c>
    </row>
    <row r="36" spans="1:4" ht="20.100000000000001" customHeight="1" x14ac:dyDescent="0.25">
      <c r="A36" s="3">
        <v>34</v>
      </c>
      <c r="B36" s="5">
        <v>1</v>
      </c>
      <c r="C36" s="5">
        <v>76</v>
      </c>
      <c r="D36" s="4" t="str">
        <f t="shared" si="0"/>
        <v>(34,1,76),</v>
      </c>
    </row>
    <row r="37" spans="1:4" ht="20.100000000000001" customHeight="1" x14ac:dyDescent="0.25">
      <c r="A37" s="3">
        <v>35</v>
      </c>
      <c r="B37" s="5">
        <v>1</v>
      </c>
      <c r="C37" s="5">
        <v>31</v>
      </c>
      <c r="D37" s="4" t="str">
        <f t="shared" si="0"/>
        <v>(35,1,31),</v>
      </c>
    </row>
    <row r="38" spans="1:4" ht="20.100000000000001" customHeight="1" x14ac:dyDescent="0.25">
      <c r="A38" s="3">
        <v>36</v>
      </c>
      <c r="B38" s="5">
        <v>1</v>
      </c>
      <c r="C38" s="5">
        <v>31</v>
      </c>
      <c r="D38" s="4" t="str">
        <f t="shared" si="0"/>
        <v>(36,1,31),</v>
      </c>
    </row>
    <row r="39" spans="1:4" ht="20.100000000000001" customHeight="1" x14ac:dyDescent="0.25">
      <c r="A39" s="3">
        <v>37</v>
      </c>
      <c r="B39" s="5">
        <v>1</v>
      </c>
      <c r="C39" s="5">
        <v>64</v>
      </c>
      <c r="D39" s="4" t="str">
        <f t="shared" si="0"/>
        <v>(37,1,64),</v>
      </c>
    </row>
    <row r="40" spans="1:4" ht="20.100000000000001" customHeight="1" x14ac:dyDescent="0.25">
      <c r="A40" s="3">
        <v>38</v>
      </c>
      <c r="B40" s="5">
        <v>1</v>
      </c>
      <c r="C40" s="5">
        <v>65</v>
      </c>
      <c r="D40" s="4" t="str">
        <f t="shared" si="0"/>
        <v>(38,1,65),</v>
      </c>
    </row>
    <row r="41" spans="1:4" ht="20.100000000000001" customHeight="1" x14ac:dyDescent="0.25">
      <c r="A41" s="3">
        <v>39</v>
      </c>
      <c r="B41" s="5">
        <v>1</v>
      </c>
      <c r="C41" s="5">
        <v>6</v>
      </c>
      <c r="D41" s="4" t="str">
        <f t="shared" si="0"/>
        <v>(39,1,6),</v>
      </c>
    </row>
    <row r="42" spans="1:4" ht="20.100000000000001" customHeight="1" x14ac:dyDescent="0.25">
      <c r="A42" s="3">
        <v>40</v>
      </c>
      <c r="B42" s="5">
        <v>1</v>
      </c>
      <c r="C42" s="5">
        <v>6</v>
      </c>
      <c r="D42" s="4" t="str">
        <f t="shared" si="0"/>
        <v>(40,1,6),</v>
      </c>
    </row>
    <row r="43" spans="1:4" ht="20.100000000000001" customHeight="1" x14ac:dyDescent="0.25">
      <c r="A43" s="3">
        <v>41</v>
      </c>
      <c r="B43" s="5">
        <v>1</v>
      </c>
      <c r="C43" s="5">
        <v>35</v>
      </c>
      <c r="D43" s="4" t="str">
        <f t="shared" si="0"/>
        <v>(41,1,35),</v>
      </c>
    </row>
    <row r="44" spans="1:4" ht="20.100000000000001" customHeight="1" x14ac:dyDescent="0.25">
      <c r="A44" s="3">
        <v>42</v>
      </c>
      <c r="B44" s="5">
        <v>1</v>
      </c>
      <c r="C44" s="5">
        <v>35</v>
      </c>
      <c r="D44" s="4" t="str">
        <f t="shared" si="0"/>
        <v>(42,1,35),</v>
      </c>
    </row>
    <row r="45" spans="1:4" ht="20.100000000000001" customHeight="1" x14ac:dyDescent="0.25">
      <c r="A45" s="3">
        <v>43</v>
      </c>
      <c r="B45" s="5">
        <v>1</v>
      </c>
      <c r="C45" s="5">
        <v>51</v>
      </c>
      <c r="D45" s="4" t="str">
        <f t="shared" si="0"/>
        <v>(43,1,51),</v>
      </c>
    </row>
    <row r="46" spans="1:4" ht="20.100000000000001" customHeight="1" x14ac:dyDescent="0.25">
      <c r="A46" s="3">
        <v>44</v>
      </c>
      <c r="B46" s="5">
        <v>1</v>
      </c>
      <c r="C46" s="5">
        <v>51</v>
      </c>
      <c r="D46" s="4" t="str">
        <f t="shared" si="0"/>
        <v>(44,1,51),</v>
      </c>
    </row>
    <row r="47" spans="1:4" ht="20.100000000000001" customHeight="1" x14ac:dyDescent="0.25">
      <c r="A47" s="3">
        <v>45</v>
      </c>
      <c r="B47" s="5">
        <v>1</v>
      </c>
      <c r="C47" s="5">
        <v>24</v>
      </c>
      <c r="D47" s="4" t="str">
        <f t="shared" si="0"/>
        <v>(45,1,24),</v>
      </c>
    </row>
    <row r="48" spans="1:4" ht="20.100000000000001" customHeight="1" x14ac:dyDescent="0.25">
      <c r="A48" s="3">
        <v>46</v>
      </c>
      <c r="B48" s="5">
        <v>1</v>
      </c>
      <c r="C48" s="5">
        <v>24</v>
      </c>
      <c r="D48" s="4" t="str">
        <f t="shared" si="0"/>
        <v>(46,1,24),</v>
      </c>
    </row>
    <row r="49" spans="1:4" ht="20.100000000000001" customHeight="1" x14ac:dyDescent="0.25">
      <c r="A49" s="3">
        <v>47</v>
      </c>
      <c r="B49" s="5">
        <v>1</v>
      </c>
      <c r="C49" s="5">
        <v>40</v>
      </c>
      <c r="D49" s="4" t="str">
        <f t="shared" si="0"/>
        <v>(47,1,40),</v>
      </c>
    </row>
    <row r="50" spans="1:4" ht="20.100000000000001" customHeight="1" x14ac:dyDescent="0.25">
      <c r="A50" s="3">
        <v>48</v>
      </c>
      <c r="B50" s="5">
        <v>1</v>
      </c>
      <c r="C50" s="5">
        <v>40</v>
      </c>
      <c r="D50" s="4" t="str">
        <f t="shared" si="0"/>
        <v>(48,1,40),</v>
      </c>
    </row>
    <row r="51" spans="1:4" ht="20.100000000000001" customHeight="1" x14ac:dyDescent="0.25">
      <c r="A51" s="3">
        <v>49</v>
      </c>
      <c r="B51" s="5">
        <v>1</v>
      </c>
      <c r="C51" s="5">
        <v>31</v>
      </c>
      <c r="D51" s="4" t="str">
        <f t="shared" si="0"/>
        <v>(49,1,31),</v>
      </c>
    </row>
    <row r="52" spans="1:4" ht="20.100000000000001" customHeight="1" x14ac:dyDescent="0.25">
      <c r="A52" s="3">
        <v>50</v>
      </c>
      <c r="B52" s="5">
        <v>1</v>
      </c>
      <c r="C52" s="5">
        <v>22</v>
      </c>
      <c r="D52" s="4" t="str">
        <f t="shared" si="0"/>
        <v>(50,1,22),</v>
      </c>
    </row>
    <row r="53" spans="1:4" ht="20.100000000000001" customHeight="1" x14ac:dyDescent="0.25">
      <c r="A53" s="3">
        <v>51</v>
      </c>
      <c r="B53" s="5">
        <v>1</v>
      </c>
      <c r="C53" s="5">
        <v>82</v>
      </c>
      <c r="D53" s="4" t="str">
        <f t="shared" si="0"/>
        <v>(51,1,82),</v>
      </c>
    </row>
    <row r="54" spans="1:4" ht="20.100000000000001" customHeight="1" x14ac:dyDescent="0.25">
      <c r="A54" s="3">
        <v>52</v>
      </c>
      <c r="B54" s="5">
        <v>1</v>
      </c>
      <c r="C54" s="5">
        <v>83</v>
      </c>
      <c r="D54" s="4" t="str">
        <f t="shared" si="0"/>
        <v>(52,1,83),</v>
      </c>
    </row>
    <row r="55" spans="1:4" ht="20.100000000000001" customHeight="1" x14ac:dyDescent="0.25">
      <c r="A55" s="3">
        <v>53</v>
      </c>
      <c r="B55" s="5">
        <v>1</v>
      </c>
      <c r="C55" s="5">
        <v>62</v>
      </c>
      <c r="D55" s="4" t="str">
        <f t="shared" si="0"/>
        <v>(53,1,62),</v>
      </c>
    </row>
    <row r="56" spans="1:4" ht="20.100000000000001" customHeight="1" x14ac:dyDescent="0.25">
      <c r="A56" s="3">
        <v>54</v>
      </c>
      <c r="B56" s="5">
        <v>1</v>
      </c>
      <c r="C56" s="5">
        <v>31</v>
      </c>
      <c r="D56" s="4" t="str">
        <f t="shared" si="0"/>
        <v>(54,1,31),</v>
      </c>
    </row>
    <row r="57" spans="1:4" ht="20.100000000000001" customHeight="1" x14ac:dyDescent="0.25">
      <c r="A57" s="3">
        <v>55</v>
      </c>
      <c r="B57" s="5">
        <v>1</v>
      </c>
      <c r="C57" s="5">
        <v>22</v>
      </c>
      <c r="D57" s="4" t="str">
        <f t="shared" si="0"/>
        <v>(55,1,22),</v>
      </c>
    </row>
    <row r="58" spans="1:4" ht="20.100000000000001" customHeight="1" x14ac:dyDescent="0.25">
      <c r="A58" s="3">
        <v>56</v>
      </c>
      <c r="B58" s="5">
        <v>1</v>
      </c>
      <c r="C58" s="5">
        <v>28</v>
      </c>
      <c r="D58" s="4" t="str">
        <f t="shared" si="0"/>
        <v>(56,1,28),</v>
      </c>
    </row>
    <row r="59" spans="1:4" ht="20.100000000000001" customHeight="1" x14ac:dyDescent="0.25">
      <c r="A59" s="3">
        <v>57</v>
      </c>
      <c r="B59" s="5">
        <v>1</v>
      </c>
      <c r="C59" s="5">
        <v>59</v>
      </c>
      <c r="D59" s="4" t="str">
        <f t="shared" si="0"/>
        <v>(57,1,59),</v>
      </c>
    </row>
    <row r="60" spans="1:4" ht="20.100000000000001" customHeight="1" x14ac:dyDescent="0.25">
      <c r="A60" s="3">
        <v>58</v>
      </c>
      <c r="B60" s="5">
        <v>1</v>
      </c>
      <c r="C60" s="5">
        <v>12</v>
      </c>
      <c r="D60" s="4" t="str">
        <f t="shared" si="0"/>
        <v>(58,1,12),</v>
      </c>
    </row>
    <row r="61" spans="1:4" ht="20.100000000000001" customHeight="1" x14ac:dyDescent="0.25">
      <c r="A61" s="3">
        <v>59</v>
      </c>
      <c r="B61" s="5">
        <v>1</v>
      </c>
      <c r="C61" s="5">
        <v>37</v>
      </c>
      <c r="D61" s="4" t="str">
        <f t="shared" si="0"/>
        <v>(59,1,37),</v>
      </c>
    </row>
    <row r="62" spans="1:4" ht="20.100000000000001" customHeight="1" x14ac:dyDescent="0.25">
      <c r="A62" s="3">
        <v>60</v>
      </c>
      <c r="B62" s="5">
        <v>1</v>
      </c>
      <c r="C62" s="5">
        <v>21</v>
      </c>
      <c r="D62" s="4" t="str">
        <f t="shared" si="0"/>
        <v>(60,1,21),</v>
      </c>
    </row>
    <row r="63" spans="1:4" ht="20.100000000000001" customHeight="1" x14ac:dyDescent="0.25">
      <c r="A63" s="3">
        <v>61</v>
      </c>
      <c r="B63" s="5">
        <v>1</v>
      </c>
      <c r="C63" s="5">
        <v>37</v>
      </c>
      <c r="D63" s="4" t="str">
        <f t="shared" si="0"/>
        <v>(61,1,37),</v>
      </c>
    </row>
    <row r="64" spans="1:4" ht="20.100000000000001" customHeight="1" x14ac:dyDescent="0.25">
      <c r="A64" s="3">
        <v>62</v>
      </c>
      <c r="B64" s="5">
        <v>1</v>
      </c>
      <c r="C64" s="5">
        <v>47</v>
      </c>
      <c r="D64" s="4" t="str">
        <f t="shared" si="0"/>
        <v>(62,1,47),</v>
      </c>
    </row>
    <row r="65" spans="1:4" ht="20.100000000000001" customHeight="1" x14ac:dyDescent="0.25">
      <c r="A65" s="3">
        <v>63</v>
      </c>
      <c r="B65" s="5">
        <v>1</v>
      </c>
      <c r="C65" s="5">
        <v>30</v>
      </c>
      <c r="D65" s="4" t="str">
        <f t="shared" si="0"/>
        <v>(63,1,30),</v>
      </c>
    </row>
    <row r="66" spans="1:4" ht="20.100000000000001" customHeight="1" x14ac:dyDescent="0.25">
      <c r="A66" s="3">
        <v>64</v>
      </c>
      <c r="B66" s="5">
        <v>1</v>
      </c>
      <c r="C66" s="5">
        <v>32</v>
      </c>
      <c r="D66" s="4" t="str">
        <f t="shared" si="0"/>
        <v>(64,1,32),</v>
      </c>
    </row>
    <row r="67" spans="1:4" ht="20.100000000000001" customHeight="1" x14ac:dyDescent="0.25">
      <c r="A67" s="3">
        <v>65</v>
      </c>
      <c r="B67" s="5">
        <v>1</v>
      </c>
      <c r="C67" s="5">
        <v>64</v>
      </c>
      <c r="D67" s="4" t="str">
        <f t="shared" si="0"/>
        <v>(65,1,64),</v>
      </c>
    </row>
    <row r="68" spans="1:4" ht="20.100000000000001" customHeight="1" x14ac:dyDescent="0.25">
      <c r="A68" s="3">
        <v>66</v>
      </c>
      <c r="B68" s="5">
        <v>1</v>
      </c>
      <c r="C68" s="5">
        <v>25</v>
      </c>
      <c r="D68" s="4" t="str">
        <f t="shared" ref="D68:D131" si="1">CONCATENATE("(",A68,",",B68,",",C68,"),")</f>
        <v>(66,1,25),</v>
      </c>
    </row>
    <row r="69" spans="1:4" ht="20.100000000000001" customHeight="1" x14ac:dyDescent="0.25">
      <c r="A69" s="3">
        <v>67</v>
      </c>
      <c r="B69" s="5">
        <v>1</v>
      </c>
      <c r="C69" s="5">
        <v>50</v>
      </c>
      <c r="D69" s="4" t="str">
        <f t="shared" si="1"/>
        <v>(67,1,50),</v>
      </c>
    </row>
    <row r="70" spans="1:4" ht="20.100000000000001" customHeight="1" x14ac:dyDescent="0.25">
      <c r="A70" s="3">
        <v>68</v>
      </c>
      <c r="B70" s="5">
        <v>1</v>
      </c>
      <c r="C70" s="5">
        <v>61</v>
      </c>
      <c r="D70" s="4" t="str">
        <f t="shared" si="1"/>
        <v>(68,1,61),</v>
      </c>
    </row>
    <row r="71" spans="1:4" ht="20.100000000000001" customHeight="1" x14ac:dyDescent="0.25">
      <c r="A71" s="3">
        <v>69</v>
      </c>
      <c r="B71" s="5">
        <v>1</v>
      </c>
      <c r="C71" s="5">
        <v>35</v>
      </c>
      <c r="D71" s="4" t="str">
        <f t="shared" si="1"/>
        <v>(69,1,35),</v>
      </c>
    </row>
    <row r="72" spans="1:4" ht="20.100000000000001" customHeight="1" x14ac:dyDescent="0.25">
      <c r="A72" s="3">
        <v>70</v>
      </c>
      <c r="B72" s="5">
        <v>1</v>
      </c>
      <c r="C72" s="5">
        <v>51</v>
      </c>
      <c r="D72" s="4" t="str">
        <f t="shared" si="1"/>
        <v>(70,1,51),</v>
      </c>
    </row>
    <row r="73" spans="1:4" ht="20.100000000000001" customHeight="1" x14ac:dyDescent="0.25">
      <c r="A73" s="3">
        <v>71</v>
      </c>
      <c r="B73" s="5">
        <v>1</v>
      </c>
      <c r="C73" s="5">
        <v>44</v>
      </c>
      <c r="D73" s="4" t="str">
        <f t="shared" si="1"/>
        <v>(71,1,44),</v>
      </c>
    </row>
    <row r="74" spans="1:4" ht="20.100000000000001" customHeight="1" x14ac:dyDescent="0.25">
      <c r="A74" s="3">
        <v>72</v>
      </c>
      <c r="B74" s="5">
        <v>1</v>
      </c>
      <c r="C74" s="5">
        <v>40</v>
      </c>
      <c r="D74" s="4" t="str">
        <f t="shared" si="1"/>
        <v>(72,1,40),</v>
      </c>
    </row>
    <row r="75" spans="1:4" ht="20.100000000000001" customHeight="1" x14ac:dyDescent="0.25">
      <c r="A75" s="3">
        <v>73</v>
      </c>
      <c r="B75" s="5">
        <v>1</v>
      </c>
      <c r="C75" s="5">
        <v>31</v>
      </c>
      <c r="D75" s="4" t="str">
        <f t="shared" si="1"/>
        <v>(73,1,31),</v>
      </c>
    </row>
    <row r="76" spans="1:4" ht="20.100000000000001" customHeight="1" x14ac:dyDescent="0.25">
      <c r="A76" s="3">
        <v>74</v>
      </c>
      <c r="B76" s="5">
        <v>1</v>
      </c>
      <c r="C76" s="5">
        <v>75</v>
      </c>
      <c r="D76" s="4" t="str">
        <f t="shared" si="1"/>
        <v>(74,1,75),</v>
      </c>
    </row>
    <row r="77" spans="1:4" ht="20.100000000000001" customHeight="1" x14ac:dyDescent="0.25">
      <c r="A77" s="3">
        <v>75</v>
      </c>
      <c r="B77" s="5">
        <v>1</v>
      </c>
      <c r="C77" s="5">
        <v>35</v>
      </c>
      <c r="D77" s="4" t="str">
        <f t="shared" si="1"/>
        <v>(75,1,35),</v>
      </c>
    </row>
    <row r="78" spans="1:4" ht="20.100000000000001" customHeight="1" x14ac:dyDescent="0.25">
      <c r="A78" s="3">
        <v>76</v>
      </c>
      <c r="B78" s="5">
        <v>1</v>
      </c>
      <c r="C78" s="5">
        <v>52</v>
      </c>
      <c r="D78" s="4" t="str">
        <f t="shared" si="1"/>
        <v>(76,1,52),</v>
      </c>
    </row>
    <row r="79" spans="1:4" ht="20.100000000000001" customHeight="1" x14ac:dyDescent="0.25">
      <c r="A79" s="3">
        <v>77</v>
      </c>
      <c r="B79" s="5">
        <v>1</v>
      </c>
      <c r="C79" s="5">
        <v>27</v>
      </c>
      <c r="D79" s="4" t="str">
        <f t="shared" si="1"/>
        <v>(77,1,27),</v>
      </c>
    </row>
    <row r="80" spans="1:4" ht="20.100000000000001" customHeight="1" x14ac:dyDescent="0.25">
      <c r="A80" s="3">
        <v>78</v>
      </c>
      <c r="B80" s="5">
        <v>1</v>
      </c>
      <c r="C80" s="5">
        <v>31</v>
      </c>
      <c r="D80" s="4" t="str">
        <f t="shared" si="1"/>
        <v>(78,1,31),</v>
      </c>
    </row>
    <row r="81" spans="1:4" ht="20.100000000000001" customHeight="1" x14ac:dyDescent="0.25">
      <c r="A81" s="3">
        <v>79</v>
      </c>
      <c r="B81" s="5">
        <v>1</v>
      </c>
      <c r="C81" s="5">
        <v>52</v>
      </c>
      <c r="D81" s="4" t="str">
        <f t="shared" si="1"/>
        <v>(79,1,52),</v>
      </c>
    </row>
    <row r="82" spans="1:4" ht="20.100000000000001" customHeight="1" x14ac:dyDescent="0.25">
      <c r="A82" s="3">
        <v>80</v>
      </c>
      <c r="B82" s="5">
        <v>1</v>
      </c>
      <c r="C82" s="5">
        <v>35</v>
      </c>
      <c r="D82" s="4" t="str">
        <f t="shared" si="1"/>
        <v>(80,1,35),</v>
      </c>
    </row>
    <row r="83" spans="1:4" ht="20.100000000000001" customHeight="1" x14ac:dyDescent="0.25">
      <c r="A83" s="3">
        <v>81</v>
      </c>
      <c r="B83" s="5">
        <v>1</v>
      </c>
      <c r="C83" s="5">
        <v>45</v>
      </c>
      <c r="D83" s="4" t="str">
        <f t="shared" si="1"/>
        <v>(81,1,45),</v>
      </c>
    </row>
    <row r="84" spans="1:4" ht="20.100000000000001" customHeight="1" x14ac:dyDescent="0.25">
      <c r="A84" s="3">
        <v>82</v>
      </c>
      <c r="B84" s="5">
        <v>1</v>
      </c>
      <c r="C84" s="5">
        <v>71</v>
      </c>
      <c r="D84" s="4" t="str">
        <f t="shared" si="1"/>
        <v>(82,1,71),</v>
      </c>
    </row>
    <row r="85" spans="1:4" ht="20.100000000000001" customHeight="1" x14ac:dyDescent="0.25">
      <c r="A85" s="3">
        <v>83</v>
      </c>
      <c r="B85" s="5">
        <v>1</v>
      </c>
      <c r="C85" s="5">
        <v>31</v>
      </c>
      <c r="D85" s="4" t="str">
        <f t="shared" si="1"/>
        <v>(83,1,31),</v>
      </c>
    </row>
    <row r="86" spans="1:4" ht="20.100000000000001" customHeight="1" x14ac:dyDescent="0.25">
      <c r="A86" s="3">
        <v>84</v>
      </c>
      <c r="B86" s="5">
        <v>1</v>
      </c>
      <c r="C86" s="5">
        <v>31</v>
      </c>
      <c r="D86" s="4" t="str">
        <f t="shared" si="1"/>
        <v>(84,1,31),</v>
      </c>
    </row>
    <row r="87" spans="1:4" ht="20.100000000000001" customHeight="1" x14ac:dyDescent="0.25">
      <c r="A87" s="3">
        <v>85</v>
      </c>
      <c r="B87" s="5">
        <v>1</v>
      </c>
      <c r="C87" s="5">
        <v>65</v>
      </c>
      <c r="D87" s="4" t="str">
        <f t="shared" si="1"/>
        <v>(85,1,65),</v>
      </c>
    </row>
    <row r="88" spans="1:4" ht="20.100000000000001" customHeight="1" x14ac:dyDescent="0.25">
      <c r="A88" s="3">
        <v>86</v>
      </c>
      <c r="B88" s="5">
        <v>1</v>
      </c>
      <c r="C88" s="5">
        <v>31</v>
      </c>
      <c r="D88" s="4" t="str">
        <f t="shared" si="1"/>
        <v>(86,1,31),</v>
      </c>
    </row>
    <row r="89" spans="1:4" ht="20.100000000000001" customHeight="1" x14ac:dyDescent="0.25">
      <c r="A89" s="3">
        <v>87</v>
      </c>
      <c r="B89" s="5">
        <v>1</v>
      </c>
      <c r="C89" s="5">
        <v>6</v>
      </c>
      <c r="D89" s="4" t="str">
        <f t="shared" si="1"/>
        <v>(87,1,6),</v>
      </c>
    </row>
    <row r="90" spans="1:4" ht="20.100000000000001" customHeight="1" x14ac:dyDescent="0.25">
      <c r="A90" s="3">
        <v>88</v>
      </c>
      <c r="B90" s="5">
        <v>1</v>
      </c>
      <c r="C90" s="5">
        <v>52</v>
      </c>
      <c r="D90" s="4" t="str">
        <f t="shared" si="1"/>
        <v>(88,1,52),</v>
      </c>
    </row>
    <row r="91" spans="1:4" ht="20.100000000000001" customHeight="1" x14ac:dyDescent="0.25">
      <c r="A91" s="3">
        <v>89</v>
      </c>
      <c r="B91" s="5">
        <v>1</v>
      </c>
      <c r="C91" s="5">
        <v>46</v>
      </c>
      <c r="D91" s="4" t="str">
        <f t="shared" si="1"/>
        <v>(89,1,46),</v>
      </c>
    </row>
    <row r="92" spans="1:4" ht="20.100000000000001" customHeight="1" x14ac:dyDescent="0.25">
      <c r="A92" s="3">
        <v>90</v>
      </c>
      <c r="B92" s="5">
        <v>1</v>
      </c>
      <c r="C92" s="5">
        <v>84</v>
      </c>
      <c r="D92" s="4" t="str">
        <f t="shared" si="1"/>
        <v>(90,1,84),</v>
      </c>
    </row>
    <row r="93" spans="1:4" ht="20.100000000000001" customHeight="1" x14ac:dyDescent="0.25">
      <c r="A93" s="3">
        <v>91</v>
      </c>
      <c r="B93" s="5">
        <v>1</v>
      </c>
      <c r="C93" s="5">
        <v>19</v>
      </c>
      <c r="D93" s="4" t="str">
        <f t="shared" si="1"/>
        <v>(91,1,19),</v>
      </c>
    </row>
    <row r="94" spans="1:4" ht="20.100000000000001" customHeight="1" x14ac:dyDescent="0.25">
      <c r="A94" s="3">
        <v>92</v>
      </c>
      <c r="B94" s="5">
        <v>1</v>
      </c>
      <c r="C94" s="5">
        <v>78</v>
      </c>
      <c r="D94" s="4" t="str">
        <f t="shared" si="1"/>
        <v>(92,1,78),</v>
      </c>
    </row>
    <row r="95" spans="1:4" ht="20.100000000000001" customHeight="1" x14ac:dyDescent="0.25">
      <c r="A95" s="3">
        <v>93</v>
      </c>
      <c r="B95" s="5">
        <v>1</v>
      </c>
      <c r="C95" s="5">
        <v>79</v>
      </c>
      <c r="D95" s="4" t="str">
        <f t="shared" si="1"/>
        <v>(93,1,79),</v>
      </c>
    </row>
    <row r="96" spans="1:4" ht="20.100000000000001" customHeight="1" x14ac:dyDescent="0.25">
      <c r="A96" s="3">
        <v>94</v>
      </c>
      <c r="B96" s="5">
        <v>1</v>
      </c>
      <c r="C96" s="5">
        <v>80</v>
      </c>
      <c r="D96" s="4" t="str">
        <f t="shared" si="1"/>
        <v>(94,1,80),</v>
      </c>
    </row>
    <row r="97" spans="1:4" ht="20.100000000000001" customHeight="1" x14ac:dyDescent="0.25">
      <c r="A97" s="3">
        <v>95</v>
      </c>
      <c r="B97" s="5">
        <v>1</v>
      </c>
      <c r="C97" s="5">
        <v>56</v>
      </c>
      <c r="D97" s="4" t="str">
        <f t="shared" si="1"/>
        <v>(95,1,56),</v>
      </c>
    </row>
    <row r="98" spans="1:4" ht="20.100000000000001" customHeight="1" x14ac:dyDescent="0.25">
      <c r="A98" s="3">
        <v>96</v>
      </c>
      <c r="B98" s="5">
        <v>1</v>
      </c>
      <c r="C98" s="5">
        <v>57</v>
      </c>
      <c r="D98" s="4" t="str">
        <f t="shared" si="1"/>
        <v>(96,1,57),</v>
      </c>
    </row>
    <row r="99" spans="1:4" ht="20.100000000000001" customHeight="1" x14ac:dyDescent="0.25">
      <c r="A99" s="3">
        <v>97</v>
      </c>
      <c r="B99" s="5">
        <v>1</v>
      </c>
      <c r="C99" s="5">
        <v>58</v>
      </c>
      <c r="D99" s="4" t="str">
        <f t="shared" si="1"/>
        <v>(97,1,58),</v>
      </c>
    </row>
    <row r="100" spans="1:4" ht="20.100000000000001" customHeight="1" x14ac:dyDescent="0.25">
      <c r="A100" s="3">
        <v>98</v>
      </c>
      <c r="B100" s="5">
        <v>1</v>
      </c>
      <c r="C100" s="5">
        <v>46</v>
      </c>
      <c r="D100" s="4" t="str">
        <f t="shared" si="1"/>
        <v>(98,1,46),</v>
      </c>
    </row>
    <row r="101" spans="1:4" ht="20.100000000000001" customHeight="1" x14ac:dyDescent="0.25">
      <c r="A101" s="3">
        <v>99</v>
      </c>
      <c r="B101" s="5">
        <v>1</v>
      </c>
      <c r="C101" s="5">
        <v>46</v>
      </c>
      <c r="D101" s="4" t="str">
        <f t="shared" si="1"/>
        <v>(99,1,46),</v>
      </c>
    </row>
    <row r="102" spans="1:4" ht="20.100000000000001" customHeight="1" x14ac:dyDescent="0.25">
      <c r="A102" s="3">
        <v>100</v>
      </c>
      <c r="B102" s="5">
        <v>1</v>
      </c>
      <c r="C102" s="5">
        <v>46</v>
      </c>
      <c r="D102" s="4" t="str">
        <f t="shared" si="1"/>
        <v>(100,1,46),</v>
      </c>
    </row>
    <row r="103" spans="1:4" ht="20.100000000000001" customHeight="1" x14ac:dyDescent="0.25">
      <c r="A103" s="3">
        <v>101</v>
      </c>
      <c r="B103" s="5">
        <v>1</v>
      </c>
      <c r="C103" s="5">
        <v>60</v>
      </c>
      <c r="D103" s="4" t="str">
        <f t="shared" si="1"/>
        <v>(101,1,60),</v>
      </c>
    </row>
    <row r="104" spans="1:4" ht="20.100000000000001" customHeight="1" x14ac:dyDescent="0.25">
      <c r="A104" s="3">
        <v>102</v>
      </c>
      <c r="B104" s="5">
        <v>1</v>
      </c>
      <c r="C104" s="5">
        <v>60</v>
      </c>
      <c r="D104" s="4" t="str">
        <f t="shared" si="1"/>
        <v>(102,1,60),</v>
      </c>
    </row>
    <row r="105" spans="1:4" ht="20.100000000000001" customHeight="1" x14ac:dyDescent="0.25">
      <c r="A105" s="3">
        <v>103</v>
      </c>
      <c r="B105" s="5">
        <v>1</v>
      </c>
      <c r="C105" s="5">
        <v>60</v>
      </c>
      <c r="D105" s="4" t="str">
        <f t="shared" si="1"/>
        <v>(103,1,60),</v>
      </c>
    </row>
    <row r="106" spans="1:4" ht="20.100000000000001" customHeight="1" x14ac:dyDescent="0.25">
      <c r="A106" s="3">
        <v>104</v>
      </c>
      <c r="B106" s="5">
        <v>1</v>
      </c>
      <c r="C106" s="5">
        <v>40</v>
      </c>
      <c r="D106" s="4" t="str">
        <f t="shared" si="1"/>
        <v>(104,1,40),</v>
      </c>
    </row>
    <row r="107" spans="1:4" ht="20.100000000000001" customHeight="1" x14ac:dyDescent="0.25">
      <c r="A107" s="3">
        <v>105</v>
      </c>
      <c r="B107" s="5">
        <v>1</v>
      </c>
      <c r="C107" s="5">
        <v>40</v>
      </c>
      <c r="D107" s="4" t="str">
        <f t="shared" si="1"/>
        <v>(105,1,40),</v>
      </c>
    </row>
    <row r="108" spans="1:4" ht="20.100000000000001" customHeight="1" x14ac:dyDescent="0.25">
      <c r="A108" s="3">
        <v>106</v>
      </c>
      <c r="B108" s="5">
        <v>1</v>
      </c>
      <c r="C108" s="5">
        <v>40</v>
      </c>
      <c r="D108" s="4" t="str">
        <f t="shared" si="1"/>
        <v>(106,1,40),</v>
      </c>
    </row>
    <row r="109" spans="1:4" ht="20.100000000000001" customHeight="1" x14ac:dyDescent="0.25">
      <c r="A109" s="3">
        <v>107</v>
      </c>
      <c r="B109" s="5">
        <v>1</v>
      </c>
      <c r="C109" s="5">
        <v>42</v>
      </c>
      <c r="D109" s="4" t="str">
        <f t="shared" si="1"/>
        <v>(107,1,42),</v>
      </c>
    </row>
    <row r="110" spans="1:4" ht="20.100000000000001" customHeight="1" x14ac:dyDescent="0.25">
      <c r="A110" s="3">
        <v>108</v>
      </c>
      <c r="B110" s="5">
        <v>1</v>
      </c>
      <c r="C110" s="5">
        <v>33</v>
      </c>
      <c r="D110" s="4" t="str">
        <f t="shared" si="1"/>
        <v>(108,1,33),</v>
      </c>
    </row>
    <row r="111" spans="1:4" ht="20.100000000000001" customHeight="1" x14ac:dyDescent="0.25">
      <c r="A111" s="3">
        <v>109</v>
      </c>
      <c r="B111" s="5">
        <v>1</v>
      </c>
      <c r="C111" s="5">
        <v>68</v>
      </c>
      <c r="D111" s="4" t="str">
        <f t="shared" si="1"/>
        <v>(109,1,68),</v>
      </c>
    </row>
    <row r="112" spans="1:4" ht="20.100000000000001" customHeight="1" x14ac:dyDescent="0.25">
      <c r="A112" s="3">
        <v>110</v>
      </c>
      <c r="B112" s="5">
        <v>1</v>
      </c>
      <c r="C112" s="5">
        <v>20</v>
      </c>
      <c r="D112" s="4" t="str">
        <f t="shared" si="1"/>
        <v>(110,1,20),</v>
      </c>
    </row>
    <row r="113" spans="1:4" ht="20.100000000000001" customHeight="1" x14ac:dyDescent="0.25">
      <c r="A113" s="3">
        <v>111</v>
      </c>
      <c r="B113" s="5">
        <v>1</v>
      </c>
      <c r="C113" s="5">
        <v>74</v>
      </c>
      <c r="D113" s="4" t="str">
        <f t="shared" si="1"/>
        <v>(111,1,74),</v>
      </c>
    </row>
    <row r="114" spans="1:4" ht="20.100000000000001" customHeight="1" x14ac:dyDescent="0.25">
      <c r="A114" s="3">
        <v>112</v>
      </c>
      <c r="B114" s="5">
        <v>1</v>
      </c>
      <c r="C114" s="5">
        <v>43</v>
      </c>
      <c r="D114" s="4" t="str">
        <f t="shared" si="1"/>
        <v>(112,1,43),</v>
      </c>
    </row>
    <row r="115" spans="1:4" ht="20.100000000000001" customHeight="1" x14ac:dyDescent="0.25">
      <c r="A115" s="3">
        <v>113</v>
      </c>
      <c r="B115" s="5">
        <v>1</v>
      </c>
      <c r="C115" s="5">
        <v>3</v>
      </c>
      <c r="D115" s="4" t="str">
        <f t="shared" si="1"/>
        <v>(113,1,3),</v>
      </c>
    </row>
    <row r="116" spans="1:4" ht="20.100000000000001" customHeight="1" x14ac:dyDescent="0.25">
      <c r="A116" s="3">
        <v>114</v>
      </c>
      <c r="B116" s="5">
        <v>1</v>
      </c>
      <c r="C116" s="5">
        <v>55</v>
      </c>
      <c r="D116" s="4" t="str">
        <f t="shared" si="1"/>
        <v>(114,1,55),</v>
      </c>
    </row>
    <row r="117" spans="1:4" ht="20.100000000000001" customHeight="1" x14ac:dyDescent="0.25">
      <c r="A117" s="3">
        <v>115</v>
      </c>
      <c r="B117" s="5">
        <v>1</v>
      </c>
      <c r="C117" s="5">
        <v>35</v>
      </c>
      <c r="D117" s="4" t="str">
        <f t="shared" si="1"/>
        <v>(115,1,35),</v>
      </c>
    </row>
    <row r="118" spans="1:4" ht="20.100000000000001" customHeight="1" x14ac:dyDescent="0.25">
      <c r="A118" s="3">
        <v>116</v>
      </c>
      <c r="B118" s="5">
        <v>1</v>
      </c>
      <c r="C118" s="5">
        <v>41</v>
      </c>
      <c r="D118" s="4" t="str">
        <f t="shared" si="1"/>
        <v>(116,1,41),</v>
      </c>
    </row>
    <row r="119" spans="1:4" ht="20.100000000000001" customHeight="1" x14ac:dyDescent="0.25">
      <c r="A119" s="3">
        <v>117</v>
      </c>
      <c r="B119" s="5">
        <v>1</v>
      </c>
      <c r="C119" s="5">
        <v>81</v>
      </c>
      <c r="D119" s="4" t="str">
        <f t="shared" si="1"/>
        <v>(117,1,81),</v>
      </c>
    </row>
    <row r="120" spans="1:4" ht="20.100000000000001" customHeight="1" x14ac:dyDescent="0.25">
      <c r="A120" s="3">
        <v>118</v>
      </c>
      <c r="B120" s="5">
        <v>1</v>
      </c>
      <c r="C120" s="5">
        <v>72</v>
      </c>
      <c r="D120" s="4" t="str">
        <f t="shared" si="1"/>
        <v>(118,1,72),</v>
      </c>
    </row>
    <row r="121" spans="1:4" ht="20.100000000000001" customHeight="1" x14ac:dyDescent="0.25">
      <c r="A121" s="3">
        <v>119</v>
      </c>
      <c r="B121" s="5">
        <v>1</v>
      </c>
      <c r="C121" s="5">
        <v>85</v>
      </c>
      <c r="D121" s="4" t="str">
        <f t="shared" si="1"/>
        <v>(119,1,85),</v>
      </c>
    </row>
    <row r="122" spans="1:4" ht="20.100000000000001" customHeight="1" x14ac:dyDescent="0.25">
      <c r="A122" s="3">
        <v>120</v>
      </c>
      <c r="B122" s="5">
        <v>1</v>
      </c>
      <c r="C122" s="5">
        <v>66</v>
      </c>
      <c r="D122" s="4" t="str">
        <f t="shared" si="1"/>
        <v>(120,1,66),</v>
      </c>
    </row>
    <row r="123" spans="1:4" ht="20.100000000000001" customHeight="1" x14ac:dyDescent="0.25">
      <c r="A123" s="3">
        <v>121</v>
      </c>
      <c r="B123" s="5">
        <v>1</v>
      </c>
      <c r="C123" s="5">
        <v>35</v>
      </c>
      <c r="D123" s="4" t="str">
        <f t="shared" si="1"/>
        <v>(121,1,35),</v>
      </c>
    </row>
    <row r="124" spans="1:4" ht="20.100000000000001" customHeight="1" x14ac:dyDescent="0.25">
      <c r="A124" s="3">
        <v>122</v>
      </c>
      <c r="B124" s="5">
        <v>1</v>
      </c>
      <c r="C124" s="5">
        <v>16</v>
      </c>
      <c r="D124" s="4" t="str">
        <f t="shared" si="1"/>
        <v>(122,1,16),</v>
      </c>
    </row>
    <row r="125" spans="1:4" ht="20.100000000000001" customHeight="1" x14ac:dyDescent="0.25">
      <c r="A125" s="3">
        <v>123</v>
      </c>
      <c r="B125" s="5">
        <v>1</v>
      </c>
      <c r="C125" s="5">
        <v>16</v>
      </c>
      <c r="D125" s="4" t="str">
        <f t="shared" si="1"/>
        <v>(123,1,16),</v>
      </c>
    </row>
    <row r="126" spans="1:4" ht="20.100000000000001" customHeight="1" x14ac:dyDescent="0.25">
      <c r="A126" s="3">
        <v>124</v>
      </c>
      <c r="B126" s="5">
        <v>1</v>
      </c>
      <c r="C126" s="5">
        <v>16</v>
      </c>
      <c r="D126" s="4" t="str">
        <f t="shared" si="1"/>
        <v>(124,1,16),</v>
      </c>
    </row>
    <row r="127" spans="1:4" ht="20.100000000000001" customHeight="1" x14ac:dyDescent="0.25">
      <c r="A127" s="3">
        <v>125</v>
      </c>
      <c r="B127" s="5">
        <v>1</v>
      </c>
      <c r="C127" s="5">
        <v>29</v>
      </c>
      <c r="D127" s="4" t="str">
        <f t="shared" si="1"/>
        <v>(125,1,29),</v>
      </c>
    </row>
    <row r="128" spans="1:4" ht="20.100000000000001" customHeight="1" x14ac:dyDescent="0.25">
      <c r="A128" s="3">
        <v>126</v>
      </c>
      <c r="B128" s="5">
        <v>1</v>
      </c>
      <c r="C128" s="5">
        <v>49</v>
      </c>
      <c r="D128" s="4" t="str">
        <f t="shared" si="1"/>
        <v>(126,1,49),</v>
      </c>
    </row>
    <row r="129" spans="1:4" ht="20.100000000000001" customHeight="1" x14ac:dyDescent="0.25">
      <c r="A129" s="3">
        <v>127</v>
      </c>
      <c r="B129" s="5">
        <v>1</v>
      </c>
      <c r="C129" s="5">
        <v>49</v>
      </c>
      <c r="D129" s="4" t="str">
        <f t="shared" si="1"/>
        <v>(127,1,49),</v>
      </c>
    </row>
    <row r="130" spans="1:4" ht="20.100000000000001" customHeight="1" x14ac:dyDescent="0.25">
      <c r="A130" s="3">
        <v>128</v>
      </c>
      <c r="B130" s="5">
        <v>1</v>
      </c>
      <c r="C130" s="5">
        <v>76</v>
      </c>
      <c r="D130" s="4" t="str">
        <f t="shared" si="1"/>
        <v>(128,1,76),</v>
      </c>
    </row>
    <row r="131" spans="1:4" ht="20.100000000000001" customHeight="1" x14ac:dyDescent="0.25">
      <c r="A131" s="3">
        <v>129</v>
      </c>
      <c r="B131" s="5">
        <v>1</v>
      </c>
      <c r="C131" s="5">
        <v>53</v>
      </c>
      <c r="D131" s="4" t="str">
        <f t="shared" si="1"/>
        <v>(129,1,53),</v>
      </c>
    </row>
    <row r="132" spans="1:4" ht="20.100000000000001" customHeight="1" x14ac:dyDescent="0.25">
      <c r="A132" s="3">
        <v>130</v>
      </c>
      <c r="B132" s="5">
        <v>1</v>
      </c>
      <c r="C132" s="5">
        <v>34</v>
      </c>
      <c r="D132" s="4" t="str">
        <f t="shared" ref="D132:D157" si="2">CONCATENATE("(",A132,",",B132,",",C132,"),")</f>
        <v>(130,1,34),</v>
      </c>
    </row>
    <row r="133" spans="1:4" ht="20.100000000000001" customHeight="1" x14ac:dyDescent="0.25">
      <c r="A133" s="3">
        <v>131</v>
      </c>
      <c r="B133" s="5">
        <v>1</v>
      </c>
      <c r="C133" s="5">
        <v>76</v>
      </c>
      <c r="D133" s="4" t="str">
        <f t="shared" si="2"/>
        <v>(131,1,76),</v>
      </c>
    </row>
    <row r="134" spans="1:4" ht="20.100000000000001" customHeight="1" x14ac:dyDescent="0.25">
      <c r="A134" s="3">
        <v>132</v>
      </c>
      <c r="B134" s="5">
        <v>1</v>
      </c>
      <c r="C134" s="5">
        <v>76</v>
      </c>
      <c r="D134" s="4" t="str">
        <f t="shared" si="2"/>
        <v>(132,1,76),</v>
      </c>
    </row>
    <row r="135" spans="1:4" ht="20.100000000000001" customHeight="1" x14ac:dyDescent="0.25">
      <c r="A135" s="3">
        <v>133</v>
      </c>
      <c r="B135" s="5">
        <v>1</v>
      </c>
      <c r="C135" s="5">
        <v>73</v>
      </c>
      <c r="D135" s="4" t="str">
        <f t="shared" si="2"/>
        <v>(133,1,73),</v>
      </c>
    </row>
    <row r="136" spans="1:4" ht="20.100000000000001" customHeight="1" x14ac:dyDescent="0.25">
      <c r="A136" s="3">
        <v>134</v>
      </c>
      <c r="B136" s="5">
        <v>1</v>
      </c>
      <c r="C136" s="5">
        <v>54</v>
      </c>
      <c r="D136" s="4" t="str">
        <f t="shared" si="2"/>
        <v>(134,1,54),</v>
      </c>
    </row>
    <row r="137" spans="1:4" ht="20.100000000000001" customHeight="1" x14ac:dyDescent="0.25">
      <c r="A137" s="3">
        <v>135</v>
      </c>
      <c r="B137" s="5">
        <v>1</v>
      </c>
      <c r="C137" s="5">
        <v>77</v>
      </c>
      <c r="D137" s="4" t="str">
        <f t="shared" si="2"/>
        <v>(135,1,77),</v>
      </c>
    </row>
    <row r="138" spans="1:4" ht="20.100000000000001" customHeight="1" x14ac:dyDescent="0.25">
      <c r="A138" s="3">
        <v>136</v>
      </c>
      <c r="B138" s="5">
        <v>1</v>
      </c>
      <c r="C138" s="5">
        <v>1</v>
      </c>
      <c r="D138" s="4" t="str">
        <f t="shared" si="2"/>
        <v>(136,1,1),</v>
      </c>
    </row>
    <row r="139" spans="1:4" ht="20.100000000000001" customHeight="1" x14ac:dyDescent="0.25">
      <c r="A139" s="3">
        <v>137</v>
      </c>
      <c r="B139" s="5">
        <v>1</v>
      </c>
      <c r="C139" s="5">
        <v>10</v>
      </c>
      <c r="D139" s="4" t="str">
        <f t="shared" si="2"/>
        <v>(137,1,10),</v>
      </c>
    </row>
    <row r="140" spans="1:4" ht="20.100000000000001" customHeight="1" x14ac:dyDescent="0.25">
      <c r="A140" s="3">
        <v>138</v>
      </c>
      <c r="B140" s="5">
        <v>1</v>
      </c>
      <c r="C140" s="5">
        <v>69</v>
      </c>
      <c r="D140" s="4" t="str">
        <f t="shared" si="2"/>
        <v>(138,1,69),</v>
      </c>
    </row>
    <row r="141" spans="1:4" ht="20.100000000000001" customHeight="1" x14ac:dyDescent="0.25">
      <c r="A141" s="3">
        <v>139</v>
      </c>
      <c r="B141" s="5">
        <v>1</v>
      </c>
      <c r="C141" s="5">
        <v>37</v>
      </c>
      <c r="D141" s="4" t="str">
        <f t="shared" si="2"/>
        <v>(139,1,37),</v>
      </c>
    </row>
    <row r="142" spans="1:4" ht="20.100000000000001" customHeight="1" x14ac:dyDescent="0.25">
      <c r="A142" s="3">
        <v>140</v>
      </c>
      <c r="B142" s="5">
        <v>1</v>
      </c>
      <c r="C142" s="5">
        <v>15</v>
      </c>
      <c r="D142" s="4" t="str">
        <f t="shared" si="2"/>
        <v>(140,1,15),</v>
      </c>
    </row>
    <row r="143" spans="1:4" ht="20.100000000000001" customHeight="1" x14ac:dyDescent="0.25">
      <c r="A143" s="3">
        <v>141</v>
      </c>
      <c r="B143" s="5">
        <v>1</v>
      </c>
      <c r="C143" s="5">
        <v>35</v>
      </c>
      <c r="D143" s="4" t="str">
        <f t="shared" si="2"/>
        <v>(141,1,35),</v>
      </c>
    </row>
    <row r="144" spans="1:4" ht="20.100000000000001" customHeight="1" x14ac:dyDescent="0.25">
      <c r="A144" s="3">
        <v>142</v>
      </c>
      <c r="B144" s="5">
        <v>1</v>
      </c>
      <c r="C144" s="5">
        <v>63</v>
      </c>
      <c r="D144" s="4" t="str">
        <f t="shared" si="2"/>
        <v>(142,1,63),</v>
      </c>
    </row>
    <row r="145" spans="1:4" ht="20.100000000000001" customHeight="1" x14ac:dyDescent="0.25">
      <c r="A145" s="3">
        <v>143</v>
      </c>
      <c r="B145" s="5">
        <v>1</v>
      </c>
      <c r="C145" s="5">
        <v>81</v>
      </c>
      <c r="D145" s="4" t="str">
        <f t="shared" si="2"/>
        <v>(143,1,81),</v>
      </c>
    </row>
    <row r="146" spans="1:4" ht="20.100000000000001" customHeight="1" x14ac:dyDescent="0.25">
      <c r="A146" s="3">
        <v>144</v>
      </c>
      <c r="B146" s="5">
        <v>1</v>
      </c>
      <c r="C146" s="5">
        <v>4</v>
      </c>
      <c r="D146" s="4" t="str">
        <f t="shared" si="2"/>
        <v>(144,1,4),</v>
      </c>
    </row>
    <row r="147" spans="1:4" ht="20.100000000000001" customHeight="1" x14ac:dyDescent="0.25">
      <c r="A147" s="3">
        <v>145</v>
      </c>
      <c r="B147" s="5">
        <v>1</v>
      </c>
      <c r="C147" s="5">
        <v>70</v>
      </c>
      <c r="D147" s="4" t="str">
        <f t="shared" si="2"/>
        <v>(145,1,70),</v>
      </c>
    </row>
    <row r="148" spans="1:4" ht="20.100000000000001" customHeight="1" x14ac:dyDescent="0.25">
      <c r="A148" s="3">
        <v>146</v>
      </c>
      <c r="B148" s="5">
        <v>1</v>
      </c>
      <c r="C148" s="5">
        <v>63</v>
      </c>
      <c r="D148" s="4" t="str">
        <f t="shared" si="2"/>
        <v>(146,1,63),</v>
      </c>
    </row>
    <row r="149" spans="1:4" ht="20.100000000000001" customHeight="1" x14ac:dyDescent="0.25">
      <c r="A149" s="3">
        <v>147</v>
      </c>
      <c r="B149" s="5">
        <v>1</v>
      </c>
      <c r="C149" s="5">
        <v>81</v>
      </c>
      <c r="D149" s="4" t="str">
        <f t="shared" si="2"/>
        <v>(147,1,81),</v>
      </c>
    </row>
    <row r="150" spans="1:4" ht="20.100000000000001" customHeight="1" x14ac:dyDescent="0.25">
      <c r="A150" s="3">
        <v>148</v>
      </c>
      <c r="B150" s="5">
        <v>1</v>
      </c>
      <c r="C150" s="5">
        <v>4</v>
      </c>
      <c r="D150" s="4" t="str">
        <f t="shared" si="2"/>
        <v>(148,1,4),</v>
      </c>
    </row>
    <row r="151" spans="1:4" ht="20.100000000000001" customHeight="1" x14ac:dyDescent="0.25">
      <c r="A151" s="3">
        <v>149</v>
      </c>
      <c r="B151" s="5">
        <v>1</v>
      </c>
      <c r="C151" s="5">
        <v>26</v>
      </c>
      <c r="D151" s="4" t="str">
        <f t="shared" si="2"/>
        <v>(149,1,26),</v>
      </c>
    </row>
    <row r="152" spans="1:4" ht="20.100000000000001" customHeight="1" x14ac:dyDescent="0.25">
      <c r="A152" s="3">
        <v>150</v>
      </c>
      <c r="B152" s="5">
        <v>1</v>
      </c>
      <c r="C152" s="5">
        <v>37</v>
      </c>
      <c r="D152" s="4" t="str">
        <f t="shared" si="2"/>
        <v>(150,1,37),</v>
      </c>
    </row>
    <row r="153" spans="1:4" ht="20.100000000000001" customHeight="1" x14ac:dyDescent="0.25">
      <c r="A153" s="3">
        <v>151</v>
      </c>
      <c r="B153" s="5">
        <v>1</v>
      </c>
      <c r="C153" s="5">
        <v>35</v>
      </c>
      <c r="D153" s="4" t="str">
        <f t="shared" si="2"/>
        <v>(151,1,35),</v>
      </c>
    </row>
    <row r="154" spans="1:4" ht="20.100000000000001" customHeight="1" x14ac:dyDescent="0.25">
      <c r="A154" s="3">
        <v>152</v>
      </c>
      <c r="B154" s="5">
        <v>1</v>
      </c>
      <c r="C154" s="5">
        <v>35</v>
      </c>
      <c r="D154" s="4" t="str">
        <f t="shared" si="2"/>
        <v>(152,1,35),</v>
      </c>
    </row>
    <row r="155" spans="1:4" ht="20.100000000000001" customHeight="1" x14ac:dyDescent="0.25">
      <c r="A155" s="3">
        <v>153</v>
      </c>
      <c r="B155" s="5">
        <v>1</v>
      </c>
      <c r="C155" s="5">
        <v>35</v>
      </c>
      <c r="D155" s="4" t="str">
        <f t="shared" si="2"/>
        <v>(153,1,35),</v>
      </c>
    </row>
    <row r="156" spans="1:4" ht="20.100000000000001" customHeight="1" x14ac:dyDescent="0.25">
      <c r="A156" s="3">
        <v>154</v>
      </c>
      <c r="B156" s="5">
        <v>1</v>
      </c>
      <c r="C156" s="5">
        <v>82</v>
      </c>
      <c r="D156" s="4" t="str">
        <f t="shared" si="2"/>
        <v>(154,1,82),</v>
      </c>
    </row>
    <row r="157" spans="1:4" ht="20.100000000000001" customHeight="1" x14ac:dyDescent="0.25">
      <c r="A157" s="3">
        <v>155</v>
      </c>
      <c r="B157" s="5">
        <v>1</v>
      </c>
      <c r="C157" s="5">
        <v>4</v>
      </c>
      <c r="D157" s="4" t="str">
        <f t="shared" si="2"/>
        <v>(155,1,4),</v>
      </c>
    </row>
  </sheetData>
  <autoFilter ref="A2:D157"/>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1:D89"/>
  <sheetViews>
    <sheetView workbookViewId="0">
      <selection activeCell="I59" sqref="I59"/>
    </sheetView>
  </sheetViews>
  <sheetFormatPr baseColWidth="10" defaultColWidth="10.85546875" defaultRowHeight="15.75" x14ac:dyDescent="0.25"/>
  <cols>
    <col min="1" max="1" width="5.5703125" style="2" customWidth="1"/>
    <col min="2" max="3" width="15.5703125" style="2" customWidth="1"/>
    <col min="4" max="4" width="65.42578125" style="2" bestFit="1" customWidth="1"/>
    <col min="5" max="16384" width="10.85546875" style="2"/>
  </cols>
  <sheetData>
    <row r="1" spans="1:4" ht="20.100000000000001" customHeight="1" x14ac:dyDescent="0.25">
      <c r="A1" s="1" t="s">
        <v>37</v>
      </c>
      <c r="B1" s="1" t="s">
        <v>4083</v>
      </c>
      <c r="C1" s="1" t="s">
        <v>5530</v>
      </c>
      <c r="D1" s="1" t="s">
        <v>5597</v>
      </c>
    </row>
    <row r="2" spans="1:4" ht="20.100000000000001" customHeight="1" x14ac:dyDescent="0.25">
      <c r="A2" s="1" t="s">
        <v>44</v>
      </c>
      <c r="B2" s="1" t="s">
        <v>5531</v>
      </c>
      <c r="C2" s="1" t="s">
        <v>5532</v>
      </c>
      <c r="D2" s="1" t="s">
        <v>5603</v>
      </c>
    </row>
    <row r="3" spans="1:4" ht="20.100000000000001" customHeight="1" x14ac:dyDescent="0.25">
      <c r="A3" s="3">
        <v>35</v>
      </c>
      <c r="B3" s="5">
        <v>7</v>
      </c>
      <c r="C3" s="5">
        <v>1</v>
      </c>
      <c r="D3" s="4" t="str">
        <f>CONCATENATE("(",A3,",",B3,",",C3,"),")</f>
        <v>(35,7,1),</v>
      </c>
    </row>
    <row r="4" spans="1:4" ht="20.100000000000001" customHeight="1" x14ac:dyDescent="0.25">
      <c r="A4" s="3">
        <v>36</v>
      </c>
      <c r="B4" s="5">
        <v>7</v>
      </c>
      <c r="C4" s="5">
        <v>1</v>
      </c>
      <c r="D4" s="4" t="str">
        <f t="shared" ref="D4:D67" si="0">CONCATENATE("(",A4,",",B4,",",C4,"),")</f>
        <v>(36,7,1),</v>
      </c>
    </row>
    <row r="5" spans="1:4" ht="20.100000000000001" customHeight="1" x14ac:dyDescent="0.25">
      <c r="A5" s="3">
        <v>37</v>
      </c>
      <c r="B5" s="5">
        <v>7</v>
      </c>
      <c r="C5" s="5">
        <v>1</v>
      </c>
      <c r="D5" s="4" t="str">
        <f t="shared" si="0"/>
        <v>(37,7,1),</v>
      </c>
    </row>
    <row r="6" spans="1:4" ht="20.100000000000001" customHeight="1" x14ac:dyDescent="0.25">
      <c r="A6" s="3">
        <v>38</v>
      </c>
      <c r="B6" s="5">
        <v>7</v>
      </c>
      <c r="C6" s="5">
        <v>1</v>
      </c>
      <c r="D6" s="4" t="str">
        <f t="shared" si="0"/>
        <v>(38,7,1),</v>
      </c>
    </row>
    <row r="7" spans="1:4" ht="20.100000000000001" customHeight="1" x14ac:dyDescent="0.25">
      <c r="A7" s="3">
        <v>39</v>
      </c>
      <c r="B7" s="5">
        <v>7</v>
      </c>
      <c r="C7" s="5">
        <v>1</v>
      </c>
      <c r="D7" s="4" t="str">
        <f t="shared" si="0"/>
        <v>(39,7,1),</v>
      </c>
    </row>
    <row r="8" spans="1:4" ht="20.100000000000001" customHeight="1" x14ac:dyDescent="0.25">
      <c r="A8" s="3">
        <v>40</v>
      </c>
      <c r="B8" s="5">
        <v>7</v>
      </c>
      <c r="C8" s="5">
        <v>1</v>
      </c>
      <c r="D8" s="4" t="str">
        <f t="shared" si="0"/>
        <v>(40,7,1),</v>
      </c>
    </row>
    <row r="9" spans="1:4" ht="20.100000000000001" customHeight="1" x14ac:dyDescent="0.25">
      <c r="A9" s="3">
        <v>41</v>
      </c>
      <c r="B9" s="5">
        <v>7</v>
      </c>
      <c r="C9" s="5">
        <v>1</v>
      </c>
      <c r="D9" s="4" t="str">
        <f t="shared" si="0"/>
        <v>(41,7,1),</v>
      </c>
    </row>
    <row r="10" spans="1:4" ht="20.100000000000001" customHeight="1" x14ac:dyDescent="0.25">
      <c r="A10" s="3">
        <v>42</v>
      </c>
      <c r="B10" s="5">
        <v>7</v>
      </c>
      <c r="C10" s="5">
        <v>1</v>
      </c>
      <c r="D10" s="4" t="str">
        <f t="shared" si="0"/>
        <v>(42,7,1),</v>
      </c>
    </row>
    <row r="11" spans="1:4" ht="20.100000000000001" customHeight="1" x14ac:dyDescent="0.25">
      <c r="A11" s="3">
        <v>43</v>
      </c>
      <c r="B11" s="5">
        <v>7</v>
      </c>
      <c r="C11" s="5">
        <v>1</v>
      </c>
      <c r="D11" s="4" t="str">
        <f t="shared" si="0"/>
        <v>(43,7,1),</v>
      </c>
    </row>
    <row r="12" spans="1:4" ht="20.100000000000001" customHeight="1" x14ac:dyDescent="0.25">
      <c r="A12" s="3">
        <v>44</v>
      </c>
      <c r="B12" s="5">
        <v>7</v>
      </c>
      <c r="C12" s="5">
        <v>1</v>
      </c>
      <c r="D12" s="4" t="str">
        <f t="shared" si="0"/>
        <v>(44,7,1),</v>
      </c>
    </row>
    <row r="13" spans="1:4" ht="20.100000000000001" customHeight="1" x14ac:dyDescent="0.25">
      <c r="A13" s="3">
        <v>45</v>
      </c>
      <c r="B13" s="5">
        <v>7</v>
      </c>
      <c r="C13" s="5">
        <v>1</v>
      </c>
      <c r="D13" s="4" t="str">
        <f t="shared" si="0"/>
        <v>(45,7,1),</v>
      </c>
    </row>
    <row r="14" spans="1:4" ht="20.100000000000001" customHeight="1" x14ac:dyDescent="0.25">
      <c r="A14" s="3">
        <v>46</v>
      </c>
      <c r="B14" s="5">
        <v>7</v>
      </c>
      <c r="C14" s="5">
        <v>1</v>
      </c>
      <c r="D14" s="4" t="str">
        <f t="shared" si="0"/>
        <v>(46,7,1),</v>
      </c>
    </row>
    <row r="15" spans="1:4" ht="20.100000000000001" customHeight="1" x14ac:dyDescent="0.25">
      <c r="A15" s="3">
        <v>47</v>
      </c>
      <c r="B15" s="5">
        <v>7</v>
      </c>
      <c r="C15" s="5">
        <v>1</v>
      </c>
      <c r="D15" s="4" t="str">
        <f t="shared" si="0"/>
        <v>(47,7,1),</v>
      </c>
    </row>
    <row r="16" spans="1:4" ht="20.100000000000001" customHeight="1" x14ac:dyDescent="0.25">
      <c r="A16" s="3">
        <v>48</v>
      </c>
      <c r="B16" s="5">
        <v>9</v>
      </c>
      <c r="C16" s="5">
        <v>1</v>
      </c>
      <c r="D16" s="4" t="str">
        <f t="shared" si="0"/>
        <v>(48,9,1),</v>
      </c>
    </row>
    <row r="17" spans="1:4" ht="20.100000000000001" customHeight="1" x14ac:dyDescent="0.25">
      <c r="A17" s="3">
        <v>49</v>
      </c>
      <c r="B17" s="5">
        <v>7</v>
      </c>
      <c r="C17" s="5">
        <v>2</v>
      </c>
      <c r="D17" s="4" t="str">
        <f t="shared" si="0"/>
        <v>(49,7,2),</v>
      </c>
    </row>
    <row r="18" spans="1:4" ht="20.100000000000001" customHeight="1" x14ac:dyDescent="0.25">
      <c r="A18" s="3">
        <v>50</v>
      </c>
      <c r="B18" s="5">
        <v>7</v>
      </c>
      <c r="C18" s="5">
        <v>2</v>
      </c>
      <c r="D18" s="4" t="str">
        <f t="shared" si="0"/>
        <v>(50,7,2),</v>
      </c>
    </row>
    <row r="19" spans="1:4" ht="20.100000000000001" customHeight="1" x14ac:dyDescent="0.25">
      <c r="A19" s="3">
        <v>51</v>
      </c>
      <c r="B19" s="5">
        <v>7</v>
      </c>
      <c r="C19" s="5">
        <v>2</v>
      </c>
      <c r="D19" s="4" t="str">
        <f t="shared" si="0"/>
        <v>(51,7,2),</v>
      </c>
    </row>
    <row r="20" spans="1:4" ht="20.100000000000001" customHeight="1" x14ac:dyDescent="0.25">
      <c r="A20" s="3">
        <v>52</v>
      </c>
      <c r="B20" s="5">
        <v>7</v>
      </c>
      <c r="C20" s="5">
        <v>2</v>
      </c>
      <c r="D20" s="4" t="str">
        <f t="shared" si="0"/>
        <v>(52,7,2),</v>
      </c>
    </row>
    <row r="21" spans="1:4" ht="20.100000000000001" customHeight="1" x14ac:dyDescent="0.25">
      <c r="A21" s="3">
        <v>53</v>
      </c>
      <c r="B21" s="5">
        <v>7</v>
      </c>
      <c r="C21" s="5">
        <v>2</v>
      </c>
      <c r="D21" s="4" t="str">
        <f t="shared" si="0"/>
        <v>(53,7,2),</v>
      </c>
    </row>
    <row r="22" spans="1:4" ht="20.100000000000001" customHeight="1" x14ac:dyDescent="0.25">
      <c r="A22" s="3">
        <v>54</v>
      </c>
      <c r="B22" s="5">
        <v>7</v>
      </c>
      <c r="C22" s="5">
        <v>2</v>
      </c>
      <c r="D22" s="4" t="str">
        <f t="shared" si="0"/>
        <v>(54,7,2),</v>
      </c>
    </row>
    <row r="23" spans="1:4" ht="20.100000000000001" customHeight="1" x14ac:dyDescent="0.25">
      <c r="A23" s="3">
        <v>55</v>
      </c>
      <c r="B23" s="5">
        <v>7</v>
      </c>
      <c r="C23" s="5">
        <v>3</v>
      </c>
      <c r="D23" s="4" t="str">
        <f t="shared" si="0"/>
        <v>(55,7,3),</v>
      </c>
    </row>
    <row r="24" spans="1:4" ht="20.100000000000001" customHeight="1" x14ac:dyDescent="0.25">
      <c r="A24" s="3">
        <v>56</v>
      </c>
      <c r="B24" s="5">
        <v>7</v>
      </c>
      <c r="C24" s="5">
        <v>3</v>
      </c>
      <c r="D24" s="4" t="str">
        <f t="shared" si="0"/>
        <v>(56,7,3),</v>
      </c>
    </row>
    <row r="25" spans="1:4" ht="20.100000000000001" customHeight="1" x14ac:dyDescent="0.25">
      <c r="A25" s="3">
        <v>57</v>
      </c>
      <c r="B25" s="5">
        <v>7</v>
      </c>
      <c r="C25" s="5">
        <v>3</v>
      </c>
      <c r="D25" s="4" t="str">
        <f t="shared" si="0"/>
        <v>(57,7,3),</v>
      </c>
    </row>
    <row r="26" spans="1:4" ht="20.100000000000001" customHeight="1" x14ac:dyDescent="0.25">
      <c r="A26" s="3">
        <v>58</v>
      </c>
      <c r="B26" s="5">
        <v>7</v>
      </c>
      <c r="C26" s="5">
        <v>3</v>
      </c>
      <c r="D26" s="4" t="str">
        <f t="shared" si="0"/>
        <v>(58,7,3),</v>
      </c>
    </row>
    <row r="27" spans="1:4" ht="20.100000000000001" customHeight="1" x14ac:dyDescent="0.25">
      <c r="A27" s="3">
        <v>59</v>
      </c>
      <c r="B27" s="5">
        <v>7</v>
      </c>
      <c r="C27" s="5">
        <v>3</v>
      </c>
      <c r="D27" s="4" t="str">
        <f t="shared" si="0"/>
        <v>(59,7,3),</v>
      </c>
    </row>
    <row r="28" spans="1:4" ht="20.100000000000001" customHeight="1" x14ac:dyDescent="0.25">
      <c r="A28" s="3">
        <v>60</v>
      </c>
      <c r="B28" s="5">
        <v>7</v>
      </c>
      <c r="C28" s="5">
        <v>4</v>
      </c>
      <c r="D28" s="4" t="str">
        <f t="shared" si="0"/>
        <v>(60,7,4),</v>
      </c>
    </row>
    <row r="29" spans="1:4" ht="20.100000000000001" customHeight="1" x14ac:dyDescent="0.25">
      <c r="A29" s="3">
        <v>61</v>
      </c>
      <c r="B29" s="5">
        <v>7</v>
      </c>
      <c r="C29" s="5">
        <v>4</v>
      </c>
      <c r="D29" s="4" t="str">
        <f t="shared" si="0"/>
        <v>(61,7,4),</v>
      </c>
    </row>
    <row r="30" spans="1:4" ht="20.100000000000001" customHeight="1" x14ac:dyDescent="0.25">
      <c r="A30" s="3">
        <v>62</v>
      </c>
      <c r="B30" s="5">
        <v>7</v>
      </c>
      <c r="C30" s="5">
        <v>5</v>
      </c>
      <c r="D30" s="4" t="str">
        <f t="shared" si="0"/>
        <v>(62,7,5),</v>
      </c>
    </row>
    <row r="31" spans="1:4" ht="20.100000000000001" customHeight="1" x14ac:dyDescent="0.25">
      <c r="A31" s="3">
        <v>63</v>
      </c>
      <c r="B31" s="5">
        <v>7</v>
      </c>
      <c r="C31" s="5">
        <v>5</v>
      </c>
      <c r="D31" s="4" t="str">
        <f t="shared" si="0"/>
        <v>(63,7,5),</v>
      </c>
    </row>
    <row r="32" spans="1:4" ht="20.100000000000001" customHeight="1" x14ac:dyDescent="0.25">
      <c r="A32" s="3">
        <v>64</v>
      </c>
      <c r="B32" s="5">
        <v>7</v>
      </c>
      <c r="C32" s="5">
        <v>5</v>
      </c>
      <c r="D32" s="4" t="str">
        <f t="shared" si="0"/>
        <v>(64,7,5),</v>
      </c>
    </row>
    <row r="33" spans="1:4" ht="20.100000000000001" customHeight="1" x14ac:dyDescent="0.25">
      <c r="A33" s="3">
        <v>65</v>
      </c>
      <c r="B33" s="5">
        <v>7</v>
      </c>
      <c r="C33" s="5">
        <v>5</v>
      </c>
      <c r="D33" s="4" t="str">
        <f t="shared" si="0"/>
        <v>(65,7,5),</v>
      </c>
    </row>
    <row r="34" spans="1:4" ht="20.100000000000001" customHeight="1" x14ac:dyDescent="0.25">
      <c r="A34" s="3">
        <v>66</v>
      </c>
      <c r="B34" s="5">
        <v>7</v>
      </c>
      <c r="C34" s="5">
        <v>6</v>
      </c>
      <c r="D34" s="4" t="str">
        <f t="shared" si="0"/>
        <v>(66,7,6),</v>
      </c>
    </row>
    <row r="35" spans="1:4" ht="20.100000000000001" customHeight="1" x14ac:dyDescent="0.25">
      <c r="A35" s="3">
        <v>67</v>
      </c>
      <c r="B35" s="5">
        <v>7</v>
      </c>
      <c r="C35" s="5">
        <v>7</v>
      </c>
      <c r="D35" s="4" t="str">
        <f t="shared" si="0"/>
        <v>(67,7,7),</v>
      </c>
    </row>
    <row r="36" spans="1:4" ht="20.100000000000001" customHeight="1" x14ac:dyDescent="0.25">
      <c r="A36" s="3">
        <v>68</v>
      </c>
      <c r="B36" s="5">
        <v>7</v>
      </c>
      <c r="C36" s="5">
        <v>7</v>
      </c>
      <c r="D36" s="4" t="str">
        <f t="shared" si="0"/>
        <v>(68,7,7),</v>
      </c>
    </row>
    <row r="37" spans="1:4" ht="20.100000000000001" customHeight="1" x14ac:dyDescent="0.25">
      <c r="A37" s="3">
        <v>69</v>
      </c>
      <c r="B37" s="5">
        <v>7</v>
      </c>
      <c r="C37" s="5">
        <v>8</v>
      </c>
      <c r="D37" s="4" t="str">
        <f t="shared" si="0"/>
        <v>(69,7,8),</v>
      </c>
    </row>
    <row r="38" spans="1:4" ht="20.100000000000001" customHeight="1" x14ac:dyDescent="0.25">
      <c r="A38" s="3">
        <v>70</v>
      </c>
      <c r="B38" s="5">
        <v>7</v>
      </c>
      <c r="C38" s="5">
        <v>8</v>
      </c>
      <c r="D38" s="4" t="str">
        <f t="shared" si="0"/>
        <v>(70,7,8),</v>
      </c>
    </row>
    <row r="39" spans="1:4" ht="20.100000000000001" customHeight="1" x14ac:dyDescent="0.25">
      <c r="A39" s="3">
        <v>71</v>
      </c>
      <c r="B39" s="5">
        <v>7</v>
      </c>
      <c r="C39" s="5">
        <v>8</v>
      </c>
      <c r="D39" s="4" t="str">
        <f t="shared" si="0"/>
        <v>(71,7,8),</v>
      </c>
    </row>
    <row r="40" spans="1:4" ht="20.100000000000001" customHeight="1" x14ac:dyDescent="0.25">
      <c r="A40" s="3">
        <v>72</v>
      </c>
      <c r="B40" s="5">
        <v>9</v>
      </c>
      <c r="C40" s="5">
        <v>8</v>
      </c>
      <c r="D40" s="4" t="str">
        <f t="shared" si="0"/>
        <v>(72,9,8),</v>
      </c>
    </row>
    <row r="41" spans="1:4" ht="20.100000000000001" customHeight="1" x14ac:dyDescent="0.25">
      <c r="A41" s="3">
        <v>73</v>
      </c>
      <c r="B41" s="5">
        <v>7</v>
      </c>
      <c r="C41" s="5">
        <v>9</v>
      </c>
      <c r="D41" s="4" t="str">
        <f t="shared" si="0"/>
        <v>(73,7,9),</v>
      </c>
    </row>
    <row r="42" spans="1:4" ht="20.100000000000001" customHeight="1" x14ac:dyDescent="0.25">
      <c r="A42" s="3">
        <v>74</v>
      </c>
      <c r="B42" s="5">
        <v>7</v>
      </c>
      <c r="C42" s="5">
        <v>9</v>
      </c>
      <c r="D42" s="4" t="str">
        <f t="shared" si="0"/>
        <v>(74,7,9),</v>
      </c>
    </row>
    <row r="43" spans="1:4" ht="20.100000000000001" customHeight="1" x14ac:dyDescent="0.25">
      <c r="A43" s="3">
        <v>75</v>
      </c>
      <c r="B43" s="5">
        <v>7</v>
      </c>
      <c r="C43" s="5">
        <v>11</v>
      </c>
      <c r="D43" s="4" t="str">
        <f t="shared" si="0"/>
        <v>(75,7,11),</v>
      </c>
    </row>
    <row r="44" spans="1:4" ht="20.100000000000001" customHeight="1" x14ac:dyDescent="0.25">
      <c r="A44" s="3">
        <v>76</v>
      </c>
      <c r="B44" s="5">
        <v>7</v>
      </c>
      <c r="C44" s="5">
        <v>11</v>
      </c>
      <c r="D44" s="4" t="str">
        <f t="shared" si="0"/>
        <v>(76,7,11),</v>
      </c>
    </row>
    <row r="45" spans="1:4" ht="20.100000000000001" customHeight="1" x14ac:dyDescent="0.25">
      <c r="A45" s="3">
        <v>77</v>
      </c>
      <c r="B45" s="5">
        <v>7</v>
      </c>
      <c r="C45" s="5">
        <v>11</v>
      </c>
      <c r="D45" s="4" t="str">
        <f t="shared" si="0"/>
        <v>(77,7,11),</v>
      </c>
    </row>
    <row r="46" spans="1:4" ht="20.100000000000001" customHeight="1" x14ac:dyDescent="0.25">
      <c r="A46" s="3">
        <v>78</v>
      </c>
      <c r="B46" s="5">
        <v>7</v>
      </c>
      <c r="C46" s="5">
        <v>11</v>
      </c>
      <c r="D46" s="4" t="str">
        <f t="shared" si="0"/>
        <v>(78,7,11),</v>
      </c>
    </row>
    <row r="47" spans="1:4" ht="20.100000000000001" customHeight="1" x14ac:dyDescent="0.25">
      <c r="A47" s="3">
        <v>79</v>
      </c>
      <c r="B47" s="5">
        <v>7</v>
      </c>
      <c r="C47" s="5">
        <v>11</v>
      </c>
      <c r="D47" s="4" t="str">
        <f t="shared" si="0"/>
        <v>(79,7,11),</v>
      </c>
    </row>
    <row r="48" spans="1:4" ht="20.100000000000001" customHeight="1" x14ac:dyDescent="0.25">
      <c r="A48" s="3">
        <v>80</v>
      </c>
      <c r="B48" s="5">
        <v>7</v>
      </c>
      <c r="C48" s="5">
        <v>11</v>
      </c>
      <c r="D48" s="4" t="str">
        <f t="shared" si="0"/>
        <v>(80,7,11),</v>
      </c>
    </row>
    <row r="49" spans="1:4" ht="20.100000000000001" customHeight="1" x14ac:dyDescent="0.25">
      <c r="A49" s="3">
        <v>81</v>
      </c>
      <c r="B49" s="5">
        <v>9</v>
      </c>
      <c r="C49" s="5">
        <v>11</v>
      </c>
      <c r="D49" s="4" t="str">
        <f t="shared" si="0"/>
        <v>(81,9,11),</v>
      </c>
    </row>
    <row r="50" spans="1:4" ht="20.100000000000001" customHeight="1" x14ac:dyDescent="0.25">
      <c r="A50" s="3">
        <v>82</v>
      </c>
      <c r="B50" s="5">
        <v>7</v>
      </c>
      <c r="C50" s="5">
        <v>12</v>
      </c>
      <c r="D50" s="4" t="str">
        <f t="shared" si="0"/>
        <v>(82,7,12),</v>
      </c>
    </row>
    <row r="51" spans="1:4" ht="20.100000000000001" customHeight="1" x14ac:dyDescent="0.25">
      <c r="A51" s="3">
        <v>83</v>
      </c>
      <c r="B51" s="5">
        <v>7</v>
      </c>
      <c r="C51" s="5">
        <v>12</v>
      </c>
      <c r="D51" s="4" t="str">
        <f t="shared" si="0"/>
        <v>(83,7,12),</v>
      </c>
    </row>
    <row r="52" spans="1:4" ht="20.100000000000001" customHeight="1" x14ac:dyDescent="0.25">
      <c r="A52" s="3">
        <v>84</v>
      </c>
      <c r="B52" s="5">
        <v>7</v>
      </c>
      <c r="C52" s="5">
        <v>12</v>
      </c>
      <c r="D52" s="4" t="str">
        <f t="shared" si="0"/>
        <v>(84,7,12),</v>
      </c>
    </row>
    <row r="53" spans="1:4" ht="20.100000000000001" customHeight="1" x14ac:dyDescent="0.25">
      <c r="A53" s="3">
        <v>85</v>
      </c>
      <c r="B53" s="5">
        <v>7</v>
      </c>
      <c r="C53" s="5">
        <v>12</v>
      </c>
      <c r="D53" s="4" t="str">
        <f t="shared" si="0"/>
        <v>(85,7,12),</v>
      </c>
    </row>
    <row r="54" spans="1:4" ht="20.100000000000001" customHeight="1" x14ac:dyDescent="0.25">
      <c r="A54" s="3">
        <v>86</v>
      </c>
      <c r="B54" s="5">
        <v>7</v>
      </c>
      <c r="C54" s="5">
        <v>12</v>
      </c>
      <c r="D54" s="4" t="str">
        <f t="shared" si="0"/>
        <v>(86,7,12),</v>
      </c>
    </row>
    <row r="55" spans="1:4" ht="20.100000000000001" customHeight="1" x14ac:dyDescent="0.25">
      <c r="A55" s="3">
        <v>87</v>
      </c>
      <c r="B55" s="5">
        <v>7</v>
      </c>
      <c r="C55" s="5">
        <v>12</v>
      </c>
      <c r="D55" s="4" t="str">
        <f t="shared" si="0"/>
        <v>(87,7,12),</v>
      </c>
    </row>
    <row r="56" spans="1:4" ht="20.100000000000001" customHeight="1" x14ac:dyDescent="0.25">
      <c r="A56" s="3">
        <v>88</v>
      </c>
      <c r="B56" s="5">
        <v>8</v>
      </c>
      <c r="C56" s="5">
        <v>13</v>
      </c>
      <c r="D56" s="4" t="str">
        <f t="shared" si="0"/>
        <v>(88,8,13),</v>
      </c>
    </row>
    <row r="57" spans="1:4" ht="20.100000000000001" customHeight="1" x14ac:dyDescent="0.25">
      <c r="A57" s="3">
        <v>89</v>
      </c>
      <c r="B57" s="5">
        <v>8</v>
      </c>
      <c r="C57" s="5">
        <v>13</v>
      </c>
      <c r="D57" s="4" t="str">
        <f t="shared" si="0"/>
        <v>(89,8,13),</v>
      </c>
    </row>
    <row r="58" spans="1:4" ht="20.100000000000001" customHeight="1" x14ac:dyDescent="0.25">
      <c r="A58" s="3">
        <v>90</v>
      </c>
      <c r="B58" s="5">
        <v>8</v>
      </c>
      <c r="C58" s="5">
        <v>13</v>
      </c>
      <c r="D58" s="4" t="str">
        <f t="shared" si="0"/>
        <v>(90,8,13),</v>
      </c>
    </row>
    <row r="59" spans="1:4" ht="20.100000000000001" customHeight="1" x14ac:dyDescent="0.25">
      <c r="A59" s="3">
        <v>91</v>
      </c>
      <c r="B59" s="5">
        <v>8</v>
      </c>
      <c r="C59" s="5">
        <v>13</v>
      </c>
      <c r="D59" s="4" t="str">
        <f t="shared" si="0"/>
        <v>(91,8,13),</v>
      </c>
    </row>
    <row r="60" spans="1:4" ht="20.100000000000001" customHeight="1" x14ac:dyDescent="0.25">
      <c r="A60" s="3">
        <v>92</v>
      </c>
      <c r="B60" s="5">
        <v>8</v>
      </c>
      <c r="C60" s="5">
        <v>14</v>
      </c>
      <c r="D60" s="4" t="str">
        <f t="shared" si="0"/>
        <v>(92,8,14),</v>
      </c>
    </row>
    <row r="61" spans="1:4" ht="20.100000000000001" customHeight="1" x14ac:dyDescent="0.25">
      <c r="A61" s="3">
        <v>93</v>
      </c>
      <c r="B61" s="5">
        <v>8</v>
      </c>
      <c r="C61" s="5">
        <v>14</v>
      </c>
      <c r="D61" s="4" t="str">
        <f t="shared" si="0"/>
        <v>(93,8,14),</v>
      </c>
    </row>
    <row r="62" spans="1:4" ht="20.100000000000001" customHeight="1" x14ac:dyDescent="0.25">
      <c r="A62" s="3">
        <v>94</v>
      </c>
      <c r="B62" s="5">
        <v>8</v>
      </c>
      <c r="C62" s="5">
        <v>14</v>
      </c>
      <c r="D62" s="4" t="str">
        <f t="shared" si="0"/>
        <v>(94,8,14),</v>
      </c>
    </row>
    <row r="63" spans="1:4" ht="20.100000000000001" customHeight="1" x14ac:dyDescent="0.25">
      <c r="A63" s="3">
        <v>95</v>
      </c>
      <c r="B63" s="5">
        <v>8</v>
      </c>
      <c r="C63" s="5">
        <v>14</v>
      </c>
      <c r="D63" s="4" t="str">
        <f t="shared" si="0"/>
        <v>(95,8,14),</v>
      </c>
    </row>
    <row r="64" spans="1:4" ht="20.100000000000001" customHeight="1" x14ac:dyDescent="0.25">
      <c r="A64" s="3">
        <v>96</v>
      </c>
      <c r="B64" s="5">
        <v>8</v>
      </c>
      <c r="C64" s="5">
        <v>14</v>
      </c>
      <c r="D64" s="4" t="str">
        <f t="shared" si="0"/>
        <v>(96,8,14),</v>
      </c>
    </row>
    <row r="65" spans="1:4" ht="20.100000000000001" customHeight="1" x14ac:dyDescent="0.25">
      <c r="A65" s="3">
        <v>97</v>
      </c>
      <c r="B65" s="5">
        <v>8</v>
      </c>
      <c r="C65" s="5">
        <v>14</v>
      </c>
      <c r="D65" s="4" t="str">
        <f t="shared" si="0"/>
        <v>(97,8,14),</v>
      </c>
    </row>
    <row r="66" spans="1:4" ht="20.100000000000001" customHeight="1" x14ac:dyDescent="0.25">
      <c r="A66" s="3">
        <v>98</v>
      </c>
      <c r="B66" s="5">
        <v>8</v>
      </c>
      <c r="C66" s="5">
        <v>14</v>
      </c>
      <c r="D66" s="4" t="str">
        <f t="shared" si="0"/>
        <v>(98,8,14),</v>
      </c>
    </row>
    <row r="67" spans="1:4" ht="20.100000000000001" customHeight="1" x14ac:dyDescent="0.25">
      <c r="A67" s="3">
        <v>99</v>
      </c>
      <c r="B67" s="5">
        <v>8</v>
      </c>
      <c r="C67" s="5">
        <v>14</v>
      </c>
      <c r="D67" s="4" t="str">
        <f t="shared" si="0"/>
        <v>(99,8,14),</v>
      </c>
    </row>
    <row r="68" spans="1:4" ht="20.100000000000001" customHeight="1" x14ac:dyDescent="0.25">
      <c r="A68" s="3">
        <v>100</v>
      </c>
      <c r="B68" s="5">
        <v>8</v>
      </c>
      <c r="C68" s="5">
        <v>14</v>
      </c>
      <c r="D68" s="4" t="str">
        <f t="shared" ref="D68:D89" si="1">CONCATENATE("(",A68,",",B68,",",C68,"),")</f>
        <v>(100,8,14),</v>
      </c>
    </row>
    <row r="69" spans="1:4" ht="20.100000000000001" customHeight="1" x14ac:dyDescent="0.25">
      <c r="A69" s="3">
        <v>101</v>
      </c>
      <c r="B69" s="5">
        <v>8</v>
      </c>
      <c r="C69" s="5">
        <v>14</v>
      </c>
      <c r="D69" s="4" t="str">
        <f t="shared" si="1"/>
        <v>(101,8,14),</v>
      </c>
    </row>
    <row r="70" spans="1:4" ht="20.100000000000001" customHeight="1" x14ac:dyDescent="0.25">
      <c r="A70" s="3">
        <v>102</v>
      </c>
      <c r="B70" s="5">
        <v>8</v>
      </c>
      <c r="C70" s="5">
        <v>14</v>
      </c>
      <c r="D70" s="4" t="str">
        <f t="shared" si="1"/>
        <v>(102,8,14),</v>
      </c>
    </row>
    <row r="71" spans="1:4" ht="20.100000000000001" customHeight="1" x14ac:dyDescent="0.25">
      <c r="A71" s="3">
        <v>103</v>
      </c>
      <c r="B71" s="5">
        <v>8</v>
      </c>
      <c r="C71" s="5">
        <v>14</v>
      </c>
      <c r="D71" s="4" t="str">
        <f t="shared" si="1"/>
        <v>(103,8,14),</v>
      </c>
    </row>
    <row r="72" spans="1:4" ht="20.100000000000001" customHeight="1" x14ac:dyDescent="0.25">
      <c r="A72" s="3">
        <v>104</v>
      </c>
      <c r="B72" s="5">
        <v>8</v>
      </c>
      <c r="C72" s="5">
        <v>14</v>
      </c>
      <c r="D72" s="4" t="str">
        <f t="shared" si="1"/>
        <v>(104,8,14),</v>
      </c>
    </row>
    <row r="73" spans="1:4" ht="20.100000000000001" customHeight="1" x14ac:dyDescent="0.25">
      <c r="A73" s="3">
        <v>105</v>
      </c>
      <c r="B73" s="5">
        <v>8</v>
      </c>
      <c r="C73" s="5">
        <v>14</v>
      </c>
      <c r="D73" s="4" t="str">
        <f t="shared" si="1"/>
        <v>(105,8,14),</v>
      </c>
    </row>
    <row r="74" spans="1:4" ht="20.100000000000001" customHeight="1" x14ac:dyDescent="0.25">
      <c r="A74" s="3">
        <v>106</v>
      </c>
      <c r="B74" s="5">
        <v>8</v>
      </c>
      <c r="C74" s="5">
        <v>14</v>
      </c>
      <c r="D74" s="4" t="str">
        <f t="shared" si="1"/>
        <v>(106,8,14),</v>
      </c>
    </row>
    <row r="75" spans="1:4" ht="20.100000000000001" customHeight="1" x14ac:dyDescent="0.25">
      <c r="A75" s="3">
        <v>107</v>
      </c>
      <c r="B75" s="5">
        <v>8</v>
      </c>
      <c r="C75" s="5">
        <v>16</v>
      </c>
      <c r="D75" s="4" t="str">
        <f t="shared" si="1"/>
        <v>(107,8,16),</v>
      </c>
    </row>
    <row r="76" spans="1:4" ht="20.100000000000001" customHeight="1" x14ac:dyDescent="0.25">
      <c r="A76" s="3">
        <v>108</v>
      </c>
      <c r="B76" s="5">
        <v>8</v>
      </c>
      <c r="C76" s="5">
        <v>17</v>
      </c>
      <c r="D76" s="4" t="str">
        <f t="shared" si="1"/>
        <v>(108,8,17),</v>
      </c>
    </row>
    <row r="77" spans="1:4" ht="20.100000000000001" customHeight="1" x14ac:dyDescent="0.25">
      <c r="A77" s="3">
        <v>109</v>
      </c>
      <c r="B77" s="5">
        <v>8</v>
      </c>
      <c r="C77" s="5">
        <v>17</v>
      </c>
      <c r="D77" s="4" t="str">
        <f t="shared" si="1"/>
        <v>(109,8,17),</v>
      </c>
    </row>
    <row r="78" spans="1:4" ht="20.100000000000001" customHeight="1" x14ac:dyDescent="0.25">
      <c r="A78" s="3">
        <v>110</v>
      </c>
      <c r="B78" s="5">
        <v>8</v>
      </c>
      <c r="C78" s="5">
        <v>17</v>
      </c>
      <c r="D78" s="4" t="str">
        <f t="shared" si="1"/>
        <v>(110,8,17),</v>
      </c>
    </row>
    <row r="79" spans="1:4" ht="20.100000000000001" customHeight="1" x14ac:dyDescent="0.25">
      <c r="A79" s="3">
        <v>111</v>
      </c>
      <c r="B79" s="5">
        <v>8</v>
      </c>
      <c r="C79" s="5">
        <v>17</v>
      </c>
      <c r="D79" s="4" t="str">
        <f t="shared" si="1"/>
        <v>(111,8,17),</v>
      </c>
    </row>
    <row r="80" spans="1:4" ht="20.100000000000001" customHeight="1" x14ac:dyDescent="0.25">
      <c r="A80" s="3">
        <v>112</v>
      </c>
      <c r="B80" s="5">
        <v>8</v>
      </c>
      <c r="C80" s="5">
        <v>17</v>
      </c>
      <c r="D80" s="4" t="str">
        <f t="shared" si="1"/>
        <v>(112,8,17),</v>
      </c>
    </row>
    <row r="81" spans="1:4" ht="20.100000000000001" customHeight="1" x14ac:dyDescent="0.25">
      <c r="A81" s="3">
        <v>113</v>
      </c>
      <c r="B81" s="5">
        <v>8</v>
      </c>
      <c r="C81" s="5">
        <v>19</v>
      </c>
      <c r="D81" s="4" t="str">
        <f t="shared" si="1"/>
        <v>(113,8,19),</v>
      </c>
    </row>
    <row r="82" spans="1:4" ht="20.100000000000001" customHeight="1" x14ac:dyDescent="0.25">
      <c r="A82" s="3">
        <v>114</v>
      </c>
      <c r="B82" s="5">
        <v>8</v>
      </c>
      <c r="C82" s="5">
        <v>20</v>
      </c>
      <c r="D82" s="4" t="str">
        <f t="shared" si="1"/>
        <v>(114,8,20),</v>
      </c>
    </row>
    <row r="83" spans="1:4" ht="20.100000000000001" customHeight="1" x14ac:dyDescent="0.25">
      <c r="A83" s="3">
        <v>115</v>
      </c>
      <c r="B83" s="5">
        <v>8</v>
      </c>
      <c r="C83" s="5">
        <v>22</v>
      </c>
      <c r="D83" s="4" t="str">
        <f t="shared" si="1"/>
        <v>(115,8,22),</v>
      </c>
    </row>
    <row r="84" spans="1:4" ht="20.100000000000001" customHeight="1" x14ac:dyDescent="0.25">
      <c r="A84" s="3">
        <v>116</v>
      </c>
      <c r="B84" s="5">
        <v>8</v>
      </c>
      <c r="C84" s="5">
        <v>22</v>
      </c>
      <c r="D84" s="4" t="str">
        <f t="shared" si="1"/>
        <v>(116,8,22),</v>
      </c>
    </row>
    <row r="85" spans="1:4" ht="20.100000000000001" customHeight="1" x14ac:dyDescent="0.25">
      <c r="A85" s="3">
        <v>117</v>
      </c>
      <c r="B85" s="5">
        <v>8</v>
      </c>
      <c r="C85" s="5">
        <v>21</v>
      </c>
      <c r="D85" s="4" t="str">
        <f t="shared" si="1"/>
        <v>(117,8,21),</v>
      </c>
    </row>
    <row r="86" spans="1:4" ht="20.100000000000001" customHeight="1" x14ac:dyDescent="0.25">
      <c r="A86" s="3">
        <v>118</v>
      </c>
      <c r="B86" s="5">
        <v>8</v>
      </c>
      <c r="C86" s="5">
        <v>21</v>
      </c>
      <c r="D86" s="4" t="str">
        <f t="shared" si="1"/>
        <v>(118,8,21),</v>
      </c>
    </row>
    <row r="87" spans="1:4" ht="20.100000000000001" customHeight="1" x14ac:dyDescent="0.25">
      <c r="A87" s="3">
        <v>119</v>
      </c>
      <c r="B87" s="5">
        <v>8</v>
      </c>
      <c r="C87" s="5">
        <v>21</v>
      </c>
      <c r="D87" s="4" t="str">
        <f t="shared" si="1"/>
        <v>(119,8,21),</v>
      </c>
    </row>
    <row r="88" spans="1:4" ht="20.100000000000001" customHeight="1" x14ac:dyDescent="0.25">
      <c r="A88" s="3">
        <v>120</v>
      </c>
      <c r="B88" s="5">
        <v>8</v>
      </c>
      <c r="C88" s="5">
        <v>21</v>
      </c>
      <c r="D88" s="4" t="str">
        <f t="shared" si="1"/>
        <v>(120,8,21),</v>
      </c>
    </row>
    <row r="89" spans="1:4" ht="20.100000000000001" customHeight="1" x14ac:dyDescent="0.25">
      <c r="A89" s="3">
        <v>121</v>
      </c>
      <c r="B89" s="5">
        <v>8</v>
      </c>
      <c r="C89" s="5">
        <v>21</v>
      </c>
      <c r="D89" s="4" t="str">
        <f t="shared" si="1"/>
        <v>(121,8,21),</v>
      </c>
    </row>
  </sheetData>
  <autoFilter ref="A2:D89"/>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7" tint="0.79998168889431442"/>
  </sheetPr>
  <dimension ref="A1:F92"/>
  <sheetViews>
    <sheetView topLeftCell="A46" workbookViewId="0">
      <selection activeCell="E54" sqref="E54"/>
    </sheetView>
  </sheetViews>
  <sheetFormatPr baseColWidth="10" defaultColWidth="10.85546875" defaultRowHeight="15.75" x14ac:dyDescent="0.25"/>
  <cols>
    <col min="1" max="2" width="15.5703125" style="2" customWidth="1"/>
    <col min="3" max="3" width="65.42578125" style="2" bestFit="1" customWidth="1"/>
    <col min="4" max="16384" width="10.85546875" style="2"/>
  </cols>
  <sheetData>
    <row r="1" spans="1:6" ht="20.100000000000001" customHeight="1" x14ac:dyDescent="0.25">
      <c r="A1" s="1" t="s">
        <v>6080</v>
      </c>
      <c r="B1" s="1" t="s">
        <v>6081</v>
      </c>
      <c r="C1" s="1" t="s">
        <v>5597</v>
      </c>
    </row>
    <row r="2" spans="1:6" ht="20.100000000000001" customHeight="1" x14ac:dyDescent="0.25">
      <c r="A2" s="1" t="s">
        <v>41</v>
      </c>
      <c r="B2" s="1" t="s">
        <v>42</v>
      </c>
      <c r="C2" s="1" t="s">
        <v>6077</v>
      </c>
    </row>
    <row r="3" spans="1:6" ht="20.100000000000001" customHeight="1" x14ac:dyDescent="0.25">
      <c r="A3" s="53">
        <v>37</v>
      </c>
      <c r="B3" s="54">
        <v>156</v>
      </c>
      <c r="C3" s="4" t="str">
        <f t="shared" ref="C3:C34" si="0">CONCATENATE("(",A3,",",B3,"),")</f>
        <v>(37,156),</v>
      </c>
      <c r="E3" s="3">
        <v>156</v>
      </c>
      <c r="F3" s="27" t="s">
        <v>5112</v>
      </c>
    </row>
    <row r="4" spans="1:6" ht="20.100000000000001" customHeight="1" x14ac:dyDescent="0.25">
      <c r="A4" s="53">
        <v>37</v>
      </c>
      <c r="B4" s="54">
        <v>157</v>
      </c>
      <c r="C4" s="4" t="str">
        <f t="shared" si="0"/>
        <v>(37,157),</v>
      </c>
      <c r="E4" s="3">
        <v>157</v>
      </c>
      <c r="F4" s="27" t="s">
        <v>5113</v>
      </c>
    </row>
    <row r="5" spans="1:6" ht="20.100000000000001" customHeight="1" x14ac:dyDescent="0.25">
      <c r="A5" s="53">
        <v>39</v>
      </c>
      <c r="B5" s="54">
        <v>156</v>
      </c>
      <c r="C5" s="4" t="str">
        <f t="shared" si="0"/>
        <v>(39,156),</v>
      </c>
      <c r="E5" s="3">
        <v>158</v>
      </c>
      <c r="F5" s="27" t="s">
        <v>5114</v>
      </c>
    </row>
    <row r="6" spans="1:6" ht="20.100000000000001" customHeight="1" x14ac:dyDescent="0.25">
      <c r="A6" s="53">
        <v>39</v>
      </c>
      <c r="B6" s="54">
        <v>157</v>
      </c>
      <c r="C6" s="4" t="str">
        <f t="shared" si="0"/>
        <v>(39,157),</v>
      </c>
      <c r="E6" s="3">
        <v>159</v>
      </c>
      <c r="F6" s="27" t="s">
        <v>5115</v>
      </c>
    </row>
    <row r="7" spans="1:6" ht="20.100000000000001" customHeight="1" x14ac:dyDescent="0.25">
      <c r="A7" s="53">
        <v>41</v>
      </c>
      <c r="B7" s="54">
        <v>156</v>
      </c>
      <c r="C7" s="4" t="str">
        <f t="shared" si="0"/>
        <v>(41,156),</v>
      </c>
      <c r="E7" s="3">
        <v>160</v>
      </c>
      <c r="F7" s="27" t="s">
        <v>5116</v>
      </c>
    </row>
    <row r="8" spans="1:6" ht="20.100000000000001" customHeight="1" x14ac:dyDescent="0.25">
      <c r="A8" s="53">
        <v>41</v>
      </c>
      <c r="B8" s="54">
        <v>157</v>
      </c>
      <c r="C8" s="4" t="str">
        <f t="shared" si="0"/>
        <v>(41,157),</v>
      </c>
      <c r="E8" s="3">
        <v>161</v>
      </c>
      <c r="F8" s="27" t="s">
        <v>5117</v>
      </c>
    </row>
    <row r="9" spans="1:6" ht="20.100000000000001" customHeight="1" x14ac:dyDescent="0.25">
      <c r="A9" s="53">
        <v>43</v>
      </c>
      <c r="B9" s="54">
        <v>156</v>
      </c>
      <c r="C9" s="4" t="str">
        <f t="shared" si="0"/>
        <v>(43,156),</v>
      </c>
      <c r="E9" s="3">
        <v>162</v>
      </c>
      <c r="F9" s="27" t="s">
        <v>5118</v>
      </c>
    </row>
    <row r="10" spans="1:6" ht="20.100000000000001" customHeight="1" x14ac:dyDescent="0.25">
      <c r="A10" s="53">
        <v>43</v>
      </c>
      <c r="B10" s="54">
        <v>157</v>
      </c>
      <c r="C10" s="4" t="str">
        <f t="shared" si="0"/>
        <v>(43,157),</v>
      </c>
      <c r="E10" s="3">
        <v>163</v>
      </c>
      <c r="F10" s="27" t="s">
        <v>5119</v>
      </c>
    </row>
    <row r="11" spans="1:6" ht="20.100000000000001" customHeight="1" x14ac:dyDescent="0.25">
      <c r="A11" s="53">
        <v>45</v>
      </c>
      <c r="B11" s="54">
        <v>156</v>
      </c>
      <c r="C11" s="4" t="str">
        <f t="shared" si="0"/>
        <v>(45,156),</v>
      </c>
      <c r="E11" s="3">
        <v>164</v>
      </c>
      <c r="F11" s="27" t="s">
        <v>5120</v>
      </c>
    </row>
    <row r="12" spans="1:6" ht="20.100000000000001" customHeight="1" x14ac:dyDescent="0.25">
      <c r="A12" s="53">
        <v>45</v>
      </c>
      <c r="B12" s="54">
        <v>157</v>
      </c>
      <c r="C12" s="4" t="str">
        <f t="shared" si="0"/>
        <v>(45,157),</v>
      </c>
      <c r="E12" s="3">
        <v>165</v>
      </c>
      <c r="F12" s="28" t="s">
        <v>5121</v>
      </c>
    </row>
    <row r="13" spans="1:6" ht="20.100000000000001" customHeight="1" x14ac:dyDescent="0.25">
      <c r="A13" s="53">
        <v>47</v>
      </c>
      <c r="B13" s="54">
        <v>156</v>
      </c>
      <c r="C13" s="4" t="str">
        <f t="shared" si="0"/>
        <v>(47,156),</v>
      </c>
      <c r="E13" s="3">
        <v>166</v>
      </c>
      <c r="F13" s="27" t="s">
        <v>5122</v>
      </c>
    </row>
    <row r="14" spans="1:6" ht="20.100000000000001" customHeight="1" x14ac:dyDescent="0.25">
      <c r="A14" s="53">
        <v>47</v>
      </c>
      <c r="B14" s="54">
        <v>157</v>
      </c>
      <c r="C14" s="4" t="str">
        <f t="shared" si="0"/>
        <v>(47,157),</v>
      </c>
      <c r="E14" s="3">
        <v>167</v>
      </c>
      <c r="F14" s="27" t="s">
        <v>5123</v>
      </c>
    </row>
    <row r="15" spans="1:6" ht="20.100000000000001" customHeight="1" x14ac:dyDescent="0.25">
      <c r="A15" s="53">
        <v>49</v>
      </c>
      <c r="B15" s="54">
        <v>156</v>
      </c>
      <c r="C15" s="4" t="str">
        <f t="shared" si="0"/>
        <v>(49,156),</v>
      </c>
      <c r="E15" s="3">
        <v>168</v>
      </c>
      <c r="F15" s="27" t="s">
        <v>5124</v>
      </c>
    </row>
    <row r="16" spans="1:6" ht="20.100000000000001" customHeight="1" x14ac:dyDescent="0.25">
      <c r="A16" s="53">
        <v>49</v>
      </c>
      <c r="B16" s="54">
        <v>157</v>
      </c>
      <c r="C16" s="4" t="str">
        <f t="shared" si="0"/>
        <v>(49,157),</v>
      </c>
      <c r="E16" s="3">
        <v>169</v>
      </c>
      <c r="F16" s="27" t="s">
        <v>5125</v>
      </c>
    </row>
    <row r="17" spans="1:6" ht="20.100000000000001" customHeight="1" x14ac:dyDescent="0.25">
      <c r="A17" s="53">
        <v>51</v>
      </c>
      <c r="B17" s="54">
        <v>158</v>
      </c>
      <c r="C17" s="4" t="str">
        <f t="shared" si="0"/>
        <v>(51,158),</v>
      </c>
      <c r="E17" s="3">
        <v>170</v>
      </c>
      <c r="F17" s="27" t="s">
        <v>5126</v>
      </c>
    </row>
    <row r="18" spans="1:6" ht="20.100000000000001" customHeight="1" x14ac:dyDescent="0.25">
      <c r="A18" s="53">
        <v>52</v>
      </c>
      <c r="B18" s="54">
        <v>158</v>
      </c>
      <c r="C18" s="4" t="str">
        <f t="shared" si="0"/>
        <v>(52,158),</v>
      </c>
      <c r="E18" s="3">
        <v>171</v>
      </c>
      <c r="F18" s="27" t="s">
        <v>5127</v>
      </c>
    </row>
    <row r="19" spans="1:6" ht="20.100000000000001" customHeight="1" x14ac:dyDescent="0.25">
      <c r="A19" s="53">
        <v>53</v>
      </c>
      <c r="B19" s="54">
        <v>158</v>
      </c>
      <c r="C19" s="4" t="str">
        <f t="shared" si="0"/>
        <v>(53,158),</v>
      </c>
      <c r="E19" s="3">
        <v>172</v>
      </c>
      <c r="F19" s="27" t="s">
        <v>5128</v>
      </c>
    </row>
    <row r="20" spans="1:6" ht="20.100000000000001" customHeight="1" x14ac:dyDescent="0.25">
      <c r="A20" s="53">
        <v>54</v>
      </c>
      <c r="B20" s="54">
        <v>158</v>
      </c>
      <c r="C20" s="4" t="str">
        <f t="shared" si="0"/>
        <v>(54,158),</v>
      </c>
      <c r="E20" s="3">
        <v>173</v>
      </c>
      <c r="F20" s="27" t="s">
        <v>5129</v>
      </c>
    </row>
    <row r="21" spans="1:6" ht="20.100000000000001" customHeight="1" x14ac:dyDescent="0.25">
      <c r="A21" s="53">
        <v>55</v>
      </c>
      <c r="B21" s="54">
        <v>158</v>
      </c>
      <c r="C21" s="4" t="str">
        <f t="shared" si="0"/>
        <v>(55,158),</v>
      </c>
      <c r="E21" s="3">
        <v>174</v>
      </c>
      <c r="F21" s="27" t="s">
        <v>5130</v>
      </c>
    </row>
    <row r="22" spans="1:6" ht="20.100000000000001" customHeight="1" x14ac:dyDescent="0.25">
      <c r="A22" s="53">
        <v>56</v>
      </c>
      <c r="B22" s="54">
        <v>158</v>
      </c>
      <c r="C22" s="4" t="str">
        <f t="shared" si="0"/>
        <v>(56,158),</v>
      </c>
      <c r="E22" s="3">
        <v>175</v>
      </c>
      <c r="F22" s="27" t="s">
        <v>5131</v>
      </c>
    </row>
    <row r="23" spans="1:6" ht="20.100000000000001" customHeight="1" x14ac:dyDescent="0.25">
      <c r="A23" s="53">
        <v>57</v>
      </c>
      <c r="B23" s="54">
        <v>159</v>
      </c>
      <c r="C23" s="4" t="str">
        <f t="shared" si="0"/>
        <v>(57,159),</v>
      </c>
      <c r="E23" s="3">
        <v>176</v>
      </c>
      <c r="F23" s="27" t="s">
        <v>6160</v>
      </c>
    </row>
    <row r="24" spans="1:6" ht="20.100000000000001" customHeight="1" x14ac:dyDescent="0.25">
      <c r="A24" s="53">
        <v>58</v>
      </c>
      <c r="B24" s="54">
        <v>159</v>
      </c>
      <c r="C24" s="4" t="str">
        <f t="shared" si="0"/>
        <v>(58,159),</v>
      </c>
      <c r="E24" s="3">
        <v>177</v>
      </c>
      <c r="F24" s="27" t="s">
        <v>5133</v>
      </c>
    </row>
    <row r="25" spans="1:6" ht="20.100000000000001" customHeight="1" x14ac:dyDescent="0.25">
      <c r="A25" s="53">
        <v>59</v>
      </c>
      <c r="B25" s="54">
        <v>159</v>
      </c>
      <c r="C25" s="4" t="str">
        <f t="shared" si="0"/>
        <v>(59,159),</v>
      </c>
      <c r="E25" s="3">
        <v>178</v>
      </c>
      <c r="F25" s="27" t="s">
        <v>5134</v>
      </c>
    </row>
    <row r="26" spans="1:6" ht="20.100000000000001" customHeight="1" x14ac:dyDescent="0.25">
      <c r="A26" s="53">
        <v>60</v>
      </c>
      <c r="B26" s="54">
        <v>159</v>
      </c>
      <c r="C26" s="4" t="str">
        <f t="shared" si="0"/>
        <v>(60,159),</v>
      </c>
      <c r="E26" s="3">
        <v>179</v>
      </c>
      <c r="F26" s="27" t="s">
        <v>5135</v>
      </c>
    </row>
    <row r="27" spans="1:6" ht="20.100000000000001" customHeight="1" x14ac:dyDescent="0.25">
      <c r="A27" s="53">
        <v>61</v>
      </c>
      <c r="B27" s="54">
        <v>162</v>
      </c>
      <c r="C27" s="4" t="str">
        <f t="shared" si="0"/>
        <v>(61,162),</v>
      </c>
      <c r="E27" s="3">
        <v>179</v>
      </c>
      <c r="F27" s="48" t="s">
        <v>6161</v>
      </c>
    </row>
    <row r="28" spans="1:6" ht="20.100000000000001" customHeight="1" x14ac:dyDescent="0.25">
      <c r="A28" s="53">
        <v>62</v>
      </c>
      <c r="B28" s="54">
        <v>163</v>
      </c>
      <c r="C28" s="4" t="str">
        <f t="shared" si="0"/>
        <v>(62,163),</v>
      </c>
      <c r="E28" s="3">
        <v>180</v>
      </c>
      <c r="F28" s="27" t="s">
        <v>5136</v>
      </c>
    </row>
    <row r="29" spans="1:6" ht="20.100000000000001" customHeight="1" x14ac:dyDescent="0.25">
      <c r="A29" s="53">
        <v>63</v>
      </c>
      <c r="B29" s="54">
        <v>163</v>
      </c>
      <c r="C29" s="4" t="str">
        <f t="shared" si="0"/>
        <v>(63,163),</v>
      </c>
      <c r="E29" s="3">
        <v>181</v>
      </c>
      <c r="F29" s="27" t="s">
        <v>5137</v>
      </c>
    </row>
    <row r="30" spans="1:6" ht="20.100000000000001" customHeight="1" x14ac:dyDescent="0.25">
      <c r="A30" s="59">
        <v>64</v>
      </c>
      <c r="B30" s="55">
        <v>164</v>
      </c>
      <c r="C30" s="4" t="str">
        <f t="shared" si="0"/>
        <v>(64,164),</v>
      </c>
      <c r="E30" s="3">
        <v>182</v>
      </c>
      <c r="F30" s="27" t="s">
        <v>5138</v>
      </c>
    </row>
    <row r="31" spans="1:6" ht="20.100000000000001" customHeight="1" x14ac:dyDescent="0.25">
      <c r="A31" s="59">
        <v>65</v>
      </c>
      <c r="B31" s="55">
        <v>164</v>
      </c>
      <c r="C31" s="4" t="str">
        <f t="shared" si="0"/>
        <v>(65,164),</v>
      </c>
      <c r="E31" s="3">
        <v>183</v>
      </c>
      <c r="F31" s="27" t="s">
        <v>5139</v>
      </c>
    </row>
    <row r="32" spans="1:6" ht="20.100000000000001" customHeight="1" x14ac:dyDescent="0.25">
      <c r="A32" s="59">
        <v>66</v>
      </c>
      <c r="B32" s="55">
        <v>164</v>
      </c>
      <c r="C32" s="4" t="str">
        <f t="shared" si="0"/>
        <v>(66,164),</v>
      </c>
      <c r="E32" s="3">
        <v>184</v>
      </c>
      <c r="F32" s="27" t="s">
        <v>5140</v>
      </c>
    </row>
    <row r="33" spans="1:6" ht="20.100000000000001" customHeight="1" x14ac:dyDescent="0.25">
      <c r="A33" s="53">
        <v>67</v>
      </c>
      <c r="B33" s="54">
        <v>169</v>
      </c>
      <c r="C33" s="4" t="str">
        <f t="shared" si="0"/>
        <v>(67,169),</v>
      </c>
      <c r="E33" s="3">
        <v>185</v>
      </c>
      <c r="F33" s="27" t="s">
        <v>5141</v>
      </c>
    </row>
    <row r="34" spans="1:6" ht="20.100000000000001" customHeight="1" x14ac:dyDescent="0.25">
      <c r="A34" s="53">
        <v>68</v>
      </c>
      <c r="B34" s="54">
        <v>166</v>
      </c>
      <c r="C34" s="4" t="str">
        <f t="shared" si="0"/>
        <v>(68,166),</v>
      </c>
      <c r="E34" s="3">
        <v>186</v>
      </c>
      <c r="F34" s="27" t="s">
        <v>5142</v>
      </c>
    </row>
    <row r="35" spans="1:6" ht="20.100000000000001" customHeight="1" x14ac:dyDescent="0.25">
      <c r="A35" s="53">
        <v>69</v>
      </c>
      <c r="B35" s="54">
        <v>167</v>
      </c>
      <c r="C35" s="4" t="str">
        <f t="shared" ref="C35:C66" si="1">CONCATENATE("(",A35,",",B35,"),")</f>
        <v>(69,167),</v>
      </c>
      <c r="E35" s="3">
        <v>187</v>
      </c>
      <c r="F35" s="27" t="s">
        <v>5143</v>
      </c>
    </row>
    <row r="36" spans="1:6" ht="20.100000000000001" customHeight="1" x14ac:dyDescent="0.25">
      <c r="A36" s="53">
        <v>69</v>
      </c>
      <c r="B36" s="54">
        <v>168</v>
      </c>
      <c r="C36" s="4" t="str">
        <f t="shared" si="1"/>
        <v>(69,168),</v>
      </c>
      <c r="E36" s="3">
        <v>188</v>
      </c>
      <c r="F36" s="27" t="s">
        <v>5144</v>
      </c>
    </row>
    <row r="37" spans="1:6" ht="20.100000000000001" customHeight="1" x14ac:dyDescent="0.25">
      <c r="A37" s="53">
        <v>70</v>
      </c>
      <c r="B37" s="54">
        <v>167</v>
      </c>
      <c r="C37" s="4" t="str">
        <f t="shared" si="1"/>
        <v>(70,167),</v>
      </c>
      <c r="E37" s="3">
        <v>189</v>
      </c>
      <c r="F37" s="27" t="s">
        <v>5145</v>
      </c>
    </row>
    <row r="38" spans="1:6" ht="20.100000000000001" customHeight="1" x14ac:dyDescent="0.25">
      <c r="A38" s="53">
        <v>70</v>
      </c>
      <c r="B38" s="54">
        <v>168</v>
      </c>
      <c r="C38" s="4" t="str">
        <f t="shared" si="1"/>
        <v>(70,168),</v>
      </c>
      <c r="E38" s="3">
        <v>190</v>
      </c>
      <c r="F38" s="27" t="s">
        <v>5146</v>
      </c>
    </row>
    <row r="39" spans="1:6" ht="20.100000000000001" customHeight="1" x14ac:dyDescent="0.25">
      <c r="A39" s="53">
        <v>71</v>
      </c>
      <c r="B39" s="54">
        <v>173</v>
      </c>
      <c r="C39" s="4" t="str">
        <f t="shared" si="1"/>
        <v>(71,173),</v>
      </c>
      <c r="E39" s="3">
        <v>191</v>
      </c>
      <c r="F39" s="27" t="s">
        <v>5147</v>
      </c>
    </row>
    <row r="40" spans="1:6" ht="20.100000000000001" customHeight="1" x14ac:dyDescent="0.25">
      <c r="A40" s="53">
        <v>72</v>
      </c>
      <c r="B40" s="54">
        <v>173</v>
      </c>
      <c r="C40" s="4" t="str">
        <f t="shared" si="1"/>
        <v>(72,173),</v>
      </c>
      <c r="E40" s="3">
        <v>192</v>
      </c>
      <c r="F40" s="27" t="s">
        <v>5148</v>
      </c>
    </row>
    <row r="41" spans="1:6" ht="20.100000000000001" customHeight="1" x14ac:dyDescent="0.25">
      <c r="A41" s="53">
        <v>73</v>
      </c>
      <c r="B41" s="54">
        <v>173</v>
      </c>
      <c r="C41" s="4" t="str">
        <f t="shared" si="1"/>
        <v>(73,173),</v>
      </c>
      <c r="E41" s="3">
        <v>193</v>
      </c>
      <c r="F41" s="27" t="s">
        <v>5149</v>
      </c>
    </row>
    <row r="42" spans="1:6" ht="20.100000000000001" customHeight="1" x14ac:dyDescent="0.25">
      <c r="A42" s="53">
        <v>74</v>
      </c>
      <c r="B42" s="54">
        <v>173</v>
      </c>
      <c r="C42" s="4" t="str">
        <f t="shared" si="1"/>
        <v>(74,173),</v>
      </c>
      <c r="E42" s="3">
        <v>194</v>
      </c>
      <c r="F42" s="27" t="s">
        <v>5150</v>
      </c>
    </row>
    <row r="43" spans="1:6" ht="20.100000000000001" customHeight="1" x14ac:dyDescent="0.25">
      <c r="A43" s="53">
        <v>75</v>
      </c>
      <c r="B43" s="54">
        <v>174</v>
      </c>
      <c r="C43" s="4" t="str">
        <f t="shared" si="1"/>
        <v>(75,174),</v>
      </c>
      <c r="E43" s="3">
        <v>195</v>
      </c>
      <c r="F43" s="27" t="s">
        <v>5151</v>
      </c>
    </row>
    <row r="44" spans="1:6" ht="20.100000000000001" customHeight="1" x14ac:dyDescent="0.25">
      <c r="A44" s="53">
        <v>76</v>
      </c>
      <c r="B44" s="54">
        <v>174</v>
      </c>
      <c r="C44" s="4" t="str">
        <f t="shared" si="1"/>
        <v>(76,174),</v>
      </c>
      <c r="E44" s="3">
        <v>196</v>
      </c>
      <c r="F44" s="27" t="s">
        <v>5152</v>
      </c>
    </row>
    <row r="45" spans="1:6" ht="20.100000000000001" customHeight="1" x14ac:dyDescent="0.25">
      <c r="A45" s="53">
        <v>77</v>
      </c>
      <c r="B45" s="54">
        <v>176</v>
      </c>
      <c r="C45" s="4" t="str">
        <f t="shared" si="1"/>
        <v>(77,176),</v>
      </c>
      <c r="E45" s="3">
        <v>197</v>
      </c>
      <c r="F45" s="27" t="s">
        <v>5153</v>
      </c>
    </row>
    <row r="46" spans="1:6" ht="20.100000000000001" customHeight="1" x14ac:dyDescent="0.25">
      <c r="A46" s="53">
        <v>78</v>
      </c>
      <c r="B46" s="54">
        <v>176</v>
      </c>
      <c r="C46" s="4" t="str">
        <f t="shared" si="1"/>
        <v>(78,176),</v>
      </c>
      <c r="E46" s="3">
        <v>198</v>
      </c>
      <c r="F46" s="27" t="s">
        <v>5154</v>
      </c>
    </row>
    <row r="47" spans="1:6" ht="20.100000000000001" customHeight="1" x14ac:dyDescent="0.25">
      <c r="A47" s="53">
        <v>79</v>
      </c>
      <c r="B47" s="54">
        <v>176</v>
      </c>
      <c r="C47" s="4" t="str">
        <f t="shared" si="1"/>
        <v>(79,176),</v>
      </c>
      <c r="E47" s="3">
        <v>199</v>
      </c>
      <c r="F47" s="27" t="s">
        <v>5155</v>
      </c>
    </row>
    <row r="48" spans="1:6" ht="20.100000000000001" customHeight="1" x14ac:dyDescent="0.25">
      <c r="A48" s="5">
        <v>80</v>
      </c>
      <c r="B48" s="3">
        <v>177</v>
      </c>
      <c r="C48" s="4" t="str">
        <f t="shared" si="1"/>
        <v>(80,177),</v>
      </c>
      <c r="E48" s="3">
        <v>200</v>
      </c>
      <c r="F48" s="27" t="s">
        <v>5156</v>
      </c>
    </row>
    <row r="49" spans="1:6" ht="20.100000000000001" customHeight="1" x14ac:dyDescent="0.25">
      <c r="A49" s="5">
        <v>81</v>
      </c>
      <c r="B49" s="3">
        <v>177</v>
      </c>
      <c r="C49" s="4" t="str">
        <f t="shared" si="1"/>
        <v>(81,177),</v>
      </c>
      <c r="E49" s="3">
        <v>201</v>
      </c>
      <c r="F49" s="27" t="s">
        <v>5157</v>
      </c>
    </row>
    <row r="50" spans="1:6" ht="20.100000000000001" customHeight="1" x14ac:dyDescent="0.25">
      <c r="A50" s="5">
        <v>82</v>
      </c>
      <c r="B50" s="3">
        <v>178</v>
      </c>
      <c r="C50" s="4" t="str">
        <f t="shared" si="1"/>
        <v>(82,178),</v>
      </c>
      <c r="E50" s="3">
        <v>202</v>
      </c>
      <c r="F50" s="27" t="s">
        <v>5158</v>
      </c>
    </row>
    <row r="51" spans="1:6" ht="20.100000000000001" customHeight="1" x14ac:dyDescent="0.25">
      <c r="A51" s="5">
        <v>83</v>
      </c>
      <c r="B51" s="3">
        <v>177</v>
      </c>
      <c r="C51" s="4" t="str">
        <f t="shared" si="1"/>
        <v>(83,177),</v>
      </c>
      <c r="E51" s="3">
        <v>203</v>
      </c>
      <c r="F51" s="27" t="s">
        <v>5159</v>
      </c>
    </row>
    <row r="52" spans="1:6" ht="20.100000000000001" customHeight="1" x14ac:dyDescent="0.25">
      <c r="A52" s="5">
        <v>83</v>
      </c>
      <c r="B52" s="3">
        <v>178</v>
      </c>
      <c r="C52" s="4" t="str">
        <f t="shared" si="1"/>
        <v>(83,178),</v>
      </c>
      <c r="E52" s="3">
        <v>204</v>
      </c>
      <c r="F52" s="27" t="s">
        <v>5160</v>
      </c>
    </row>
    <row r="53" spans="1:6" ht="20.100000000000001" customHeight="1" x14ac:dyDescent="0.25">
      <c r="A53" s="5">
        <v>84</v>
      </c>
      <c r="B53" s="3">
        <v>179</v>
      </c>
      <c r="C53" s="4" t="str">
        <f t="shared" si="1"/>
        <v>(84,179),</v>
      </c>
      <c r="E53" s="3">
        <v>205</v>
      </c>
      <c r="F53" s="27" t="s">
        <v>5161</v>
      </c>
    </row>
    <row r="54" spans="1:6" ht="20.100000000000001" customHeight="1" x14ac:dyDescent="0.25">
      <c r="A54" s="5">
        <v>85</v>
      </c>
      <c r="B54" s="3">
        <v>179</v>
      </c>
      <c r="C54" s="4" t="str">
        <f t="shared" si="1"/>
        <v>(85,179),</v>
      </c>
      <c r="E54" s="3">
        <v>206</v>
      </c>
      <c r="F54" s="27" t="s">
        <v>5162</v>
      </c>
    </row>
    <row r="55" spans="1:6" ht="20.100000000000001" customHeight="1" x14ac:dyDescent="0.25">
      <c r="A55" s="5">
        <v>86</v>
      </c>
      <c r="B55" s="3">
        <v>179</v>
      </c>
      <c r="C55" s="4" t="str">
        <f t="shared" si="1"/>
        <v>(86,179),</v>
      </c>
      <c r="E55" s="3">
        <v>207</v>
      </c>
      <c r="F55" s="27" t="s">
        <v>4153</v>
      </c>
    </row>
    <row r="56" spans="1:6" ht="20.100000000000001" customHeight="1" x14ac:dyDescent="0.25">
      <c r="A56" s="5">
        <v>87</v>
      </c>
      <c r="B56" s="3">
        <v>179</v>
      </c>
      <c r="C56" s="4" t="str">
        <f t="shared" si="1"/>
        <v>(87,179),</v>
      </c>
      <c r="E56" s="3">
        <v>208</v>
      </c>
      <c r="F56" s="27" t="s">
        <v>5163</v>
      </c>
    </row>
    <row r="57" spans="1:6" ht="20.100000000000001" customHeight="1" x14ac:dyDescent="0.25">
      <c r="A57" s="5">
        <v>88</v>
      </c>
      <c r="B57" s="3">
        <v>176</v>
      </c>
      <c r="C57" s="4" t="str">
        <f t="shared" si="1"/>
        <v>(88,176),</v>
      </c>
      <c r="E57" s="3">
        <v>209</v>
      </c>
      <c r="F57" s="27" t="s">
        <v>5164</v>
      </c>
    </row>
    <row r="58" spans="1:6" ht="20.100000000000001" customHeight="1" x14ac:dyDescent="0.25">
      <c r="A58" s="5">
        <v>89</v>
      </c>
      <c r="B58" s="3">
        <v>176</v>
      </c>
      <c r="C58" s="4" t="str">
        <f t="shared" si="1"/>
        <v>(89,176),</v>
      </c>
      <c r="E58" s="3">
        <v>210</v>
      </c>
      <c r="F58" s="27" t="s">
        <v>5165</v>
      </c>
    </row>
    <row r="59" spans="1:6" ht="20.100000000000001" customHeight="1" x14ac:dyDescent="0.25">
      <c r="A59" s="5">
        <v>90</v>
      </c>
      <c r="B59" s="3">
        <v>182</v>
      </c>
      <c r="C59" s="4" t="str">
        <f t="shared" si="1"/>
        <v>(90,182),</v>
      </c>
      <c r="E59" s="3">
        <v>211</v>
      </c>
      <c r="F59" s="27" t="s">
        <v>5166</v>
      </c>
    </row>
    <row r="60" spans="1:6" ht="20.100000000000001" customHeight="1" x14ac:dyDescent="0.25">
      <c r="A60" s="5">
        <v>91</v>
      </c>
      <c r="B60" s="3">
        <v>182</v>
      </c>
      <c r="C60" s="4" t="str">
        <f t="shared" si="1"/>
        <v>(91,182),</v>
      </c>
    </row>
    <row r="61" spans="1:6" ht="20.100000000000001" customHeight="1" x14ac:dyDescent="0.25">
      <c r="A61" s="5">
        <v>92</v>
      </c>
      <c r="B61" s="3">
        <v>182</v>
      </c>
      <c r="C61" s="4" t="str">
        <f t="shared" si="1"/>
        <v>(92,182),</v>
      </c>
    </row>
    <row r="62" spans="1:6" ht="20.100000000000001" customHeight="1" x14ac:dyDescent="0.25">
      <c r="A62" s="5">
        <v>93</v>
      </c>
      <c r="B62" s="3">
        <v>182</v>
      </c>
      <c r="C62" s="4" t="str">
        <f t="shared" si="1"/>
        <v>(93,182),</v>
      </c>
    </row>
    <row r="63" spans="1:6" ht="20.100000000000001" customHeight="1" x14ac:dyDescent="0.25">
      <c r="A63" s="5">
        <v>94</v>
      </c>
      <c r="B63" s="3">
        <v>184</v>
      </c>
      <c r="C63" s="4" t="str">
        <f t="shared" si="1"/>
        <v>(94,184),</v>
      </c>
    </row>
    <row r="64" spans="1:6" ht="20.100000000000001" customHeight="1" x14ac:dyDescent="0.25">
      <c r="A64" s="5">
        <v>95</v>
      </c>
      <c r="B64" s="3">
        <v>185</v>
      </c>
      <c r="C64" s="4" t="str">
        <f t="shared" si="1"/>
        <v>(95,185),</v>
      </c>
    </row>
    <row r="65" spans="1:3" ht="20.100000000000001" customHeight="1" x14ac:dyDescent="0.25">
      <c r="A65" s="5">
        <v>96</v>
      </c>
      <c r="B65" s="5">
        <v>187</v>
      </c>
      <c r="C65" s="4" t="str">
        <f t="shared" si="1"/>
        <v>(96,187),</v>
      </c>
    </row>
    <row r="66" spans="1:3" ht="20.100000000000001" customHeight="1" x14ac:dyDescent="0.25">
      <c r="A66" s="5">
        <v>97</v>
      </c>
      <c r="B66" s="3">
        <v>184</v>
      </c>
      <c r="C66" s="4" t="str">
        <f t="shared" si="1"/>
        <v>(97,184),</v>
      </c>
    </row>
    <row r="67" spans="1:3" ht="20.100000000000001" customHeight="1" x14ac:dyDescent="0.25">
      <c r="A67" s="5">
        <v>98</v>
      </c>
      <c r="B67" s="3">
        <v>185</v>
      </c>
      <c r="C67" s="4" t="str">
        <f t="shared" ref="C67:C92" si="2">CONCATENATE("(",A67,",",B67,"),")</f>
        <v>(98,185),</v>
      </c>
    </row>
    <row r="68" spans="1:3" ht="20.100000000000001" customHeight="1" x14ac:dyDescent="0.25">
      <c r="A68" s="5">
        <v>99</v>
      </c>
      <c r="B68" s="5">
        <v>187</v>
      </c>
      <c r="C68" s="4" t="str">
        <f t="shared" si="2"/>
        <v>(99,187),</v>
      </c>
    </row>
    <row r="69" spans="1:3" ht="20.100000000000001" customHeight="1" x14ac:dyDescent="0.25">
      <c r="A69" s="5">
        <v>100</v>
      </c>
      <c r="B69" s="3">
        <v>184</v>
      </c>
      <c r="C69" s="4" t="str">
        <f t="shared" si="2"/>
        <v>(100,184),</v>
      </c>
    </row>
    <row r="70" spans="1:3" ht="20.100000000000001" customHeight="1" x14ac:dyDescent="0.25">
      <c r="A70" s="5">
        <v>101</v>
      </c>
      <c r="B70" s="3">
        <v>185</v>
      </c>
      <c r="C70" s="4" t="str">
        <f t="shared" si="2"/>
        <v>(101,185),</v>
      </c>
    </row>
    <row r="71" spans="1:3" ht="20.100000000000001" customHeight="1" x14ac:dyDescent="0.25">
      <c r="A71" s="5">
        <v>102</v>
      </c>
      <c r="B71" s="5">
        <v>187</v>
      </c>
      <c r="C71" s="4" t="str">
        <f t="shared" si="2"/>
        <v>(102,187),</v>
      </c>
    </row>
    <row r="72" spans="1:3" ht="20.100000000000001" customHeight="1" x14ac:dyDescent="0.25">
      <c r="A72" s="5">
        <v>103</v>
      </c>
      <c r="B72" s="3">
        <v>184</v>
      </c>
      <c r="C72" s="4" t="str">
        <f t="shared" si="2"/>
        <v>(103,184),</v>
      </c>
    </row>
    <row r="73" spans="1:3" ht="20.100000000000001" customHeight="1" x14ac:dyDescent="0.25">
      <c r="A73" s="5">
        <v>104</v>
      </c>
      <c r="B73" s="3">
        <v>185</v>
      </c>
      <c r="C73" s="4" t="str">
        <f t="shared" si="2"/>
        <v>(104,185),</v>
      </c>
    </row>
    <row r="74" spans="1:3" ht="20.100000000000001" customHeight="1" x14ac:dyDescent="0.25">
      <c r="A74" s="5">
        <v>105</v>
      </c>
      <c r="B74" s="5">
        <v>187</v>
      </c>
      <c r="C74" s="4" t="str">
        <f t="shared" si="2"/>
        <v>(105,187),</v>
      </c>
    </row>
    <row r="75" spans="1:3" ht="20.100000000000001" customHeight="1" x14ac:dyDescent="0.25">
      <c r="A75" s="5">
        <v>106</v>
      </c>
      <c r="B75" s="3">
        <v>184</v>
      </c>
      <c r="C75" s="4" t="str">
        <f t="shared" si="2"/>
        <v>(106,184),</v>
      </c>
    </row>
    <row r="76" spans="1:3" ht="20.100000000000001" customHeight="1" x14ac:dyDescent="0.25">
      <c r="A76" s="5">
        <v>107</v>
      </c>
      <c r="B76" s="3">
        <v>185</v>
      </c>
      <c r="C76" s="4" t="str">
        <f t="shared" si="2"/>
        <v>(107,185),</v>
      </c>
    </row>
    <row r="77" spans="1:3" ht="20.100000000000001" customHeight="1" x14ac:dyDescent="0.25">
      <c r="A77" s="5">
        <v>108</v>
      </c>
      <c r="B77" s="5">
        <v>187</v>
      </c>
      <c r="C77" s="4" t="str">
        <f t="shared" si="2"/>
        <v>(108,187),</v>
      </c>
    </row>
    <row r="78" spans="1:3" ht="20.100000000000001" customHeight="1" x14ac:dyDescent="0.25">
      <c r="A78" s="5">
        <v>109</v>
      </c>
      <c r="B78" s="3">
        <v>207</v>
      </c>
      <c r="C78" s="4" t="str">
        <f t="shared" si="2"/>
        <v>(109,207),</v>
      </c>
    </row>
    <row r="79" spans="1:3" ht="20.100000000000001" customHeight="1" x14ac:dyDescent="0.25">
      <c r="A79" s="5">
        <v>110</v>
      </c>
      <c r="B79" s="3">
        <v>193</v>
      </c>
      <c r="C79" s="4" t="str">
        <f t="shared" si="2"/>
        <v>(110,193),</v>
      </c>
    </row>
    <row r="80" spans="1:3" ht="20.100000000000001" customHeight="1" x14ac:dyDescent="0.25">
      <c r="A80" s="5">
        <v>111</v>
      </c>
      <c r="B80" s="3">
        <v>193</v>
      </c>
      <c r="C80" s="4" t="str">
        <f t="shared" si="2"/>
        <v>(111,193),</v>
      </c>
    </row>
    <row r="81" spans="1:3" ht="20.100000000000001" customHeight="1" x14ac:dyDescent="0.25">
      <c r="A81" s="5">
        <v>112</v>
      </c>
      <c r="B81" s="3">
        <v>193</v>
      </c>
      <c r="C81" s="4" t="str">
        <f t="shared" si="2"/>
        <v>(112,193),</v>
      </c>
    </row>
    <row r="82" spans="1:3" ht="20.100000000000001" customHeight="1" x14ac:dyDescent="0.25">
      <c r="A82" s="5">
        <v>113</v>
      </c>
      <c r="B82" s="3">
        <v>193</v>
      </c>
      <c r="C82" s="4" t="str">
        <f t="shared" si="2"/>
        <v>(113,193),</v>
      </c>
    </row>
    <row r="83" spans="1:3" ht="20.100000000000001" customHeight="1" x14ac:dyDescent="0.25">
      <c r="A83" s="5">
        <v>114</v>
      </c>
      <c r="B83" s="3">
        <v>193</v>
      </c>
      <c r="C83" s="4" t="str">
        <f t="shared" si="2"/>
        <v>(114,193),</v>
      </c>
    </row>
    <row r="84" spans="1:3" ht="20.100000000000001" customHeight="1" x14ac:dyDescent="0.25">
      <c r="A84" s="5">
        <v>115</v>
      </c>
      <c r="B84" s="3">
        <v>210</v>
      </c>
      <c r="C84" s="4" t="str">
        <f t="shared" si="2"/>
        <v>(115,210),</v>
      </c>
    </row>
    <row r="85" spans="1:3" ht="20.100000000000001" customHeight="1" x14ac:dyDescent="0.25">
      <c r="A85" s="5">
        <v>116</v>
      </c>
      <c r="B85" s="3">
        <v>197</v>
      </c>
      <c r="C85" s="4" t="str">
        <f t="shared" si="2"/>
        <v>(116,197),</v>
      </c>
    </row>
    <row r="86" spans="1:3" ht="20.100000000000001" customHeight="1" x14ac:dyDescent="0.25">
      <c r="A86" s="5">
        <v>117</v>
      </c>
      <c r="B86" s="3">
        <v>204</v>
      </c>
      <c r="C86" s="4" t="str">
        <f t="shared" si="2"/>
        <v>(117,204),</v>
      </c>
    </row>
    <row r="87" spans="1:3" ht="20.100000000000001" customHeight="1" x14ac:dyDescent="0.25">
      <c r="A87" s="5">
        <v>118</v>
      </c>
      <c r="B87" s="3">
        <v>206</v>
      </c>
      <c r="C87" s="4" t="str">
        <f t="shared" si="2"/>
        <v>(118,206),</v>
      </c>
    </row>
    <row r="88" spans="1:3" ht="20.100000000000001" customHeight="1" x14ac:dyDescent="0.25">
      <c r="A88" s="5">
        <v>119</v>
      </c>
      <c r="B88" s="3">
        <v>201</v>
      </c>
      <c r="C88" s="4" t="str">
        <f t="shared" si="2"/>
        <v>(119,201),</v>
      </c>
    </row>
    <row r="89" spans="1:3" ht="20.100000000000001" customHeight="1" x14ac:dyDescent="0.25">
      <c r="A89" s="5">
        <v>120</v>
      </c>
      <c r="B89" s="3">
        <v>201</v>
      </c>
      <c r="C89" s="4" t="str">
        <f t="shared" si="2"/>
        <v>(120,201),</v>
      </c>
    </row>
    <row r="90" spans="1:3" ht="20.100000000000001" customHeight="1" x14ac:dyDescent="0.25">
      <c r="A90" s="5">
        <v>121</v>
      </c>
      <c r="B90" s="3">
        <v>201</v>
      </c>
      <c r="C90" s="4" t="str">
        <f t="shared" si="2"/>
        <v>(121,201),</v>
      </c>
    </row>
    <row r="91" spans="1:3" ht="20.100000000000001" customHeight="1" x14ac:dyDescent="0.25">
      <c r="A91" s="5">
        <v>122</v>
      </c>
      <c r="B91" s="3">
        <v>201</v>
      </c>
      <c r="C91" s="4" t="str">
        <f t="shared" si="2"/>
        <v>(122,201),</v>
      </c>
    </row>
    <row r="92" spans="1:3" ht="20.100000000000001" customHeight="1" x14ac:dyDescent="0.25">
      <c r="A92" s="5">
        <v>123</v>
      </c>
      <c r="B92" s="3">
        <v>201</v>
      </c>
      <c r="C92" s="4" t="str">
        <f t="shared" si="2"/>
        <v>(123,201),</v>
      </c>
    </row>
  </sheetData>
  <autoFilter ref="A2:C92">
    <sortState ref="A3:C92">
      <sortCondition ref="A2:A92"/>
    </sortState>
  </autoFilter>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1:C36"/>
  <sheetViews>
    <sheetView workbookViewId="0">
      <selection activeCell="I59" sqref="I59"/>
    </sheetView>
  </sheetViews>
  <sheetFormatPr baseColWidth="10" defaultColWidth="10.85546875" defaultRowHeight="15.75" x14ac:dyDescent="0.25"/>
  <cols>
    <col min="1" max="1" width="5.5703125" style="2" customWidth="1"/>
    <col min="2" max="2" width="15.5703125" style="2" customWidth="1"/>
    <col min="3" max="3" width="65.42578125" style="2" bestFit="1" customWidth="1"/>
    <col min="4" max="16384" width="10.85546875" style="2"/>
  </cols>
  <sheetData>
    <row r="1" spans="1:3" ht="20.100000000000001" customHeight="1" x14ac:dyDescent="0.25">
      <c r="A1" s="1" t="s">
        <v>37</v>
      </c>
      <c r="B1" s="1" t="s">
        <v>4083</v>
      </c>
      <c r="C1" s="1" t="s">
        <v>5597</v>
      </c>
    </row>
    <row r="2" spans="1:3" ht="20.100000000000001" customHeight="1" x14ac:dyDescent="0.25">
      <c r="A2" s="1" t="s">
        <v>44</v>
      </c>
      <c r="B2" s="1" t="s">
        <v>5531</v>
      </c>
      <c r="C2" s="1" t="s">
        <v>5602</v>
      </c>
    </row>
    <row r="3" spans="1:3" ht="20.100000000000001" customHeight="1" x14ac:dyDescent="0.25">
      <c r="A3" s="3">
        <v>1</v>
      </c>
      <c r="B3" s="5">
        <v>1</v>
      </c>
      <c r="C3" s="4" t="str">
        <f>CONCATENATE("(",A3,",",B3,"),")</f>
        <v>(1,1),</v>
      </c>
    </row>
    <row r="4" spans="1:3" ht="20.100000000000001" customHeight="1" x14ac:dyDescent="0.25">
      <c r="A4" s="3">
        <v>2</v>
      </c>
      <c r="B4" s="5">
        <v>1</v>
      </c>
      <c r="C4" s="4" t="str">
        <f t="shared" ref="C4:C36" si="0">CONCATENATE("(",A4,",",B4,"),")</f>
        <v>(2,1),</v>
      </c>
    </row>
    <row r="5" spans="1:3" ht="20.100000000000001" customHeight="1" x14ac:dyDescent="0.25">
      <c r="A5" s="3">
        <v>3</v>
      </c>
      <c r="B5" s="5">
        <v>1</v>
      </c>
      <c r="C5" s="4" t="str">
        <f t="shared" si="0"/>
        <v>(3,1),</v>
      </c>
    </row>
    <row r="6" spans="1:3" ht="20.100000000000001" customHeight="1" x14ac:dyDescent="0.25">
      <c r="A6" s="3">
        <v>4</v>
      </c>
      <c r="B6" s="5">
        <v>2</v>
      </c>
      <c r="C6" s="4" t="str">
        <f t="shared" si="0"/>
        <v>(4,2),</v>
      </c>
    </row>
    <row r="7" spans="1:3" ht="20.100000000000001" customHeight="1" x14ac:dyDescent="0.25">
      <c r="A7" s="3">
        <v>5</v>
      </c>
      <c r="B7" s="5">
        <v>2</v>
      </c>
      <c r="C7" s="4" t="str">
        <f t="shared" si="0"/>
        <v>(5,2),</v>
      </c>
    </row>
    <row r="8" spans="1:3" ht="20.100000000000001" customHeight="1" x14ac:dyDescent="0.25">
      <c r="A8" s="3">
        <v>6</v>
      </c>
      <c r="B8" s="5">
        <v>2</v>
      </c>
      <c r="C8" s="4" t="str">
        <f t="shared" si="0"/>
        <v>(6,2),</v>
      </c>
    </row>
    <row r="9" spans="1:3" ht="20.100000000000001" customHeight="1" x14ac:dyDescent="0.25">
      <c r="A9" s="3">
        <v>7</v>
      </c>
      <c r="B9" s="5">
        <v>3</v>
      </c>
      <c r="C9" s="4" t="str">
        <f t="shared" si="0"/>
        <v>(7,3),</v>
      </c>
    </row>
    <row r="10" spans="1:3" ht="20.100000000000001" customHeight="1" x14ac:dyDescent="0.25">
      <c r="A10" s="3">
        <v>8</v>
      </c>
      <c r="B10" s="5">
        <v>3</v>
      </c>
      <c r="C10" s="4" t="str">
        <f t="shared" si="0"/>
        <v>(8,3),</v>
      </c>
    </row>
    <row r="11" spans="1:3" ht="20.100000000000001" customHeight="1" x14ac:dyDescent="0.25">
      <c r="A11" s="3">
        <v>9</v>
      </c>
      <c r="B11" s="5">
        <v>3</v>
      </c>
      <c r="C11" s="4" t="str">
        <f t="shared" si="0"/>
        <v>(9,3),</v>
      </c>
    </row>
    <row r="12" spans="1:3" ht="20.100000000000001" customHeight="1" x14ac:dyDescent="0.25">
      <c r="A12" s="3">
        <v>10</v>
      </c>
      <c r="B12" s="5">
        <v>3</v>
      </c>
      <c r="C12" s="4" t="str">
        <f t="shared" si="0"/>
        <v>(10,3),</v>
      </c>
    </row>
    <row r="13" spans="1:3" ht="20.100000000000001" customHeight="1" x14ac:dyDescent="0.25">
      <c r="A13" s="3">
        <v>11</v>
      </c>
      <c r="B13" s="5">
        <v>3</v>
      </c>
      <c r="C13" s="4" t="str">
        <f t="shared" si="0"/>
        <v>(11,3),</v>
      </c>
    </row>
    <row r="14" spans="1:3" ht="20.100000000000001" customHeight="1" x14ac:dyDescent="0.25">
      <c r="A14" s="3">
        <v>12</v>
      </c>
      <c r="B14" s="5">
        <v>4</v>
      </c>
      <c r="C14" s="4" t="str">
        <f t="shared" si="0"/>
        <v>(12,4),</v>
      </c>
    </row>
    <row r="15" spans="1:3" ht="20.100000000000001" customHeight="1" x14ac:dyDescent="0.25">
      <c r="A15" s="3">
        <v>13</v>
      </c>
      <c r="B15" s="5">
        <v>4</v>
      </c>
      <c r="C15" s="4" t="str">
        <f t="shared" si="0"/>
        <v>(13,4),</v>
      </c>
    </row>
    <row r="16" spans="1:3" ht="20.100000000000001" customHeight="1" x14ac:dyDescent="0.25">
      <c r="A16" s="3">
        <v>14</v>
      </c>
      <c r="B16" s="5">
        <v>4</v>
      </c>
      <c r="C16" s="4" t="str">
        <f t="shared" si="0"/>
        <v>(14,4),</v>
      </c>
    </row>
    <row r="17" spans="1:3" ht="20.100000000000001" customHeight="1" x14ac:dyDescent="0.25">
      <c r="A17" s="3">
        <v>15</v>
      </c>
      <c r="B17" s="5">
        <v>4</v>
      </c>
      <c r="C17" s="4" t="str">
        <f t="shared" si="0"/>
        <v>(15,4),</v>
      </c>
    </row>
    <row r="18" spans="1:3" ht="20.100000000000001" customHeight="1" x14ac:dyDescent="0.25">
      <c r="A18" s="3">
        <v>16</v>
      </c>
      <c r="B18" s="5">
        <v>4</v>
      </c>
      <c r="C18" s="4" t="str">
        <f t="shared" si="0"/>
        <v>(16,4),</v>
      </c>
    </row>
    <row r="19" spans="1:3" ht="20.100000000000001" customHeight="1" x14ac:dyDescent="0.25">
      <c r="A19" s="3">
        <v>17</v>
      </c>
      <c r="B19" s="5">
        <v>4</v>
      </c>
      <c r="C19" s="4" t="str">
        <f t="shared" si="0"/>
        <v>(17,4),</v>
      </c>
    </row>
    <row r="20" spans="1:3" ht="20.100000000000001" customHeight="1" x14ac:dyDescent="0.25">
      <c r="A20" s="3">
        <v>18</v>
      </c>
      <c r="B20" s="5">
        <v>4</v>
      </c>
      <c r="C20" s="4" t="str">
        <f t="shared" si="0"/>
        <v>(18,4),</v>
      </c>
    </row>
    <row r="21" spans="1:3" ht="20.100000000000001" customHeight="1" x14ac:dyDescent="0.25">
      <c r="A21" s="3">
        <v>19</v>
      </c>
      <c r="B21" s="5">
        <v>5</v>
      </c>
      <c r="C21" s="4" t="str">
        <f t="shared" si="0"/>
        <v>(19,5),</v>
      </c>
    </row>
    <row r="22" spans="1:3" ht="20.100000000000001" customHeight="1" x14ac:dyDescent="0.25">
      <c r="A22" s="3">
        <v>20</v>
      </c>
      <c r="B22" s="5">
        <v>5</v>
      </c>
      <c r="C22" s="4" t="str">
        <f t="shared" si="0"/>
        <v>(20,5),</v>
      </c>
    </row>
    <row r="23" spans="1:3" ht="20.100000000000001" customHeight="1" x14ac:dyDescent="0.25">
      <c r="A23" s="3">
        <v>21</v>
      </c>
      <c r="B23" s="5">
        <v>5</v>
      </c>
      <c r="C23" s="4" t="str">
        <f t="shared" si="0"/>
        <v>(21,5),</v>
      </c>
    </row>
    <row r="24" spans="1:3" ht="20.100000000000001" customHeight="1" x14ac:dyDescent="0.25">
      <c r="A24" s="3">
        <v>22</v>
      </c>
      <c r="B24" s="5">
        <v>5</v>
      </c>
      <c r="C24" s="4" t="str">
        <f t="shared" si="0"/>
        <v>(22,5),</v>
      </c>
    </row>
    <row r="25" spans="1:3" ht="20.100000000000001" customHeight="1" x14ac:dyDescent="0.25">
      <c r="A25" s="3">
        <v>23</v>
      </c>
      <c r="B25" s="5">
        <v>5</v>
      </c>
      <c r="C25" s="4" t="str">
        <f t="shared" si="0"/>
        <v>(23,5),</v>
      </c>
    </row>
    <row r="26" spans="1:3" ht="20.100000000000001" customHeight="1" x14ac:dyDescent="0.25">
      <c r="A26" s="3">
        <v>24</v>
      </c>
      <c r="B26" s="5">
        <v>5</v>
      </c>
      <c r="C26" s="4" t="str">
        <f t="shared" si="0"/>
        <v>(24,5),</v>
      </c>
    </row>
    <row r="27" spans="1:3" ht="20.100000000000001" customHeight="1" x14ac:dyDescent="0.25">
      <c r="A27" s="3">
        <v>25</v>
      </c>
      <c r="B27" s="5">
        <v>5</v>
      </c>
      <c r="C27" s="4" t="str">
        <f t="shared" si="0"/>
        <v>(25,5),</v>
      </c>
    </row>
    <row r="28" spans="1:3" ht="20.100000000000001" customHeight="1" x14ac:dyDescent="0.25">
      <c r="A28" s="3">
        <v>26</v>
      </c>
      <c r="B28" s="5">
        <v>5</v>
      </c>
      <c r="C28" s="4" t="str">
        <f t="shared" si="0"/>
        <v>(26,5),</v>
      </c>
    </row>
    <row r="29" spans="1:3" ht="20.100000000000001" customHeight="1" x14ac:dyDescent="0.25">
      <c r="A29" s="3">
        <v>27</v>
      </c>
      <c r="B29" s="5">
        <v>5</v>
      </c>
      <c r="C29" s="4" t="str">
        <f t="shared" si="0"/>
        <v>(27,5),</v>
      </c>
    </row>
    <row r="30" spans="1:3" ht="20.100000000000001" customHeight="1" x14ac:dyDescent="0.25">
      <c r="A30" s="3">
        <v>28</v>
      </c>
      <c r="B30" s="5">
        <v>5</v>
      </c>
      <c r="C30" s="4" t="str">
        <f t="shared" si="0"/>
        <v>(28,5),</v>
      </c>
    </row>
    <row r="31" spans="1:3" ht="20.100000000000001" customHeight="1" x14ac:dyDescent="0.25">
      <c r="A31" s="3">
        <v>29</v>
      </c>
      <c r="B31" s="5">
        <v>5</v>
      </c>
      <c r="C31" s="4" t="str">
        <f t="shared" si="0"/>
        <v>(29,5),</v>
      </c>
    </row>
    <row r="32" spans="1:3" ht="20.100000000000001" customHeight="1" x14ac:dyDescent="0.25">
      <c r="A32" s="3">
        <v>30</v>
      </c>
      <c r="B32" s="5">
        <v>5</v>
      </c>
      <c r="C32" s="4" t="str">
        <f t="shared" si="0"/>
        <v>(30,5),</v>
      </c>
    </row>
    <row r="33" spans="1:3" ht="20.100000000000001" customHeight="1" x14ac:dyDescent="0.25">
      <c r="A33" s="3">
        <v>31</v>
      </c>
      <c r="B33" s="5">
        <v>5</v>
      </c>
      <c r="C33" s="4" t="str">
        <f t="shared" si="0"/>
        <v>(31,5),</v>
      </c>
    </row>
    <row r="34" spans="1:3" ht="20.100000000000001" customHeight="1" x14ac:dyDescent="0.25">
      <c r="A34" s="3">
        <v>32</v>
      </c>
      <c r="B34" s="5">
        <v>5</v>
      </c>
      <c r="C34" s="4" t="str">
        <f t="shared" si="0"/>
        <v>(32,5),</v>
      </c>
    </row>
    <row r="35" spans="1:3" ht="20.100000000000001" customHeight="1" x14ac:dyDescent="0.25">
      <c r="A35" s="3">
        <v>33</v>
      </c>
      <c r="B35" s="5">
        <v>5</v>
      </c>
      <c r="C35" s="4" t="str">
        <f t="shared" si="0"/>
        <v>(33,5),</v>
      </c>
    </row>
    <row r="36" spans="1:3" ht="20.100000000000001" customHeight="1" x14ac:dyDescent="0.25">
      <c r="A36" s="3">
        <v>34</v>
      </c>
      <c r="B36" s="5">
        <v>5</v>
      </c>
      <c r="C36" s="4" t="str">
        <f t="shared" si="0"/>
        <v>(34,5),</v>
      </c>
    </row>
  </sheetData>
  <autoFilter ref="A2:C36"/>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7" tint="0.79998168889431442"/>
  </sheetPr>
  <dimension ref="A1:C89"/>
  <sheetViews>
    <sheetView workbookViewId="0">
      <selection activeCell="B1" sqref="B1"/>
    </sheetView>
  </sheetViews>
  <sheetFormatPr baseColWidth="10" defaultColWidth="10.85546875" defaultRowHeight="15.75" x14ac:dyDescent="0.25"/>
  <cols>
    <col min="1" max="2" width="15.5703125" style="2" customWidth="1"/>
    <col min="3" max="3" width="65.42578125" style="2" bestFit="1" customWidth="1"/>
    <col min="4" max="16384" width="10.85546875" style="2"/>
  </cols>
  <sheetData>
    <row r="1" spans="1:3" ht="20.100000000000001" customHeight="1" x14ac:dyDescent="0.25">
      <c r="A1" s="1" t="s">
        <v>6082</v>
      </c>
      <c r="B1" s="1" t="s">
        <v>6083</v>
      </c>
      <c r="C1" s="1" t="s">
        <v>5597</v>
      </c>
    </row>
    <row r="2" spans="1:3" ht="20.100000000000001" customHeight="1" x14ac:dyDescent="0.25">
      <c r="A2" s="1" t="s">
        <v>41</v>
      </c>
      <c r="B2" s="1" t="s">
        <v>42</v>
      </c>
      <c r="C2" s="1" t="s">
        <v>6076</v>
      </c>
    </row>
    <row r="3" spans="1:3" ht="20.100000000000001" customHeight="1" x14ac:dyDescent="0.25">
      <c r="A3" s="5">
        <v>7</v>
      </c>
      <c r="B3" s="5">
        <v>1</v>
      </c>
      <c r="C3" s="4" t="str">
        <f>CONCATENATE("(",A3,",",B3,"),")</f>
        <v>(7,1),</v>
      </c>
    </row>
    <row r="4" spans="1:3" ht="20.100000000000001" customHeight="1" x14ac:dyDescent="0.25">
      <c r="A4" s="5"/>
      <c r="B4" s="5"/>
      <c r="C4" s="4"/>
    </row>
    <row r="5" spans="1:3" ht="20.100000000000001" customHeight="1" x14ac:dyDescent="0.25">
      <c r="A5" s="5"/>
      <c r="B5" s="5"/>
      <c r="C5" s="4"/>
    </row>
    <row r="6" spans="1:3" ht="20.100000000000001" customHeight="1" x14ac:dyDescent="0.25">
      <c r="A6" s="5"/>
      <c r="B6" s="5"/>
      <c r="C6" s="4"/>
    </row>
    <row r="7" spans="1:3" ht="20.100000000000001" customHeight="1" x14ac:dyDescent="0.25">
      <c r="A7" s="5"/>
      <c r="B7" s="5"/>
      <c r="C7" s="4"/>
    </row>
    <row r="8" spans="1:3" ht="20.100000000000001" customHeight="1" x14ac:dyDescent="0.25">
      <c r="A8" s="5"/>
      <c r="B8" s="5"/>
      <c r="C8" s="4"/>
    </row>
    <row r="9" spans="1:3" ht="20.100000000000001" customHeight="1" x14ac:dyDescent="0.25">
      <c r="A9" s="5"/>
      <c r="B9" s="5"/>
      <c r="C9" s="4"/>
    </row>
    <row r="10" spans="1:3" ht="20.100000000000001" customHeight="1" x14ac:dyDescent="0.25">
      <c r="A10" s="5"/>
      <c r="B10" s="5"/>
      <c r="C10" s="4"/>
    </row>
    <row r="11" spans="1:3" ht="20.100000000000001" customHeight="1" x14ac:dyDescent="0.25">
      <c r="A11" s="5"/>
      <c r="B11" s="5"/>
      <c r="C11" s="4"/>
    </row>
    <row r="12" spans="1:3" ht="20.100000000000001" customHeight="1" x14ac:dyDescent="0.25">
      <c r="A12" s="5"/>
      <c r="B12" s="5"/>
      <c r="C12" s="4"/>
    </row>
    <row r="13" spans="1:3" ht="20.100000000000001" customHeight="1" x14ac:dyDescent="0.25">
      <c r="A13" s="5"/>
      <c r="B13" s="5"/>
      <c r="C13" s="4"/>
    </row>
    <row r="14" spans="1:3" ht="20.100000000000001" customHeight="1" x14ac:dyDescent="0.25">
      <c r="A14" s="5"/>
      <c r="B14" s="5"/>
      <c r="C14" s="4"/>
    </row>
    <row r="15" spans="1:3" ht="20.100000000000001" customHeight="1" x14ac:dyDescent="0.25">
      <c r="A15" s="5"/>
      <c r="B15" s="5"/>
      <c r="C15" s="4"/>
    </row>
    <row r="16" spans="1:3" ht="20.100000000000001" customHeight="1" x14ac:dyDescent="0.25">
      <c r="A16" s="5"/>
      <c r="B16" s="5"/>
      <c r="C16" s="4"/>
    </row>
    <row r="17" spans="1:3" ht="20.100000000000001" customHeight="1" x14ac:dyDescent="0.25">
      <c r="A17" s="5"/>
      <c r="B17" s="5"/>
      <c r="C17" s="4"/>
    </row>
    <row r="18" spans="1:3" ht="20.100000000000001" customHeight="1" x14ac:dyDescent="0.25">
      <c r="A18" s="5"/>
      <c r="B18" s="5"/>
      <c r="C18" s="4"/>
    </row>
    <row r="19" spans="1:3" ht="20.100000000000001" customHeight="1" x14ac:dyDescent="0.25">
      <c r="A19" s="5"/>
      <c r="B19" s="5"/>
      <c r="C19" s="4"/>
    </row>
    <row r="20" spans="1:3" ht="20.100000000000001" customHeight="1" x14ac:dyDescent="0.25">
      <c r="A20" s="5"/>
      <c r="B20" s="5"/>
      <c r="C20" s="4"/>
    </row>
    <row r="21" spans="1:3" ht="20.100000000000001" customHeight="1" x14ac:dyDescent="0.25">
      <c r="A21" s="5"/>
      <c r="B21" s="5"/>
      <c r="C21" s="4"/>
    </row>
    <row r="22" spans="1:3" ht="20.100000000000001" customHeight="1" x14ac:dyDescent="0.25">
      <c r="A22" s="5"/>
      <c r="B22" s="5"/>
      <c r="C22" s="4"/>
    </row>
    <row r="23" spans="1:3" ht="20.100000000000001" customHeight="1" x14ac:dyDescent="0.25">
      <c r="A23" s="5"/>
      <c r="B23" s="5"/>
      <c r="C23" s="4"/>
    </row>
    <row r="24" spans="1:3" ht="20.100000000000001" customHeight="1" x14ac:dyDescent="0.25">
      <c r="A24" s="5"/>
      <c r="B24" s="5"/>
      <c r="C24" s="4"/>
    </row>
    <row r="25" spans="1:3" ht="20.100000000000001" customHeight="1" x14ac:dyDescent="0.25">
      <c r="A25" s="5"/>
      <c r="B25" s="5"/>
      <c r="C25" s="4"/>
    </row>
    <row r="26" spans="1:3" ht="20.100000000000001" customHeight="1" x14ac:dyDescent="0.25">
      <c r="A26" s="5"/>
      <c r="B26" s="5"/>
      <c r="C26" s="4"/>
    </row>
    <row r="27" spans="1:3" ht="20.100000000000001" customHeight="1" x14ac:dyDescent="0.25">
      <c r="A27" s="5"/>
      <c r="B27" s="5"/>
      <c r="C27" s="4"/>
    </row>
    <row r="28" spans="1:3" ht="20.100000000000001" customHeight="1" x14ac:dyDescent="0.25">
      <c r="A28" s="5"/>
      <c r="B28" s="5"/>
      <c r="C28" s="4"/>
    </row>
    <row r="29" spans="1:3" ht="20.100000000000001" customHeight="1" x14ac:dyDescent="0.25">
      <c r="A29" s="5"/>
      <c r="B29" s="5"/>
      <c r="C29" s="4"/>
    </row>
    <row r="30" spans="1:3" ht="20.100000000000001" customHeight="1" x14ac:dyDescent="0.25">
      <c r="A30" s="5"/>
      <c r="B30" s="5"/>
      <c r="C30" s="4"/>
    </row>
    <row r="31" spans="1:3" ht="20.100000000000001" customHeight="1" x14ac:dyDescent="0.25">
      <c r="A31" s="5"/>
      <c r="B31" s="5"/>
      <c r="C31" s="4"/>
    </row>
    <row r="32" spans="1:3" ht="20.100000000000001" customHeight="1" x14ac:dyDescent="0.25">
      <c r="A32" s="5"/>
      <c r="B32" s="5"/>
      <c r="C32" s="4"/>
    </row>
    <row r="33" spans="1:3" ht="20.100000000000001" customHeight="1" x14ac:dyDescent="0.25">
      <c r="A33" s="5"/>
      <c r="B33" s="5"/>
      <c r="C33" s="4"/>
    </row>
    <row r="34" spans="1:3" ht="20.100000000000001" customHeight="1" x14ac:dyDescent="0.25">
      <c r="A34" s="5"/>
      <c r="B34" s="5"/>
      <c r="C34" s="4"/>
    </row>
    <row r="35" spans="1:3" ht="20.100000000000001" customHeight="1" x14ac:dyDescent="0.25">
      <c r="A35" s="5"/>
      <c r="B35" s="5"/>
      <c r="C35" s="4"/>
    </row>
    <row r="36" spans="1:3" ht="20.100000000000001" customHeight="1" x14ac:dyDescent="0.25">
      <c r="A36" s="5"/>
      <c r="B36" s="5"/>
      <c r="C36" s="4"/>
    </row>
    <row r="37" spans="1:3" ht="20.100000000000001" customHeight="1" x14ac:dyDescent="0.25">
      <c r="A37" s="5"/>
      <c r="B37" s="5"/>
      <c r="C37" s="4"/>
    </row>
    <row r="38" spans="1:3" ht="20.100000000000001" customHeight="1" x14ac:dyDescent="0.25">
      <c r="A38" s="5"/>
      <c r="B38" s="5"/>
      <c r="C38" s="4"/>
    </row>
    <row r="39" spans="1:3" ht="20.100000000000001" customHeight="1" x14ac:dyDescent="0.25">
      <c r="A39" s="5"/>
      <c r="B39" s="5"/>
      <c r="C39" s="4"/>
    </row>
    <row r="40" spans="1:3" ht="20.100000000000001" customHeight="1" x14ac:dyDescent="0.25">
      <c r="A40" s="5"/>
      <c r="B40" s="5"/>
      <c r="C40" s="4"/>
    </row>
    <row r="41" spans="1:3" ht="20.100000000000001" customHeight="1" x14ac:dyDescent="0.25">
      <c r="A41" s="5"/>
      <c r="B41" s="5"/>
      <c r="C41" s="4"/>
    </row>
    <row r="42" spans="1:3" ht="20.100000000000001" customHeight="1" x14ac:dyDescent="0.25">
      <c r="A42" s="5"/>
      <c r="B42" s="5"/>
      <c r="C42" s="4"/>
    </row>
    <row r="43" spans="1:3" ht="20.100000000000001" customHeight="1" x14ac:dyDescent="0.25">
      <c r="A43" s="5"/>
      <c r="B43" s="5"/>
      <c r="C43" s="4"/>
    </row>
    <row r="44" spans="1:3" ht="20.100000000000001" customHeight="1" x14ac:dyDescent="0.25">
      <c r="A44" s="5"/>
      <c r="B44" s="5"/>
      <c r="C44" s="4"/>
    </row>
    <row r="45" spans="1:3" ht="20.100000000000001" customHeight="1" x14ac:dyDescent="0.25">
      <c r="A45" s="5"/>
      <c r="B45" s="5"/>
      <c r="C45" s="4"/>
    </row>
    <row r="46" spans="1:3" ht="20.100000000000001" customHeight="1" x14ac:dyDescent="0.25">
      <c r="A46" s="5"/>
      <c r="B46" s="5"/>
      <c r="C46" s="4"/>
    </row>
    <row r="47" spans="1:3" ht="20.100000000000001" customHeight="1" x14ac:dyDescent="0.25">
      <c r="A47" s="5"/>
      <c r="B47" s="5"/>
      <c r="C47" s="4"/>
    </row>
    <row r="48" spans="1:3" ht="20.100000000000001" customHeight="1" x14ac:dyDescent="0.25">
      <c r="A48" s="5"/>
      <c r="B48" s="5"/>
      <c r="C48" s="4"/>
    </row>
    <row r="49" spans="1:3" ht="20.100000000000001" customHeight="1" x14ac:dyDescent="0.25">
      <c r="A49" s="5"/>
      <c r="B49" s="5"/>
      <c r="C49" s="4"/>
    </row>
    <row r="50" spans="1:3" ht="20.100000000000001" customHeight="1" x14ac:dyDescent="0.25">
      <c r="A50" s="5"/>
      <c r="B50" s="5"/>
      <c r="C50" s="4"/>
    </row>
    <row r="51" spans="1:3" ht="20.100000000000001" customHeight="1" x14ac:dyDescent="0.25">
      <c r="A51" s="5"/>
      <c r="B51" s="5"/>
      <c r="C51" s="4"/>
    </row>
    <row r="52" spans="1:3" ht="20.100000000000001" customHeight="1" x14ac:dyDescent="0.25">
      <c r="A52" s="5"/>
      <c r="B52" s="5"/>
      <c r="C52" s="4"/>
    </row>
    <row r="53" spans="1:3" ht="20.100000000000001" customHeight="1" x14ac:dyDescent="0.25">
      <c r="A53" s="5"/>
      <c r="B53" s="5"/>
      <c r="C53" s="4"/>
    </row>
    <row r="54" spans="1:3" ht="20.100000000000001" customHeight="1" x14ac:dyDescent="0.25">
      <c r="A54" s="5"/>
      <c r="B54" s="5"/>
      <c r="C54" s="4"/>
    </row>
    <row r="55" spans="1:3" ht="20.100000000000001" customHeight="1" x14ac:dyDescent="0.25">
      <c r="A55" s="5"/>
      <c r="B55" s="5"/>
      <c r="C55" s="4"/>
    </row>
    <row r="56" spans="1:3" ht="20.100000000000001" customHeight="1" x14ac:dyDescent="0.25">
      <c r="A56" s="5"/>
      <c r="B56" s="5"/>
      <c r="C56" s="4"/>
    </row>
    <row r="57" spans="1:3" ht="20.100000000000001" customHeight="1" x14ac:dyDescent="0.25">
      <c r="A57" s="5"/>
      <c r="B57" s="5"/>
      <c r="C57" s="4"/>
    </row>
    <row r="58" spans="1:3" ht="20.100000000000001" customHeight="1" x14ac:dyDescent="0.25">
      <c r="A58" s="5"/>
      <c r="B58" s="5"/>
      <c r="C58" s="4"/>
    </row>
    <row r="59" spans="1:3" ht="20.100000000000001" customHeight="1" x14ac:dyDescent="0.25">
      <c r="A59" s="5"/>
      <c r="B59" s="5"/>
      <c r="C59" s="4"/>
    </row>
    <row r="60" spans="1:3" ht="20.100000000000001" customHeight="1" x14ac:dyDescent="0.25">
      <c r="A60" s="5"/>
      <c r="B60" s="5"/>
      <c r="C60" s="4"/>
    </row>
    <row r="61" spans="1:3" ht="20.100000000000001" customHeight="1" x14ac:dyDescent="0.25">
      <c r="A61" s="5"/>
      <c r="B61" s="5"/>
      <c r="C61" s="4"/>
    </row>
    <row r="62" spans="1:3" ht="20.100000000000001" customHeight="1" x14ac:dyDescent="0.25">
      <c r="A62" s="5"/>
      <c r="B62" s="5"/>
      <c r="C62" s="4"/>
    </row>
    <row r="63" spans="1:3" ht="20.100000000000001" customHeight="1" x14ac:dyDescent="0.25">
      <c r="A63" s="5"/>
      <c r="B63" s="5"/>
      <c r="C63" s="4"/>
    </row>
    <row r="64" spans="1:3" ht="20.100000000000001" customHeight="1" x14ac:dyDescent="0.25">
      <c r="A64" s="5"/>
      <c r="B64" s="5"/>
      <c r="C64" s="4"/>
    </row>
    <row r="65" spans="1:3" ht="20.100000000000001" customHeight="1" x14ac:dyDescent="0.25">
      <c r="A65" s="5"/>
      <c r="B65" s="5"/>
      <c r="C65" s="4"/>
    </row>
    <row r="66" spans="1:3" ht="20.100000000000001" customHeight="1" x14ac:dyDescent="0.25">
      <c r="A66" s="5"/>
      <c r="B66" s="5"/>
      <c r="C66" s="4"/>
    </row>
    <row r="67" spans="1:3" ht="20.100000000000001" customHeight="1" x14ac:dyDescent="0.25">
      <c r="A67" s="5"/>
      <c r="B67" s="5"/>
      <c r="C67" s="4"/>
    </row>
    <row r="68" spans="1:3" ht="20.100000000000001" customHeight="1" x14ac:dyDescent="0.25">
      <c r="A68" s="5"/>
      <c r="B68" s="5"/>
      <c r="C68" s="4"/>
    </row>
    <row r="69" spans="1:3" ht="20.100000000000001" customHeight="1" x14ac:dyDescent="0.25">
      <c r="A69" s="5"/>
      <c r="B69" s="5"/>
      <c r="C69" s="4"/>
    </row>
    <row r="70" spans="1:3" ht="20.100000000000001" customHeight="1" x14ac:dyDescent="0.25">
      <c r="A70" s="5"/>
      <c r="B70" s="5"/>
      <c r="C70" s="4"/>
    </row>
    <row r="71" spans="1:3" ht="20.100000000000001" customHeight="1" x14ac:dyDescent="0.25">
      <c r="A71" s="5"/>
      <c r="B71" s="5"/>
      <c r="C71" s="4"/>
    </row>
    <row r="72" spans="1:3" ht="20.100000000000001" customHeight="1" x14ac:dyDescent="0.25">
      <c r="A72" s="5"/>
      <c r="B72" s="5"/>
      <c r="C72" s="4"/>
    </row>
    <row r="73" spans="1:3" ht="20.100000000000001" customHeight="1" x14ac:dyDescent="0.25">
      <c r="A73" s="5"/>
      <c r="B73" s="5"/>
      <c r="C73" s="4"/>
    </row>
    <row r="74" spans="1:3" ht="20.100000000000001" customHeight="1" x14ac:dyDescent="0.25">
      <c r="A74" s="5"/>
      <c r="B74" s="5"/>
      <c r="C74" s="4"/>
    </row>
    <row r="75" spans="1:3" ht="20.100000000000001" customHeight="1" x14ac:dyDescent="0.25">
      <c r="A75" s="5"/>
      <c r="B75" s="5"/>
      <c r="C75" s="4"/>
    </row>
    <row r="76" spans="1:3" ht="20.100000000000001" customHeight="1" x14ac:dyDescent="0.25">
      <c r="A76" s="5"/>
      <c r="B76" s="5"/>
      <c r="C76" s="4"/>
    </row>
    <row r="77" spans="1:3" ht="20.100000000000001" customHeight="1" x14ac:dyDescent="0.25">
      <c r="A77" s="5"/>
      <c r="B77" s="5"/>
      <c r="C77" s="4"/>
    </row>
    <row r="78" spans="1:3" ht="20.100000000000001" customHeight="1" x14ac:dyDescent="0.25">
      <c r="A78" s="5"/>
      <c r="B78" s="5"/>
      <c r="C78" s="4"/>
    </row>
    <row r="79" spans="1:3" ht="20.100000000000001" customHeight="1" x14ac:dyDescent="0.25">
      <c r="A79" s="5"/>
      <c r="B79" s="5"/>
      <c r="C79" s="4"/>
    </row>
    <row r="80" spans="1:3" ht="20.100000000000001" customHeight="1" x14ac:dyDescent="0.25">
      <c r="A80" s="5"/>
      <c r="B80" s="5"/>
      <c r="C80" s="4"/>
    </row>
    <row r="81" spans="1:3" ht="20.100000000000001" customHeight="1" x14ac:dyDescent="0.25">
      <c r="A81" s="5"/>
      <c r="B81" s="5"/>
      <c r="C81" s="4"/>
    </row>
    <row r="82" spans="1:3" ht="20.100000000000001" customHeight="1" x14ac:dyDescent="0.25">
      <c r="A82" s="5"/>
      <c r="B82" s="5"/>
      <c r="C82" s="4"/>
    </row>
    <row r="83" spans="1:3" ht="20.100000000000001" customHeight="1" x14ac:dyDescent="0.25">
      <c r="A83" s="5"/>
      <c r="B83" s="5"/>
      <c r="C83" s="4"/>
    </row>
    <row r="84" spans="1:3" ht="20.100000000000001" customHeight="1" x14ac:dyDescent="0.25">
      <c r="A84" s="5"/>
      <c r="B84" s="5"/>
      <c r="C84" s="4"/>
    </row>
    <row r="85" spans="1:3" ht="20.100000000000001" customHeight="1" x14ac:dyDescent="0.25">
      <c r="A85" s="5"/>
      <c r="B85" s="5"/>
      <c r="C85" s="4"/>
    </row>
    <row r="86" spans="1:3" ht="20.100000000000001" customHeight="1" x14ac:dyDescent="0.25">
      <c r="A86" s="5"/>
      <c r="B86" s="5"/>
      <c r="C86" s="4"/>
    </row>
    <row r="87" spans="1:3" ht="20.100000000000001" customHeight="1" x14ac:dyDescent="0.25">
      <c r="A87" s="5"/>
      <c r="B87" s="5"/>
      <c r="C87" s="4"/>
    </row>
    <row r="88" spans="1:3" ht="20.100000000000001" customHeight="1" x14ac:dyDescent="0.25">
      <c r="A88" s="5"/>
      <c r="B88" s="5"/>
      <c r="C88" s="4"/>
    </row>
    <row r="89" spans="1:3" ht="20.100000000000001" customHeight="1" x14ac:dyDescent="0.25">
      <c r="A89" s="5"/>
      <c r="B89" s="5"/>
      <c r="C89" s="4"/>
    </row>
  </sheetData>
  <autoFilter ref="A2:C89"/>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7" tint="0.79998168889431442"/>
  </sheetPr>
  <dimension ref="A1:C89"/>
  <sheetViews>
    <sheetView workbookViewId="0">
      <selection activeCell="C11" sqref="C11"/>
    </sheetView>
  </sheetViews>
  <sheetFormatPr baseColWidth="10" defaultColWidth="10.85546875" defaultRowHeight="15.75" x14ac:dyDescent="0.25"/>
  <cols>
    <col min="1" max="2" width="15.5703125" style="2" customWidth="1"/>
    <col min="3" max="3" width="65.42578125" style="2" bestFit="1" customWidth="1"/>
    <col min="4" max="16384" width="10.85546875" style="2"/>
  </cols>
  <sheetData>
    <row r="1" spans="1:3" ht="20.100000000000001" customHeight="1" x14ac:dyDescent="0.25">
      <c r="A1" s="1" t="s">
        <v>6082</v>
      </c>
      <c r="B1" s="1" t="s">
        <v>6081</v>
      </c>
      <c r="C1" s="1" t="s">
        <v>5597</v>
      </c>
    </row>
    <row r="2" spans="1:3" ht="20.100000000000001" customHeight="1" x14ac:dyDescent="0.25">
      <c r="A2" s="1" t="s">
        <v>41</v>
      </c>
      <c r="B2" s="1" t="s">
        <v>42</v>
      </c>
      <c r="C2" s="1" t="s">
        <v>6076</v>
      </c>
    </row>
    <row r="3" spans="1:3" ht="20.100000000000001" customHeight="1" x14ac:dyDescent="0.25">
      <c r="A3" s="5">
        <v>7</v>
      </c>
      <c r="B3" s="5">
        <v>1</v>
      </c>
      <c r="C3" s="4" t="str">
        <f>CONCATENATE("(",A3,",",B3,"),")</f>
        <v>(7,1),</v>
      </c>
    </row>
    <row r="4" spans="1:3" ht="20.100000000000001" customHeight="1" x14ac:dyDescent="0.25">
      <c r="A4" s="5"/>
      <c r="B4" s="5"/>
      <c r="C4" s="4"/>
    </row>
    <row r="5" spans="1:3" ht="20.100000000000001" customHeight="1" x14ac:dyDescent="0.25">
      <c r="A5" s="5"/>
      <c r="B5" s="5"/>
      <c r="C5" s="4"/>
    </row>
    <row r="6" spans="1:3" ht="20.100000000000001" customHeight="1" x14ac:dyDescent="0.25">
      <c r="A6" s="5"/>
      <c r="B6" s="5"/>
      <c r="C6" s="4"/>
    </row>
    <row r="7" spans="1:3" ht="20.100000000000001" customHeight="1" x14ac:dyDescent="0.25">
      <c r="A7" s="5"/>
      <c r="B7" s="5"/>
      <c r="C7" s="4"/>
    </row>
    <row r="8" spans="1:3" ht="20.100000000000001" customHeight="1" x14ac:dyDescent="0.25">
      <c r="A8" s="5"/>
      <c r="B8" s="5"/>
      <c r="C8" s="4"/>
    </row>
    <row r="9" spans="1:3" ht="20.100000000000001" customHeight="1" x14ac:dyDescent="0.25">
      <c r="A9" s="5"/>
      <c r="B9" s="5"/>
      <c r="C9" s="4"/>
    </row>
    <row r="10" spans="1:3" ht="20.100000000000001" customHeight="1" x14ac:dyDescent="0.25">
      <c r="A10" s="5"/>
      <c r="B10" s="5"/>
      <c r="C10" s="4"/>
    </row>
    <row r="11" spans="1:3" ht="20.100000000000001" customHeight="1" x14ac:dyDescent="0.25">
      <c r="A11" s="5"/>
      <c r="B11" s="5"/>
      <c r="C11" s="4"/>
    </row>
    <row r="12" spans="1:3" ht="20.100000000000001" customHeight="1" x14ac:dyDescent="0.25">
      <c r="A12" s="5"/>
      <c r="B12" s="5"/>
      <c r="C12" s="4"/>
    </row>
    <row r="13" spans="1:3" ht="20.100000000000001" customHeight="1" x14ac:dyDescent="0.25">
      <c r="A13" s="5"/>
      <c r="B13" s="5"/>
      <c r="C13" s="4"/>
    </row>
    <row r="14" spans="1:3" ht="20.100000000000001" customHeight="1" x14ac:dyDescent="0.25">
      <c r="A14" s="5"/>
      <c r="B14" s="5"/>
      <c r="C14" s="4"/>
    </row>
    <row r="15" spans="1:3" ht="20.100000000000001" customHeight="1" x14ac:dyDescent="0.25">
      <c r="A15" s="5"/>
      <c r="B15" s="5"/>
      <c r="C15" s="4"/>
    </row>
    <row r="16" spans="1:3" ht="20.100000000000001" customHeight="1" x14ac:dyDescent="0.25">
      <c r="A16" s="5"/>
      <c r="B16" s="5"/>
      <c r="C16" s="4"/>
    </row>
    <row r="17" spans="1:3" ht="20.100000000000001" customHeight="1" x14ac:dyDescent="0.25">
      <c r="A17" s="5"/>
      <c r="B17" s="5"/>
      <c r="C17" s="4"/>
    </row>
    <row r="18" spans="1:3" ht="20.100000000000001" customHeight="1" x14ac:dyDescent="0.25">
      <c r="A18" s="5"/>
      <c r="B18" s="5"/>
      <c r="C18" s="4"/>
    </row>
    <row r="19" spans="1:3" ht="20.100000000000001" customHeight="1" x14ac:dyDescent="0.25">
      <c r="A19" s="5"/>
      <c r="B19" s="5"/>
      <c r="C19" s="4"/>
    </row>
    <row r="20" spans="1:3" ht="20.100000000000001" customHeight="1" x14ac:dyDescent="0.25">
      <c r="A20" s="5"/>
      <c r="B20" s="5"/>
      <c r="C20" s="4"/>
    </row>
    <row r="21" spans="1:3" ht="20.100000000000001" customHeight="1" x14ac:dyDescent="0.25">
      <c r="A21" s="5"/>
      <c r="B21" s="5"/>
      <c r="C21" s="4"/>
    </row>
    <row r="22" spans="1:3" ht="20.100000000000001" customHeight="1" x14ac:dyDescent="0.25">
      <c r="A22" s="5"/>
      <c r="B22" s="5"/>
      <c r="C22" s="4"/>
    </row>
    <row r="23" spans="1:3" ht="20.100000000000001" customHeight="1" x14ac:dyDescent="0.25">
      <c r="A23" s="5"/>
      <c r="B23" s="5"/>
      <c r="C23" s="4"/>
    </row>
    <row r="24" spans="1:3" ht="20.100000000000001" customHeight="1" x14ac:dyDescent="0.25">
      <c r="A24" s="5"/>
      <c r="B24" s="5"/>
      <c r="C24" s="4"/>
    </row>
    <row r="25" spans="1:3" ht="20.100000000000001" customHeight="1" x14ac:dyDescent="0.25">
      <c r="A25" s="5"/>
      <c r="B25" s="5"/>
      <c r="C25" s="4"/>
    </row>
    <row r="26" spans="1:3" ht="20.100000000000001" customHeight="1" x14ac:dyDescent="0.25">
      <c r="A26" s="5"/>
      <c r="B26" s="5"/>
      <c r="C26" s="4"/>
    </row>
    <row r="27" spans="1:3" ht="20.100000000000001" customHeight="1" x14ac:dyDescent="0.25">
      <c r="A27" s="5"/>
      <c r="B27" s="5"/>
      <c r="C27" s="4"/>
    </row>
    <row r="28" spans="1:3" ht="20.100000000000001" customHeight="1" x14ac:dyDescent="0.25">
      <c r="A28" s="5"/>
      <c r="B28" s="5"/>
      <c r="C28" s="4"/>
    </row>
    <row r="29" spans="1:3" ht="20.100000000000001" customHeight="1" x14ac:dyDescent="0.25">
      <c r="A29" s="5"/>
      <c r="B29" s="5"/>
      <c r="C29" s="4"/>
    </row>
    <row r="30" spans="1:3" ht="20.100000000000001" customHeight="1" x14ac:dyDescent="0.25">
      <c r="A30" s="5"/>
      <c r="B30" s="5"/>
      <c r="C30" s="4"/>
    </row>
    <row r="31" spans="1:3" ht="20.100000000000001" customHeight="1" x14ac:dyDescent="0.25">
      <c r="A31" s="5"/>
      <c r="B31" s="5"/>
      <c r="C31" s="4"/>
    </row>
    <row r="32" spans="1:3" ht="20.100000000000001" customHeight="1" x14ac:dyDescent="0.25">
      <c r="A32" s="5"/>
      <c r="B32" s="5"/>
      <c r="C32" s="4"/>
    </row>
    <row r="33" spans="1:3" ht="20.100000000000001" customHeight="1" x14ac:dyDescent="0.25">
      <c r="A33" s="5"/>
      <c r="B33" s="5"/>
      <c r="C33" s="4"/>
    </row>
    <row r="34" spans="1:3" ht="20.100000000000001" customHeight="1" x14ac:dyDescent="0.25">
      <c r="A34" s="5"/>
      <c r="B34" s="5"/>
      <c r="C34" s="4"/>
    </row>
    <row r="35" spans="1:3" ht="20.100000000000001" customHeight="1" x14ac:dyDescent="0.25">
      <c r="A35" s="5"/>
      <c r="B35" s="5"/>
      <c r="C35" s="4"/>
    </row>
    <row r="36" spans="1:3" ht="20.100000000000001" customHeight="1" x14ac:dyDescent="0.25">
      <c r="A36" s="5"/>
      <c r="B36" s="5"/>
      <c r="C36" s="4"/>
    </row>
    <row r="37" spans="1:3" ht="20.100000000000001" customHeight="1" x14ac:dyDescent="0.25">
      <c r="A37" s="5"/>
      <c r="B37" s="5"/>
      <c r="C37" s="4"/>
    </row>
    <row r="38" spans="1:3" ht="20.100000000000001" customHeight="1" x14ac:dyDescent="0.25">
      <c r="A38" s="5"/>
      <c r="B38" s="5"/>
      <c r="C38" s="4"/>
    </row>
    <row r="39" spans="1:3" ht="20.100000000000001" customHeight="1" x14ac:dyDescent="0.25">
      <c r="A39" s="5"/>
      <c r="B39" s="5"/>
      <c r="C39" s="4"/>
    </row>
    <row r="40" spans="1:3" ht="20.100000000000001" customHeight="1" x14ac:dyDescent="0.25">
      <c r="A40" s="5"/>
      <c r="B40" s="5"/>
      <c r="C40" s="4"/>
    </row>
    <row r="41" spans="1:3" ht="20.100000000000001" customHeight="1" x14ac:dyDescent="0.25">
      <c r="A41" s="5"/>
      <c r="B41" s="5"/>
      <c r="C41" s="4"/>
    </row>
    <row r="42" spans="1:3" ht="20.100000000000001" customHeight="1" x14ac:dyDescent="0.25">
      <c r="A42" s="5"/>
      <c r="B42" s="5"/>
      <c r="C42" s="4"/>
    </row>
    <row r="43" spans="1:3" ht="20.100000000000001" customHeight="1" x14ac:dyDescent="0.25">
      <c r="A43" s="5"/>
      <c r="B43" s="5"/>
      <c r="C43" s="4"/>
    </row>
    <row r="44" spans="1:3" ht="20.100000000000001" customHeight="1" x14ac:dyDescent="0.25">
      <c r="A44" s="5"/>
      <c r="B44" s="5"/>
      <c r="C44" s="4"/>
    </row>
    <row r="45" spans="1:3" ht="20.100000000000001" customHeight="1" x14ac:dyDescent="0.25">
      <c r="A45" s="5"/>
      <c r="B45" s="5"/>
      <c r="C45" s="4"/>
    </row>
    <row r="46" spans="1:3" ht="20.100000000000001" customHeight="1" x14ac:dyDescent="0.25">
      <c r="A46" s="5"/>
      <c r="B46" s="5"/>
      <c r="C46" s="4"/>
    </row>
    <row r="47" spans="1:3" ht="20.100000000000001" customHeight="1" x14ac:dyDescent="0.25">
      <c r="A47" s="5"/>
      <c r="B47" s="5"/>
      <c r="C47" s="4"/>
    </row>
    <row r="48" spans="1:3" ht="20.100000000000001" customHeight="1" x14ac:dyDescent="0.25">
      <c r="A48" s="5"/>
      <c r="B48" s="5"/>
      <c r="C48" s="4"/>
    </row>
    <row r="49" spans="1:3" ht="20.100000000000001" customHeight="1" x14ac:dyDescent="0.25">
      <c r="A49" s="5"/>
      <c r="B49" s="5"/>
      <c r="C49" s="4"/>
    </row>
    <row r="50" spans="1:3" ht="20.100000000000001" customHeight="1" x14ac:dyDescent="0.25">
      <c r="A50" s="5"/>
      <c r="B50" s="5"/>
      <c r="C50" s="4"/>
    </row>
    <row r="51" spans="1:3" ht="20.100000000000001" customHeight="1" x14ac:dyDescent="0.25">
      <c r="A51" s="5"/>
      <c r="B51" s="5"/>
      <c r="C51" s="4"/>
    </row>
    <row r="52" spans="1:3" ht="20.100000000000001" customHeight="1" x14ac:dyDescent="0.25">
      <c r="A52" s="5"/>
      <c r="B52" s="5"/>
      <c r="C52" s="4"/>
    </row>
    <row r="53" spans="1:3" ht="20.100000000000001" customHeight="1" x14ac:dyDescent="0.25">
      <c r="A53" s="5"/>
      <c r="B53" s="5"/>
      <c r="C53" s="4"/>
    </row>
    <row r="54" spans="1:3" ht="20.100000000000001" customHeight="1" x14ac:dyDescent="0.25">
      <c r="A54" s="5"/>
      <c r="B54" s="5"/>
      <c r="C54" s="4"/>
    </row>
    <row r="55" spans="1:3" ht="20.100000000000001" customHeight="1" x14ac:dyDescent="0.25">
      <c r="A55" s="5"/>
      <c r="B55" s="5"/>
      <c r="C55" s="4"/>
    </row>
    <row r="56" spans="1:3" ht="20.100000000000001" customHeight="1" x14ac:dyDescent="0.25">
      <c r="A56" s="5"/>
      <c r="B56" s="5"/>
      <c r="C56" s="4"/>
    </row>
    <row r="57" spans="1:3" ht="20.100000000000001" customHeight="1" x14ac:dyDescent="0.25">
      <c r="A57" s="5"/>
      <c r="B57" s="5"/>
      <c r="C57" s="4"/>
    </row>
    <row r="58" spans="1:3" ht="20.100000000000001" customHeight="1" x14ac:dyDescent="0.25">
      <c r="A58" s="5"/>
      <c r="B58" s="5"/>
      <c r="C58" s="4"/>
    </row>
    <row r="59" spans="1:3" ht="20.100000000000001" customHeight="1" x14ac:dyDescent="0.25">
      <c r="A59" s="5"/>
      <c r="B59" s="5"/>
      <c r="C59" s="4"/>
    </row>
    <row r="60" spans="1:3" ht="20.100000000000001" customHeight="1" x14ac:dyDescent="0.25">
      <c r="A60" s="5"/>
      <c r="B60" s="5"/>
      <c r="C60" s="4"/>
    </row>
    <row r="61" spans="1:3" ht="20.100000000000001" customHeight="1" x14ac:dyDescent="0.25">
      <c r="A61" s="5"/>
      <c r="B61" s="5"/>
      <c r="C61" s="4"/>
    </row>
    <row r="62" spans="1:3" ht="20.100000000000001" customHeight="1" x14ac:dyDescent="0.25">
      <c r="A62" s="5"/>
      <c r="B62" s="5"/>
      <c r="C62" s="4"/>
    </row>
    <row r="63" spans="1:3" ht="20.100000000000001" customHeight="1" x14ac:dyDescent="0.25">
      <c r="A63" s="5"/>
      <c r="B63" s="5"/>
      <c r="C63" s="4"/>
    </row>
    <row r="64" spans="1:3" ht="20.100000000000001" customHeight="1" x14ac:dyDescent="0.25">
      <c r="A64" s="5"/>
      <c r="B64" s="5"/>
      <c r="C64" s="4"/>
    </row>
    <row r="65" spans="1:3" ht="20.100000000000001" customHeight="1" x14ac:dyDescent="0.25">
      <c r="A65" s="5"/>
      <c r="B65" s="5"/>
      <c r="C65" s="4"/>
    </row>
    <row r="66" spans="1:3" ht="20.100000000000001" customHeight="1" x14ac:dyDescent="0.25">
      <c r="A66" s="5"/>
      <c r="B66" s="5"/>
      <c r="C66" s="4"/>
    </row>
    <row r="67" spans="1:3" ht="20.100000000000001" customHeight="1" x14ac:dyDescent="0.25">
      <c r="A67" s="5"/>
      <c r="B67" s="5"/>
      <c r="C67" s="4"/>
    </row>
    <row r="68" spans="1:3" ht="20.100000000000001" customHeight="1" x14ac:dyDescent="0.25">
      <c r="A68" s="5"/>
      <c r="B68" s="5"/>
      <c r="C68" s="4"/>
    </row>
    <row r="69" spans="1:3" ht="20.100000000000001" customHeight="1" x14ac:dyDescent="0.25">
      <c r="A69" s="5"/>
      <c r="B69" s="5"/>
      <c r="C69" s="4"/>
    </row>
    <row r="70" spans="1:3" ht="20.100000000000001" customHeight="1" x14ac:dyDescent="0.25">
      <c r="A70" s="5"/>
      <c r="B70" s="5"/>
      <c r="C70" s="4"/>
    </row>
    <row r="71" spans="1:3" ht="20.100000000000001" customHeight="1" x14ac:dyDescent="0.25">
      <c r="A71" s="5"/>
      <c r="B71" s="5"/>
      <c r="C71" s="4"/>
    </row>
    <row r="72" spans="1:3" ht="20.100000000000001" customHeight="1" x14ac:dyDescent="0.25">
      <c r="A72" s="5"/>
      <c r="B72" s="5"/>
      <c r="C72" s="4"/>
    </row>
    <row r="73" spans="1:3" ht="20.100000000000001" customHeight="1" x14ac:dyDescent="0.25">
      <c r="A73" s="5"/>
      <c r="B73" s="5"/>
      <c r="C73" s="4"/>
    </row>
    <row r="74" spans="1:3" ht="20.100000000000001" customHeight="1" x14ac:dyDescent="0.25">
      <c r="A74" s="5"/>
      <c r="B74" s="5"/>
      <c r="C74" s="4"/>
    </row>
    <row r="75" spans="1:3" ht="20.100000000000001" customHeight="1" x14ac:dyDescent="0.25">
      <c r="A75" s="5"/>
      <c r="B75" s="5"/>
      <c r="C75" s="4"/>
    </row>
    <row r="76" spans="1:3" ht="20.100000000000001" customHeight="1" x14ac:dyDescent="0.25">
      <c r="A76" s="5"/>
      <c r="B76" s="5"/>
      <c r="C76" s="4"/>
    </row>
    <row r="77" spans="1:3" ht="20.100000000000001" customHeight="1" x14ac:dyDescent="0.25">
      <c r="A77" s="5"/>
      <c r="B77" s="5"/>
      <c r="C77" s="4"/>
    </row>
    <row r="78" spans="1:3" ht="20.100000000000001" customHeight="1" x14ac:dyDescent="0.25">
      <c r="A78" s="5"/>
      <c r="B78" s="5"/>
      <c r="C78" s="4"/>
    </row>
    <row r="79" spans="1:3" ht="20.100000000000001" customHeight="1" x14ac:dyDescent="0.25">
      <c r="A79" s="5"/>
      <c r="B79" s="5"/>
      <c r="C79" s="4"/>
    </row>
    <row r="80" spans="1:3" ht="20.100000000000001" customHeight="1" x14ac:dyDescent="0.25">
      <c r="A80" s="5"/>
      <c r="B80" s="5"/>
      <c r="C80" s="4"/>
    </row>
    <row r="81" spans="1:3" ht="20.100000000000001" customHeight="1" x14ac:dyDescent="0.25">
      <c r="A81" s="5"/>
      <c r="B81" s="5"/>
      <c r="C81" s="4"/>
    </row>
    <row r="82" spans="1:3" ht="20.100000000000001" customHeight="1" x14ac:dyDescent="0.25">
      <c r="A82" s="5"/>
      <c r="B82" s="5"/>
      <c r="C82" s="4"/>
    </row>
    <row r="83" spans="1:3" ht="20.100000000000001" customHeight="1" x14ac:dyDescent="0.25">
      <c r="A83" s="5"/>
      <c r="B83" s="5"/>
      <c r="C83" s="4"/>
    </row>
    <row r="84" spans="1:3" ht="20.100000000000001" customHeight="1" x14ac:dyDescent="0.25">
      <c r="A84" s="5"/>
      <c r="B84" s="5"/>
      <c r="C84" s="4"/>
    </row>
    <row r="85" spans="1:3" ht="20.100000000000001" customHeight="1" x14ac:dyDescent="0.25">
      <c r="A85" s="5"/>
      <c r="B85" s="5"/>
      <c r="C85" s="4"/>
    </row>
    <row r="86" spans="1:3" ht="20.100000000000001" customHeight="1" x14ac:dyDescent="0.25">
      <c r="A86" s="5"/>
      <c r="B86" s="5"/>
      <c r="C86" s="4"/>
    </row>
    <row r="87" spans="1:3" ht="20.100000000000001" customHeight="1" x14ac:dyDescent="0.25">
      <c r="A87" s="5"/>
      <c r="B87" s="5"/>
      <c r="C87" s="4"/>
    </row>
    <row r="88" spans="1:3" ht="20.100000000000001" customHeight="1" x14ac:dyDescent="0.25">
      <c r="A88" s="5"/>
      <c r="B88" s="5"/>
      <c r="C88" s="4"/>
    </row>
    <row r="89" spans="1:3" ht="20.100000000000001" customHeight="1" x14ac:dyDescent="0.25">
      <c r="A89" s="5"/>
      <c r="B89" s="5"/>
      <c r="C89" s="4"/>
    </row>
  </sheetData>
  <autoFilter ref="A2:C89"/>
  <pageMargins left="0.7" right="0.7" top="0.75" bottom="0.75" header="0.3" footer="0.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1:D36"/>
  <sheetViews>
    <sheetView topLeftCell="A8" workbookViewId="0">
      <selection activeCell="I59" sqref="I59"/>
    </sheetView>
  </sheetViews>
  <sheetFormatPr baseColWidth="10" defaultColWidth="10.85546875" defaultRowHeight="15.75" x14ac:dyDescent="0.25"/>
  <cols>
    <col min="1" max="1" width="5.5703125" style="2" customWidth="1"/>
    <col min="2" max="3" width="15.5703125" style="2" customWidth="1"/>
    <col min="4" max="4" width="65.42578125" style="2" bestFit="1" customWidth="1"/>
    <col min="5" max="16384" width="10.85546875" style="2"/>
  </cols>
  <sheetData>
    <row r="1" spans="1:4" ht="20.100000000000001" customHeight="1" x14ac:dyDescent="0.25">
      <c r="A1" s="1" t="s">
        <v>37</v>
      </c>
      <c r="B1" s="1" t="s">
        <v>5567</v>
      </c>
      <c r="C1" s="1" t="s">
        <v>4083</v>
      </c>
      <c r="D1" s="1" t="s">
        <v>5597</v>
      </c>
    </row>
    <row r="2" spans="1:4" ht="20.100000000000001" customHeight="1" x14ac:dyDescent="0.25">
      <c r="A2" s="1" t="s">
        <v>44</v>
      </c>
      <c r="B2" s="1" t="s">
        <v>5531</v>
      </c>
      <c r="C2" s="1" t="s">
        <v>5532</v>
      </c>
      <c r="D2" s="1" t="s">
        <v>5601</v>
      </c>
    </row>
    <row r="3" spans="1:4" ht="20.100000000000001" customHeight="1" x14ac:dyDescent="0.25">
      <c r="A3" s="3">
        <v>122</v>
      </c>
      <c r="B3" s="5">
        <v>1</v>
      </c>
      <c r="C3" s="5">
        <v>21</v>
      </c>
      <c r="D3" s="4" t="str">
        <f>CONCATENATE("(",A3,",",B3,",",C3,"),")</f>
        <v>(122,1,21),</v>
      </c>
    </row>
    <row r="4" spans="1:4" ht="20.100000000000001" customHeight="1" x14ac:dyDescent="0.25">
      <c r="A4" s="3">
        <v>123</v>
      </c>
      <c r="B4" s="5">
        <v>1</v>
      </c>
      <c r="C4" s="5">
        <v>21</v>
      </c>
      <c r="D4" s="4" t="str">
        <f t="shared" ref="D4:D36" si="0">CONCATENATE("(",A4,",",B4,",",C4,"),")</f>
        <v>(123,1,21),</v>
      </c>
    </row>
    <row r="5" spans="1:4" ht="20.100000000000001" customHeight="1" x14ac:dyDescent="0.25">
      <c r="A5" s="3">
        <v>124</v>
      </c>
      <c r="B5" s="5">
        <v>1</v>
      </c>
      <c r="C5" s="5">
        <v>21</v>
      </c>
      <c r="D5" s="4" t="str">
        <f t="shared" si="0"/>
        <v>(124,1,21),</v>
      </c>
    </row>
    <row r="6" spans="1:4" ht="20.100000000000001" customHeight="1" x14ac:dyDescent="0.25">
      <c r="A6" s="3">
        <v>125</v>
      </c>
      <c r="B6" s="5">
        <v>1</v>
      </c>
      <c r="C6" s="5">
        <v>21</v>
      </c>
      <c r="D6" s="4" t="str">
        <f t="shared" si="0"/>
        <v>(125,1,21),</v>
      </c>
    </row>
    <row r="7" spans="1:4" ht="20.100000000000001" customHeight="1" x14ac:dyDescent="0.25">
      <c r="A7" s="3">
        <v>126</v>
      </c>
      <c r="B7" s="5">
        <v>1</v>
      </c>
      <c r="C7" s="5">
        <v>22</v>
      </c>
      <c r="D7" s="4" t="str">
        <f t="shared" si="0"/>
        <v>(126,1,22),</v>
      </c>
    </row>
    <row r="8" spans="1:4" ht="20.100000000000001" customHeight="1" x14ac:dyDescent="0.25">
      <c r="A8" s="3">
        <v>127</v>
      </c>
      <c r="B8" s="5">
        <v>1</v>
      </c>
      <c r="C8" s="5">
        <v>22</v>
      </c>
      <c r="D8" s="4" t="str">
        <f t="shared" si="0"/>
        <v>(127,1,22),</v>
      </c>
    </row>
    <row r="9" spans="1:4" ht="20.100000000000001" customHeight="1" x14ac:dyDescent="0.25">
      <c r="A9" s="3">
        <v>128</v>
      </c>
      <c r="B9" s="5">
        <v>1</v>
      </c>
      <c r="C9" s="5">
        <v>23</v>
      </c>
      <c r="D9" s="4" t="str">
        <f t="shared" si="0"/>
        <v>(128,1,23),</v>
      </c>
    </row>
    <row r="10" spans="1:4" ht="20.100000000000001" customHeight="1" x14ac:dyDescent="0.25">
      <c r="A10" s="3">
        <v>129</v>
      </c>
      <c r="B10" s="5">
        <v>1</v>
      </c>
      <c r="C10" s="5">
        <v>23</v>
      </c>
      <c r="D10" s="4" t="str">
        <f t="shared" si="0"/>
        <v>(129,1,23),</v>
      </c>
    </row>
    <row r="11" spans="1:4" ht="20.100000000000001" customHeight="1" x14ac:dyDescent="0.25">
      <c r="A11" s="3">
        <v>130</v>
      </c>
      <c r="B11" s="5">
        <v>1</v>
      </c>
      <c r="C11" s="5">
        <v>23</v>
      </c>
      <c r="D11" s="4" t="str">
        <f t="shared" si="0"/>
        <v>(130,1,23),</v>
      </c>
    </row>
    <row r="12" spans="1:4" ht="20.100000000000001" customHeight="1" x14ac:dyDescent="0.25">
      <c r="A12" s="3">
        <v>131</v>
      </c>
      <c r="B12" s="5">
        <v>1</v>
      </c>
      <c r="C12" s="5">
        <v>23</v>
      </c>
      <c r="D12" s="4" t="str">
        <f t="shared" si="0"/>
        <v>(131,1,23),</v>
      </c>
    </row>
    <row r="13" spans="1:4" ht="20.100000000000001" customHeight="1" x14ac:dyDescent="0.25">
      <c r="A13" s="3">
        <v>132</v>
      </c>
      <c r="B13" s="5">
        <v>1</v>
      </c>
      <c r="C13" s="5">
        <v>23</v>
      </c>
      <c r="D13" s="4" t="str">
        <f t="shared" si="0"/>
        <v>(132,1,23),</v>
      </c>
    </row>
    <row r="14" spans="1:4" ht="20.100000000000001" customHeight="1" x14ac:dyDescent="0.25">
      <c r="A14" s="3">
        <v>133</v>
      </c>
      <c r="B14" s="5">
        <v>1</v>
      </c>
      <c r="C14" s="5">
        <v>23</v>
      </c>
      <c r="D14" s="4" t="str">
        <f t="shared" si="0"/>
        <v>(133,1,23),</v>
      </c>
    </row>
    <row r="15" spans="1:4" ht="20.100000000000001" customHeight="1" x14ac:dyDescent="0.25">
      <c r="A15" s="3">
        <v>134</v>
      </c>
      <c r="B15" s="5">
        <v>1</v>
      </c>
      <c r="C15" s="5">
        <v>24</v>
      </c>
      <c r="D15" s="4" t="str">
        <f t="shared" si="0"/>
        <v>(134,1,24),</v>
      </c>
    </row>
    <row r="16" spans="1:4" ht="20.100000000000001" customHeight="1" x14ac:dyDescent="0.25">
      <c r="A16" s="3">
        <v>135</v>
      </c>
      <c r="B16" s="5">
        <v>1</v>
      </c>
      <c r="C16" s="5">
        <v>24</v>
      </c>
      <c r="D16" s="4" t="str">
        <f t="shared" si="0"/>
        <v>(135,1,24),</v>
      </c>
    </row>
    <row r="17" spans="1:4" ht="20.100000000000001" customHeight="1" x14ac:dyDescent="0.25">
      <c r="A17" s="3">
        <v>136</v>
      </c>
      <c r="B17" s="5">
        <v>1</v>
      </c>
      <c r="C17" s="5">
        <v>25</v>
      </c>
      <c r="D17" s="4" t="str">
        <f t="shared" si="0"/>
        <v>(136,1,25),</v>
      </c>
    </row>
    <row r="18" spans="1:4" ht="20.100000000000001" customHeight="1" x14ac:dyDescent="0.25">
      <c r="A18" s="3">
        <v>137</v>
      </c>
      <c r="B18" s="5">
        <v>1</v>
      </c>
      <c r="C18" s="5">
        <v>25</v>
      </c>
      <c r="D18" s="4" t="str">
        <f t="shared" si="0"/>
        <v>(137,1,25),</v>
      </c>
    </row>
    <row r="19" spans="1:4" ht="20.100000000000001" customHeight="1" x14ac:dyDescent="0.25">
      <c r="A19" s="3">
        <v>138</v>
      </c>
      <c r="B19" s="5">
        <v>1</v>
      </c>
      <c r="C19" s="5">
        <v>26</v>
      </c>
      <c r="D19" s="4" t="str">
        <f t="shared" si="0"/>
        <v>(138,1,26),</v>
      </c>
    </row>
    <row r="20" spans="1:4" ht="20.100000000000001" customHeight="1" x14ac:dyDescent="0.25">
      <c r="A20" s="3">
        <v>139</v>
      </c>
      <c r="B20" s="5">
        <v>1</v>
      </c>
      <c r="C20" s="5">
        <v>26</v>
      </c>
      <c r="D20" s="4" t="str">
        <f t="shared" si="0"/>
        <v>(139,1,26),</v>
      </c>
    </row>
    <row r="21" spans="1:4" ht="20.100000000000001" customHeight="1" x14ac:dyDescent="0.25">
      <c r="A21" s="3">
        <v>140</v>
      </c>
      <c r="B21" s="5">
        <v>1</v>
      </c>
      <c r="C21" s="5">
        <v>26</v>
      </c>
      <c r="D21" s="4" t="str">
        <f t="shared" si="0"/>
        <v>(140,1,26),</v>
      </c>
    </row>
    <row r="22" spans="1:4" ht="20.100000000000001" customHeight="1" x14ac:dyDescent="0.25">
      <c r="A22" s="3">
        <v>141</v>
      </c>
      <c r="B22" s="5">
        <v>1</v>
      </c>
      <c r="C22" s="5">
        <v>29</v>
      </c>
      <c r="D22" s="4" t="str">
        <f t="shared" si="0"/>
        <v>(141,1,29),</v>
      </c>
    </row>
    <row r="23" spans="1:4" ht="20.100000000000001" customHeight="1" x14ac:dyDescent="0.25">
      <c r="A23" s="3">
        <v>142</v>
      </c>
      <c r="B23" s="5">
        <v>1</v>
      </c>
      <c r="C23" s="5">
        <v>29</v>
      </c>
      <c r="D23" s="4" t="str">
        <f t="shared" si="0"/>
        <v>(142,1,29),</v>
      </c>
    </row>
    <row r="24" spans="1:4" ht="20.100000000000001" customHeight="1" x14ac:dyDescent="0.25">
      <c r="A24" s="3">
        <v>143</v>
      </c>
      <c r="B24" s="5">
        <v>1</v>
      </c>
      <c r="C24" s="5">
        <v>29</v>
      </c>
      <c r="D24" s="4" t="str">
        <f t="shared" si="0"/>
        <v>(143,1,29),</v>
      </c>
    </row>
    <row r="25" spans="1:4" ht="20.100000000000001" customHeight="1" x14ac:dyDescent="0.25">
      <c r="A25" s="3">
        <v>144</v>
      </c>
      <c r="B25" s="5">
        <v>1</v>
      </c>
      <c r="C25" s="5">
        <v>29</v>
      </c>
      <c r="D25" s="4" t="str">
        <f t="shared" si="0"/>
        <v>(144,1,29),</v>
      </c>
    </row>
    <row r="26" spans="1:4" ht="20.100000000000001" customHeight="1" x14ac:dyDescent="0.25">
      <c r="A26" s="3">
        <v>145</v>
      </c>
      <c r="B26" s="5">
        <v>1</v>
      </c>
      <c r="C26" s="5">
        <v>29</v>
      </c>
      <c r="D26" s="4" t="str">
        <f t="shared" si="0"/>
        <v>(145,1,29),</v>
      </c>
    </row>
    <row r="27" spans="1:4" ht="20.100000000000001" customHeight="1" x14ac:dyDescent="0.25">
      <c r="A27" s="3">
        <v>146</v>
      </c>
      <c r="B27" s="5">
        <v>1</v>
      </c>
      <c r="C27" s="5">
        <v>32</v>
      </c>
      <c r="D27" s="4" t="str">
        <f t="shared" si="0"/>
        <v>(146,1,32),</v>
      </c>
    </row>
    <row r="28" spans="1:4" ht="20.100000000000001" customHeight="1" x14ac:dyDescent="0.25">
      <c r="A28" s="3">
        <v>147</v>
      </c>
      <c r="B28" s="5">
        <v>1</v>
      </c>
      <c r="C28" s="5">
        <v>32</v>
      </c>
      <c r="D28" s="4" t="str">
        <f t="shared" si="0"/>
        <v>(147,1,32),</v>
      </c>
    </row>
    <row r="29" spans="1:4" ht="20.100000000000001" customHeight="1" x14ac:dyDescent="0.25">
      <c r="A29" s="3">
        <v>148</v>
      </c>
      <c r="B29" s="5">
        <v>1</v>
      </c>
      <c r="C29" s="5">
        <v>32</v>
      </c>
      <c r="D29" s="4" t="str">
        <f t="shared" si="0"/>
        <v>(148,1,32),</v>
      </c>
    </row>
    <row r="30" spans="1:4" ht="20.100000000000001" customHeight="1" x14ac:dyDescent="0.25">
      <c r="A30" s="3">
        <v>149</v>
      </c>
      <c r="B30" s="5">
        <v>1</v>
      </c>
      <c r="C30" s="5">
        <v>32</v>
      </c>
      <c r="D30" s="4" t="str">
        <f t="shared" si="0"/>
        <v>(149,1,32),</v>
      </c>
    </row>
    <row r="31" spans="1:4" ht="20.100000000000001" customHeight="1" x14ac:dyDescent="0.25">
      <c r="A31" s="3">
        <v>150</v>
      </c>
      <c r="B31" s="5">
        <v>1</v>
      </c>
      <c r="C31" s="5">
        <v>32</v>
      </c>
      <c r="D31" s="4" t="str">
        <f t="shared" si="0"/>
        <v>(150,1,32),</v>
      </c>
    </row>
    <row r="32" spans="1:4" ht="20.100000000000001" customHeight="1" x14ac:dyDescent="0.25">
      <c r="A32" s="3">
        <v>151</v>
      </c>
      <c r="B32" s="5">
        <v>1</v>
      </c>
      <c r="C32" s="5">
        <v>34</v>
      </c>
      <c r="D32" s="4" t="str">
        <f t="shared" si="0"/>
        <v>(151,1,34),</v>
      </c>
    </row>
    <row r="33" spans="1:4" ht="20.100000000000001" customHeight="1" x14ac:dyDescent="0.25">
      <c r="A33" s="3">
        <v>152</v>
      </c>
      <c r="B33" s="5">
        <v>1</v>
      </c>
      <c r="C33" s="5">
        <v>34</v>
      </c>
      <c r="D33" s="4" t="str">
        <f t="shared" si="0"/>
        <v>(152,1,34),</v>
      </c>
    </row>
    <row r="34" spans="1:4" ht="20.100000000000001" customHeight="1" x14ac:dyDescent="0.25">
      <c r="A34" s="3">
        <v>153</v>
      </c>
      <c r="B34" s="5">
        <v>1</v>
      </c>
      <c r="C34" s="5">
        <v>34</v>
      </c>
      <c r="D34" s="4" t="str">
        <f t="shared" si="0"/>
        <v>(153,1,34),</v>
      </c>
    </row>
    <row r="35" spans="1:4" ht="20.100000000000001" customHeight="1" x14ac:dyDescent="0.25">
      <c r="A35" s="3">
        <v>154</v>
      </c>
      <c r="B35" s="5">
        <v>1</v>
      </c>
      <c r="C35" s="5">
        <v>34</v>
      </c>
      <c r="D35" s="4" t="str">
        <f t="shared" si="0"/>
        <v>(154,1,34),</v>
      </c>
    </row>
    <row r="36" spans="1:4" ht="20.100000000000001" customHeight="1" x14ac:dyDescent="0.25">
      <c r="A36" s="3">
        <v>155</v>
      </c>
      <c r="B36" s="5">
        <v>1</v>
      </c>
      <c r="C36" s="5">
        <v>34</v>
      </c>
      <c r="D36" s="4" t="str">
        <f t="shared" si="0"/>
        <v>(155,1,34),</v>
      </c>
    </row>
  </sheetData>
  <autoFilter ref="A2:D36"/>
  <pageMargins left="0.7" right="0.7" top="0.75" bottom="0.75" header="0.3" footer="0.3"/>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7" tint="0.79998168889431442"/>
  </sheetPr>
  <dimension ref="A1:C89"/>
  <sheetViews>
    <sheetView workbookViewId="0">
      <selection activeCell="C11" sqref="C11"/>
    </sheetView>
  </sheetViews>
  <sheetFormatPr baseColWidth="10" defaultColWidth="10.85546875" defaultRowHeight="15.75" x14ac:dyDescent="0.25"/>
  <cols>
    <col min="1" max="2" width="15.5703125" style="2" customWidth="1"/>
    <col min="3" max="3" width="65.42578125" style="2" bestFit="1" customWidth="1"/>
    <col min="4" max="16384" width="10.85546875" style="2"/>
  </cols>
  <sheetData>
    <row r="1" spans="1:3" ht="20.100000000000001" customHeight="1" x14ac:dyDescent="0.25">
      <c r="A1" s="1" t="s">
        <v>5569</v>
      </c>
      <c r="B1" s="1" t="s">
        <v>5533</v>
      </c>
      <c r="C1" s="1" t="s">
        <v>5597</v>
      </c>
    </row>
    <row r="2" spans="1:3" ht="20.100000000000001" customHeight="1" x14ac:dyDescent="0.25">
      <c r="A2" s="1" t="s">
        <v>41</v>
      </c>
      <c r="B2" s="1" t="s">
        <v>42</v>
      </c>
      <c r="C2" s="1" t="s">
        <v>6087</v>
      </c>
    </row>
    <row r="3" spans="1:3" ht="20.100000000000001" customHeight="1" x14ac:dyDescent="0.25">
      <c r="A3" s="5">
        <v>7</v>
      </c>
      <c r="B3" s="5">
        <v>1</v>
      </c>
      <c r="C3" s="4" t="str">
        <f>CONCATENATE("(",A3,",",B3,"),")</f>
        <v>(7,1),</v>
      </c>
    </row>
    <row r="4" spans="1:3" ht="20.100000000000001" customHeight="1" x14ac:dyDescent="0.25">
      <c r="A4" s="5"/>
      <c r="B4" s="5"/>
      <c r="C4" s="4"/>
    </row>
    <row r="5" spans="1:3" ht="20.100000000000001" customHeight="1" x14ac:dyDescent="0.25">
      <c r="A5" s="5"/>
      <c r="B5" s="5"/>
      <c r="C5" s="4"/>
    </row>
    <row r="6" spans="1:3" ht="20.100000000000001" customHeight="1" x14ac:dyDescent="0.25">
      <c r="A6" s="5"/>
      <c r="B6" s="5"/>
      <c r="C6" s="4"/>
    </row>
    <row r="7" spans="1:3" ht="20.100000000000001" customHeight="1" x14ac:dyDescent="0.25">
      <c r="A7" s="5"/>
      <c r="B7" s="5"/>
      <c r="C7" s="4"/>
    </row>
    <row r="8" spans="1:3" ht="20.100000000000001" customHeight="1" x14ac:dyDescent="0.25">
      <c r="A8" s="5"/>
      <c r="B8" s="5"/>
      <c r="C8" s="4"/>
    </row>
    <row r="9" spans="1:3" ht="20.100000000000001" customHeight="1" x14ac:dyDescent="0.25">
      <c r="A9" s="5"/>
      <c r="B9" s="5"/>
      <c r="C9" s="4"/>
    </row>
    <row r="10" spans="1:3" ht="20.100000000000001" customHeight="1" x14ac:dyDescent="0.25">
      <c r="A10" s="5"/>
      <c r="B10" s="5"/>
      <c r="C10" s="4"/>
    </row>
    <row r="11" spans="1:3" ht="20.100000000000001" customHeight="1" x14ac:dyDescent="0.25">
      <c r="A11" s="5"/>
      <c r="B11" s="5"/>
      <c r="C11" s="4"/>
    </row>
    <row r="12" spans="1:3" ht="20.100000000000001" customHeight="1" x14ac:dyDescent="0.25">
      <c r="A12" s="5"/>
      <c r="B12" s="5"/>
      <c r="C12" s="4"/>
    </row>
    <row r="13" spans="1:3" ht="20.100000000000001" customHeight="1" x14ac:dyDescent="0.25">
      <c r="A13" s="5"/>
      <c r="B13" s="5"/>
      <c r="C13" s="4"/>
    </row>
    <row r="14" spans="1:3" ht="20.100000000000001" customHeight="1" x14ac:dyDescent="0.25">
      <c r="A14" s="5"/>
      <c r="B14" s="5"/>
      <c r="C14" s="4"/>
    </row>
    <row r="15" spans="1:3" ht="20.100000000000001" customHeight="1" x14ac:dyDescent="0.25">
      <c r="A15" s="5"/>
      <c r="B15" s="5"/>
      <c r="C15" s="4"/>
    </row>
    <row r="16" spans="1:3" ht="20.100000000000001" customHeight="1" x14ac:dyDescent="0.25">
      <c r="A16" s="5"/>
      <c r="B16" s="5"/>
      <c r="C16" s="4"/>
    </row>
    <row r="17" spans="1:3" ht="20.100000000000001" customHeight="1" x14ac:dyDescent="0.25">
      <c r="A17" s="5"/>
      <c r="B17" s="5"/>
      <c r="C17" s="4"/>
    </row>
    <row r="18" spans="1:3" ht="20.100000000000001" customHeight="1" x14ac:dyDescent="0.25">
      <c r="A18" s="5"/>
      <c r="B18" s="5"/>
      <c r="C18" s="4"/>
    </row>
    <row r="19" spans="1:3" ht="20.100000000000001" customHeight="1" x14ac:dyDescent="0.25">
      <c r="A19" s="5"/>
      <c r="B19" s="5"/>
      <c r="C19" s="4"/>
    </row>
    <row r="20" spans="1:3" ht="20.100000000000001" customHeight="1" x14ac:dyDescent="0.25">
      <c r="A20" s="5"/>
      <c r="B20" s="5"/>
      <c r="C20" s="4"/>
    </row>
    <row r="21" spans="1:3" ht="20.100000000000001" customHeight="1" x14ac:dyDescent="0.25">
      <c r="A21" s="5"/>
      <c r="B21" s="5"/>
      <c r="C21" s="4"/>
    </row>
    <row r="22" spans="1:3" ht="20.100000000000001" customHeight="1" x14ac:dyDescent="0.25">
      <c r="A22" s="5"/>
      <c r="B22" s="5"/>
      <c r="C22" s="4"/>
    </row>
    <row r="23" spans="1:3" ht="20.100000000000001" customHeight="1" x14ac:dyDescent="0.25">
      <c r="A23" s="5"/>
      <c r="B23" s="5"/>
      <c r="C23" s="4"/>
    </row>
    <row r="24" spans="1:3" ht="20.100000000000001" customHeight="1" x14ac:dyDescent="0.25">
      <c r="A24" s="5"/>
      <c r="B24" s="5"/>
      <c r="C24" s="4"/>
    </row>
    <row r="25" spans="1:3" ht="20.100000000000001" customHeight="1" x14ac:dyDescent="0.25">
      <c r="A25" s="5"/>
      <c r="B25" s="5"/>
      <c r="C25" s="4"/>
    </row>
    <row r="26" spans="1:3" ht="20.100000000000001" customHeight="1" x14ac:dyDescent="0.25">
      <c r="A26" s="5"/>
      <c r="B26" s="5"/>
      <c r="C26" s="4"/>
    </row>
    <row r="27" spans="1:3" ht="20.100000000000001" customHeight="1" x14ac:dyDescent="0.25">
      <c r="A27" s="5"/>
      <c r="B27" s="5"/>
      <c r="C27" s="4"/>
    </row>
    <row r="28" spans="1:3" ht="20.100000000000001" customHeight="1" x14ac:dyDescent="0.25">
      <c r="A28" s="5"/>
      <c r="B28" s="5"/>
      <c r="C28" s="4"/>
    </row>
    <row r="29" spans="1:3" ht="20.100000000000001" customHeight="1" x14ac:dyDescent="0.25">
      <c r="A29" s="5"/>
      <c r="B29" s="5"/>
      <c r="C29" s="4"/>
    </row>
    <row r="30" spans="1:3" ht="20.100000000000001" customHeight="1" x14ac:dyDescent="0.25">
      <c r="A30" s="5"/>
      <c r="B30" s="5"/>
      <c r="C30" s="4"/>
    </row>
    <row r="31" spans="1:3" ht="20.100000000000001" customHeight="1" x14ac:dyDescent="0.25">
      <c r="A31" s="5"/>
      <c r="B31" s="5"/>
      <c r="C31" s="4"/>
    </row>
    <row r="32" spans="1:3" ht="20.100000000000001" customHeight="1" x14ac:dyDescent="0.25">
      <c r="A32" s="5"/>
      <c r="B32" s="5"/>
      <c r="C32" s="4"/>
    </row>
    <row r="33" spans="1:3" ht="20.100000000000001" customHeight="1" x14ac:dyDescent="0.25">
      <c r="A33" s="5"/>
      <c r="B33" s="5"/>
      <c r="C33" s="4"/>
    </row>
    <row r="34" spans="1:3" ht="20.100000000000001" customHeight="1" x14ac:dyDescent="0.25">
      <c r="A34" s="5"/>
      <c r="B34" s="5"/>
      <c r="C34" s="4"/>
    </row>
    <row r="35" spans="1:3" ht="20.100000000000001" customHeight="1" x14ac:dyDescent="0.25">
      <c r="A35" s="5"/>
      <c r="B35" s="5"/>
      <c r="C35" s="4"/>
    </row>
    <row r="36" spans="1:3" ht="20.100000000000001" customHeight="1" x14ac:dyDescent="0.25">
      <c r="A36" s="5"/>
      <c r="B36" s="5"/>
      <c r="C36" s="4"/>
    </row>
    <row r="37" spans="1:3" ht="20.100000000000001" customHeight="1" x14ac:dyDescent="0.25">
      <c r="A37" s="5"/>
      <c r="B37" s="5"/>
      <c r="C37" s="4"/>
    </row>
    <row r="38" spans="1:3" ht="20.100000000000001" customHeight="1" x14ac:dyDescent="0.25">
      <c r="A38" s="5"/>
      <c r="B38" s="5"/>
      <c r="C38" s="4"/>
    </row>
    <row r="39" spans="1:3" ht="20.100000000000001" customHeight="1" x14ac:dyDescent="0.25">
      <c r="A39" s="5"/>
      <c r="B39" s="5"/>
      <c r="C39" s="4"/>
    </row>
    <row r="40" spans="1:3" ht="20.100000000000001" customHeight="1" x14ac:dyDescent="0.25">
      <c r="A40" s="5"/>
      <c r="B40" s="5"/>
      <c r="C40" s="4"/>
    </row>
    <row r="41" spans="1:3" ht="20.100000000000001" customHeight="1" x14ac:dyDescent="0.25">
      <c r="A41" s="5"/>
      <c r="B41" s="5"/>
      <c r="C41" s="4"/>
    </row>
    <row r="42" spans="1:3" ht="20.100000000000001" customHeight="1" x14ac:dyDescent="0.25">
      <c r="A42" s="5"/>
      <c r="B42" s="5"/>
      <c r="C42" s="4"/>
    </row>
    <row r="43" spans="1:3" ht="20.100000000000001" customHeight="1" x14ac:dyDescent="0.25">
      <c r="A43" s="5"/>
      <c r="B43" s="5"/>
      <c r="C43" s="4"/>
    </row>
    <row r="44" spans="1:3" ht="20.100000000000001" customHeight="1" x14ac:dyDescent="0.25">
      <c r="A44" s="5"/>
      <c r="B44" s="5"/>
      <c r="C44" s="4"/>
    </row>
    <row r="45" spans="1:3" ht="20.100000000000001" customHeight="1" x14ac:dyDescent="0.25">
      <c r="A45" s="5"/>
      <c r="B45" s="5"/>
      <c r="C45" s="4"/>
    </row>
    <row r="46" spans="1:3" ht="20.100000000000001" customHeight="1" x14ac:dyDescent="0.25">
      <c r="A46" s="5"/>
      <c r="B46" s="5"/>
      <c r="C46" s="4"/>
    </row>
    <row r="47" spans="1:3" ht="20.100000000000001" customHeight="1" x14ac:dyDescent="0.25">
      <c r="A47" s="5"/>
      <c r="B47" s="5"/>
      <c r="C47" s="4"/>
    </row>
    <row r="48" spans="1:3" ht="20.100000000000001" customHeight="1" x14ac:dyDescent="0.25">
      <c r="A48" s="5"/>
      <c r="B48" s="5"/>
      <c r="C48" s="4"/>
    </row>
    <row r="49" spans="1:3" ht="20.100000000000001" customHeight="1" x14ac:dyDescent="0.25">
      <c r="A49" s="5"/>
      <c r="B49" s="5"/>
      <c r="C49" s="4"/>
    </row>
    <row r="50" spans="1:3" ht="20.100000000000001" customHeight="1" x14ac:dyDescent="0.25">
      <c r="A50" s="5"/>
      <c r="B50" s="5"/>
      <c r="C50" s="4"/>
    </row>
    <row r="51" spans="1:3" ht="20.100000000000001" customHeight="1" x14ac:dyDescent="0.25">
      <c r="A51" s="5"/>
      <c r="B51" s="5"/>
      <c r="C51" s="4"/>
    </row>
    <row r="52" spans="1:3" ht="20.100000000000001" customHeight="1" x14ac:dyDescent="0.25">
      <c r="A52" s="5"/>
      <c r="B52" s="5"/>
      <c r="C52" s="4"/>
    </row>
    <row r="53" spans="1:3" ht="20.100000000000001" customHeight="1" x14ac:dyDescent="0.25">
      <c r="A53" s="5"/>
      <c r="B53" s="5"/>
      <c r="C53" s="4"/>
    </row>
    <row r="54" spans="1:3" ht="20.100000000000001" customHeight="1" x14ac:dyDescent="0.25">
      <c r="A54" s="5"/>
      <c r="B54" s="5"/>
      <c r="C54" s="4"/>
    </row>
    <row r="55" spans="1:3" ht="20.100000000000001" customHeight="1" x14ac:dyDescent="0.25">
      <c r="A55" s="5"/>
      <c r="B55" s="5"/>
      <c r="C55" s="4"/>
    </row>
    <row r="56" spans="1:3" ht="20.100000000000001" customHeight="1" x14ac:dyDescent="0.25">
      <c r="A56" s="5"/>
      <c r="B56" s="5"/>
      <c r="C56" s="4"/>
    </row>
    <row r="57" spans="1:3" ht="20.100000000000001" customHeight="1" x14ac:dyDescent="0.25">
      <c r="A57" s="5"/>
      <c r="B57" s="5"/>
      <c r="C57" s="4"/>
    </row>
    <row r="58" spans="1:3" ht="20.100000000000001" customHeight="1" x14ac:dyDescent="0.25">
      <c r="A58" s="5"/>
      <c r="B58" s="5"/>
      <c r="C58" s="4"/>
    </row>
    <row r="59" spans="1:3" ht="20.100000000000001" customHeight="1" x14ac:dyDescent="0.25">
      <c r="A59" s="5"/>
      <c r="B59" s="5"/>
      <c r="C59" s="4"/>
    </row>
    <row r="60" spans="1:3" ht="20.100000000000001" customHeight="1" x14ac:dyDescent="0.25">
      <c r="A60" s="5"/>
      <c r="B60" s="5"/>
      <c r="C60" s="4"/>
    </row>
    <row r="61" spans="1:3" ht="20.100000000000001" customHeight="1" x14ac:dyDescent="0.25">
      <c r="A61" s="5"/>
      <c r="B61" s="5"/>
      <c r="C61" s="4"/>
    </row>
    <row r="62" spans="1:3" ht="20.100000000000001" customHeight="1" x14ac:dyDescent="0.25">
      <c r="A62" s="5"/>
      <c r="B62" s="5"/>
      <c r="C62" s="4"/>
    </row>
    <row r="63" spans="1:3" ht="20.100000000000001" customHeight="1" x14ac:dyDescent="0.25">
      <c r="A63" s="5"/>
      <c r="B63" s="5"/>
      <c r="C63" s="4"/>
    </row>
    <row r="64" spans="1:3" ht="20.100000000000001" customHeight="1" x14ac:dyDescent="0.25">
      <c r="A64" s="5"/>
      <c r="B64" s="5"/>
      <c r="C64" s="4"/>
    </row>
    <row r="65" spans="1:3" ht="20.100000000000001" customHeight="1" x14ac:dyDescent="0.25">
      <c r="A65" s="5"/>
      <c r="B65" s="5"/>
      <c r="C65" s="4"/>
    </row>
    <row r="66" spans="1:3" ht="20.100000000000001" customHeight="1" x14ac:dyDescent="0.25">
      <c r="A66" s="5"/>
      <c r="B66" s="5"/>
      <c r="C66" s="4"/>
    </row>
    <row r="67" spans="1:3" ht="20.100000000000001" customHeight="1" x14ac:dyDescent="0.25">
      <c r="A67" s="5"/>
      <c r="B67" s="5"/>
      <c r="C67" s="4"/>
    </row>
    <row r="68" spans="1:3" ht="20.100000000000001" customHeight="1" x14ac:dyDescent="0.25">
      <c r="A68" s="5"/>
      <c r="B68" s="5"/>
      <c r="C68" s="4"/>
    </row>
    <row r="69" spans="1:3" ht="20.100000000000001" customHeight="1" x14ac:dyDescent="0.25">
      <c r="A69" s="5"/>
      <c r="B69" s="5"/>
      <c r="C69" s="4"/>
    </row>
    <row r="70" spans="1:3" ht="20.100000000000001" customHeight="1" x14ac:dyDescent="0.25">
      <c r="A70" s="5"/>
      <c r="B70" s="5"/>
      <c r="C70" s="4"/>
    </row>
    <row r="71" spans="1:3" ht="20.100000000000001" customHeight="1" x14ac:dyDescent="0.25">
      <c r="A71" s="5"/>
      <c r="B71" s="5"/>
      <c r="C71" s="4"/>
    </row>
    <row r="72" spans="1:3" ht="20.100000000000001" customHeight="1" x14ac:dyDescent="0.25">
      <c r="A72" s="5"/>
      <c r="B72" s="5"/>
      <c r="C72" s="4"/>
    </row>
    <row r="73" spans="1:3" ht="20.100000000000001" customHeight="1" x14ac:dyDescent="0.25">
      <c r="A73" s="5"/>
      <c r="B73" s="5"/>
      <c r="C73" s="4"/>
    </row>
    <row r="74" spans="1:3" ht="20.100000000000001" customHeight="1" x14ac:dyDescent="0.25">
      <c r="A74" s="5"/>
      <c r="B74" s="5"/>
      <c r="C74" s="4"/>
    </row>
    <row r="75" spans="1:3" ht="20.100000000000001" customHeight="1" x14ac:dyDescent="0.25">
      <c r="A75" s="5"/>
      <c r="B75" s="5"/>
      <c r="C75" s="4"/>
    </row>
    <row r="76" spans="1:3" ht="20.100000000000001" customHeight="1" x14ac:dyDescent="0.25">
      <c r="A76" s="5"/>
      <c r="B76" s="5"/>
      <c r="C76" s="4"/>
    </row>
    <row r="77" spans="1:3" ht="20.100000000000001" customHeight="1" x14ac:dyDescent="0.25">
      <c r="A77" s="5"/>
      <c r="B77" s="5"/>
      <c r="C77" s="4"/>
    </row>
    <row r="78" spans="1:3" ht="20.100000000000001" customHeight="1" x14ac:dyDescent="0.25">
      <c r="A78" s="5"/>
      <c r="B78" s="5"/>
      <c r="C78" s="4"/>
    </row>
    <row r="79" spans="1:3" ht="20.100000000000001" customHeight="1" x14ac:dyDescent="0.25">
      <c r="A79" s="5"/>
      <c r="B79" s="5"/>
      <c r="C79" s="4"/>
    </row>
    <row r="80" spans="1:3" ht="20.100000000000001" customHeight="1" x14ac:dyDescent="0.25">
      <c r="A80" s="5"/>
      <c r="B80" s="5"/>
      <c r="C80" s="4"/>
    </row>
    <row r="81" spans="1:3" ht="20.100000000000001" customHeight="1" x14ac:dyDescent="0.25">
      <c r="A81" s="5"/>
      <c r="B81" s="5"/>
      <c r="C81" s="4"/>
    </row>
    <row r="82" spans="1:3" ht="20.100000000000001" customHeight="1" x14ac:dyDescent="0.25">
      <c r="A82" s="5"/>
      <c r="B82" s="5"/>
      <c r="C82" s="4"/>
    </row>
    <row r="83" spans="1:3" ht="20.100000000000001" customHeight="1" x14ac:dyDescent="0.25">
      <c r="A83" s="5"/>
      <c r="B83" s="5"/>
      <c r="C83" s="4"/>
    </row>
    <row r="84" spans="1:3" ht="20.100000000000001" customHeight="1" x14ac:dyDescent="0.25">
      <c r="A84" s="5"/>
      <c r="B84" s="5"/>
      <c r="C84" s="4"/>
    </row>
    <row r="85" spans="1:3" ht="20.100000000000001" customHeight="1" x14ac:dyDescent="0.25">
      <c r="A85" s="5"/>
      <c r="B85" s="5"/>
      <c r="C85" s="4"/>
    </row>
    <row r="86" spans="1:3" ht="20.100000000000001" customHeight="1" x14ac:dyDescent="0.25">
      <c r="A86" s="5"/>
      <c r="B86" s="5"/>
      <c r="C86" s="4"/>
    </row>
    <row r="87" spans="1:3" ht="20.100000000000001" customHeight="1" x14ac:dyDescent="0.25">
      <c r="A87" s="5"/>
      <c r="B87" s="5"/>
      <c r="C87" s="4"/>
    </row>
    <row r="88" spans="1:3" ht="20.100000000000001" customHeight="1" x14ac:dyDescent="0.25">
      <c r="A88" s="5"/>
      <c r="B88" s="5"/>
      <c r="C88" s="4"/>
    </row>
    <row r="89" spans="1:3" ht="20.100000000000001" customHeight="1" x14ac:dyDescent="0.25">
      <c r="A89" s="5"/>
      <c r="B89" s="5"/>
      <c r="C89" s="4"/>
    </row>
  </sheetData>
  <autoFilter ref="A2:C89"/>
  <pageMargins left="0.7" right="0.7" top="0.75" bottom="0.75" header="0.3" footer="0.3"/>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7" tint="0.79998168889431442"/>
  </sheetPr>
  <dimension ref="A1:C89"/>
  <sheetViews>
    <sheetView workbookViewId="0">
      <selection activeCell="C11" sqref="C11"/>
    </sheetView>
  </sheetViews>
  <sheetFormatPr baseColWidth="10" defaultColWidth="10.85546875" defaultRowHeight="15.75" x14ac:dyDescent="0.25"/>
  <cols>
    <col min="1" max="2" width="15.5703125" style="2" customWidth="1"/>
    <col min="3" max="3" width="65.42578125" style="2" bestFit="1" customWidth="1"/>
    <col min="4" max="16384" width="10.85546875" style="2"/>
  </cols>
  <sheetData>
    <row r="1" spans="1:3" ht="20.100000000000001" customHeight="1" x14ac:dyDescent="0.25">
      <c r="A1" s="1" t="s">
        <v>5569</v>
      </c>
      <c r="B1" s="1" t="s">
        <v>6085</v>
      </c>
      <c r="C1" s="1" t="s">
        <v>5597</v>
      </c>
    </row>
    <row r="2" spans="1:3" ht="20.100000000000001" customHeight="1" x14ac:dyDescent="0.25">
      <c r="A2" s="1" t="s">
        <v>41</v>
      </c>
      <c r="B2" s="1" t="s">
        <v>42</v>
      </c>
      <c r="C2" s="1" t="s">
        <v>6086</v>
      </c>
    </row>
    <row r="3" spans="1:3" ht="20.100000000000001" customHeight="1" x14ac:dyDescent="0.25">
      <c r="A3" s="5">
        <v>7</v>
      </c>
      <c r="B3" s="5">
        <v>1</v>
      </c>
      <c r="C3" s="4" t="str">
        <f>CONCATENATE("(",A3,",",B3,"),")</f>
        <v>(7,1),</v>
      </c>
    </row>
    <row r="4" spans="1:3" ht="20.100000000000001" customHeight="1" x14ac:dyDescent="0.25">
      <c r="A4" s="5"/>
      <c r="B4" s="5"/>
      <c r="C4" s="4"/>
    </row>
    <row r="5" spans="1:3" ht="20.100000000000001" customHeight="1" x14ac:dyDescent="0.25">
      <c r="A5" s="5"/>
      <c r="B5" s="5"/>
      <c r="C5" s="4"/>
    </row>
    <row r="6" spans="1:3" ht="20.100000000000001" customHeight="1" x14ac:dyDescent="0.25">
      <c r="A6" s="5"/>
      <c r="B6" s="5"/>
      <c r="C6" s="4"/>
    </row>
    <row r="7" spans="1:3" ht="20.100000000000001" customHeight="1" x14ac:dyDescent="0.25">
      <c r="A7" s="5"/>
      <c r="B7" s="5"/>
      <c r="C7" s="4"/>
    </row>
    <row r="8" spans="1:3" ht="20.100000000000001" customHeight="1" x14ac:dyDescent="0.25">
      <c r="A8" s="5"/>
      <c r="B8" s="5"/>
      <c r="C8" s="4"/>
    </row>
    <row r="9" spans="1:3" ht="20.100000000000001" customHeight="1" x14ac:dyDescent="0.25">
      <c r="A9" s="5"/>
      <c r="B9" s="5"/>
      <c r="C9" s="4"/>
    </row>
    <row r="10" spans="1:3" ht="20.100000000000001" customHeight="1" x14ac:dyDescent="0.25">
      <c r="A10" s="5"/>
      <c r="B10" s="5"/>
      <c r="C10" s="4"/>
    </row>
    <row r="11" spans="1:3" ht="20.100000000000001" customHeight="1" x14ac:dyDescent="0.25">
      <c r="A11" s="5"/>
      <c r="B11" s="5"/>
      <c r="C11" s="4"/>
    </row>
    <row r="12" spans="1:3" ht="20.100000000000001" customHeight="1" x14ac:dyDescent="0.25">
      <c r="A12" s="5"/>
      <c r="B12" s="5"/>
      <c r="C12" s="4"/>
    </row>
    <row r="13" spans="1:3" ht="20.100000000000001" customHeight="1" x14ac:dyDescent="0.25">
      <c r="A13" s="5"/>
      <c r="B13" s="5"/>
      <c r="C13" s="4"/>
    </row>
    <row r="14" spans="1:3" ht="20.100000000000001" customHeight="1" x14ac:dyDescent="0.25">
      <c r="A14" s="5"/>
      <c r="B14" s="5"/>
      <c r="C14" s="4"/>
    </row>
    <row r="15" spans="1:3" ht="20.100000000000001" customHeight="1" x14ac:dyDescent="0.25">
      <c r="A15" s="5"/>
      <c r="B15" s="5"/>
      <c r="C15" s="4"/>
    </row>
    <row r="16" spans="1:3" ht="20.100000000000001" customHeight="1" x14ac:dyDescent="0.25">
      <c r="A16" s="5"/>
      <c r="B16" s="5"/>
      <c r="C16" s="4"/>
    </row>
    <row r="17" spans="1:3" ht="20.100000000000001" customHeight="1" x14ac:dyDescent="0.25">
      <c r="A17" s="5"/>
      <c r="B17" s="5"/>
      <c r="C17" s="4"/>
    </row>
    <row r="18" spans="1:3" ht="20.100000000000001" customHeight="1" x14ac:dyDescent="0.25">
      <c r="A18" s="5"/>
      <c r="B18" s="5"/>
      <c r="C18" s="4"/>
    </row>
    <row r="19" spans="1:3" ht="20.100000000000001" customHeight="1" x14ac:dyDescent="0.25">
      <c r="A19" s="5"/>
      <c r="B19" s="5"/>
      <c r="C19" s="4"/>
    </row>
    <row r="20" spans="1:3" ht="20.100000000000001" customHeight="1" x14ac:dyDescent="0.25">
      <c r="A20" s="5"/>
      <c r="B20" s="5"/>
      <c r="C20" s="4"/>
    </row>
    <row r="21" spans="1:3" ht="20.100000000000001" customHeight="1" x14ac:dyDescent="0.25">
      <c r="A21" s="5"/>
      <c r="B21" s="5"/>
      <c r="C21" s="4"/>
    </row>
    <row r="22" spans="1:3" ht="20.100000000000001" customHeight="1" x14ac:dyDescent="0.25">
      <c r="A22" s="5"/>
      <c r="B22" s="5"/>
      <c r="C22" s="4"/>
    </row>
    <row r="23" spans="1:3" ht="20.100000000000001" customHeight="1" x14ac:dyDescent="0.25">
      <c r="A23" s="5"/>
      <c r="B23" s="5"/>
      <c r="C23" s="4"/>
    </row>
    <row r="24" spans="1:3" ht="20.100000000000001" customHeight="1" x14ac:dyDescent="0.25">
      <c r="A24" s="5"/>
      <c r="B24" s="5"/>
      <c r="C24" s="4"/>
    </row>
    <row r="25" spans="1:3" ht="20.100000000000001" customHeight="1" x14ac:dyDescent="0.25">
      <c r="A25" s="5"/>
      <c r="B25" s="5"/>
      <c r="C25" s="4"/>
    </row>
    <row r="26" spans="1:3" ht="20.100000000000001" customHeight="1" x14ac:dyDescent="0.25">
      <c r="A26" s="5"/>
      <c r="B26" s="5"/>
      <c r="C26" s="4"/>
    </row>
    <row r="27" spans="1:3" ht="20.100000000000001" customHeight="1" x14ac:dyDescent="0.25">
      <c r="A27" s="5"/>
      <c r="B27" s="5"/>
      <c r="C27" s="4"/>
    </row>
    <row r="28" spans="1:3" ht="20.100000000000001" customHeight="1" x14ac:dyDescent="0.25">
      <c r="A28" s="5"/>
      <c r="B28" s="5"/>
      <c r="C28" s="4"/>
    </row>
    <row r="29" spans="1:3" ht="20.100000000000001" customHeight="1" x14ac:dyDescent="0.25">
      <c r="A29" s="5"/>
      <c r="B29" s="5"/>
      <c r="C29" s="4"/>
    </row>
    <row r="30" spans="1:3" ht="20.100000000000001" customHeight="1" x14ac:dyDescent="0.25">
      <c r="A30" s="5"/>
      <c r="B30" s="5"/>
      <c r="C30" s="4"/>
    </row>
    <row r="31" spans="1:3" ht="20.100000000000001" customHeight="1" x14ac:dyDescent="0.25">
      <c r="A31" s="5"/>
      <c r="B31" s="5"/>
      <c r="C31" s="4"/>
    </row>
    <row r="32" spans="1:3" ht="20.100000000000001" customHeight="1" x14ac:dyDescent="0.25">
      <c r="A32" s="5"/>
      <c r="B32" s="5"/>
      <c r="C32" s="4"/>
    </row>
    <row r="33" spans="1:3" ht="20.100000000000001" customHeight="1" x14ac:dyDescent="0.25">
      <c r="A33" s="5"/>
      <c r="B33" s="5"/>
      <c r="C33" s="4"/>
    </row>
    <row r="34" spans="1:3" ht="20.100000000000001" customHeight="1" x14ac:dyDescent="0.25">
      <c r="A34" s="5"/>
      <c r="B34" s="5"/>
      <c r="C34" s="4"/>
    </row>
    <row r="35" spans="1:3" ht="20.100000000000001" customHeight="1" x14ac:dyDescent="0.25">
      <c r="A35" s="5"/>
      <c r="B35" s="5"/>
      <c r="C35" s="4"/>
    </row>
    <row r="36" spans="1:3" ht="20.100000000000001" customHeight="1" x14ac:dyDescent="0.25">
      <c r="A36" s="5"/>
      <c r="B36" s="5"/>
      <c r="C36" s="4"/>
    </row>
    <row r="37" spans="1:3" ht="20.100000000000001" customHeight="1" x14ac:dyDescent="0.25">
      <c r="A37" s="5"/>
      <c r="B37" s="5"/>
      <c r="C37" s="4"/>
    </row>
    <row r="38" spans="1:3" ht="20.100000000000001" customHeight="1" x14ac:dyDescent="0.25">
      <c r="A38" s="5"/>
      <c r="B38" s="5"/>
      <c r="C38" s="4"/>
    </row>
    <row r="39" spans="1:3" ht="20.100000000000001" customHeight="1" x14ac:dyDescent="0.25">
      <c r="A39" s="5"/>
      <c r="B39" s="5"/>
      <c r="C39" s="4"/>
    </row>
    <row r="40" spans="1:3" ht="20.100000000000001" customHeight="1" x14ac:dyDescent="0.25">
      <c r="A40" s="5"/>
      <c r="B40" s="5"/>
      <c r="C40" s="4"/>
    </row>
    <row r="41" spans="1:3" ht="20.100000000000001" customHeight="1" x14ac:dyDescent="0.25">
      <c r="A41" s="5"/>
      <c r="B41" s="5"/>
      <c r="C41" s="4"/>
    </row>
    <row r="42" spans="1:3" ht="20.100000000000001" customHeight="1" x14ac:dyDescent="0.25">
      <c r="A42" s="5"/>
      <c r="B42" s="5"/>
      <c r="C42" s="4"/>
    </row>
    <row r="43" spans="1:3" ht="20.100000000000001" customHeight="1" x14ac:dyDescent="0.25">
      <c r="A43" s="5"/>
      <c r="B43" s="5"/>
      <c r="C43" s="4"/>
    </row>
    <row r="44" spans="1:3" ht="20.100000000000001" customHeight="1" x14ac:dyDescent="0.25">
      <c r="A44" s="5"/>
      <c r="B44" s="5"/>
      <c r="C44" s="4"/>
    </row>
    <row r="45" spans="1:3" ht="20.100000000000001" customHeight="1" x14ac:dyDescent="0.25">
      <c r="A45" s="5"/>
      <c r="B45" s="5"/>
      <c r="C45" s="4"/>
    </row>
    <row r="46" spans="1:3" ht="20.100000000000001" customHeight="1" x14ac:dyDescent="0.25">
      <c r="A46" s="5"/>
      <c r="B46" s="5"/>
      <c r="C46" s="4"/>
    </row>
    <row r="47" spans="1:3" ht="20.100000000000001" customHeight="1" x14ac:dyDescent="0.25">
      <c r="A47" s="5"/>
      <c r="B47" s="5"/>
      <c r="C47" s="4"/>
    </row>
    <row r="48" spans="1:3" ht="20.100000000000001" customHeight="1" x14ac:dyDescent="0.25">
      <c r="A48" s="5"/>
      <c r="B48" s="5"/>
      <c r="C48" s="4"/>
    </row>
    <row r="49" spans="1:3" ht="20.100000000000001" customHeight="1" x14ac:dyDescent="0.25">
      <c r="A49" s="5"/>
      <c r="B49" s="5"/>
      <c r="C49" s="4"/>
    </row>
    <row r="50" spans="1:3" ht="20.100000000000001" customHeight="1" x14ac:dyDescent="0.25">
      <c r="A50" s="5"/>
      <c r="B50" s="5"/>
      <c r="C50" s="4"/>
    </row>
    <row r="51" spans="1:3" ht="20.100000000000001" customHeight="1" x14ac:dyDescent="0.25">
      <c r="A51" s="5"/>
      <c r="B51" s="5"/>
      <c r="C51" s="4"/>
    </row>
    <row r="52" spans="1:3" ht="20.100000000000001" customHeight="1" x14ac:dyDescent="0.25">
      <c r="A52" s="5"/>
      <c r="B52" s="5"/>
      <c r="C52" s="4"/>
    </row>
    <row r="53" spans="1:3" ht="20.100000000000001" customHeight="1" x14ac:dyDescent="0.25">
      <c r="A53" s="5"/>
      <c r="B53" s="5"/>
      <c r="C53" s="4"/>
    </row>
    <row r="54" spans="1:3" ht="20.100000000000001" customHeight="1" x14ac:dyDescent="0.25">
      <c r="A54" s="5"/>
      <c r="B54" s="5"/>
      <c r="C54" s="4"/>
    </row>
    <row r="55" spans="1:3" ht="20.100000000000001" customHeight="1" x14ac:dyDescent="0.25">
      <c r="A55" s="5"/>
      <c r="B55" s="5"/>
      <c r="C55" s="4"/>
    </row>
    <row r="56" spans="1:3" ht="20.100000000000001" customHeight="1" x14ac:dyDescent="0.25">
      <c r="A56" s="5"/>
      <c r="B56" s="5"/>
      <c r="C56" s="4"/>
    </row>
    <row r="57" spans="1:3" ht="20.100000000000001" customHeight="1" x14ac:dyDescent="0.25">
      <c r="A57" s="5"/>
      <c r="B57" s="5"/>
      <c r="C57" s="4"/>
    </row>
    <row r="58" spans="1:3" ht="20.100000000000001" customHeight="1" x14ac:dyDescent="0.25">
      <c r="A58" s="5"/>
      <c r="B58" s="5"/>
      <c r="C58" s="4"/>
    </row>
    <row r="59" spans="1:3" ht="20.100000000000001" customHeight="1" x14ac:dyDescent="0.25">
      <c r="A59" s="5"/>
      <c r="B59" s="5"/>
      <c r="C59" s="4"/>
    </row>
    <row r="60" spans="1:3" ht="20.100000000000001" customHeight="1" x14ac:dyDescent="0.25">
      <c r="A60" s="5"/>
      <c r="B60" s="5"/>
      <c r="C60" s="4"/>
    </row>
    <row r="61" spans="1:3" ht="20.100000000000001" customHeight="1" x14ac:dyDescent="0.25">
      <c r="A61" s="5"/>
      <c r="B61" s="5"/>
      <c r="C61" s="4"/>
    </row>
    <row r="62" spans="1:3" ht="20.100000000000001" customHeight="1" x14ac:dyDescent="0.25">
      <c r="A62" s="5"/>
      <c r="B62" s="5"/>
      <c r="C62" s="4"/>
    </row>
    <row r="63" spans="1:3" ht="20.100000000000001" customHeight="1" x14ac:dyDescent="0.25">
      <c r="A63" s="5"/>
      <c r="B63" s="5"/>
      <c r="C63" s="4"/>
    </row>
    <row r="64" spans="1:3" ht="20.100000000000001" customHeight="1" x14ac:dyDescent="0.25">
      <c r="A64" s="5"/>
      <c r="B64" s="5"/>
      <c r="C64" s="4"/>
    </row>
    <row r="65" spans="1:3" ht="20.100000000000001" customHeight="1" x14ac:dyDescent="0.25">
      <c r="A65" s="5"/>
      <c r="B65" s="5"/>
      <c r="C65" s="4"/>
    </row>
    <row r="66" spans="1:3" ht="20.100000000000001" customHeight="1" x14ac:dyDescent="0.25">
      <c r="A66" s="5"/>
      <c r="B66" s="5"/>
      <c r="C66" s="4"/>
    </row>
    <row r="67" spans="1:3" ht="20.100000000000001" customHeight="1" x14ac:dyDescent="0.25">
      <c r="A67" s="5"/>
      <c r="B67" s="5"/>
      <c r="C67" s="4"/>
    </row>
    <row r="68" spans="1:3" ht="20.100000000000001" customHeight="1" x14ac:dyDescent="0.25">
      <c r="A68" s="5"/>
      <c r="B68" s="5"/>
      <c r="C68" s="4"/>
    </row>
    <row r="69" spans="1:3" ht="20.100000000000001" customHeight="1" x14ac:dyDescent="0.25">
      <c r="A69" s="5"/>
      <c r="B69" s="5"/>
      <c r="C69" s="4"/>
    </row>
    <row r="70" spans="1:3" ht="20.100000000000001" customHeight="1" x14ac:dyDescent="0.25">
      <c r="A70" s="5"/>
      <c r="B70" s="5"/>
      <c r="C70" s="4"/>
    </row>
    <row r="71" spans="1:3" ht="20.100000000000001" customHeight="1" x14ac:dyDescent="0.25">
      <c r="A71" s="5"/>
      <c r="B71" s="5"/>
      <c r="C71" s="4"/>
    </row>
    <row r="72" spans="1:3" ht="20.100000000000001" customHeight="1" x14ac:dyDescent="0.25">
      <c r="A72" s="5"/>
      <c r="B72" s="5"/>
      <c r="C72" s="4"/>
    </row>
    <row r="73" spans="1:3" ht="20.100000000000001" customHeight="1" x14ac:dyDescent="0.25">
      <c r="A73" s="5"/>
      <c r="B73" s="5"/>
      <c r="C73" s="4"/>
    </row>
    <row r="74" spans="1:3" ht="20.100000000000001" customHeight="1" x14ac:dyDescent="0.25">
      <c r="A74" s="5"/>
      <c r="B74" s="5"/>
      <c r="C74" s="4"/>
    </row>
    <row r="75" spans="1:3" ht="20.100000000000001" customHeight="1" x14ac:dyDescent="0.25">
      <c r="A75" s="5"/>
      <c r="B75" s="5"/>
      <c r="C75" s="4"/>
    </row>
    <row r="76" spans="1:3" ht="20.100000000000001" customHeight="1" x14ac:dyDescent="0.25">
      <c r="A76" s="5"/>
      <c r="B76" s="5"/>
      <c r="C76" s="4"/>
    </row>
    <row r="77" spans="1:3" ht="20.100000000000001" customHeight="1" x14ac:dyDescent="0.25">
      <c r="A77" s="5"/>
      <c r="B77" s="5"/>
      <c r="C77" s="4"/>
    </row>
    <row r="78" spans="1:3" ht="20.100000000000001" customHeight="1" x14ac:dyDescent="0.25">
      <c r="A78" s="5"/>
      <c r="B78" s="5"/>
      <c r="C78" s="4"/>
    </row>
    <row r="79" spans="1:3" ht="20.100000000000001" customHeight="1" x14ac:dyDescent="0.25">
      <c r="A79" s="5"/>
      <c r="B79" s="5"/>
      <c r="C79" s="4"/>
    </row>
    <row r="80" spans="1:3" ht="20.100000000000001" customHeight="1" x14ac:dyDescent="0.25">
      <c r="A80" s="5"/>
      <c r="B80" s="5"/>
      <c r="C80" s="4"/>
    </row>
    <row r="81" spans="1:3" ht="20.100000000000001" customHeight="1" x14ac:dyDescent="0.25">
      <c r="A81" s="5"/>
      <c r="B81" s="5"/>
      <c r="C81" s="4"/>
    </row>
    <row r="82" spans="1:3" ht="20.100000000000001" customHeight="1" x14ac:dyDescent="0.25">
      <c r="A82" s="5"/>
      <c r="B82" s="5"/>
      <c r="C82" s="4"/>
    </row>
    <row r="83" spans="1:3" ht="20.100000000000001" customHeight="1" x14ac:dyDescent="0.25">
      <c r="A83" s="5"/>
      <c r="B83" s="5"/>
      <c r="C83" s="4"/>
    </row>
    <row r="84" spans="1:3" ht="20.100000000000001" customHeight="1" x14ac:dyDescent="0.25">
      <c r="A84" s="5"/>
      <c r="B84" s="5"/>
      <c r="C84" s="4"/>
    </row>
    <row r="85" spans="1:3" ht="20.100000000000001" customHeight="1" x14ac:dyDescent="0.25">
      <c r="A85" s="5"/>
      <c r="B85" s="5"/>
      <c r="C85" s="4"/>
    </row>
    <row r="86" spans="1:3" ht="20.100000000000001" customHeight="1" x14ac:dyDescent="0.25">
      <c r="A86" s="5"/>
      <c r="B86" s="5"/>
      <c r="C86" s="4"/>
    </row>
    <row r="87" spans="1:3" ht="20.100000000000001" customHeight="1" x14ac:dyDescent="0.25">
      <c r="A87" s="5"/>
      <c r="B87" s="5"/>
      <c r="C87" s="4"/>
    </row>
    <row r="88" spans="1:3" ht="20.100000000000001" customHeight="1" x14ac:dyDescent="0.25">
      <c r="A88" s="5"/>
      <c r="B88" s="5"/>
      <c r="C88" s="4"/>
    </row>
    <row r="89" spans="1:3" ht="20.100000000000001" customHeight="1" x14ac:dyDescent="0.25">
      <c r="A89" s="5"/>
      <c r="B89" s="5"/>
      <c r="C89" s="4"/>
    </row>
  </sheetData>
  <autoFilter ref="A2:C89"/>
  <pageMargins left="0.7" right="0.7" top="0.75" bottom="0.75" header="0.3" footer="0.3"/>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7" tint="0.79998168889431442"/>
  </sheetPr>
  <dimension ref="A1:C89"/>
  <sheetViews>
    <sheetView workbookViewId="0">
      <selection activeCell="C11" sqref="C11"/>
    </sheetView>
  </sheetViews>
  <sheetFormatPr baseColWidth="10" defaultColWidth="10.85546875" defaultRowHeight="15.75" x14ac:dyDescent="0.25"/>
  <cols>
    <col min="1" max="2" width="15.5703125" style="2" customWidth="1"/>
    <col min="3" max="3" width="65.42578125" style="2" bestFit="1" customWidth="1"/>
    <col min="4" max="16384" width="10.85546875" style="2"/>
  </cols>
  <sheetData>
    <row r="1" spans="1:3" ht="20.100000000000001" customHeight="1" x14ac:dyDescent="0.25">
      <c r="A1" s="1" t="s">
        <v>5569</v>
      </c>
      <c r="B1" s="1" t="s">
        <v>6081</v>
      </c>
      <c r="C1" s="1" t="s">
        <v>5597</v>
      </c>
    </row>
    <row r="2" spans="1:3" ht="20.100000000000001" customHeight="1" x14ac:dyDescent="0.25">
      <c r="A2" s="1" t="s">
        <v>41</v>
      </c>
      <c r="B2" s="1" t="s">
        <v>42</v>
      </c>
      <c r="C2" s="1" t="s">
        <v>6084</v>
      </c>
    </row>
    <row r="3" spans="1:3" ht="20.100000000000001" customHeight="1" x14ac:dyDescent="0.25">
      <c r="A3" s="5">
        <v>7</v>
      </c>
      <c r="B3" s="5">
        <v>1</v>
      </c>
      <c r="C3" s="4" t="str">
        <f>CONCATENATE("(",A3,",",B3,"),")</f>
        <v>(7,1),</v>
      </c>
    </row>
    <row r="4" spans="1:3" ht="20.100000000000001" customHeight="1" x14ac:dyDescent="0.25">
      <c r="A4" s="5"/>
      <c r="B4" s="5"/>
      <c r="C4" s="4"/>
    </row>
    <row r="5" spans="1:3" ht="20.100000000000001" customHeight="1" x14ac:dyDescent="0.25">
      <c r="A5" s="5"/>
      <c r="B5" s="5"/>
      <c r="C5" s="4"/>
    </row>
    <row r="6" spans="1:3" ht="20.100000000000001" customHeight="1" x14ac:dyDescent="0.25">
      <c r="A6" s="5"/>
      <c r="B6" s="5"/>
      <c r="C6" s="4"/>
    </row>
    <row r="7" spans="1:3" ht="20.100000000000001" customHeight="1" x14ac:dyDescent="0.25">
      <c r="A7" s="5"/>
      <c r="B7" s="5"/>
      <c r="C7" s="4"/>
    </row>
    <row r="8" spans="1:3" ht="20.100000000000001" customHeight="1" x14ac:dyDescent="0.25">
      <c r="A8" s="5"/>
      <c r="B8" s="5"/>
      <c r="C8" s="4"/>
    </row>
    <row r="9" spans="1:3" ht="20.100000000000001" customHeight="1" x14ac:dyDescent="0.25">
      <c r="A9" s="5"/>
      <c r="B9" s="5"/>
      <c r="C9" s="4"/>
    </row>
    <row r="10" spans="1:3" ht="20.100000000000001" customHeight="1" x14ac:dyDescent="0.25">
      <c r="A10" s="5"/>
      <c r="B10" s="5"/>
      <c r="C10" s="4"/>
    </row>
    <row r="11" spans="1:3" ht="20.100000000000001" customHeight="1" x14ac:dyDescent="0.25">
      <c r="A11" s="5"/>
      <c r="B11" s="5"/>
      <c r="C11" s="4"/>
    </row>
    <row r="12" spans="1:3" ht="20.100000000000001" customHeight="1" x14ac:dyDescent="0.25">
      <c r="A12" s="5"/>
      <c r="B12" s="5"/>
      <c r="C12" s="4"/>
    </row>
    <row r="13" spans="1:3" ht="20.100000000000001" customHeight="1" x14ac:dyDescent="0.25">
      <c r="A13" s="5"/>
      <c r="B13" s="5"/>
      <c r="C13" s="4"/>
    </row>
    <row r="14" spans="1:3" ht="20.100000000000001" customHeight="1" x14ac:dyDescent="0.25">
      <c r="A14" s="5"/>
      <c r="B14" s="5"/>
      <c r="C14" s="4"/>
    </row>
    <row r="15" spans="1:3" ht="20.100000000000001" customHeight="1" x14ac:dyDescent="0.25">
      <c r="A15" s="5"/>
      <c r="B15" s="5"/>
      <c r="C15" s="4"/>
    </row>
    <row r="16" spans="1:3" ht="20.100000000000001" customHeight="1" x14ac:dyDescent="0.25">
      <c r="A16" s="5"/>
      <c r="B16" s="5"/>
      <c r="C16" s="4"/>
    </row>
    <row r="17" spans="1:3" ht="20.100000000000001" customHeight="1" x14ac:dyDescent="0.25">
      <c r="A17" s="5"/>
      <c r="B17" s="5"/>
      <c r="C17" s="4"/>
    </row>
    <row r="18" spans="1:3" ht="20.100000000000001" customHeight="1" x14ac:dyDescent="0.25">
      <c r="A18" s="5"/>
      <c r="B18" s="5"/>
      <c r="C18" s="4"/>
    </row>
    <row r="19" spans="1:3" ht="20.100000000000001" customHeight="1" x14ac:dyDescent="0.25">
      <c r="A19" s="5"/>
      <c r="B19" s="5"/>
      <c r="C19" s="4"/>
    </row>
    <row r="20" spans="1:3" ht="20.100000000000001" customHeight="1" x14ac:dyDescent="0.25">
      <c r="A20" s="5"/>
      <c r="B20" s="5"/>
      <c r="C20" s="4"/>
    </row>
    <row r="21" spans="1:3" ht="20.100000000000001" customHeight="1" x14ac:dyDescent="0.25">
      <c r="A21" s="5"/>
      <c r="B21" s="5"/>
      <c r="C21" s="4"/>
    </row>
    <row r="22" spans="1:3" ht="20.100000000000001" customHeight="1" x14ac:dyDescent="0.25">
      <c r="A22" s="5"/>
      <c r="B22" s="5"/>
      <c r="C22" s="4"/>
    </row>
    <row r="23" spans="1:3" ht="20.100000000000001" customHeight="1" x14ac:dyDescent="0.25">
      <c r="A23" s="5"/>
      <c r="B23" s="5"/>
      <c r="C23" s="4"/>
    </row>
    <row r="24" spans="1:3" ht="20.100000000000001" customHeight="1" x14ac:dyDescent="0.25">
      <c r="A24" s="5"/>
      <c r="B24" s="5"/>
      <c r="C24" s="4"/>
    </row>
    <row r="25" spans="1:3" ht="20.100000000000001" customHeight="1" x14ac:dyDescent="0.25">
      <c r="A25" s="5"/>
      <c r="B25" s="5"/>
      <c r="C25" s="4"/>
    </row>
    <row r="26" spans="1:3" ht="20.100000000000001" customHeight="1" x14ac:dyDescent="0.25">
      <c r="A26" s="5"/>
      <c r="B26" s="5"/>
      <c r="C26" s="4"/>
    </row>
    <row r="27" spans="1:3" ht="20.100000000000001" customHeight="1" x14ac:dyDescent="0.25">
      <c r="A27" s="5"/>
      <c r="B27" s="5"/>
      <c r="C27" s="4"/>
    </row>
    <row r="28" spans="1:3" ht="20.100000000000001" customHeight="1" x14ac:dyDescent="0.25">
      <c r="A28" s="5"/>
      <c r="B28" s="5"/>
      <c r="C28" s="4"/>
    </row>
    <row r="29" spans="1:3" ht="20.100000000000001" customHeight="1" x14ac:dyDescent="0.25">
      <c r="A29" s="5"/>
      <c r="B29" s="5"/>
      <c r="C29" s="4"/>
    </row>
    <row r="30" spans="1:3" ht="20.100000000000001" customHeight="1" x14ac:dyDescent="0.25">
      <c r="A30" s="5"/>
      <c r="B30" s="5"/>
      <c r="C30" s="4"/>
    </row>
    <row r="31" spans="1:3" ht="20.100000000000001" customHeight="1" x14ac:dyDescent="0.25">
      <c r="A31" s="5"/>
      <c r="B31" s="5"/>
      <c r="C31" s="4"/>
    </row>
    <row r="32" spans="1:3" ht="20.100000000000001" customHeight="1" x14ac:dyDescent="0.25">
      <c r="A32" s="5"/>
      <c r="B32" s="5"/>
      <c r="C32" s="4"/>
    </row>
    <row r="33" spans="1:3" ht="20.100000000000001" customHeight="1" x14ac:dyDescent="0.25">
      <c r="A33" s="5"/>
      <c r="B33" s="5"/>
      <c r="C33" s="4"/>
    </row>
    <row r="34" spans="1:3" ht="20.100000000000001" customHeight="1" x14ac:dyDescent="0.25">
      <c r="A34" s="5"/>
      <c r="B34" s="5"/>
      <c r="C34" s="4"/>
    </row>
    <row r="35" spans="1:3" ht="20.100000000000001" customHeight="1" x14ac:dyDescent="0.25">
      <c r="A35" s="5"/>
      <c r="B35" s="5"/>
      <c r="C35" s="4"/>
    </row>
    <row r="36" spans="1:3" ht="20.100000000000001" customHeight="1" x14ac:dyDescent="0.25">
      <c r="A36" s="5"/>
      <c r="B36" s="5"/>
      <c r="C36" s="4"/>
    </row>
    <row r="37" spans="1:3" ht="20.100000000000001" customHeight="1" x14ac:dyDescent="0.25">
      <c r="A37" s="5"/>
      <c r="B37" s="5"/>
      <c r="C37" s="4"/>
    </row>
    <row r="38" spans="1:3" ht="20.100000000000001" customHeight="1" x14ac:dyDescent="0.25">
      <c r="A38" s="5"/>
      <c r="B38" s="5"/>
      <c r="C38" s="4"/>
    </row>
    <row r="39" spans="1:3" ht="20.100000000000001" customHeight="1" x14ac:dyDescent="0.25">
      <c r="A39" s="5"/>
      <c r="B39" s="5"/>
      <c r="C39" s="4"/>
    </row>
    <row r="40" spans="1:3" ht="20.100000000000001" customHeight="1" x14ac:dyDescent="0.25">
      <c r="A40" s="5"/>
      <c r="B40" s="5"/>
      <c r="C40" s="4"/>
    </row>
    <row r="41" spans="1:3" ht="20.100000000000001" customHeight="1" x14ac:dyDescent="0.25">
      <c r="A41" s="5"/>
      <c r="B41" s="5"/>
      <c r="C41" s="4"/>
    </row>
    <row r="42" spans="1:3" ht="20.100000000000001" customHeight="1" x14ac:dyDescent="0.25">
      <c r="A42" s="5"/>
      <c r="B42" s="5"/>
      <c r="C42" s="4"/>
    </row>
    <row r="43" spans="1:3" ht="20.100000000000001" customHeight="1" x14ac:dyDescent="0.25">
      <c r="A43" s="5"/>
      <c r="B43" s="5"/>
      <c r="C43" s="4"/>
    </row>
    <row r="44" spans="1:3" ht="20.100000000000001" customHeight="1" x14ac:dyDescent="0.25">
      <c r="A44" s="5"/>
      <c r="B44" s="5"/>
      <c r="C44" s="4"/>
    </row>
    <row r="45" spans="1:3" ht="20.100000000000001" customHeight="1" x14ac:dyDescent="0.25">
      <c r="A45" s="5"/>
      <c r="B45" s="5"/>
      <c r="C45" s="4"/>
    </row>
    <row r="46" spans="1:3" ht="20.100000000000001" customHeight="1" x14ac:dyDescent="0.25">
      <c r="A46" s="5"/>
      <c r="B46" s="5"/>
      <c r="C46" s="4"/>
    </row>
    <row r="47" spans="1:3" ht="20.100000000000001" customHeight="1" x14ac:dyDescent="0.25">
      <c r="A47" s="5"/>
      <c r="B47" s="5"/>
      <c r="C47" s="4"/>
    </row>
    <row r="48" spans="1:3" ht="20.100000000000001" customHeight="1" x14ac:dyDescent="0.25">
      <c r="A48" s="5"/>
      <c r="B48" s="5"/>
      <c r="C48" s="4"/>
    </row>
    <row r="49" spans="1:3" ht="20.100000000000001" customHeight="1" x14ac:dyDescent="0.25">
      <c r="A49" s="5"/>
      <c r="B49" s="5"/>
      <c r="C49" s="4"/>
    </row>
    <row r="50" spans="1:3" ht="20.100000000000001" customHeight="1" x14ac:dyDescent="0.25">
      <c r="A50" s="5"/>
      <c r="B50" s="5"/>
      <c r="C50" s="4"/>
    </row>
    <row r="51" spans="1:3" ht="20.100000000000001" customHeight="1" x14ac:dyDescent="0.25">
      <c r="A51" s="5"/>
      <c r="B51" s="5"/>
      <c r="C51" s="4"/>
    </row>
    <row r="52" spans="1:3" ht="20.100000000000001" customHeight="1" x14ac:dyDescent="0.25">
      <c r="A52" s="5"/>
      <c r="B52" s="5"/>
      <c r="C52" s="4"/>
    </row>
    <row r="53" spans="1:3" ht="20.100000000000001" customHeight="1" x14ac:dyDescent="0.25">
      <c r="A53" s="5"/>
      <c r="B53" s="5"/>
      <c r="C53" s="4"/>
    </row>
    <row r="54" spans="1:3" ht="20.100000000000001" customHeight="1" x14ac:dyDescent="0.25">
      <c r="A54" s="5"/>
      <c r="B54" s="5"/>
      <c r="C54" s="4"/>
    </row>
    <row r="55" spans="1:3" ht="20.100000000000001" customHeight="1" x14ac:dyDescent="0.25">
      <c r="A55" s="5"/>
      <c r="B55" s="5"/>
      <c r="C55" s="4"/>
    </row>
    <row r="56" spans="1:3" ht="20.100000000000001" customHeight="1" x14ac:dyDescent="0.25">
      <c r="A56" s="5"/>
      <c r="B56" s="5"/>
      <c r="C56" s="4"/>
    </row>
    <row r="57" spans="1:3" ht="20.100000000000001" customHeight="1" x14ac:dyDescent="0.25">
      <c r="A57" s="5"/>
      <c r="B57" s="5"/>
      <c r="C57" s="4"/>
    </row>
    <row r="58" spans="1:3" ht="20.100000000000001" customHeight="1" x14ac:dyDescent="0.25">
      <c r="A58" s="5"/>
      <c r="B58" s="5"/>
      <c r="C58" s="4"/>
    </row>
    <row r="59" spans="1:3" ht="20.100000000000001" customHeight="1" x14ac:dyDescent="0.25">
      <c r="A59" s="5"/>
      <c r="B59" s="5"/>
      <c r="C59" s="4"/>
    </row>
    <row r="60" spans="1:3" ht="20.100000000000001" customHeight="1" x14ac:dyDescent="0.25">
      <c r="A60" s="5"/>
      <c r="B60" s="5"/>
      <c r="C60" s="4"/>
    </row>
    <row r="61" spans="1:3" ht="20.100000000000001" customHeight="1" x14ac:dyDescent="0.25">
      <c r="A61" s="5"/>
      <c r="B61" s="5"/>
      <c r="C61" s="4"/>
    </row>
    <row r="62" spans="1:3" ht="20.100000000000001" customHeight="1" x14ac:dyDescent="0.25">
      <c r="A62" s="5"/>
      <c r="B62" s="5"/>
      <c r="C62" s="4"/>
    </row>
    <row r="63" spans="1:3" ht="20.100000000000001" customHeight="1" x14ac:dyDescent="0.25">
      <c r="A63" s="5"/>
      <c r="B63" s="5"/>
      <c r="C63" s="4"/>
    </row>
    <row r="64" spans="1:3" ht="20.100000000000001" customHeight="1" x14ac:dyDescent="0.25">
      <c r="A64" s="5"/>
      <c r="B64" s="5"/>
      <c r="C64" s="4"/>
    </row>
    <row r="65" spans="1:3" ht="20.100000000000001" customHeight="1" x14ac:dyDescent="0.25">
      <c r="A65" s="5"/>
      <c r="B65" s="5"/>
      <c r="C65" s="4"/>
    </row>
    <row r="66" spans="1:3" ht="20.100000000000001" customHeight="1" x14ac:dyDescent="0.25">
      <c r="A66" s="5"/>
      <c r="B66" s="5"/>
      <c r="C66" s="4"/>
    </row>
    <row r="67" spans="1:3" ht="20.100000000000001" customHeight="1" x14ac:dyDescent="0.25">
      <c r="A67" s="5"/>
      <c r="B67" s="5"/>
      <c r="C67" s="4"/>
    </row>
    <row r="68" spans="1:3" ht="20.100000000000001" customHeight="1" x14ac:dyDescent="0.25">
      <c r="A68" s="5"/>
      <c r="B68" s="5"/>
      <c r="C68" s="4"/>
    </row>
    <row r="69" spans="1:3" ht="20.100000000000001" customHeight="1" x14ac:dyDescent="0.25">
      <c r="A69" s="5"/>
      <c r="B69" s="5"/>
      <c r="C69" s="4"/>
    </row>
    <row r="70" spans="1:3" ht="20.100000000000001" customHeight="1" x14ac:dyDescent="0.25">
      <c r="A70" s="5"/>
      <c r="B70" s="5"/>
      <c r="C70" s="4"/>
    </row>
    <row r="71" spans="1:3" ht="20.100000000000001" customHeight="1" x14ac:dyDescent="0.25">
      <c r="A71" s="5"/>
      <c r="B71" s="5"/>
      <c r="C71" s="4"/>
    </row>
    <row r="72" spans="1:3" ht="20.100000000000001" customHeight="1" x14ac:dyDescent="0.25">
      <c r="A72" s="5"/>
      <c r="B72" s="5"/>
      <c r="C72" s="4"/>
    </row>
    <row r="73" spans="1:3" ht="20.100000000000001" customHeight="1" x14ac:dyDescent="0.25">
      <c r="A73" s="5"/>
      <c r="B73" s="5"/>
      <c r="C73" s="4"/>
    </row>
    <row r="74" spans="1:3" ht="20.100000000000001" customHeight="1" x14ac:dyDescent="0.25">
      <c r="A74" s="5"/>
      <c r="B74" s="5"/>
      <c r="C74" s="4"/>
    </row>
    <row r="75" spans="1:3" ht="20.100000000000001" customHeight="1" x14ac:dyDescent="0.25">
      <c r="A75" s="5"/>
      <c r="B75" s="5"/>
      <c r="C75" s="4"/>
    </row>
    <row r="76" spans="1:3" ht="20.100000000000001" customHeight="1" x14ac:dyDescent="0.25">
      <c r="A76" s="5"/>
      <c r="B76" s="5"/>
      <c r="C76" s="4"/>
    </row>
    <row r="77" spans="1:3" ht="20.100000000000001" customHeight="1" x14ac:dyDescent="0.25">
      <c r="A77" s="5"/>
      <c r="B77" s="5"/>
      <c r="C77" s="4"/>
    </row>
    <row r="78" spans="1:3" ht="20.100000000000001" customHeight="1" x14ac:dyDescent="0.25">
      <c r="A78" s="5"/>
      <c r="B78" s="5"/>
      <c r="C78" s="4"/>
    </row>
    <row r="79" spans="1:3" ht="20.100000000000001" customHeight="1" x14ac:dyDescent="0.25">
      <c r="A79" s="5"/>
      <c r="B79" s="5"/>
      <c r="C79" s="4"/>
    </row>
    <row r="80" spans="1:3" ht="20.100000000000001" customHeight="1" x14ac:dyDescent="0.25">
      <c r="A80" s="5"/>
      <c r="B80" s="5"/>
      <c r="C80" s="4"/>
    </row>
    <row r="81" spans="1:3" ht="20.100000000000001" customHeight="1" x14ac:dyDescent="0.25">
      <c r="A81" s="5"/>
      <c r="B81" s="5"/>
      <c r="C81" s="4"/>
    </row>
    <row r="82" spans="1:3" ht="20.100000000000001" customHeight="1" x14ac:dyDescent="0.25">
      <c r="A82" s="5"/>
      <c r="B82" s="5"/>
      <c r="C82" s="4"/>
    </row>
    <row r="83" spans="1:3" ht="20.100000000000001" customHeight="1" x14ac:dyDescent="0.25">
      <c r="A83" s="5"/>
      <c r="B83" s="5"/>
      <c r="C83" s="4"/>
    </row>
    <row r="84" spans="1:3" ht="20.100000000000001" customHeight="1" x14ac:dyDescent="0.25">
      <c r="A84" s="5"/>
      <c r="B84" s="5"/>
      <c r="C84" s="4"/>
    </row>
    <row r="85" spans="1:3" ht="20.100000000000001" customHeight="1" x14ac:dyDescent="0.25">
      <c r="A85" s="5"/>
      <c r="B85" s="5"/>
      <c r="C85" s="4"/>
    </row>
    <row r="86" spans="1:3" ht="20.100000000000001" customHeight="1" x14ac:dyDescent="0.25">
      <c r="A86" s="5"/>
      <c r="B86" s="5"/>
      <c r="C86" s="4"/>
    </row>
    <row r="87" spans="1:3" ht="20.100000000000001" customHeight="1" x14ac:dyDescent="0.25">
      <c r="A87" s="5"/>
      <c r="B87" s="5"/>
      <c r="C87" s="4"/>
    </row>
    <row r="88" spans="1:3" ht="20.100000000000001" customHeight="1" x14ac:dyDescent="0.25">
      <c r="A88" s="5"/>
      <c r="B88" s="5"/>
      <c r="C88" s="4"/>
    </row>
    <row r="89" spans="1:3" ht="20.100000000000001" customHeight="1" x14ac:dyDescent="0.25">
      <c r="A89" s="5"/>
      <c r="B89" s="5"/>
      <c r="C89" s="4"/>
    </row>
  </sheetData>
  <autoFilter ref="A2:C89"/>
  <pageMargins left="0.7" right="0.7" top="0.75" bottom="0.75" header="0.3" footer="0.3"/>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1:E36"/>
  <sheetViews>
    <sheetView topLeftCell="A2" workbookViewId="0">
      <selection activeCell="I59" sqref="I59"/>
    </sheetView>
  </sheetViews>
  <sheetFormatPr baseColWidth="10" defaultColWidth="10.85546875" defaultRowHeight="15.75" x14ac:dyDescent="0.25"/>
  <cols>
    <col min="1" max="1" width="5.5703125" style="2" customWidth="1"/>
    <col min="2" max="4" width="15.5703125" style="2" customWidth="1"/>
    <col min="5" max="5" width="65.42578125" style="2" bestFit="1" customWidth="1"/>
    <col min="6" max="16384" width="10.85546875" style="2"/>
  </cols>
  <sheetData>
    <row r="1" spans="1:5" ht="20.100000000000001" customHeight="1" x14ac:dyDescent="0.25">
      <c r="A1" s="1" t="s">
        <v>37</v>
      </c>
      <c r="B1" s="1" t="s">
        <v>5567</v>
      </c>
      <c r="C1" s="1" t="s">
        <v>4083</v>
      </c>
      <c r="D1" s="1" t="s">
        <v>5569</v>
      </c>
      <c r="E1" s="1" t="s">
        <v>5597</v>
      </c>
    </row>
    <row r="2" spans="1:5" ht="20.100000000000001" customHeight="1" x14ac:dyDescent="0.25">
      <c r="A2" s="1" t="s">
        <v>44</v>
      </c>
      <c r="B2" s="1" t="s">
        <v>5531</v>
      </c>
      <c r="C2" s="1" t="s">
        <v>5532</v>
      </c>
      <c r="D2" s="1" t="s">
        <v>5568</v>
      </c>
      <c r="E2" s="1" t="s">
        <v>5604</v>
      </c>
    </row>
    <row r="3" spans="1:5" ht="20.100000000000001" customHeight="1" x14ac:dyDescent="0.25">
      <c r="A3" s="3"/>
      <c r="B3" s="5"/>
      <c r="C3" s="5"/>
      <c r="D3" s="5"/>
      <c r="E3" s="4" t="str">
        <f>CONCATENATE("(",A3,",",B3,",",C3,",",D3,"),")</f>
        <v>(,,,),</v>
      </c>
    </row>
    <row r="4" spans="1:5" ht="20.100000000000001" customHeight="1" x14ac:dyDescent="0.25">
      <c r="A4" s="3"/>
      <c r="B4" s="5"/>
      <c r="C4" s="5"/>
      <c r="D4" s="5"/>
      <c r="E4" s="4" t="str">
        <f t="shared" ref="E4:E36" si="0">CONCATENATE("(",A4,",",B4,",",C4,",",D4,"),")</f>
        <v>(,,,),</v>
      </c>
    </row>
    <row r="5" spans="1:5" ht="20.100000000000001" customHeight="1" x14ac:dyDescent="0.25">
      <c r="A5" s="3"/>
      <c r="B5" s="5"/>
      <c r="C5" s="5"/>
      <c r="D5" s="5"/>
      <c r="E5" s="4" t="str">
        <f t="shared" si="0"/>
        <v>(,,,),</v>
      </c>
    </row>
    <row r="6" spans="1:5" ht="20.100000000000001" customHeight="1" x14ac:dyDescent="0.25">
      <c r="A6" s="3"/>
      <c r="B6" s="5"/>
      <c r="C6" s="5"/>
      <c r="D6" s="5"/>
      <c r="E6" s="4" t="str">
        <f t="shared" si="0"/>
        <v>(,,,),</v>
      </c>
    </row>
    <row r="7" spans="1:5" ht="20.100000000000001" customHeight="1" x14ac:dyDescent="0.25">
      <c r="A7" s="3"/>
      <c r="B7" s="5"/>
      <c r="C7" s="5"/>
      <c r="D7" s="5"/>
      <c r="E7" s="4" t="str">
        <f t="shared" si="0"/>
        <v>(,,,),</v>
      </c>
    </row>
    <row r="8" spans="1:5" ht="20.100000000000001" customHeight="1" x14ac:dyDescent="0.25">
      <c r="A8" s="3"/>
      <c r="B8" s="5"/>
      <c r="C8" s="5"/>
      <c r="D8" s="5"/>
      <c r="E8" s="4" t="str">
        <f t="shared" si="0"/>
        <v>(,,,),</v>
      </c>
    </row>
    <row r="9" spans="1:5" ht="20.100000000000001" customHeight="1" x14ac:dyDescent="0.25">
      <c r="A9" s="3"/>
      <c r="B9" s="5"/>
      <c r="C9" s="5"/>
      <c r="D9" s="5"/>
      <c r="E9" s="4" t="str">
        <f t="shared" si="0"/>
        <v>(,,,),</v>
      </c>
    </row>
    <row r="10" spans="1:5" ht="20.100000000000001" customHeight="1" x14ac:dyDescent="0.25">
      <c r="A10" s="3"/>
      <c r="B10" s="5"/>
      <c r="C10" s="5"/>
      <c r="D10" s="5"/>
      <c r="E10" s="4" t="str">
        <f t="shared" si="0"/>
        <v>(,,,),</v>
      </c>
    </row>
    <row r="11" spans="1:5" ht="20.100000000000001" customHeight="1" x14ac:dyDescent="0.25">
      <c r="A11" s="3"/>
      <c r="B11" s="5"/>
      <c r="C11" s="5"/>
      <c r="D11" s="5"/>
      <c r="E11" s="4" t="str">
        <f t="shared" si="0"/>
        <v>(,,,),</v>
      </c>
    </row>
    <row r="12" spans="1:5" ht="20.100000000000001" customHeight="1" x14ac:dyDescent="0.25">
      <c r="A12" s="3"/>
      <c r="B12" s="5"/>
      <c r="C12" s="5"/>
      <c r="D12" s="5"/>
      <c r="E12" s="4" t="str">
        <f t="shared" si="0"/>
        <v>(,,,),</v>
      </c>
    </row>
    <row r="13" spans="1:5" ht="20.100000000000001" customHeight="1" x14ac:dyDescent="0.25">
      <c r="A13" s="3"/>
      <c r="B13" s="5"/>
      <c r="C13" s="5"/>
      <c r="D13" s="5"/>
      <c r="E13" s="4" t="str">
        <f t="shared" si="0"/>
        <v>(,,,),</v>
      </c>
    </row>
    <row r="14" spans="1:5" ht="20.100000000000001" customHeight="1" x14ac:dyDescent="0.25">
      <c r="A14" s="3"/>
      <c r="B14" s="5"/>
      <c r="C14" s="5"/>
      <c r="D14" s="5"/>
      <c r="E14" s="4" t="str">
        <f t="shared" si="0"/>
        <v>(,,,),</v>
      </c>
    </row>
    <row r="15" spans="1:5" ht="20.100000000000001" customHeight="1" x14ac:dyDescent="0.25">
      <c r="A15" s="3"/>
      <c r="B15" s="5"/>
      <c r="C15" s="5"/>
      <c r="D15" s="5"/>
      <c r="E15" s="4" t="str">
        <f t="shared" si="0"/>
        <v>(,,,),</v>
      </c>
    </row>
    <row r="16" spans="1:5" ht="20.100000000000001" customHeight="1" x14ac:dyDescent="0.25">
      <c r="A16" s="3"/>
      <c r="B16" s="5"/>
      <c r="C16" s="5"/>
      <c r="D16" s="5"/>
      <c r="E16" s="4" t="str">
        <f t="shared" si="0"/>
        <v>(,,,),</v>
      </c>
    </row>
    <row r="17" spans="1:5" ht="20.100000000000001" customHeight="1" x14ac:dyDescent="0.25">
      <c r="A17" s="3"/>
      <c r="B17" s="5"/>
      <c r="C17" s="5"/>
      <c r="D17" s="5"/>
      <c r="E17" s="4" t="str">
        <f t="shared" si="0"/>
        <v>(,,,),</v>
      </c>
    </row>
    <row r="18" spans="1:5" ht="20.100000000000001" customHeight="1" x14ac:dyDescent="0.25">
      <c r="A18" s="3"/>
      <c r="B18" s="5"/>
      <c r="C18" s="5"/>
      <c r="D18" s="5"/>
      <c r="E18" s="4" t="str">
        <f t="shared" si="0"/>
        <v>(,,,),</v>
      </c>
    </row>
    <row r="19" spans="1:5" ht="20.100000000000001" customHeight="1" x14ac:dyDescent="0.25">
      <c r="A19" s="3"/>
      <c r="B19" s="5"/>
      <c r="C19" s="5"/>
      <c r="D19" s="5"/>
      <c r="E19" s="4" t="str">
        <f t="shared" si="0"/>
        <v>(,,,),</v>
      </c>
    </row>
    <row r="20" spans="1:5" ht="20.100000000000001" customHeight="1" x14ac:dyDescent="0.25">
      <c r="A20" s="3"/>
      <c r="B20" s="5"/>
      <c r="C20" s="5"/>
      <c r="D20" s="5"/>
      <c r="E20" s="4" t="str">
        <f t="shared" si="0"/>
        <v>(,,,),</v>
      </c>
    </row>
    <row r="21" spans="1:5" ht="20.100000000000001" customHeight="1" x14ac:dyDescent="0.25">
      <c r="A21" s="3"/>
      <c r="B21" s="5"/>
      <c r="C21" s="5"/>
      <c r="D21" s="5"/>
      <c r="E21" s="4" t="str">
        <f t="shared" si="0"/>
        <v>(,,,),</v>
      </c>
    </row>
    <row r="22" spans="1:5" ht="20.100000000000001" customHeight="1" x14ac:dyDescent="0.25">
      <c r="A22" s="3"/>
      <c r="B22" s="5"/>
      <c r="C22" s="5"/>
      <c r="D22" s="5"/>
      <c r="E22" s="4" t="str">
        <f t="shared" si="0"/>
        <v>(,,,),</v>
      </c>
    </row>
    <row r="23" spans="1:5" ht="20.100000000000001" customHeight="1" x14ac:dyDescent="0.25">
      <c r="A23" s="3"/>
      <c r="B23" s="5"/>
      <c r="C23" s="5"/>
      <c r="D23" s="5"/>
      <c r="E23" s="4" t="str">
        <f t="shared" si="0"/>
        <v>(,,,),</v>
      </c>
    </row>
    <row r="24" spans="1:5" ht="20.100000000000001" customHeight="1" x14ac:dyDescent="0.25">
      <c r="A24" s="3"/>
      <c r="B24" s="5"/>
      <c r="C24" s="5"/>
      <c r="D24" s="5"/>
      <c r="E24" s="4" t="str">
        <f t="shared" si="0"/>
        <v>(,,,),</v>
      </c>
    </row>
    <row r="25" spans="1:5" ht="20.100000000000001" customHeight="1" x14ac:dyDescent="0.25">
      <c r="A25" s="3"/>
      <c r="B25" s="5"/>
      <c r="C25" s="5"/>
      <c r="D25" s="5"/>
      <c r="E25" s="4" t="str">
        <f t="shared" si="0"/>
        <v>(,,,),</v>
      </c>
    </row>
    <row r="26" spans="1:5" ht="20.100000000000001" customHeight="1" x14ac:dyDescent="0.25">
      <c r="A26" s="3"/>
      <c r="B26" s="5"/>
      <c r="C26" s="5"/>
      <c r="D26" s="5"/>
      <c r="E26" s="4" t="str">
        <f t="shared" si="0"/>
        <v>(,,,),</v>
      </c>
    </row>
    <row r="27" spans="1:5" ht="20.100000000000001" customHeight="1" x14ac:dyDescent="0.25">
      <c r="A27" s="3"/>
      <c r="B27" s="5"/>
      <c r="C27" s="5"/>
      <c r="D27" s="5"/>
      <c r="E27" s="4" t="str">
        <f t="shared" si="0"/>
        <v>(,,,),</v>
      </c>
    </row>
    <row r="28" spans="1:5" ht="20.100000000000001" customHeight="1" x14ac:dyDescent="0.25">
      <c r="A28" s="3"/>
      <c r="B28" s="5"/>
      <c r="C28" s="5"/>
      <c r="D28" s="5"/>
      <c r="E28" s="4" t="str">
        <f t="shared" si="0"/>
        <v>(,,,),</v>
      </c>
    </row>
    <row r="29" spans="1:5" ht="20.100000000000001" customHeight="1" x14ac:dyDescent="0.25">
      <c r="A29" s="3"/>
      <c r="B29" s="5"/>
      <c r="C29" s="5"/>
      <c r="D29" s="5"/>
      <c r="E29" s="4" t="str">
        <f t="shared" si="0"/>
        <v>(,,,),</v>
      </c>
    </row>
    <row r="30" spans="1:5" ht="20.100000000000001" customHeight="1" x14ac:dyDescent="0.25">
      <c r="A30" s="3"/>
      <c r="B30" s="5"/>
      <c r="C30" s="5"/>
      <c r="D30" s="5"/>
      <c r="E30" s="4" t="str">
        <f t="shared" si="0"/>
        <v>(,,,),</v>
      </c>
    </row>
    <row r="31" spans="1:5" ht="20.100000000000001" customHeight="1" x14ac:dyDescent="0.25">
      <c r="A31" s="3"/>
      <c r="B31" s="5"/>
      <c r="C31" s="5"/>
      <c r="D31" s="5"/>
      <c r="E31" s="4" t="str">
        <f t="shared" si="0"/>
        <v>(,,,),</v>
      </c>
    </row>
    <row r="32" spans="1:5" ht="20.100000000000001" customHeight="1" x14ac:dyDescent="0.25">
      <c r="A32" s="3"/>
      <c r="B32" s="5"/>
      <c r="C32" s="5"/>
      <c r="D32" s="5"/>
      <c r="E32" s="4" t="str">
        <f t="shared" si="0"/>
        <v>(,,,),</v>
      </c>
    </row>
    <row r="33" spans="1:5" ht="20.100000000000001" customHeight="1" x14ac:dyDescent="0.25">
      <c r="A33" s="3"/>
      <c r="B33" s="5"/>
      <c r="C33" s="5"/>
      <c r="D33" s="5"/>
      <c r="E33" s="4" t="str">
        <f t="shared" si="0"/>
        <v>(,,,),</v>
      </c>
    </row>
    <row r="34" spans="1:5" ht="20.100000000000001" customHeight="1" x14ac:dyDescent="0.25">
      <c r="A34" s="3"/>
      <c r="B34" s="5"/>
      <c r="C34" s="5"/>
      <c r="D34" s="5"/>
      <c r="E34" s="4" t="str">
        <f t="shared" si="0"/>
        <v>(,,,),</v>
      </c>
    </row>
    <row r="35" spans="1:5" ht="20.100000000000001" customHeight="1" x14ac:dyDescent="0.25">
      <c r="A35" s="3"/>
      <c r="B35" s="5"/>
      <c r="C35" s="5"/>
      <c r="D35" s="5"/>
      <c r="E35" s="4" t="str">
        <f t="shared" si="0"/>
        <v>(,,,),</v>
      </c>
    </row>
    <row r="36" spans="1:5" ht="20.100000000000001" customHeight="1" x14ac:dyDescent="0.25">
      <c r="A36" s="3"/>
      <c r="B36" s="5"/>
      <c r="C36" s="5"/>
      <c r="D36" s="5"/>
      <c r="E36" s="4" t="str">
        <f t="shared" si="0"/>
        <v>(,,,),</v>
      </c>
    </row>
  </sheetData>
  <autoFilter ref="A2:E36"/>
  <pageMargins left="0.7" right="0.7" top="0.75" bottom="0.75" header="0.3" footer="0.3"/>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7" tint="0.79998168889431442"/>
  </sheetPr>
  <dimension ref="A1:C89"/>
  <sheetViews>
    <sheetView workbookViewId="0">
      <selection activeCell="C11" sqref="C11"/>
    </sheetView>
  </sheetViews>
  <sheetFormatPr baseColWidth="10" defaultColWidth="10.85546875" defaultRowHeight="15.75" x14ac:dyDescent="0.25"/>
  <cols>
    <col min="1" max="2" width="15.5703125" style="2" customWidth="1"/>
    <col min="3" max="3" width="65.42578125" style="2" bestFit="1" customWidth="1"/>
    <col min="4" max="16384" width="10.85546875" style="2"/>
  </cols>
  <sheetData>
    <row r="1" spans="1:3" ht="20.100000000000001" customHeight="1" x14ac:dyDescent="0.25">
      <c r="A1" s="1" t="s">
        <v>6089</v>
      </c>
      <c r="B1" s="1" t="s">
        <v>5533</v>
      </c>
      <c r="C1" s="1" t="s">
        <v>5597</v>
      </c>
    </row>
    <row r="2" spans="1:3" ht="20.100000000000001" customHeight="1" x14ac:dyDescent="0.25">
      <c r="A2" s="1" t="s">
        <v>41</v>
      </c>
      <c r="B2" s="1" t="s">
        <v>42</v>
      </c>
      <c r="C2" s="1" t="s">
        <v>6088</v>
      </c>
    </row>
    <row r="3" spans="1:3" ht="20.100000000000001" customHeight="1" x14ac:dyDescent="0.25">
      <c r="A3" s="5">
        <v>7</v>
      </c>
      <c r="B3" s="5">
        <v>1</v>
      </c>
      <c r="C3" s="4" t="str">
        <f>CONCATENATE("(",A3,",",B3,"),")</f>
        <v>(7,1),</v>
      </c>
    </row>
    <row r="4" spans="1:3" ht="20.100000000000001" customHeight="1" x14ac:dyDescent="0.25">
      <c r="A4" s="5"/>
      <c r="B4" s="5"/>
      <c r="C4" s="4"/>
    </row>
    <row r="5" spans="1:3" ht="20.100000000000001" customHeight="1" x14ac:dyDescent="0.25">
      <c r="A5" s="5"/>
      <c r="B5" s="5"/>
      <c r="C5" s="4"/>
    </row>
    <row r="6" spans="1:3" ht="20.100000000000001" customHeight="1" x14ac:dyDescent="0.25">
      <c r="A6" s="5"/>
      <c r="B6" s="5"/>
      <c r="C6" s="4"/>
    </row>
    <row r="7" spans="1:3" ht="20.100000000000001" customHeight="1" x14ac:dyDescent="0.25">
      <c r="A7" s="5"/>
      <c r="B7" s="5"/>
      <c r="C7" s="4"/>
    </row>
    <row r="8" spans="1:3" ht="20.100000000000001" customHeight="1" x14ac:dyDescent="0.25">
      <c r="A8" s="5"/>
      <c r="B8" s="5"/>
      <c r="C8" s="4"/>
    </row>
    <row r="9" spans="1:3" ht="20.100000000000001" customHeight="1" x14ac:dyDescent="0.25">
      <c r="A9" s="5"/>
      <c r="B9" s="5"/>
      <c r="C9" s="4"/>
    </row>
    <row r="10" spans="1:3" ht="20.100000000000001" customHeight="1" x14ac:dyDescent="0.25">
      <c r="A10" s="5"/>
      <c r="B10" s="5"/>
      <c r="C10" s="4"/>
    </row>
    <row r="11" spans="1:3" ht="20.100000000000001" customHeight="1" x14ac:dyDescent="0.25">
      <c r="A11" s="5"/>
      <c r="B11" s="5"/>
      <c r="C11" s="4"/>
    </row>
    <row r="12" spans="1:3" ht="20.100000000000001" customHeight="1" x14ac:dyDescent="0.25">
      <c r="A12" s="5"/>
      <c r="B12" s="5"/>
      <c r="C12" s="4"/>
    </row>
    <row r="13" spans="1:3" ht="20.100000000000001" customHeight="1" x14ac:dyDescent="0.25">
      <c r="A13" s="5"/>
      <c r="B13" s="5"/>
      <c r="C13" s="4"/>
    </row>
    <row r="14" spans="1:3" ht="20.100000000000001" customHeight="1" x14ac:dyDescent="0.25">
      <c r="A14" s="5"/>
      <c r="B14" s="5"/>
      <c r="C14" s="4"/>
    </row>
    <row r="15" spans="1:3" ht="20.100000000000001" customHeight="1" x14ac:dyDescent="0.25">
      <c r="A15" s="5"/>
      <c r="B15" s="5"/>
      <c r="C15" s="4"/>
    </row>
    <row r="16" spans="1:3" ht="20.100000000000001" customHeight="1" x14ac:dyDescent="0.25">
      <c r="A16" s="5"/>
      <c r="B16" s="5"/>
      <c r="C16" s="4"/>
    </row>
    <row r="17" spans="1:3" ht="20.100000000000001" customHeight="1" x14ac:dyDescent="0.25">
      <c r="A17" s="5"/>
      <c r="B17" s="5"/>
      <c r="C17" s="4"/>
    </row>
    <row r="18" spans="1:3" ht="20.100000000000001" customHeight="1" x14ac:dyDescent="0.25">
      <c r="A18" s="5"/>
      <c r="B18" s="5"/>
      <c r="C18" s="4"/>
    </row>
    <row r="19" spans="1:3" ht="20.100000000000001" customHeight="1" x14ac:dyDescent="0.25">
      <c r="A19" s="5"/>
      <c r="B19" s="5"/>
      <c r="C19" s="4"/>
    </row>
    <row r="20" spans="1:3" ht="20.100000000000001" customHeight="1" x14ac:dyDescent="0.25">
      <c r="A20" s="5"/>
      <c r="B20" s="5"/>
      <c r="C20" s="4"/>
    </row>
    <row r="21" spans="1:3" ht="20.100000000000001" customHeight="1" x14ac:dyDescent="0.25">
      <c r="A21" s="5"/>
      <c r="B21" s="5"/>
      <c r="C21" s="4"/>
    </row>
    <row r="22" spans="1:3" ht="20.100000000000001" customHeight="1" x14ac:dyDescent="0.25">
      <c r="A22" s="5"/>
      <c r="B22" s="5"/>
      <c r="C22" s="4"/>
    </row>
    <row r="23" spans="1:3" ht="20.100000000000001" customHeight="1" x14ac:dyDescent="0.25">
      <c r="A23" s="5"/>
      <c r="B23" s="5"/>
      <c r="C23" s="4"/>
    </row>
    <row r="24" spans="1:3" ht="20.100000000000001" customHeight="1" x14ac:dyDescent="0.25">
      <c r="A24" s="5"/>
      <c r="B24" s="5"/>
      <c r="C24" s="4"/>
    </row>
    <row r="25" spans="1:3" ht="20.100000000000001" customHeight="1" x14ac:dyDescent="0.25">
      <c r="A25" s="5"/>
      <c r="B25" s="5"/>
      <c r="C25" s="4"/>
    </row>
    <row r="26" spans="1:3" ht="20.100000000000001" customHeight="1" x14ac:dyDescent="0.25">
      <c r="A26" s="5"/>
      <c r="B26" s="5"/>
      <c r="C26" s="4"/>
    </row>
    <row r="27" spans="1:3" ht="20.100000000000001" customHeight="1" x14ac:dyDescent="0.25">
      <c r="A27" s="5"/>
      <c r="B27" s="5"/>
      <c r="C27" s="4"/>
    </row>
    <row r="28" spans="1:3" ht="20.100000000000001" customHeight="1" x14ac:dyDescent="0.25">
      <c r="A28" s="5"/>
      <c r="B28" s="5"/>
      <c r="C28" s="4"/>
    </row>
    <row r="29" spans="1:3" ht="20.100000000000001" customHeight="1" x14ac:dyDescent="0.25">
      <c r="A29" s="5"/>
      <c r="B29" s="5"/>
      <c r="C29" s="4"/>
    </row>
    <row r="30" spans="1:3" ht="20.100000000000001" customHeight="1" x14ac:dyDescent="0.25">
      <c r="A30" s="5"/>
      <c r="B30" s="5"/>
      <c r="C30" s="4"/>
    </row>
    <row r="31" spans="1:3" ht="20.100000000000001" customHeight="1" x14ac:dyDescent="0.25">
      <c r="A31" s="5"/>
      <c r="B31" s="5"/>
      <c r="C31" s="4"/>
    </row>
    <row r="32" spans="1:3" ht="20.100000000000001" customHeight="1" x14ac:dyDescent="0.25">
      <c r="A32" s="5"/>
      <c r="B32" s="5"/>
      <c r="C32" s="4"/>
    </row>
    <row r="33" spans="1:3" ht="20.100000000000001" customHeight="1" x14ac:dyDescent="0.25">
      <c r="A33" s="5"/>
      <c r="B33" s="5"/>
      <c r="C33" s="4"/>
    </row>
    <row r="34" spans="1:3" ht="20.100000000000001" customHeight="1" x14ac:dyDescent="0.25">
      <c r="A34" s="5"/>
      <c r="B34" s="5"/>
      <c r="C34" s="4"/>
    </row>
    <row r="35" spans="1:3" ht="20.100000000000001" customHeight="1" x14ac:dyDescent="0.25">
      <c r="A35" s="5"/>
      <c r="B35" s="5"/>
      <c r="C35" s="4"/>
    </row>
    <row r="36" spans="1:3" ht="20.100000000000001" customHeight="1" x14ac:dyDescent="0.25">
      <c r="A36" s="5"/>
      <c r="B36" s="5"/>
      <c r="C36" s="4"/>
    </row>
    <row r="37" spans="1:3" ht="20.100000000000001" customHeight="1" x14ac:dyDescent="0.25">
      <c r="A37" s="5"/>
      <c r="B37" s="5"/>
      <c r="C37" s="4"/>
    </row>
    <row r="38" spans="1:3" ht="20.100000000000001" customHeight="1" x14ac:dyDescent="0.25">
      <c r="A38" s="5"/>
      <c r="B38" s="5"/>
      <c r="C38" s="4"/>
    </row>
    <row r="39" spans="1:3" ht="20.100000000000001" customHeight="1" x14ac:dyDescent="0.25">
      <c r="A39" s="5"/>
      <c r="B39" s="5"/>
      <c r="C39" s="4"/>
    </row>
    <row r="40" spans="1:3" ht="20.100000000000001" customHeight="1" x14ac:dyDescent="0.25">
      <c r="A40" s="5"/>
      <c r="B40" s="5"/>
      <c r="C40" s="4"/>
    </row>
    <row r="41" spans="1:3" ht="20.100000000000001" customHeight="1" x14ac:dyDescent="0.25">
      <c r="A41" s="5"/>
      <c r="B41" s="5"/>
      <c r="C41" s="4"/>
    </row>
    <row r="42" spans="1:3" ht="20.100000000000001" customHeight="1" x14ac:dyDescent="0.25">
      <c r="A42" s="5"/>
      <c r="B42" s="5"/>
      <c r="C42" s="4"/>
    </row>
    <row r="43" spans="1:3" ht="20.100000000000001" customHeight="1" x14ac:dyDescent="0.25">
      <c r="A43" s="5"/>
      <c r="B43" s="5"/>
      <c r="C43" s="4"/>
    </row>
    <row r="44" spans="1:3" ht="20.100000000000001" customHeight="1" x14ac:dyDescent="0.25">
      <c r="A44" s="5"/>
      <c r="B44" s="5"/>
      <c r="C44" s="4"/>
    </row>
    <row r="45" spans="1:3" ht="20.100000000000001" customHeight="1" x14ac:dyDescent="0.25">
      <c r="A45" s="5"/>
      <c r="B45" s="5"/>
      <c r="C45" s="4"/>
    </row>
    <row r="46" spans="1:3" ht="20.100000000000001" customHeight="1" x14ac:dyDescent="0.25">
      <c r="A46" s="5"/>
      <c r="B46" s="5"/>
      <c r="C46" s="4"/>
    </row>
    <row r="47" spans="1:3" ht="20.100000000000001" customHeight="1" x14ac:dyDescent="0.25">
      <c r="A47" s="5"/>
      <c r="B47" s="5"/>
      <c r="C47" s="4"/>
    </row>
    <row r="48" spans="1:3" ht="20.100000000000001" customHeight="1" x14ac:dyDescent="0.25">
      <c r="A48" s="5"/>
      <c r="B48" s="5"/>
      <c r="C48" s="4"/>
    </row>
    <row r="49" spans="1:3" ht="20.100000000000001" customHeight="1" x14ac:dyDescent="0.25">
      <c r="A49" s="5"/>
      <c r="B49" s="5"/>
      <c r="C49" s="4"/>
    </row>
    <row r="50" spans="1:3" ht="20.100000000000001" customHeight="1" x14ac:dyDescent="0.25">
      <c r="A50" s="5"/>
      <c r="B50" s="5"/>
      <c r="C50" s="4"/>
    </row>
    <row r="51" spans="1:3" ht="20.100000000000001" customHeight="1" x14ac:dyDescent="0.25">
      <c r="A51" s="5"/>
      <c r="B51" s="5"/>
      <c r="C51" s="4"/>
    </row>
    <row r="52" spans="1:3" ht="20.100000000000001" customHeight="1" x14ac:dyDescent="0.25">
      <c r="A52" s="5"/>
      <c r="B52" s="5"/>
      <c r="C52" s="4"/>
    </row>
    <row r="53" spans="1:3" ht="20.100000000000001" customHeight="1" x14ac:dyDescent="0.25">
      <c r="A53" s="5"/>
      <c r="B53" s="5"/>
      <c r="C53" s="4"/>
    </row>
    <row r="54" spans="1:3" ht="20.100000000000001" customHeight="1" x14ac:dyDescent="0.25">
      <c r="A54" s="5"/>
      <c r="B54" s="5"/>
      <c r="C54" s="4"/>
    </row>
    <row r="55" spans="1:3" ht="20.100000000000001" customHeight="1" x14ac:dyDescent="0.25">
      <c r="A55" s="5"/>
      <c r="B55" s="5"/>
      <c r="C55" s="4"/>
    </row>
    <row r="56" spans="1:3" ht="20.100000000000001" customHeight="1" x14ac:dyDescent="0.25">
      <c r="A56" s="5"/>
      <c r="B56" s="5"/>
      <c r="C56" s="4"/>
    </row>
    <row r="57" spans="1:3" ht="20.100000000000001" customHeight="1" x14ac:dyDescent="0.25">
      <c r="A57" s="5"/>
      <c r="B57" s="5"/>
      <c r="C57" s="4"/>
    </row>
    <row r="58" spans="1:3" ht="20.100000000000001" customHeight="1" x14ac:dyDescent="0.25">
      <c r="A58" s="5"/>
      <c r="B58" s="5"/>
      <c r="C58" s="4"/>
    </row>
    <row r="59" spans="1:3" ht="20.100000000000001" customHeight="1" x14ac:dyDescent="0.25">
      <c r="A59" s="5"/>
      <c r="B59" s="5"/>
      <c r="C59" s="4"/>
    </row>
    <row r="60" spans="1:3" ht="20.100000000000001" customHeight="1" x14ac:dyDescent="0.25">
      <c r="A60" s="5"/>
      <c r="B60" s="5"/>
      <c r="C60" s="4"/>
    </row>
    <row r="61" spans="1:3" ht="20.100000000000001" customHeight="1" x14ac:dyDescent="0.25">
      <c r="A61" s="5"/>
      <c r="B61" s="5"/>
      <c r="C61" s="4"/>
    </row>
    <row r="62" spans="1:3" ht="20.100000000000001" customHeight="1" x14ac:dyDescent="0.25">
      <c r="A62" s="5"/>
      <c r="B62" s="5"/>
      <c r="C62" s="4"/>
    </row>
    <row r="63" spans="1:3" ht="20.100000000000001" customHeight="1" x14ac:dyDescent="0.25">
      <c r="A63" s="5"/>
      <c r="B63" s="5"/>
      <c r="C63" s="4"/>
    </row>
    <row r="64" spans="1:3" ht="20.100000000000001" customHeight="1" x14ac:dyDescent="0.25">
      <c r="A64" s="5"/>
      <c r="B64" s="5"/>
      <c r="C64" s="4"/>
    </row>
    <row r="65" spans="1:3" ht="20.100000000000001" customHeight="1" x14ac:dyDescent="0.25">
      <c r="A65" s="5"/>
      <c r="B65" s="5"/>
      <c r="C65" s="4"/>
    </row>
    <row r="66" spans="1:3" ht="20.100000000000001" customHeight="1" x14ac:dyDescent="0.25">
      <c r="A66" s="5"/>
      <c r="B66" s="5"/>
      <c r="C66" s="4"/>
    </row>
    <row r="67" spans="1:3" ht="20.100000000000001" customHeight="1" x14ac:dyDescent="0.25">
      <c r="A67" s="5"/>
      <c r="B67" s="5"/>
      <c r="C67" s="4"/>
    </row>
    <row r="68" spans="1:3" ht="20.100000000000001" customHeight="1" x14ac:dyDescent="0.25">
      <c r="A68" s="5"/>
      <c r="B68" s="5"/>
      <c r="C68" s="4"/>
    </row>
    <row r="69" spans="1:3" ht="20.100000000000001" customHeight="1" x14ac:dyDescent="0.25">
      <c r="A69" s="5"/>
      <c r="B69" s="5"/>
      <c r="C69" s="4"/>
    </row>
    <row r="70" spans="1:3" ht="20.100000000000001" customHeight="1" x14ac:dyDescent="0.25">
      <c r="A70" s="5"/>
      <c r="B70" s="5"/>
      <c r="C70" s="4"/>
    </row>
    <row r="71" spans="1:3" ht="20.100000000000001" customHeight="1" x14ac:dyDescent="0.25">
      <c r="A71" s="5"/>
      <c r="B71" s="5"/>
      <c r="C71" s="4"/>
    </row>
    <row r="72" spans="1:3" ht="20.100000000000001" customHeight="1" x14ac:dyDescent="0.25">
      <c r="A72" s="5"/>
      <c r="B72" s="5"/>
      <c r="C72" s="4"/>
    </row>
    <row r="73" spans="1:3" ht="20.100000000000001" customHeight="1" x14ac:dyDescent="0.25">
      <c r="A73" s="5"/>
      <c r="B73" s="5"/>
      <c r="C73" s="4"/>
    </row>
    <row r="74" spans="1:3" ht="20.100000000000001" customHeight="1" x14ac:dyDescent="0.25">
      <c r="A74" s="5"/>
      <c r="B74" s="5"/>
      <c r="C74" s="4"/>
    </row>
    <row r="75" spans="1:3" ht="20.100000000000001" customHeight="1" x14ac:dyDescent="0.25">
      <c r="A75" s="5"/>
      <c r="B75" s="5"/>
      <c r="C75" s="4"/>
    </row>
    <row r="76" spans="1:3" ht="20.100000000000001" customHeight="1" x14ac:dyDescent="0.25">
      <c r="A76" s="5"/>
      <c r="B76" s="5"/>
      <c r="C76" s="4"/>
    </row>
    <row r="77" spans="1:3" ht="20.100000000000001" customHeight="1" x14ac:dyDescent="0.25">
      <c r="A77" s="5"/>
      <c r="B77" s="5"/>
      <c r="C77" s="4"/>
    </row>
    <row r="78" spans="1:3" ht="20.100000000000001" customHeight="1" x14ac:dyDescent="0.25">
      <c r="A78" s="5"/>
      <c r="B78" s="5"/>
      <c r="C78" s="4"/>
    </row>
    <row r="79" spans="1:3" ht="20.100000000000001" customHeight="1" x14ac:dyDescent="0.25">
      <c r="A79" s="5"/>
      <c r="B79" s="5"/>
      <c r="C79" s="4"/>
    </row>
    <row r="80" spans="1:3" ht="20.100000000000001" customHeight="1" x14ac:dyDescent="0.25">
      <c r="A80" s="5"/>
      <c r="B80" s="5"/>
      <c r="C80" s="4"/>
    </row>
    <row r="81" spans="1:3" ht="20.100000000000001" customHeight="1" x14ac:dyDescent="0.25">
      <c r="A81" s="5"/>
      <c r="B81" s="5"/>
      <c r="C81" s="4"/>
    </row>
    <row r="82" spans="1:3" ht="20.100000000000001" customHeight="1" x14ac:dyDescent="0.25">
      <c r="A82" s="5"/>
      <c r="B82" s="5"/>
      <c r="C82" s="4"/>
    </row>
    <row r="83" spans="1:3" ht="20.100000000000001" customHeight="1" x14ac:dyDescent="0.25">
      <c r="A83" s="5"/>
      <c r="B83" s="5"/>
      <c r="C83" s="4"/>
    </row>
    <row r="84" spans="1:3" ht="20.100000000000001" customHeight="1" x14ac:dyDescent="0.25">
      <c r="A84" s="5"/>
      <c r="B84" s="5"/>
      <c r="C84" s="4"/>
    </row>
    <row r="85" spans="1:3" ht="20.100000000000001" customHeight="1" x14ac:dyDescent="0.25">
      <c r="A85" s="5"/>
      <c r="B85" s="5"/>
      <c r="C85" s="4"/>
    </row>
    <row r="86" spans="1:3" ht="20.100000000000001" customHeight="1" x14ac:dyDescent="0.25">
      <c r="A86" s="5"/>
      <c r="B86" s="5"/>
      <c r="C86" s="4"/>
    </row>
    <row r="87" spans="1:3" ht="20.100000000000001" customHeight="1" x14ac:dyDescent="0.25">
      <c r="A87" s="5"/>
      <c r="B87" s="5"/>
      <c r="C87" s="4"/>
    </row>
    <row r="88" spans="1:3" ht="20.100000000000001" customHeight="1" x14ac:dyDescent="0.25">
      <c r="A88" s="5"/>
      <c r="B88" s="5"/>
      <c r="C88" s="4"/>
    </row>
    <row r="89" spans="1:3" ht="20.100000000000001" customHeight="1" x14ac:dyDescent="0.25">
      <c r="A89" s="5"/>
      <c r="B89" s="5"/>
      <c r="C89" s="4"/>
    </row>
  </sheetData>
  <autoFilter ref="A2:C89"/>
  <pageMargins left="0.7" right="0.7" top="0.75" bottom="0.75" header="0.3" footer="0.3"/>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7" tint="0.79998168889431442"/>
  </sheetPr>
  <dimension ref="A1:C89"/>
  <sheetViews>
    <sheetView workbookViewId="0">
      <selection activeCell="C11" sqref="C11"/>
    </sheetView>
  </sheetViews>
  <sheetFormatPr baseColWidth="10" defaultColWidth="10.85546875" defaultRowHeight="15.75" x14ac:dyDescent="0.25"/>
  <cols>
    <col min="1" max="2" width="15.5703125" style="2" customWidth="1"/>
    <col min="3" max="3" width="65.42578125" style="2" bestFit="1" customWidth="1"/>
    <col min="4" max="16384" width="10.85546875" style="2"/>
  </cols>
  <sheetData>
    <row r="1" spans="1:3" ht="20.100000000000001" customHeight="1" x14ac:dyDescent="0.25">
      <c r="A1" s="1" t="s">
        <v>6089</v>
      </c>
      <c r="B1" s="1" t="s">
        <v>6085</v>
      </c>
      <c r="C1" s="1" t="s">
        <v>5597</v>
      </c>
    </row>
    <row r="2" spans="1:3" ht="20.100000000000001" customHeight="1" x14ac:dyDescent="0.25">
      <c r="A2" s="1" t="s">
        <v>41</v>
      </c>
      <c r="B2" s="1" t="s">
        <v>42</v>
      </c>
      <c r="C2" s="1" t="s">
        <v>6090</v>
      </c>
    </row>
    <row r="3" spans="1:3" ht="20.100000000000001" customHeight="1" x14ac:dyDescent="0.25">
      <c r="A3" s="5">
        <v>7</v>
      </c>
      <c r="B3" s="5">
        <v>1</v>
      </c>
      <c r="C3" s="4" t="str">
        <f>CONCATENATE("(",A3,",",B3,"),")</f>
        <v>(7,1),</v>
      </c>
    </row>
    <row r="4" spans="1:3" ht="20.100000000000001" customHeight="1" x14ac:dyDescent="0.25">
      <c r="A4" s="5"/>
      <c r="B4" s="5"/>
      <c r="C4" s="4"/>
    </row>
    <row r="5" spans="1:3" ht="20.100000000000001" customHeight="1" x14ac:dyDescent="0.25">
      <c r="A5" s="5"/>
      <c r="B5" s="5"/>
      <c r="C5" s="4"/>
    </row>
    <row r="6" spans="1:3" ht="20.100000000000001" customHeight="1" x14ac:dyDescent="0.25">
      <c r="A6" s="5"/>
      <c r="B6" s="5"/>
      <c r="C6" s="4"/>
    </row>
    <row r="7" spans="1:3" ht="20.100000000000001" customHeight="1" x14ac:dyDescent="0.25">
      <c r="A7" s="5"/>
      <c r="B7" s="5"/>
      <c r="C7" s="4"/>
    </row>
    <row r="8" spans="1:3" ht="20.100000000000001" customHeight="1" x14ac:dyDescent="0.25">
      <c r="A8" s="5"/>
      <c r="B8" s="5"/>
      <c r="C8" s="4"/>
    </row>
    <row r="9" spans="1:3" ht="20.100000000000001" customHeight="1" x14ac:dyDescent="0.25">
      <c r="A9" s="5"/>
      <c r="B9" s="5"/>
      <c r="C9" s="4"/>
    </row>
    <row r="10" spans="1:3" ht="20.100000000000001" customHeight="1" x14ac:dyDescent="0.25">
      <c r="A10" s="5"/>
      <c r="B10" s="5"/>
      <c r="C10" s="4"/>
    </row>
    <row r="11" spans="1:3" ht="20.100000000000001" customHeight="1" x14ac:dyDescent="0.25">
      <c r="A11" s="5"/>
      <c r="B11" s="5"/>
      <c r="C11" s="4"/>
    </row>
    <row r="12" spans="1:3" ht="20.100000000000001" customHeight="1" x14ac:dyDescent="0.25">
      <c r="A12" s="5"/>
      <c r="B12" s="5"/>
      <c r="C12" s="4"/>
    </row>
    <row r="13" spans="1:3" ht="20.100000000000001" customHeight="1" x14ac:dyDescent="0.25">
      <c r="A13" s="5"/>
      <c r="B13" s="5"/>
      <c r="C13" s="4"/>
    </row>
    <row r="14" spans="1:3" ht="20.100000000000001" customHeight="1" x14ac:dyDescent="0.25">
      <c r="A14" s="5"/>
      <c r="B14" s="5"/>
      <c r="C14" s="4"/>
    </row>
    <row r="15" spans="1:3" ht="20.100000000000001" customHeight="1" x14ac:dyDescent="0.25">
      <c r="A15" s="5"/>
      <c r="B15" s="5"/>
      <c r="C15" s="4"/>
    </row>
    <row r="16" spans="1:3" ht="20.100000000000001" customHeight="1" x14ac:dyDescent="0.25">
      <c r="A16" s="5"/>
      <c r="B16" s="5"/>
      <c r="C16" s="4"/>
    </row>
    <row r="17" spans="1:3" ht="20.100000000000001" customHeight="1" x14ac:dyDescent="0.25">
      <c r="A17" s="5"/>
      <c r="B17" s="5"/>
      <c r="C17" s="4"/>
    </row>
    <row r="18" spans="1:3" ht="20.100000000000001" customHeight="1" x14ac:dyDescent="0.25">
      <c r="A18" s="5"/>
      <c r="B18" s="5"/>
      <c r="C18" s="4"/>
    </row>
    <row r="19" spans="1:3" ht="20.100000000000001" customHeight="1" x14ac:dyDescent="0.25">
      <c r="A19" s="5"/>
      <c r="B19" s="5"/>
      <c r="C19" s="4"/>
    </row>
    <row r="20" spans="1:3" ht="20.100000000000001" customHeight="1" x14ac:dyDescent="0.25">
      <c r="A20" s="5"/>
      <c r="B20" s="5"/>
      <c r="C20" s="4"/>
    </row>
    <row r="21" spans="1:3" ht="20.100000000000001" customHeight="1" x14ac:dyDescent="0.25">
      <c r="A21" s="5"/>
      <c r="B21" s="5"/>
      <c r="C21" s="4"/>
    </row>
    <row r="22" spans="1:3" ht="20.100000000000001" customHeight="1" x14ac:dyDescent="0.25">
      <c r="A22" s="5"/>
      <c r="B22" s="5"/>
      <c r="C22" s="4"/>
    </row>
    <row r="23" spans="1:3" ht="20.100000000000001" customHeight="1" x14ac:dyDescent="0.25">
      <c r="A23" s="5"/>
      <c r="B23" s="5"/>
      <c r="C23" s="4"/>
    </row>
    <row r="24" spans="1:3" ht="20.100000000000001" customHeight="1" x14ac:dyDescent="0.25">
      <c r="A24" s="5"/>
      <c r="B24" s="5"/>
      <c r="C24" s="4"/>
    </row>
    <row r="25" spans="1:3" ht="20.100000000000001" customHeight="1" x14ac:dyDescent="0.25">
      <c r="A25" s="5"/>
      <c r="B25" s="5"/>
      <c r="C25" s="4"/>
    </row>
    <row r="26" spans="1:3" ht="20.100000000000001" customHeight="1" x14ac:dyDescent="0.25">
      <c r="A26" s="5"/>
      <c r="B26" s="5"/>
      <c r="C26" s="4"/>
    </row>
    <row r="27" spans="1:3" ht="20.100000000000001" customHeight="1" x14ac:dyDescent="0.25">
      <c r="A27" s="5"/>
      <c r="B27" s="5"/>
      <c r="C27" s="4"/>
    </row>
    <row r="28" spans="1:3" ht="20.100000000000001" customHeight="1" x14ac:dyDescent="0.25">
      <c r="A28" s="5"/>
      <c r="B28" s="5"/>
      <c r="C28" s="4"/>
    </row>
    <row r="29" spans="1:3" ht="20.100000000000001" customHeight="1" x14ac:dyDescent="0.25">
      <c r="A29" s="5"/>
      <c r="B29" s="5"/>
      <c r="C29" s="4"/>
    </row>
    <row r="30" spans="1:3" ht="20.100000000000001" customHeight="1" x14ac:dyDescent="0.25">
      <c r="A30" s="5"/>
      <c r="B30" s="5"/>
      <c r="C30" s="4"/>
    </row>
    <row r="31" spans="1:3" ht="20.100000000000001" customHeight="1" x14ac:dyDescent="0.25">
      <c r="A31" s="5"/>
      <c r="B31" s="5"/>
      <c r="C31" s="4"/>
    </row>
    <row r="32" spans="1:3" ht="20.100000000000001" customHeight="1" x14ac:dyDescent="0.25">
      <c r="A32" s="5"/>
      <c r="B32" s="5"/>
      <c r="C32" s="4"/>
    </row>
    <row r="33" spans="1:3" ht="20.100000000000001" customHeight="1" x14ac:dyDescent="0.25">
      <c r="A33" s="5"/>
      <c r="B33" s="5"/>
      <c r="C33" s="4"/>
    </row>
    <row r="34" spans="1:3" ht="20.100000000000001" customHeight="1" x14ac:dyDescent="0.25">
      <c r="A34" s="5"/>
      <c r="B34" s="5"/>
      <c r="C34" s="4"/>
    </row>
    <row r="35" spans="1:3" ht="20.100000000000001" customHeight="1" x14ac:dyDescent="0.25">
      <c r="A35" s="5"/>
      <c r="B35" s="5"/>
      <c r="C35" s="4"/>
    </row>
    <row r="36" spans="1:3" ht="20.100000000000001" customHeight="1" x14ac:dyDescent="0.25">
      <c r="A36" s="5"/>
      <c r="B36" s="5"/>
      <c r="C36" s="4"/>
    </row>
    <row r="37" spans="1:3" ht="20.100000000000001" customHeight="1" x14ac:dyDescent="0.25">
      <c r="A37" s="5"/>
      <c r="B37" s="5"/>
      <c r="C37" s="4"/>
    </row>
    <row r="38" spans="1:3" ht="20.100000000000001" customHeight="1" x14ac:dyDescent="0.25">
      <c r="A38" s="5"/>
      <c r="B38" s="5"/>
      <c r="C38" s="4"/>
    </row>
    <row r="39" spans="1:3" ht="20.100000000000001" customHeight="1" x14ac:dyDescent="0.25">
      <c r="A39" s="5"/>
      <c r="B39" s="5"/>
      <c r="C39" s="4"/>
    </row>
    <row r="40" spans="1:3" ht="20.100000000000001" customHeight="1" x14ac:dyDescent="0.25">
      <c r="A40" s="5"/>
      <c r="B40" s="5"/>
      <c r="C40" s="4"/>
    </row>
    <row r="41" spans="1:3" ht="20.100000000000001" customHeight="1" x14ac:dyDescent="0.25">
      <c r="A41" s="5"/>
      <c r="B41" s="5"/>
      <c r="C41" s="4"/>
    </row>
    <row r="42" spans="1:3" ht="20.100000000000001" customHeight="1" x14ac:dyDescent="0.25">
      <c r="A42" s="5"/>
      <c r="B42" s="5"/>
      <c r="C42" s="4"/>
    </row>
    <row r="43" spans="1:3" ht="20.100000000000001" customHeight="1" x14ac:dyDescent="0.25">
      <c r="A43" s="5"/>
      <c r="B43" s="5"/>
      <c r="C43" s="4"/>
    </row>
    <row r="44" spans="1:3" ht="20.100000000000001" customHeight="1" x14ac:dyDescent="0.25">
      <c r="A44" s="5"/>
      <c r="B44" s="5"/>
      <c r="C44" s="4"/>
    </row>
    <row r="45" spans="1:3" ht="20.100000000000001" customHeight="1" x14ac:dyDescent="0.25">
      <c r="A45" s="5"/>
      <c r="B45" s="5"/>
      <c r="C45" s="4"/>
    </row>
    <row r="46" spans="1:3" ht="20.100000000000001" customHeight="1" x14ac:dyDescent="0.25">
      <c r="A46" s="5"/>
      <c r="B46" s="5"/>
      <c r="C46" s="4"/>
    </row>
    <row r="47" spans="1:3" ht="20.100000000000001" customHeight="1" x14ac:dyDescent="0.25">
      <c r="A47" s="5"/>
      <c r="B47" s="5"/>
      <c r="C47" s="4"/>
    </row>
    <row r="48" spans="1:3" ht="20.100000000000001" customHeight="1" x14ac:dyDescent="0.25">
      <c r="A48" s="5"/>
      <c r="B48" s="5"/>
      <c r="C48" s="4"/>
    </row>
    <row r="49" spans="1:3" ht="20.100000000000001" customHeight="1" x14ac:dyDescent="0.25">
      <c r="A49" s="5"/>
      <c r="B49" s="5"/>
      <c r="C49" s="4"/>
    </row>
    <row r="50" spans="1:3" ht="20.100000000000001" customHeight="1" x14ac:dyDescent="0.25">
      <c r="A50" s="5"/>
      <c r="B50" s="5"/>
      <c r="C50" s="4"/>
    </row>
    <row r="51" spans="1:3" ht="20.100000000000001" customHeight="1" x14ac:dyDescent="0.25">
      <c r="A51" s="5"/>
      <c r="B51" s="5"/>
      <c r="C51" s="4"/>
    </row>
    <row r="52" spans="1:3" ht="20.100000000000001" customHeight="1" x14ac:dyDescent="0.25">
      <c r="A52" s="5"/>
      <c r="B52" s="5"/>
      <c r="C52" s="4"/>
    </row>
    <row r="53" spans="1:3" ht="20.100000000000001" customHeight="1" x14ac:dyDescent="0.25">
      <c r="A53" s="5"/>
      <c r="B53" s="5"/>
      <c r="C53" s="4"/>
    </row>
    <row r="54" spans="1:3" ht="20.100000000000001" customHeight="1" x14ac:dyDescent="0.25">
      <c r="A54" s="5"/>
      <c r="B54" s="5"/>
      <c r="C54" s="4"/>
    </row>
    <row r="55" spans="1:3" ht="20.100000000000001" customHeight="1" x14ac:dyDescent="0.25">
      <c r="A55" s="5"/>
      <c r="B55" s="5"/>
      <c r="C55" s="4"/>
    </row>
    <row r="56" spans="1:3" ht="20.100000000000001" customHeight="1" x14ac:dyDescent="0.25">
      <c r="A56" s="5"/>
      <c r="B56" s="5"/>
      <c r="C56" s="4"/>
    </row>
    <row r="57" spans="1:3" ht="20.100000000000001" customHeight="1" x14ac:dyDescent="0.25">
      <c r="A57" s="5"/>
      <c r="B57" s="5"/>
      <c r="C57" s="4"/>
    </row>
    <row r="58" spans="1:3" ht="20.100000000000001" customHeight="1" x14ac:dyDescent="0.25">
      <c r="A58" s="5"/>
      <c r="B58" s="5"/>
      <c r="C58" s="4"/>
    </row>
    <row r="59" spans="1:3" ht="20.100000000000001" customHeight="1" x14ac:dyDescent="0.25">
      <c r="A59" s="5"/>
      <c r="B59" s="5"/>
      <c r="C59" s="4"/>
    </row>
    <row r="60" spans="1:3" ht="20.100000000000001" customHeight="1" x14ac:dyDescent="0.25">
      <c r="A60" s="5"/>
      <c r="B60" s="5"/>
      <c r="C60" s="4"/>
    </row>
    <row r="61" spans="1:3" ht="20.100000000000001" customHeight="1" x14ac:dyDescent="0.25">
      <c r="A61" s="5"/>
      <c r="B61" s="5"/>
      <c r="C61" s="4"/>
    </row>
    <row r="62" spans="1:3" ht="20.100000000000001" customHeight="1" x14ac:dyDescent="0.25">
      <c r="A62" s="5"/>
      <c r="B62" s="5"/>
      <c r="C62" s="4"/>
    </row>
    <row r="63" spans="1:3" ht="20.100000000000001" customHeight="1" x14ac:dyDescent="0.25">
      <c r="A63" s="5"/>
      <c r="B63" s="5"/>
      <c r="C63" s="4"/>
    </row>
    <row r="64" spans="1:3" ht="20.100000000000001" customHeight="1" x14ac:dyDescent="0.25">
      <c r="A64" s="5"/>
      <c r="B64" s="5"/>
      <c r="C64" s="4"/>
    </row>
    <row r="65" spans="1:3" ht="20.100000000000001" customHeight="1" x14ac:dyDescent="0.25">
      <c r="A65" s="5"/>
      <c r="B65" s="5"/>
      <c r="C65" s="4"/>
    </row>
    <row r="66" spans="1:3" ht="20.100000000000001" customHeight="1" x14ac:dyDescent="0.25">
      <c r="A66" s="5"/>
      <c r="B66" s="5"/>
      <c r="C66" s="4"/>
    </row>
    <row r="67" spans="1:3" ht="20.100000000000001" customHeight="1" x14ac:dyDescent="0.25">
      <c r="A67" s="5"/>
      <c r="B67" s="5"/>
      <c r="C67" s="4"/>
    </row>
    <row r="68" spans="1:3" ht="20.100000000000001" customHeight="1" x14ac:dyDescent="0.25">
      <c r="A68" s="5"/>
      <c r="B68" s="5"/>
      <c r="C68" s="4"/>
    </row>
    <row r="69" spans="1:3" ht="20.100000000000001" customHeight="1" x14ac:dyDescent="0.25">
      <c r="A69" s="5"/>
      <c r="B69" s="5"/>
      <c r="C69" s="4"/>
    </row>
    <row r="70" spans="1:3" ht="20.100000000000001" customHeight="1" x14ac:dyDescent="0.25">
      <c r="A70" s="5"/>
      <c r="B70" s="5"/>
      <c r="C70" s="4"/>
    </row>
    <row r="71" spans="1:3" ht="20.100000000000001" customHeight="1" x14ac:dyDescent="0.25">
      <c r="A71" s="5"/>
      <c r="B71" s="5"/>
      <c r="C71" s="4"/>
    </row>
    <row r="72" spans="1:3" ht="20.100000000000001" customHeight="1" x14ac:dyDescent="0.25">
      <c r="A72" s="5"/>
      <c r="B72" s="5"/>
      <c r="C72" s="4"/>
    </row>
    <row r="73" spans="1:3" ht="20.100000000000001" customHeight="1" x14ac:dyDescent="0.25">
      <c r="A73" s="5"/>
      <c r="B73" s="5"/>
      <c r="C73" s="4"/>
    </row>
    <row r="74" spans="1:3" ht="20.100000000000001" customHeight="1" x14ac:dyDescent="0.25">
      <c r="A74" s="5"/>
      <c r="B74" s="5"/>
      <c r="C74" s="4"/>
    </row>
    <row r="75" spans="1:3" ht="20.100000000000001" customHeight="1" x14ac:dyDescent="0.25">
      <c r="A75" s="5"/>
      <c r="B75" s="5"/>
      <c r="C75" s="4"/>
    </row>
    <row r="76" spans="1:3" ht="20.100000000000001" customHeight="1" x14ac:dyDescent="0.25">
      <c r="A76" s="5"/>
      <c r="B76" s="5"/>
      <c r="C76" s="4"/>
    </row>
    <row r="77" spans="1:3" ht="20.100000000000001" customHeight="1" x14ac:dyDescent="0.25">
      <c r="A77" s="5"/>
      <c r="B77" s="5"/>
      <c r="C77" s="4"/>
    </row>
    <row r="78" spans="1:3" ht="20.100000000000001" customHeight="1" x14ac:dyDescent="0.25">
      <c r="A78" s="5"/>
      <c r="B78" s="5"/>
      <c r="C78" s="4"/>
    </row>
    <row r="79" spans="1:3" ht="20.100000000000001" customHeight="1" x14ac:dyDescent="0.25">
      <c r="A79" s="5"/>
      <c r="B79" s="5"/>
      <c r="C79" s="4"/>
    </row>
    <row r="80" spans="1:3" ht="20.100000000000001" customHeight="1" x14ac:dyDescent="0.25">
      <c r="A80" s="5"/>
      <c r="B80" s="5"/>
      <c r="C80" s="4"/>
    </row>
    <row r="81" spans="1:3" ht="20.100000000000001" customHeight="1" x14ac:dyDescent="0.25">
      <c r="A81" s="5"/>
      <c r="B81" s="5"/>
      <c r="C81" s="4"/>
    </row>
    <row r="82" spans="1:3" ht="20.100000000000001" customHeight="1" x14ac:dyDescent="0.25">
      <c r="A82" s="5"/>
      <c r="B82" s="5"/>
      <c r="C82" s="4"/>
    </row>
    <row r="83" spans="1:3" ht="20.100000000000001" customHeight="1" x14ac:dyDescent="0.25">
      <c r="A83" s="5"/>
      <c r="B83" s="5"/>
      <c r="C83" s="4"/>
    </row>
    <row r="84" spans="1:3" ht="20.100000000000001" customHeight="1" x14ac:dyDescent="0.25">
      <c r="A84" s="5"/>
      <c r="B84" s="5"/>
      <c r="C84" s="4"/>
    </row>
    <row r="85" spans="1:3" ht="20.100000000000001" customHeight="1" x14ac:dyDescent="0.25">
      <c r="A85" s="5"/>
      <c r="B85" s="5"/>
      <c r="C85" s="4"/>
    </row>
    <row r="86" spans="1:3" ht="20.100000000000001" customHeight="1" x14ac:dyDescent="0.25">
      <c r="A86" s="5"/>
      <c r="B86" s="5"/>
      <c r="C86" s="4"/>
    </row>
    <row r="87" spans="1:3" ht="20.100000000000001" customHeight="1" x14ac:dyDescent="0.25">
      <c r="A87" s="5"/>
      <c r="B87" s="5"/>
      <c r="C87" s="4"/>
    </row>
    <row r="88" spans="1:3" ht="20.100000000000001" customHeight="1" x14ac:dyDescent="0.25">
      <c r="A88" s="5"/>
      <c r="B88" s="5"/>
      <c r="C88" s="4"/>
    </row>
    <row r="89" spans="1:3" ht="20.100000000000001" customHeight="1" x14ac:dyDescent="0.25">
      <c r="A89" s="5"/>
      <c r="B89" s="5"/>
      <c r="C89" s="4"/>
    </row>
  </sheetData>
  <autoFilter ref="A2:C89"/>
  <pageMargins left="0.7" right="0.7" top="0.75" bottom="0.75" header="0.3" footer="0.3"/>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1:G24"/>
  <sheetViews>
    <sheetView workbookViewId="0">
      <selection activeCell="I59" sqref="I59"/>
    </sheetView>
  </sheetViews>
  <sheetFormatPr baseColWidth="10" defaultColWidth="10.85546875" defaultRowHeight="15.75" x14ac:dyDescent="0.25"/>
  <cols>
    <col min="1" max="1" width="5.5703125" style="2" customWidth="1"/>
    <col min="2" max="2" width="17.7109375" style="2" bestFit="1" customWidth="1"/>
    <col min="3" max="3" width="40.7109375" style="2" customWidth="1"/>
    <col min="4" max="6" width="10.7109375" style="2" customWidth="1"/>
    <col min="7" max="7" width="65.42578125" style="2" bestFit="1" customWidth="1"/>
    <col min="8" max="16384" width="10.85546875" style="2"/>
  </cols>
  <sheetData>
    <row r="1" spans="1:7" ht="20.100000000000001" customHeight="1" x14ac:dyDescent="0.25">
      <c r="A1" s="1" t="s">
        <v>37</v>
      </c>
      <c r="B1" s="1" t="s">
        <v>54</v>
      </c>
      <c r="C1" s="1" t="s">
        <v>4572</v>
      </c>
      <c r="D1" s="1" t="s">
        <v>5533</v>
      </c>
      <c r="E1" s="1" t="s">
        <v>4710</v>
      </c>
      <c r="F1" s="1" t="s">
        <v>4711</v>
      </c>
      <c r="G1" s="1" t="s">
        <v>5597</v>
      </c>
    </row>
    <row r="2" spans="1:7" ht="20.100000000000001" customHeight="1" x14ac:dyDescent="0.25">
      <c r="A2" s="1" t="s">
        <v>44</v>
      </c>
      <c r="B2" s="1" t="s">
        <v>41</v>
      </c>
      <c r="C2" s="1" t="s">
        <v>42</v>
      </c>
      <c r="D2" s="1" t="s">
        <v>43</v>
      </c>
      <c r="E2" s="1" t="s">
        <v>53</v>
      </c>
      <c r="F2" s="1" t="s">
        <v>2094</v>
      </c>
      <c r="G2" s="1" t="s">
        <v>5598</v>
      </c>
    </row>
    <row r="3" spans="1:7" ht="20.100000000000001" customHeight="1" x14ac:dyDescent="0.25">
      <c r="A3" s="3">
        <v>1</v>
      </c>
      <c r="B3" s="18" t="s">
        <v>5534</v>
      </c>
      <c r="C3" s="4" t="s">
        <v>5535</v>
      </c>
      <c r="D3" s="15">
        <v>2</v>
      </c>
      <c r="E3" s="15">
        <v>1</v>
      </c>
      <c r="F3" s="5">
        <v>10</v>
      </c>
      <c r="G3" s="4" t="str">
        <f>CONCATENATE("(",A3,",'",B3,"','",C3,"',",D3,",",E3,",",F3,"),")</f>
        <v>(1,'OZ1/OZ2','STC OZ1/OZ2',2,1,10),</v>
      </c>
    </row>
    <row r="4" spans="1:7" ht="20.100000000000001" customHeight="1" x14ac:dyDescent="0.25">
      <c r="A4" s="3">
        <v>2</v>
      </c>
      <c r="B4" s="17" t="s">
        <v>5114</v>
      </c>
      <c r="C4" s="4" t="s">
        <v>5536</v>
      </c>
      <c r="D4" s="15">
        <v>2</v>
      </c>
      <c r="E4" s="15">
        <v>1</v>
      </c>
      <c r="F4" s="5">
        <v>10</v>
      </c>
      <c r="G4" s="4" t="str">
        <f t="shared" ref="G4:G24" si="0">CONCATENATE("(",A4,",'",B4,"','",C4,"',",D4,",",E4,",",F4,"),")</f>
        <v>(2,'OK1','STC OK1',2,1,10),</v>
      </c>
    </row>
    <row r="5" spans="1:7" ht="20.100000000000001" customHeight="1" x14ac:dyDescent="0.25">
      <c r="A5" s="3">
        <v>3</v>
      </c>
      <c r="B5" s="17" t="s">
        <v>5537</v>
      </c>
      <c r="C5" s="4" t="s">
        <v>5538</v>
      </c>
      <c r="D5" s="15">
        <v>2</v>
      </c>
      <c r="E5" s="15">
        <v>1</v>
      </c>
      <c r="F5" s="5">
        <v>10</v>
      </c>
      <c r="G5" s="4" t="str">
        <f t="shared" si="0"/>
        <v>(3,'OB1/OG1','STC OB1/OG1',2,1,10),</v>
      </c>
    </row>
    <row r="6" spans="1:7" ht="20.100000000000001" customHeight="1" x14ac:dyDescent="0.25">
      <c r="A6" s="3">
        <v>4</v>
      </c>
      <c r="B6" s="17" t="s">
        <v>5119</v>
      </c>
      <c r="C6" s="4" t="s">
        <v>5539</v>
      </c>
      <c r="D6" s="15">
        <v>2</v>
      </c>
      <c r="E6" s="15">
        <v>1</v>
      </c>
      <c r="F6" s="5">
        <v>10</v>
      </c>
      <c r="G6" s="4" t="str">
        <f t="shared" si="0"/>
        <v>(4,'OT1','STC OT1',2,1,10),</v>
      </c>
    </row>
    <row r="7" spans="1:7" ht="20.100000000000001" customHeight="1" x14ac:dyDescent="0.25">
      <c r="A7" s="3">
        <v>5</v>
      </c>
      <c r="B7" s="17" t="s">
        <v>5120</v>
      </c>
      <c r="C7" s="4" t="s">
        <v>5540</v>
      </c>
      <c r="D7" s="15">
        <v>2</v>
      </c>
      <c r="E7" s="15">
        <v>1</v>
      </c>
      <c r="F7" s="5">
        <v>10</v>
      </c>
      <c r="G7" s="4" t="str">
        <f t="shared" si="0"/>
        <v>(5,'OH1','STC OH1',2,1,10),</v>
      </c>
    </row>
    <row r="8" spans="1:7" ht="20.100000000000001" customHeight="1" x14ac:dyDescent="0.25">
      <c r="A8" s="3">
        <v>6</v>
      </c>
      <c r="B8" s="17" t="s">
        <v>5541</v>
      </c>
      <c r="C8" s="4" t="s">
        <v>5542</v>
      </c>
      <c r="D8" s="15">
        <v>2</v>
      </c>
      <c r="E8" s="15">
        <v>1</v>
      </c>
      <c r="F8" s="5">
        <v>10</v>
      </c>
      <c r="G8" s="4" t="str">
        <f t="shared" si="0"/>
        <v>(6,'OD1/OD3/OH2','STC OD1/OD3/OH2',2,1,10),</v>
      </c>
    </row>
    <row r="9" spans="1:7" ht="20.100000000000001" customHeight="1" x14ac:dyDescent="0.25">
      <c r="A9" s="3">
        <v>7</v>
      </c>
      <c r="B9" s="17" t="s">
        <v>5543</v>
      </c>
      <c r="C9" s="4" t="s">
        <v>5544</v>
      </c>
      <c r="D9" s="15">
        <v>2</v>
      </c>
      <c r="E9" s="15">
        <v>1</v>
      </c>
      <c r="F9" s="5">
        <v>10</v>
      </c>
      <c r="G9" s="4" t="str">
        <f t="shared" si="0"/>
        <v>(7,'OH3/OH4','STC OH3/OH4',2,1,10),</v>
      </c>
    </row>
    <row r="10" spans="1:7" ht="20.100000000000001" customHeight="1" x14ac:dyDescent="0.25">
      <c r="A10" s="3">
        <v>8</v>
      </c>
      <c r="B10" s="17" t="s">
        <v>5129</v>
      </c>
      <c r="C10" s="4" t="s">
        <v>5545</v>
      </c>
      <c r="D10" s="15">
        <v>3</v>
      </c>
      <c r="E10" s="15">
        <v>1</v>
      </c>
      <c r="F10" s="5">
        <v>10</v>
      </c>
      <c r="G10" s="4" t="str">
        <f t="shared" si="0"/>
        <v>(8,'NZ1','STC NZ1',3,1,10),</v>
      </c>
    </row>
    <row r="11" spans="1:7" ht="20.100000000000001" customHeight="1" x14ac:dyDescent="0.25">
      <c r="A11" s="3">
        <v>9</v>
      </c>
      <c r="B11" s="17" t="s">
        <v>5130</v>
      </c>
      <c r="C11" s="4" t="s">
        <v>5546</v>
      </c>
      <c r="D11" s="15">
        <v>3</v>
      </c>
      <c r="E11" s="15">
        <v>1</v>
      </c>
      <c r="F11" s="5">
        <v>10</v>
      </c>
      <c r="G11" s="4" t="str">
        <f t="shared" si="0"/>
        <v>(9,'NK1','STC NK1',3,1,10),</v>
      </c>
    </row>
    <row r="12" spans="1:7" ht="20.100000000000001" customHeight="1" x14ac:dyDescent="0.25">
      <c r="A12" s="3">
        <v>10</v>
      </c>
      <c r="B12" s="17" t="s">
        <v>5131</v>
      </c>
      <c r="C12" s="4" t="s">
        <v>5547</v>
      </c>
      <c r="D12" s="15">
        <v>3</v>
      </c>
      <c r="E12" s="15">
        <v>1</v>
      </c>
      <c r="F12" s="5">
        <v>10</v>
      </c>
      <c r="G12" s="4" t="str">
        <f t="shared" si="0"/>
        <v>(10,'NH2','STC NH2',3,1,10),</v>
      </c>
    </row>
    <row r="13" spans="1:7" ht="20.100000000000001" customHeight="1" x14ac:dyDescent="0.25">
      <c r="A13" s="3">
        <v>11</v>
      </c>
      <c r="B13" s="17" t="s">
        <v>5548</v>
      </c>
      <c r="C13" s="4" t="s">
        <v>5549</v>
      </c>
      <c r="D13" s="15">
        <v>4</v>
      </c>
      <c r="E13" s="15">
        <v>1</v>
      </c>
      <c r="F13" s="5">
        <v>10</v>
      </c>
      <c r="G13" s="4" t="str">
        <f t="shared" si="0"/>
        <v>(11,'LZ1/LZ2','STC LZ1/LZ2',4,1,10),</v>
      </c>
    </row>
    <row r="14" spans="1:7" ht="20.100000000000001" customHeight="1" x14ac:dyDescent="0.25">
      <c r="A14" s="3">
        <v>12</v>
      </c>
      <c r="B14" s="17" t="s">
        <v>5550</v>
      </c>
      <c r="C14" s="4" t="s">
        <v>5551</v>
      </c>
      <c r="D14" s="15">
        <v>4</v>
      </c>
      <c r="E14" s="15">
        <v>1</v>
      </c>
      <c r="F14" s="5">
        <v>10</v>
      </c>
      <c r="G14" s="4" t="str">
        <f t="shared" si="0"/>
        <v>(12,'LR1/DLR1/ELR1','STC LR1/DLR1/ELR1',4,1,10),</v>
      </c>
    </row>
    <row r="15" spans="1:7" ht="20.100000000000001" customHeight="1" x14ac:dyDescent="0.25">
      <c r="A15" s="3">
        <v>13</v>
      </c>
      <c r="B15" s="17" t="s">
        <v>5138</v>
      </c>
      <c r="C15" s="4" t="s">
        <v>5552</v>
      </c>
      <c r="D15" s="15">
        <v>1</v>
      </c>
      <c r="E15" s="15">
        <v>1</v>
      </c>
      <c r="F15" s="5">
        <v>10</v>
      </c>
      <c r="G15" s="4" t="str">
        <f t="shared" si="0"/>
        <v>(13,'GZ0','STC GZ0',1,1,10),</v>
      </c>
    </row>
    <row r="16" spans="1:7" ht="20.100000000000001" customHeight="1" x14ac:dyDescent="0.25">
      <c r="A16" s="3">
        <v>14</v>
      </c>
      <c r="B16" s="17" t="s">
        <v>5553</v>
      </c>
      <c r="C16" s="4" t="s">
        <v>5554</v>
      </c>
      <c r="D16" s="15">
        <v>1</v>
      </c>
      <c r="E16" s="15">
        <v>1</v>
      </c>
      <c r="F16" s="5">
        <v>10</v>
      </c>
      <c r="G16" s="4" t="str">
        <f t="shared" si="0"/>
        <v>(14,'GZ1/GZ2/GZ3','STC GZ1/GZ2/GZ3',1,1,10),</v>
      </c>
    </row>
    <row r="17" spans="1:7" ht="20.100000000000001" customHeight="1" x14ac:dyDescent="0.25">
      <c r="A17" s="3">
        <v>15</v>
      </c>
      <c r="B17" s="17" t="s">
        <v>5259</v>
      </c>
      <c r="C17" s="4" t="s">
        <v>5555</v>
      </c>
      <c r="D17" s="15">
        <v>1</v>
      </c>
      <c r="E17" s="15">
        <v>1</v>
      </c>
      <c r="F17" s="5">
        <v>10</v>
      </c>
      <c r="G17" s="4" t="str">
        <f t="shared" si="0"/>
        <v>(15,'GZ4','STC GZ4',1,1,10),</v>
      </c>
    </row>
    <row r="18" spans="1:7" ht="20.100000000000001" customHeight="1" x14ac:dyDescent="0.25">
      <c r="A18" s="3">
        <v>16</v>
      </c>
      <c r="B18" s="17" t="s">
        <v>4153</v>
      </c>
      <c r="C18" s="4" t="s">
        <v>5556</v>
      </c>
      <c r="D18" s="15">
        <v>1</v>
      </c>
      <c r="E18" s="15">
        <v>1</v>
      </c>
      <c r="F18" s="5">
        <v>10</v>
      </c>
      <c r="G18" s="4" t="str">
        <f t="shared" si="0"/>
        <v>(16,'GPDF','STC GPDF',1,1,10),</v>
      </c>
    </row>
    <row r="19" spans="1:7" ht="20.100000000000001" customHeight="1" x14ac:dyDescent="0.25">
      <c r="A19" s="3">
        <v>17</v>
      </c>
      <c r="B19" s="17" t="s">
        <v>5557</v>
      </c>
      <c r="C19" s="4" t="s">
        <v>5558</v>
      </c>
      <c r="D19" s="15">
        <v>1</v>
      </c>
      <c r="E19" s="15">
        <v>1</v>
      </c>
      <c r="F19" s="5">
        <v>10</v>
      </c>
      <c r="G19" s="4" t="str">
        <f t="shared" si="0"/>
        <v>(17,'GK1/GK2','STC GK1/GK2',1,1,10),</v>
      </c>
    </row>
    <row r="20" spans="1:7" ht="20.100000000000001" customHeight="1" x14ac:dyDescent="0.25">
      <c r="A20" s="3">
        <v>18</v>
      </c>
      <c r="B20" s="17" t="s">
        <v>5260</v>
      </c>
      <c r="C20" s="4" t="s">
        <v>5559</v>
      </c>
      <c r="D20" s="15">
        <v>1</v>
      </c>
      <c r="E20" s="15">
        <v>1</v>
      </c>
      <c r="F20" s="5">
        <v>10</v>
      </c>
      <c r="G20" s="4" t="str">
        <f t="shared" si="0"/>
        <v>(18,'GK3','STC GK3',1,1,10),</v>
      </c>
    </row>
    <row r="21" spans="1:7" ht="20.100000000000001" customHeight="1" x14ac:dyDescent="0.25">
      <c r="A21" s="3">
        <v>19</v>
      </c>
      <c r="B21" s="17" t="s">
        <v>5560</v>
      </c>
      <c r="C21" s="4" t="s">
        <v>5561</v>
      </c>
      <c r="D21" s="15">
        <v>1</v>
      </c>
      <c r="E21" s="15">
        <v>1</v>
      </c>
      <c r="F21" s="5">
        <v>10</v>
      </c>
      <c r="G21" s="4" t="str">
        <f t="shared" si="0"/>
        <v>(19,'GO1/GO2/GO3','STC GO1/GO2/GO3',1,1,10),</v>
      </c>
    </row>
    <row r="22" spans="1:7" ht="20.100000000000001" customHeight="1" x14ac:dyDescent="0.25">
      <c r="A22" s="3">
        <v>20</v>
      </c>
      <c r="B22" s="17" t="s">
        <v>5153</v>
      </c>
      <c r="C22" s="4" t="s">
        <v>5562</v>
      </c>
      <c r="D22" s="15">
        <v>1</v>
      </c>
      <c r="E22" s="15">
        <v>1</v>
      </c>
      <c r="F22" s="5">
        <v>10</v>
      </c>
      <c r="G22" s="4" t="str">
        <f t="shared" si="0"/>
        <v>(20,'GG1','STC GG1',1,1,10),</v>
      </c>
    </row>
    <row r="23" spans="1:7" ht="20.100000000000001" customHeight="1" x14ac:dyDescent="0.25">
      <c r="A23" s="3">
        <v>21</v>
      </c>
      <c r="B23" s="17" t="s">
        <v>5563</v>
      </c>
      <c r="C23" s="4" t="s">
        <v>5564</v>
      </c>
      <c r="D23" s="15">
        <v>1</v>
      </c>
      <c r="E23" s="15">
        <v>1</v>
      </c>
      <c r="F23" s="5">
        <v>10</v>
      </c>
      <c r="G23" s="4" t="str">
        <f t="shared" si="0"/>
        <v>(21,'GR1/GR2/GR4/GR6','STC GR1/GR2/GR4/GR6',1,1,10),</v>
      </c>
    </row>
    <row r="24" spans="1:7" ht="20.100000000000001" customHeight="1" x14ac:dyDescent="0.25">
      <c r="A24" s="3">
        <v>22</v>
      </c>
      <c r="B24" s="17" t="s">
        <v>5566</v>
      </c>
      <c r="C24" s="4" t="s">
        <v>5565</v>
      </c>
      <c r="D24" s="15">
        <v>1</v>
      </c>
      <c r="E24" s="15">
        <v>1</v>
      </c>
      <c r="F24" s="5">
        <v>10</v>
      </c>
      <c r="G24" s="4" t="str">
        <f t="shared" si="0"/>
        <v>(22,'GR5/GR7','STC GR5/GR7',1,1,10),</v>
      </c>
    </row>
  </sheetData>
  <autoFilter ref="A2:F24"/>
  <pageMargins left="0.7" right="0.7" top="0.75" bottom="0.75" header="0.3" footer="0.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1:AH59"/>
  <sheetViews>
    <sheetView tabSelected="1" topLeftCell="T25" workbookViewId="0">
      <selection activeCell="Z36" sqref="Z36"/>
    </sheetView>
  </sheetViews>
  <sheetFormatPr baseColWidth="10" defaultColWidth="10.85546875" defaultRowHeight="15.75" x14ac:dyDescent="0.25"/>
  <cols>
    <col min="1" max="1" width="5.5703125" style="2" customWidth="1"/>
    <col min="2" max="2" width="10.5703125" style="2" customWidth="1"/>
    <col min="3" max="3" width="12.7109375" style="2" customWidth="1"/>
    <col min="4" max="7" width="12.7109375" style="2" hidden="1" customWidth="1"/>
    <col min="8" max="8" width="19.7109375" style="2" customWidth="1"/>
    <col min="9" max="9" width="12.7109375" style="2" customWidth="1"/>
    <col min="10" max="10" width="36" style="2" customWidth="1"/>
    <col min="11" max="30" width="12.7109375" style="2" customWidth="1"/>
    <col min="31" max="31" width="21.42578125" style="2" customWidth="1"/>
    <col min="32" max="32" width="12.7109375" style="2" customWidth="1"/>
    <col min="33" max="33" width="117.42578125" style="2" bestFit="1" customWidth="1"/>
    <col min="34" max="16384" width="10.85546875" style="2"/>
  </cols>
  <sheetData>
    <row r="1" spans="1:34" ht="20.100000000000001" customHeight="1" x14ac:dyDescent="0.25">
      <c r="A1" s="1" t="s">
        <v>37</v>
      </c>
      <c r="B1" s="26" t="s">
        <v>54</v>
      </c>
      <c r="C1" s="1" t="s">
        <v>5638</v>
      </c>
      <c r="D1" s="1" t="s">
        <v>4710</v>
      </c>
      <c r="E1" s="1" t="s">
        <v>6203</v>
      </c>
      <c r="F1" s="1" t="s">
        <v>6205</v>
      </c>
      <c r="G1" s="1" t="s">
        <v>6206</v>
      </c>
      <c r="H1" s="1" t="s">
        <v>5570</v>
      </c>
      <c r="I1" s="1" t="s">
        <v>5571</v>
      </c>
      <c r="J1" s="1" t="s">
        <v>5572</v>
      </c>
      <c r="K1" s="1" t="s">
        <v>5573</v>
      </c>
      <c r="L1" s="1" t="s">
        <v>5574</v>
      </c>
      <c r="M1" s="1" t="s">
        <v>5575</v>
      </c>
      <c r="N1" s="1" t="s">
        <v>5576</v>
      </c>
      <c r="O1" s="1" t="s">
        <v>5577</v>
      </c>
      <c r="P1" s="1" t="s">
        <v>5578</v>
      </c>
      <c r="Q1" s="1" t="s">
        <v>5579</v>
      </c>
      <c r="R1" s="1" t="s">
        <v>5580</v>
      </c>
      <c r="S1" s="1" t="s">
        <v>6217</v>
      </c>
      <c r="T1" s="1" t="s">
        <v>5581</v>
      </c>
      <c r="U1" s="1" t="s">
        <v>6216</v>
      </c>
      <c r="V1" s="1" t="s">
        <v>5582</v>
      </c>
      <c r="W1" s="1" t="s">
        <v>6215</v>
      </c>
      <c r="X1" s="1" t="s">
        <v>5530</v>
      </c>
      <c r="Y1" s="1" t="s">
        <v>6204</v>
      </c>
      <c r="Z1" s="1" t="s">
        <v>5583</v>
      </c>
      <c r="AA1" s="1" t="s">
        <v>6207</v>
      </c>
      <c r="AB1" s="1" t="s">
        <v>5584</v>
      </c>
      <c r="AC1" s="1" t="s">
        <v>6208</v>
      </c>
      <c r="AD1" s="1" t="s">
        <v>6801</v>
      </c>
      <c r="AE1" s="1" t="s">
        <v>5489</v>
      </c>
      <c r="AF1" s="1" t="s">
        <v>6229</v>
      </c>
    </row>
    <row r="2" spans="1:34" ht="20.100000000000001" customHeight="1" x14ac:dyDescent="0.25">
      <c r="A2" s="1" t="s">
        <v>44</v>
      </c>
      <c r="B2" s="26" t="s">
        <v>41</v>
      </c>
      <c r="C2" s="26" t="s">
        <v>43</v>
      </c>
      <c r="D2" s="26" t="s">
        <v>4077</v>
      </c>
      <c r="E2" s="1"/>
      <c r="F2" s="1" t="s">
        <v>4349</v>
      </c>
      <c r="G2" s="1" t="s">
        <v>5596</v>
      </c>
      <c r="H2" s="1" t="s">
        <v>4350</v>
      </c>
      <c r="I2" s="1" t="s">
        <v>4351</v>
      </c>
      <c r="J2" s="1" t="s">
        <v>5531</v>
      </c>
      <c r="K2" s="1" t="s">
        <v>5532</v>
      </c>
      <c r="L2" s="1" t="s">
        <v>5568</v>
      </c>
      <c r="M2" s="1" t="s">
        <v>5585</v>
      </c>
      <c r="N2" s="1" t="s">
        <v>5586</v>
      </c>
      <c r="O2" s="1" t="s">
        <v>5587</v>
      </c>
      <c r="P2" s="1" t="s">
        <v>5588</v>
      </c>
      <c r="Q2" s="1" t="s">
        <v>5589</v>
      </c>
      <c r="R2" s="1"/>
      <c r="S2" s="1" t="s">
        <v>5590</v>
      </c>
      <c r="T2" s="1"/>
      <c r="U2" s="1" t="s">
        <v>5591</v>
      </c>
      <c r="V2" s="1"/>
      <c r="W2" s="1" t="s">
        <v>5592</v>
      </c>
      <c r="X2" s="1"/>
      <c r="Y2" s="1" t="s">
        <v>5593</v>
      </c>
      <c r="Z2" s="1"/>
      <c r="AA2" s="1" t="s">
        <v>5594</v>
      </c>
      <c r="AB2" s="1"/>
      <c r="AC2" s="1" t="s">
        <v>5595</v>
      </c>
      <c r="AD2" s="1" t="s">
        <v>5596</v>
      </c>
      <c r="AE2" s="1"/>
      <c r="AF2" s="1" t="s">
        <v>6316</v>
      </c>
      <c r="AG2" s="46" t="s">
        <v>6802</v>
      </c>
    </row>
    <row r="3" spans="1:34" ht="20.100000000000001" customHeight="1" x14ac:dyDescent="0.25">
      <c r="A3" s="3">
        <v>156</v>
      </c>
      <c r="B3" s="27" t="s">
        <v>5112</v>
      </c>
      <c r="C3" s="22">
        <v>24053</v>
      </c>
      <c r="D3" s="15">
        <v>1</v>
      </c>
      <c r="E3" s="5" t="s">
        <v>4125</v>
      </c>
      <c r="F3" s="5">
        <v>11</v>
      </c>
      <c r="G3" s="5">
        <v>12</v>
      </c>
      <c r="H3" s="7">
        <v>28</v>
      </c>
      <c r="I3" s="31" t="s">
        <v>5625</v>
      </c>
      <c r="J3" s="5" t="s">
        <v>5626</v>
      </c>
      <c r="K3" s="5">
        <v>4.5699999999999998E-2</v>
      </c>
      <c r="L3" s="5">
        <v>63</v>
      </c>
      <c r="M3" s="5">
        <v>54</v>
      </c>
      <c r="N3" s="5">
        <v>0</v>
      </c>
      <c r="O3" s="5">
        <v>0</v>
      </c>
      <c r="P3" s="5">
        <v>21</v>
      </c>
      <c r="Q3" s="5">
        <v>11</v>
      </c>
      <c r="R3" s="5" t="s">
        <v>5627</v>
      </c>
      <c r="S3" s="5">
        <v>3</v>
      </c>
      <c r="T3" s="5" t="s">
        <v>5628</v>
      </c>
      <c r="U3" s="5">
        <v>14</v>
      </c>
      <c r="V3" s="5" t="s">
        <v>972</v>
      </c>
      <c r="W3" s="5" t="s">
        <v>972</v>
      </c>
      <c r="X3" s="5" t="s">
        <v>5534</v>
      </c>
      <c r="Y3" s="5">
        <v>1</v>
      </c>
      <c r="Z3" s="35" t="s">
        <v>4854</v>
      </c>
      <c r="AA3" s="36">
        <v>7</v>
      </c>
      <c r="AB3" s="35" t="s">
        <v>1824</v>
      </c>
      <c r="AC3" s="36">
        <v>21</v>
      </c>
      <c r="AD3" s="5">
        <v>12</v>
      </c>
      <c r="AE3" s="5" t="s">
        <v>5629</v>
      </c>
      <c r="AF3" s="5"/>
      <c r="AG3" s="47" t="str">
        <f>CONCATENATE("(",A3,"*'",H3,"'*",I3,"*'",J3,"'*'",K3,"'*",L3,"*",M3,"*",N3,"*",O3,"*",P3,"*",Q3,"*",S3,"*",U3,"*",W3,"*",Y3,"*",AA3,"*",AC3,"*",AD3,")*")</f>
        <v>(156*'28'*801.478*'6.35 / 7.14 / 7.92 / 8.74 / 9.52 /  11.91 / 12.70'*'0,0457'*63*54*0*0*21*11*3*14*NULL*1*7*21*12)*</v>
      </c>
      <c r="AH3" s="37"/>
    </row>
    <row r="4" spans="1:34" ht="20.100000000000001" customHeight="1" x14ac:dyDescent="0.25">
      <c r="A4" s="3">
        <v>157</v>
      </c>
      <c r="B4" s="27" t="s">
        <v>5113</v>
      </c>
      <c r="C4" s="22">
        <v>37851</v>
      </c>
      <c r="D4" s="15">
        <v>1</v>
      </c>
      <c r="E4" s="5" t="s">
        <v>4125</v>
      </c>
      <c r="F4" s="5">
        <v>11</v>
      </c>
      <c r="G4" s="5">
        <v>12</v>
      </c>
      <c r="H4" s="7">
        <v>34</v>
      </c>
      <c r="I4" s="31">
        <v>821</v>
      </c>
      <c r="J4" s="5" t="s">
        <v>5630</v>
      </c>
      <c r="K4" s="5">
        <v>4.5699999999999998E-2</v>
      </c>
      <c r="L4" s="5">
        <v>70</v>
      </c>
      <c r="M4" s="5">
        <v>70</v>
      </c>
      <c r="N4" s="5">
        <v>0</v>
      </c>
      <c r="O4" s="5">
        <v>0</v>
      </c>
      <c r="P4" s="5">
        <v>34</v>
      </c>
      <c r="Q4" s="5">
        <v>34</v>
      </c>
      <c r="R4" s="5" t="s">
        <v>5631</v>
      </c>
      <c r="S4" s="5">
        <v>4</v>
      </c>
      <c r="T4" s="5" t="s">
        <v>5632</v>
      </c>
      <c r="U4" s="5">
        <v>11</v>
      </c>
      <c r="V4" s="5" t="s">
        <v>972</v>
      </c>
      <c r="W4" s="5" t="s">
        <v>972</v>
      </c>
      <c r="X4" s="5" t="s">
        <v>5534</v>
      </c>
      <c r="Y4" s="5">
        <v>1</v>
      </c>
      <c r="Z4" s="35" t="s">
        <v>4854</v>
      </c>
      <c r="AA4" s="5">
        <v>7</v>
      </c>
      <c r="AB4" s="35" t="s">
        <v>1824</v>
      </c>
      <c r="AC4" s="5">
        <v>21</v>
      </c>
      <c r="AD4" s="5">
        <v>12</v>
      </c>
      <c r="AE4" s="30" t="s">
        <v>5633</v>
      </c>
      <c r="AF4" s="30"/>
      <c r="AG4" s="47" t="str">
        <f t="shared" ref="AG4:AG11" si="0">CONCATENATE("(",A4,"*'",H4,"'*",I4,"*'",J4,"'*'",K4,"'*",L4,"*",M4,"*",N4,"*",O4,"*",P4,"*",Q4,"*",S4,"*",U4,"*",W4,"*",Y4,"*",AA4,"*",AC4,"*",AD4,")*")</f>
        <v>(157*'34'*821*'7.92 - 17.48'*'0,0457'*70*70*0*0*34*34*4*11*NULL*1*7*21*12)*</v>
      </c>
    </row>
    <row r="5" spans="1:34" ht="20.100000000000001" customHeight="1" x14ac:dyDescent="0.25">
      <c r="A5" s="3">
        <v>158</v>
      </c>
      <c r="B5" s="27" t="s">
        <v>5114</v>
      </c>
      <c r="C5" s="22">
        <v>26299</v>
      </c>
      <c r="D5" s="15">
        <v>1</v>
      </c>
      <c r="E5" s="5" t="s">
        <v>4133</v>
      </c>
      <c r="F5" s="5">
        <v>13</v>
      </c>
      <c r="G5" s="5">
        <v>12</v>
      </c>
      <c r="H5" s="7">
        <v>34</v>
      </c>
      <c r="I5" s="31">
        <v>646</v>
      </c>
      <c r="J5" s="30" t="s">
        <v>5634</v>
      </c>
      <c r="K5" s="5">
        <v>4.5699999999999998E-2</v>
      </c>
      <c r="L5" s="5">
        <v>75</v>
      </c>
      <c r="M5" s="5">
        <v>75</v>
      </c>
      <c r="N5" s="5">
        <v>0</v>
      </c>
      <c r="O5" s="5">
        <v>0</v>
      </c>
      <c r="P5" s="5">
        <v>30</v>
      </c>
      <c r="Q5" s="5">
        <v>30</v>
      </c>
      <c r="R5" s="5" t="s">
        <v>5635</v>
      </c>
      <c r="S5" s="5">
        <v>3</v>
      </c>
      <c r="T5" s="30" t="s">
        <v>5636</v>
      </c>
      <c r="U5" s="5">
        <v>14</v>
      </c>
      <c r="V5" s="5" t="s">
        <v>972</v>
      </c>
      <c r="W5" s="5" t="s">
        <v>972</v>
      </c>
      <c r="X5" s="5" t="s">
        <v>5114</v>
      </c>
      <c r="Y5" s="5">
        <v>2</v>
      </c>
      <c r="Z5" s="35" t="s">
        <v>4854</v>
      </c>
      <c r="AA5" s="5">
        <v>7</v>
      </c>
      <c r="AB5" s="35" t="s">
        <v>1012</v>
      </c>
      <c r="AC5" s="5">
        <v>34</v>
      </c>
      <c r="AD5" s="5">
        <v>12</v>
      </c>
      <c r="AE5" s="5" t="s">
        <v>5637</v>
      </c>
      <c r="AF5" s="5"/>
      <c r="AG5" s="47" t="str">
        <f t="shared" si="0"/>
        <v>(158*'34'*646*'7,92 / 8,74 / 9,52 / 10,31 / 11,13 / 11,91 / 12,70 / 14,27 / 15,88 / 17,48 / 22,22'*'0,0457'*75*75*0*0*30*30*3*14*NULL*2*7*34*12)*</v>
      </c>
    </row>
    <row r="6" spans="1:34" ht="20.100000000000001" customHeight="1" x14ac:dyDescent="0.25">
      <c r="A6" s="3">
        <v>159</v>
      </c>
      <c r="B6" s="27" t="s">
        <v>5115</v>
      </c>
      <c r="C6" s="22">
        <v>21864</v>
      </c>
      <c r="D6" s="15">
        <v>1</v>
      </c>
      <c r="E6" s="5" t="s">
        <v>4141</v>
      </c>
      <c r="F6" s="5">
        <v>15</v>
      </c>
      <c r="G6" s="5">
        <v>12</v>
      </c>
      <c r="H6" s="7" t="s">
        <v>6201</v>
      </c>
      <c r="I6" s="31">
        <v>672</v>
      </c>
      <c r="J6" s="5" t="s">
        <v>5639</v>
      </c>
      <c r="K6" s="5">
        <v>1.4999999999999999E-2</v>
      </c>
      <c r="L6" s="5">
        <v>83</v>
      </c>
      <c r="M6" s="5">
        <v>0</v>
      </c>
      <c r="N6" s="5">
        <v>0</v>
      </c>
      <c r="O6" s="5">
        <v>0</v>
      </c>
      <c r="P6" s="5">
        <v>14</v>
      </c>
      <c r="Q6" s="5" t="s">
        <v>5643</v>
      </c>
      <c r="R6" s="5" t="s">
        <v>5640</v>
      </c>
      <c r="S6" s="5">
        <v>2</v>
      </c>
      <c r="T6" s="5" t="s">
        <v>5641</v>
      </c>
      <c r="U6" s="5">
        <v>14</v>
      </c>
      <c r="V6" s="5" t="s">
        <v>972</v>
      </c>
      <c r="W6" s="5" t="s">
        <v>972</v>
      </c>
      <c r="X6" s="5" t="s">
        <v>5537</v>
      </c>
      <c r="Y6" s="5">
        <v>3</v>
      </c>
      <c r="Z6" s="35" t="s">
        <v>4854</v>
      </c>
      <c r="AA6" s="5">
        <v>7</v>
      </c>
      <c r="AB6" s="35" t="s">
        <v>1091</v>
      </c>
      <c r="AC6" s="5">
        <v>22</v>
      </c>
      <c r="AD6" s="5">
        <v>12</v>
      </c>
      <c r="AE6" s="5" t="s">
        <v>5642</v>
      </c>
      <c r="AF6" s="5"/>
      <c r="AG6" s="47" t="str">
        <f t="shared" si="0"/>
        <v>(159*'24 / 22'*672*'2,7 / 9,52 / 9,0 / 8,73 / 7,92 / 7,13 / 6,35'*'0,015'*83*0*0*0*14*11.4*2*14*NULL*3*7*22*12)*</v>
      </c>
    </row>
    <row r="7" spans="1:34" ht="20.100000000000001" customHeight="1" x14ac:dyDescent="0.25">
      <c r="A7" s="3">
        <v>160</v>
      </c>
      <c r="B7" s="27" t="s">
        <v>5116</v>
      </c>
      <c r="C7" s="22">
        <v>44738</v>
      </c>
      <c r="D7" s="15">
        <v>1</v>
      </c>
      <c r="E7" s="5" t="s">
        <v>4141</v>
      </c>
      <c r="F7" s="5">
        <v>15</v>
      </c>
      <c r="G7" s="5">
        <v>12</v>
      </c>
      <c r="H7" s="7" t="s">
        <v>6201</v>
      </c>
      <c r="I7" s="31">
        <v>174</v>
      </c>
      <c r="J7" s="5" t="s">
        <v>5644</v>
      </c>
      <c r="K7" s="5">
        <v>4.5999999999999999E-2</v>
      </c>
      <c r="L7" s="5">
        <v>83</v>
      </c>
      <c r="M7" s="5">
        <v>0</v>
      </c>
      <c r="N7" s="5">
        <v>0</v>
      </c>
      <c r="O7" s="5">
        <v>0</v>
      </c>
      <c r="P7" s="5">
        <v>0</v>
      </c>
      <c r="Q7" s="5">
        <v>0</v>
      </c>
      <c r="R7" s="5" t="s">
        <v>5631</v>
      </c>
      <c r="S7" s="5">
        <v>4</v>
      </c>
      <c r="T7" s="5" t="s">
        <v>5647</v>
      </c>
      <c r="U7" s="5">
        <v>10</v>
      </c>
      <c r="V7" s="5" t="s">
        <v>972</v>
      </c>
      <c r="W7" s="5" t="s">
        <v>972</v>
      </c>
      <c r="X7" s="5" t="s">
        <v>5537</v>
      </c>
      <c r="Y7" s="5">
        <v>3</v>
      </c>
      <c r="Z7" s="35" t="s">
        <v>1026</v>
      </c>
      <c r="AA7" s="5">
        <v>10</v>
      </c>
      <c r="AB7" s="35" t="s">
        <v>1091</v>
      </c>
      <c r="AC7" s="5">
        <v>22</v>
      </c>
      <c r="AD7" s="5">
        <v>12</v>
      </c>
      <c r="AE7" s="5"/>
      <c r="AF7" s="5"/>
      <c r="AG7" s="47" t="str">
        <f t="shared" si="0"/>
        <v>(160*'24 / 22'*174*'8,74 / 9,53 / 11,3 / 12,7'*'0,046'*83*0*0*0*0*0*4*10*NULL*3*10*22*12)*</v>
      </c>
    </row>
    <row r="8" spans="1:34" ht="20.100000000000001" customHeight="1" x14ac:dyDescent="0.25">
      <c r="A8" s="3">
        <v>161</v>
      </c>
      <c r="B8" s="27" t="s">
        <v>5117</v>
      </c>
      <c r="C8" s="22">
        <v>46388</v>
      </c>
      <c r="D8" s="15">
        <v>1</v>
      </c>
      <c r="E8" s="5" t="s">
        <v>4141</v>
      </c>
      <c r="F8" s="5">
        <v>15</v>
      </c>
      <c r="G8" s="5">
        <v>12</v>
      </c>
      <c r="H8" s="7">
        <v>24</v>
      </c>
      <c r="I8" s="31">
        <v>504</v>
      </c>
      <c r="J8" s="5" t="s">
        <v>5645</v>
      </c>
      <c r="K8" s="5">
        <v>4.5999999999999999E-2</v>
      </c>
      <c r="L8" s="5">
        <v>0</v>
      </c>
      <c r="M8" s="5">
        <v>0</v>
      </c>
      <c r="N8" s="5">
        <v>0</v>
      </c>
      <c r="O8" s="5">
        <v>0</v>
      </c>
      <c r="P8" s="5">
        <v>0</v>
      </c>
      <c r="Q8" s="5">
        <v>0</v>
      </c>
      <c r="R8" s="5" t="s">
        <v>5631</v>
      </c>
      <c r="S8" s="5">
        <v>4</v>
      </c>
      <c r="T8" s="5" t="s">
        <v>5646</v>
      </c>
      <c r="U8" s="5">
        <v>21</v>
      </c>
      <c r="V8" s="5" t="s">
        <v>972</v>
      </c>
      <c r="W8" s="5" t="s">
        <v>972</v>
      </c>
      <c r="X8" s="5" t="s">
        <v>5537</v>
      </c>
      <c r="Y8" s="5">
        <v>3</v>
      </c>
      <c r="Z8" s="35" t="s">
        <v>4854</v>
      </c>
      <c r="AA8" s="5">
        <v>7</v>
      </c>
      <c r="AB8" s="35" t="s">
        <v>1916</v>
      </c>
      <c r="AC8" s="5">
        <v>11</v>
      </c>
      <c r="AD8" s="5">
        <v>12</v>
      </c>
      <c r="AE8" s="5"/>
      <c r="AF8" s="5"/>
      <c r="AG8" s="47" t="str">
        <f t="shared" si="0"/>
        <v>(161*'24'*504*'12,7 / 11,13 / 9,53 / 7,9'*'0,046'*0*0*0*0*0*0*4*21*NULL*3*7*11*12)*</v>
      </c>
    </row>
    <row r="9" spans="1:34" ht="20.100000000000001" customHeight="1" x14ac:dyDescent="0.25">
      <c r="A9" s="3">
        <v>162</v>
      </c>
      <c r="B9" s="27" t="s">
        <v>5118</v>
      </c>
      <c r="C9" s="22">
        <v>38537</v>
      </c>
      <c r="D9" s="15">
        <v>1</v>
      </c>
      <c r="E9" s="5" t="s">
        <v>4141</v>
      </c>
      <c r="F9" s="5">
        <v>15</v>
      </c>
      <c r="G9" s="5">
        <v>12</v>
      </c>
      <c r="H9" s="7">
        <v>20</v>
      </c>
      <c r="I9" s="31" t="s">
        <v>5648</v>
      </c>
      <c r="J9" s="5" t="s">
        <v>5649</v>
      </c>
      <c r="K9" s="5">
        <v>4.5699999999999998E-2</v>
      </c>
      <c r="L9" s="5">
        <v>72</v>
      </c>
      <c r="M9" s="5">
        <v>72</v>
      </c>
      <c r="N9" s="5">
        <v>0</v>
      </c>
      <c r="O9" s="5">
        <v>0</v>
      </c>
      <c r="P9" s="5">
        <v>4</v>
      </c>
      <c r="Q9" s="5">
        <v>4</v>
      </c>
      <c r="R9" s="5" t="s">
        <v>5631</v>
      </c>
      <c r="S9" s="5">
        <v>4</v>
      </c>
      <c r="T9" s="5" t="s">
        <v>5632</v>
      </c>
      <c r="U9" s="5">
        <v>11</v>
      </c>
      <c r="V9" s="5" t="s">
        <v>972</v>
      </c>
      <c r="W9" s="5" t="s">
        <v>972</v>
      </c>
      <c r="X9" s="5" t="s">
        <v>5537</v>
      </c>
      <c r="Y9" s="5">
        <v>3</v>
      </c>
      <c r="Z9" s="35" t="s">
        <v>5651</v>
      </c>
      <c r="AA9" s="5">
        <v>13</v>
      </c>
      <c r="AB9" s="35" t="s">
        <v>5519</v>
      </c>
      <c r="AC9" s="50">
        <v>128</v>
      </c>
      <c r="AD9" s="5">
        <v>12</v>
      </c>
      <c r="AE9" s="5" t="s">
        <v>5650</v>
      </c>
      <c r="AF9" s="5"/>
      <c r="AG9" s="47" t="str">
        <f t="shared" si="0"/>
        <v>(162*'20'*144.74*'8,74 / 10,31'*'0,0457'*72*72*0*0*4*4*4*11*NULL*3*13*128*12)*</v>
      </c>
    </row>
    <row r="10" spans="1:34" ht="20.100000000000001" customHeight="1" x14ac:dyDescent="0.25">
      <c r="A10" s="3">
        <v>163</v>
      </c>
      <c r="B10" s="27" t="s">
        <v>5119</v>
      </c>
      <c r="C10" s="22">
        <v>21916</v>
      </c>
      <c r="D10" s="15">
        <v>1</v>
      </c>
      <c r="E10" s="5" t="s">
        <v>4137</v>
      </c>
      <c r="F10" s="5">
        <v>14</v>
      </c>
      <c r="G10" s="5">
        <v>12</v>
      </c>
      <c r="H10" s="7">
        <v>24</v>
      </c>
      <c r="I10" s="31">
        <v>265</v>
      </c>
      <c r="J10" s="5" t="s">
        <v>5658</v>
      </c>
      <c r="K10" s="5">
        <v>1.4999999999999999E-2</v>
      </c>
      <c r="L10" s="5">
        <v>70</v>
      </c>
      <c r="M10" s="5">
        <v>70</v>
      </c>
      <c r="N10" s="5">
        <v>0</v>
      </c>
      <c r="O10" s="5">
        <v>0</v>
      </c>
      <c r="P10" s="5" t="s">
        <v>5656</v>
      </c>
      <c r="Q10" s="5" t="s">
        <v>5657</v>
      </c>
      <c r="R10" s="5" t="s">
        <v>5627</v>
      </c>
      <c r="S10" s="5">
        <v>3</v>
      </c>
      <c r="T10" s="5" t="s">
        <v>5655</v>
      </c>
      <c r="U10" s="5">
        <v>14</v>
      </c>
      <c r="V10" s="5" t="s">
        <v>5654</v>
      </c>
      <c r="W10" s="5">
        <v>17</v>
      </c>
      <c r="X10" s="5" t="s">
        <v>5119</v>
      </c>
      <c r="Y10" s="5">
        <v>4</v>
      </c>
      <c r="Z10" s="35" t="s">
        <v>1848</v>
      </c>
      <c r="AA10" s="5">
        <v>29</v>
      </c>
      <c r="AB10" s="35" t="s">
        <v>5652</v>
      </c>
      <c r="AC10" s="5">
        <v>1</v>
      </c>
      <c r="AD10" s="5">
        <v>12</v>
      </c>
      <c r="AE10" s="5" t="s">
        <v>5653</v>
      </c>
      <c r="AF10" s="5"/>
      <c r="AG10" s="47" t="str">
        <f t="shared" si="0"/>
        <v>(163*'24'*265*'7,94 / 8,74 / 10,31'*'0,015'*70*70*0*0*13.9*7.8*3*14*17*4*29*1*12)*</v>
      </c>
    </row>
    <row r="11" spans="1:34" ht="20.100000000000001" customHeight="1" x14ac:dyDescent="0.25">
      <c r="A11" s="3">
        <v>164</v>
      </c>
      <c r="B11" s="27" t="s">
        <v>5120</v>
      </c>
      <c r="C11" s="22">
        <v>29952</v>
      </c>
      <c r="D11" s="15">
        <v>1</v>
      </c>
      <c r="E11" s="5" t="s">
        <v>4137</v>
      </c>
      <c r="F11" s="5">
        <v>14</v>
      </c>
      <c r="G11" s="5">
        <v>12</v>
      </c>
      <c r="H11" s="7">
        <v>30</v>
      </c>
      <c r="I11" s="31">
        <v>630</v>
      </c>
      <c r="J11" s="5" t="s">
        <v>5659</v>
      </c>
      <c r="K11" s="5">
        <v>0.06</v>
      </c>
      <c r="L11" s="5">
        <v>67</v>
      </c>
      <c r="M11" s="5">
        <v>49</v>
      </c>
      <c r="N11" s="5" t="s">
        <v>5660</v>
      </c>
      <c r="O11" s="5">
        <v>0</v>
      </c>
      <c r="P11" s="5">
        <v>18</v>
      </c>
      <c r="Q11" s="5" t="s">
        <v>5661</v>
      </c>
      <c r="R11" s="5" t="s">
        <v>5627</v>
      </c>
      <c r="S11" s="5">
        <v>3</v>
      </c>
      <c r="T11" s="5" t="s">
        <v>5662</v>
      </c>
      <c r="U11" s="5">
        <v>14</v>
      </c>
      <c r="V11" s="5" t="s">
        <v>5654</v>
      </c>
      <c r="W11" s="5">
        <v>17</v>
      </c>
      <c r="X11" s="5" t="s">
        <v>5120</v>
      </c>
      <c r="Y11" s="5">
        <v>5</v>
      </c>
      <c r="Z11" s="35" t="s">
        <v>1848</v>
      </c>
      <c r="AA11" s="5">
        <v>29</v>
      </c>
      <c r="AB11" s="35" t="s">
        <v>4854</v>
      </c>
      <c r="AC11" s="5">
        <v>7</v>
      </c>
      <c r="AD11" s="5">
        <v>12</v>
      </c>
      <c r="AE11" s="5" t="s">
        <v>5663</v>
      </c>
      <c r="AF11" s="5"/>
      <c r="AG11" s="47" t="str">
        <f t="shared" si="0"/>
        <v>(164*'30'*630*'7,14 / 7,92'*'0,06'*67*49*1.4*0*18*8.9*3*14*17*5*29*7*12)*</v>
      </c>
    </row>
    <row r="12" spans="1:34" ht="20.100000000000001" customHeight="1" x14ac:dyDescent="0.25">
      <c r="A12" s="3">
        <v>165</v>
      </c>
      <c r="B12" s="28" t="s">
        <v>5121</v>
      </c>
      <c r="C12" s="22">
        <v>38353</v>
      </c>
      <c r="D12" s="15">
        <v>1</v>
      </c>
      <c r="E12" s="5" t="s">
        <v>4137</v>
      </c>
      <c r="F12" s="5">
        <v>14</v>
      </c>
      <c r="G12" s="5">
        <v>12</v>
      </c>
      <c r="H12" s="7">
        <v>30</v>
      </c>
      <c r="I12" s="31" t="s">
        <v>5664</v>
      </c>
      <c r="J12" s="5" t="s">
        <v>5665</v>
      </c>
      <c r="K12" s="5">
        <v>4.5699999999999998E-2</v>
      </c>
      <c r="L12" s="5">
        <v>49</v>
      </c>
      <c r="M12" s="5">
        <v>0</v>
      </c>
      <c r="N12" s="5">
        <v>0</v>
      </c>
      <c r="O12" s="5">
        <v>0</v>
      </c>
      <c r="P12" s="5">
        <v>0</v>
      </c>
      <c r="Q12" s="5">
        <v>0</v>
      </c>
      <c r="R12" s="5" t="s">
        <v>5631</v>
      </c>
      <c r="S12" s="5">
        <v>4</v>
      </c>
      <c r="T12" s="5" t="s">
        <v>5666</v>
      </c>
      <c r="U12" s="5">
        <v>11</v>
      </c>
      <c r="V12" s="5" t="s">
        <v>972</v>
      </c>
      <c r="W12" s="5" t="s">
        <v>972</v>
      </c>
      <c r="X12" s="5" t="s">
        <v>5120</v>
      </c>
      <c r="Y12" s="5">
        <v>5</v>
      </c>
      <c r="Z12" s="35" t="s">
        <v>5667</v>
      </c>
      <c r="AA12" s="50" t="s">
        <v>5667</v>
      </c>
      <c r="AB12" s="35" t="s">
        <v>4044</v>
      </c>
      <c r="AC12" s="50" t="s">
        <v>4044</v>
      </c>
      <c r="AD12" s="5"/>
      <c r="AE12" s="5"/>
      <c r="AF12" s="5"/>
      <c r="AG12" s="47" t="str">
        <f t="shared" ref="AG12:AG54" si="1">CONCATENATE("(",A12,"*'",H12,"'*",I12,"*'",J12,"'*'",K12,"'*",L12,"*",M12,"*",N12,"*",O12,"*",P12,"*",Q12,"*",S12,"*",U12,"*",W12,"*",Y12,"*",AA12,"*",AC12,")*")</f>
        <v>(165*'30'*44.5*'10.31'*'0,0457'*49*0*0*0*0*0*4*11*NULL*5*TFT*Nezla)*</v>
      </c>
    </row>
    <row r="13" spans="1:34" ht="20.100000000000001" customHeight="1" x14ac:dyDescent="0.25">
      <c r="A13" s="3">
        <v>166</v>
      </c>
      <c r="B13" s="27" t="s">
        <v>5122</v>
      </c>
      <c r="C13" s="22">
        <v>26399</v>
      </c>
      <c r="D13" s="15">
        <v>1</v>
      </c>
      <c r="E13" s="5" t="s">
        <v>5670</v>
      </c>
      <c r="F13" s="5">
        <v>12</v>
      </c>
      <c r="G13" s="5">
        <v>12</v>
      </c>
      <c r="H13" s="7">
        <v>26</v>
      </c>
      <c r="I13" s="31">
        <v>108.372</v>
      </c>
      <c r="J13" s="5" t="s">
        <v>6097</v>
      </c>
      <c r="K13" s="5">
        <v>4.5699999999999998E-2</v>
      </c>
      <c r="L13" s="5">
        <v>40</v>
      </c>
      <c r="M13" s="5">
        <v>40</v>
      </c>
      <c r="N13" s="5">
        <v>0</v>
      </c>
      <c r="O13" s="5">
        <v>0</v>
      </c>
      <c r="P13" s="5">
        <v>12</v>
      </c>
      <c r="Q13" s="5">
        <v>12</v>
      </c>
      <c r="R13" s="5" t="s">
        <v>5627</v>
      </c>
      <c r="S13" s="5">
        <v>3</v>
      </c>
      <c r="T13" s="5" t="s">
        <v>5662</v>
      </c>
      <c r="U13" s="5">
        <v>14</v>
      </c>
      <c r="V13" s="5" t="s">
        <v>972</v>
      </c>
      <c r="W13" s="5" t="s">
        <v>972</v>
      </c>
      <c r="X13" s="5" t="s">
        <v>5673</v>
      </c>
      <c r="Y13" s="5">
        <v>6</v>
      </c>
      <c r="Z13" s="35" t="s">
        <v>5345</v>
      </c>
      <c r="AA13" s="5">
        <v>15</v>
      </c>
      <c r="AB13" s="35" t="s">
        <v>4854</v>
      </c>
      <c r="AC13" s="5">
        <v>7</v>
      </c>
      <c r="AD13" s="5">
        <v>12</v>
      </c>
      <c r="AE13" s="5" t="s">
        <v>5676</v>
      </c>
      <c r="AF13" s="5"/>
      <c r="AG13" s="47" t="str">
        <f t="shared" ref="AG13:AG33" si="2">CONCATENATE("(",A13,"*'",H13,"'*",I13,"*'",J13,"'*'",K13,"'*",L13,"*",M13,"*",N13,"*",O13,"*",P13,"*",Q13,"*",S13,"*",U13,"*",W13,"*",Y13,"*",AA13,"*",AC13,"*",AD13,")*")</f>
        <v>(166*'26'*108,372*'7,14 / 8,74'*'0,0457'*40*40*0*0*12*12*3*14*NULL*6*15*7*12)*</v>
      </c>
    </row>
    <row r="14" spans="1:34" ht="20.100000000000001" customHeight="1" x14ac:dyDescent="0.25">
      <c r="A14" s="3">
        <v>167</v>
      </c>
      <c r="B14" s="27" t="s">
        <v>5123</v>
      </c>
      <c r="C14" s="22">
        <v>36161</v>
      </c>
      <c r="D14" s="15">
        <v>1</v>
      </c>
      <c r="E14" s="5" t="s">
        <v>5670</v>
      </c>
      <c r="F14" s="5">
        <v>12</v>
      </c>
      <c r="G14" s="5">
        <v>12</v>
      </c>
      <c r="H14" s="7">
        <v>30</v>
      </c>
      <c r="I14" s="31">
        <v>292</v>
      </c>
      <c r="J14" s="5" t="s">
        <v>5677</v>
      </c>
      <c r="K14" s="5">
        <v>4.5699999999999998E-2</v>
      </c>
      <c r="L14" s="5">
        <v>70</v>
      </c>
      <c r="M14" s="5">
        <v>70</v>
      </c>
      <c r="N14" s="5">
        <v>0</v>
      </c>
      <c r="O14" s="5">
        <v>0</v>
      </c>
      <c r="P14" s="5">
        <v>30</v>
      </c>
      <c r="Q14" s="5">
        <v>30</v>
      </c>
      <c r="R14" s="5" t="s">
        <v>5627</v>
      </c>
      <c r="S14" s="5">
        <v>3</v>
      </c>
      <c r="T14" s="5" t="s">
        <v>5678</v>
      </c>
      <c r="U14" s="5">
        <v>11</v>
      </c>
      <c r="V14" s="5" t="s">
        <v>972</v>
      </c>
      <c r="W14" s="5" t="s">
        <v>972</v>
      </c>
      <c r="X14" s="5" t="s">
        <v>5543</v>
      </c>
      <c r="Y14" s="5">
        <v>7</v>
      </c>
      <c r="Z14" s="35" t="s">
        <v>5349</v>
      </c>
      <c r="AA14" s="5">
        <v>27</v>
      </c>
      <c r="AB14" s="35" t="s">
        <v>4854</v>
      </c>
      <c r="AC14" s="5">
        <v>7</v>
      </c>
      <c r="AD14" s="5">
        <v>12</v>
      </c>
      <c r="AE14" s="30" t="s">
        <v>6209</v>
      </c>
      <c r="AF14" s="30"/>
      <c r="AG14" s="47" t="str">
        <f t="shared" si="2"/>
        <v>(167*'30'*292*'10,31 - 12,7'*'0,0457'*70*70*0*0*30*30*3*11*NULL*7*27*7*12)*</v>
      </c>
    </row>
    <row r="15" spans="1:34" ht="20.100000000000001" customHeight="1" x14ac:dyDescent="0.25">
      <c r="A15" s="3">
        <v>168</v>
      </c>
      <c r="B15" s="27" t="s">
        <v>5124</v>
      </c>
      <c r="C15" s="22">
        <v>38718</v>
      </c>
      <c r="D15" s="15">
        <v>1</v>
      </c>
      <c r="E15" s="5" t="s">
        <v>5670</v>
      </c>
      <c r="F15" s="5">
        <v>12</v>
      </c>
      <c r="G15" s="5">
        <v>12</v>
      </c>
      <c r="H15" s="7">
        <v>30</v>
      </c>
      <c r="I15" s="31">
        <v>292</v>
      </c>
      <c r="J15" s="5" t="s">
        <v>5677</v>
      </c>
      <c r="K15" s="5">
        <v>4.5699999999999998E-2</v>
      </c>
      <c r="L15" s="5">
        <v>70</v>
      </c>
      <c r="M15" s="5">
        <v>70</v>
      </c>
      <c r="N15" s="5">
        <v>0</v>
      </c>
      <c r="O15" s="5">
        <v>0</v>
      </c>
      <c r="P15" s="5">
        <v>30</v>
      </c>
      <c r="Q15" s="5">
        <v>30</v>
      </c>
      <c r="R15" s="5" t="s">
        <v>5631</v>
      </c>
      <c r="S15" s="5">
        <v>4</v>
      </c>
      <c r="T15" s="5" t="s">
        <v>5678</v>
      </c>
      <c r="U15" s="5">
        <v>11</v>
      </c>
      <c r="V15" s="5" t="s">
        <v>972</v>
      </c>
      <c r="W15" s="5" t="s">
        <v>972</v>
      </c>
      <c r="X15" s="5" t="s">
        <v>5543</v>
      </c>
      <c r="Y15" s="5">
        <v>7</v>
      </c>
      <c r="Z15" s="35" t="s">
        <v>5349</v>
      </c>
      <c r="AA15" s="5">
        <v>27</v>
      </c>
      <c r="AB15" s="35" t="s">
        <v>4854</v>
      </c>
      <c r="AC15" s="5">
        <v>7</v>
      </c>
      <c r="AD15" s="5">
        <v>12</v>
      </c>
      <c r="AE15" s="30" t="s">
        <v>6209</v>
      </c>
      <c r="AF15" s="30"/>
      <c r="AG15" s="47" t="str">
        <f t="shared" si="2"/>
        <v>(168*'30'*292*'10,31 - 12,7'*'0,0457'*70*70*0*0*30*30*4*11*NULL*7*27*7*12)*</v>
      </c>
    </row>
    <row r="16" spans="1:34" ht="20.100000000000001" customHeight="1" x14ac:dyDescent="0.25">
      <c r="A16" s="3">
        <v>169</v>
      </c>
      <c r="B16" s="27" t="s">
        <v>5125</v>
      </c>
      <c r="C16" s="22">
        <v>28207</v>
      </c>
      <c r="D16" s="15">
        <v>1</v>
      </c>
      <c r="E16" s="5" t="s">
        <v>5670</v>
      </c>
      <c r="F16" s="5">
        <v>12</v>
      </c>
      <c r="G16" s="5">
        <v>12</v>
      </c>
      <c r="H16" s="7">
        <v>20</v>
      </c>
      <c r="I16" s="31">
        <v>272.35000000000002</v>
      </c>
      <c r="J16" s="5" t="s">
        <v>6218</v>
      </c>
      <c r="K16" s="5">
        <v>4.5699999999999998E-2</v>
      </c>
      <c r="L16" s="5">
        <v>72</v>
      </c>
      <c r="M16" s="5">
        <v>12</v>
      </c>
      <c r="N16" s="5">
        <v>0</v>
      </c>
      <c r="O16" s="5">
        <v>0</v>
      </c>
      <c r="P16" s="5">
        <v>5</v>
      </c>
      <c r="Q16" s="5">
        <v>2</v>
      </c>
      <c r="R16" s="5" t="s">
        <v>5627</v>
      </c>
      <c r="S16" s="5">
        <v>3</v>
      </c>
      <c r="T16" s="5" t="s">
        <v>972</v>
      </c>
      <c r="U16" s="5" t="s">
        <v>972</v>
      </c>
      <c r="V16" s="5" t="s">
        <v>972</v>
      </c>
      <c r="W16" s="5" t="s">
        <v>972</v>
      </c>
      <c r="X16" s="5" t="s">
        <v>5673</v>
      </c>
      <c r="Y16" s="5">
        <v>6</v>
      </c>
      <c r="Z16" s="35" t="s">
        <v>5672</v>
      </c>
      <c r="AA16" s="5">
        <v>25</v>
      </c>
      <c r="AB16" s="35" t="s">
        <v>5671</v>
      </c>
      <c r="AC16" s="5">
        <v>15</v>
      </c>
      <c r="AD16" s="5">
        <v>12</v>
      </c>
      <c r="AE16" s="5" t="s">
        <v>5669</v>
      </c>
      <c r="AF16" s="5"/>
      <c r="AG16" s="47" t="str">
        <f t="shared" si="2"/>
        <v>(169*'20'*272,35*'6,35 - 8,74'*'0,0457'*72*12*0*0*5*2*3*NULL*NULL*6*25*15*12)*</v>
      </c>
    </row>
    <row r="17" spans="1:33" ht="20.100000000000001" customHeight="1" x14ac:dyDescent="0.25">
      <c r="A17" s="3">
        <v>170</v>
      </c>
      <c r="B17" s="27" t="s">
        <v>5126</v>
      </c>
      <c r="C17" s="22">
        <v>45778</v>
      </c>
      <c r="D17" s="15">
        <v>1</v>
      </c>
      <c r="E17" s="5" t="s">
        <v>5670</v>
      </c>
      <c r="F17" s="5">
        <v>12</v>
      </c>
      <c r="G17" s="5">
        <v>12</v>
      </c>
      <c r="H17" s="7">
        <v>16</v>
      </c>
      <c r="I17" s="31">
        <v>271</v>
      </c>
      <c r="J17" s="5">
        <v>6.35</v>
      </c>
      <c r="K17" s="5">
        <v>4.5999999999999999E-2</v>
      </c>
      <c r="L17" s="5">
        <v>40</v>
      </c>
      <c r="M17" s="5">
        <v>0</v>
      </c>
      <c r="N17" s="5">
        <v>0</v>
      </c>
      <c r="O17" s="5">
        <v>0</v>
      </c>
      <c r="P17" s="5">
        <v>0</v>
      </c>
      <c r="Q17" s="5">
        <v>0</v>
      </c>
      <c r="R17" s="5" t="s">
        <v>5631</v>
      </c>
      <c r="S17" s="5">
        <v>4</v>
      </c>
      <c r="T17" s="5" t="s">
        <v>972</v>
      </c>
      <c r="U17" s="5" t="s">
        <v>972</v>
      </c>
      <c r="V17" s="5" t="s">
        <v>972</v>
      </c>
      <c r="W17" s="5" t="s">
        <v>972</v>
      </c>
      <c r="X17" s="5" t="s">
        <v>5673</v>
      </c>
      <c r="Y17" s="5">
        <v>6</v>
      </c>
      <c r="Z17" s="35" t="s">
        <v>5672</v>
      </c>
      <c r="AA17" s="5">
        <v>25</v>
      </c>
      <c r="AB17" s="35" t="s">
        <v>5671</v>
      </c>
      <c r="AC17" s="5">
        <v>15</v>
      </c>
      <c r="AD17" s="5">
        <v>12</v>
      </c>
      <c r="AE17" s="5"/>
      <c r="AF17" s="5"/>
      <c r="AG17" s="47" t="str">
        <f t="shared" si="2"/>
        <v>(170*'16'*271*'6,35'*'0,046'*40*0*0*0*0*0*4*NULL*NULL*6*25*15*12)*</v>
      </c>
    </row>
    <row r="18" spans="1:33" ht="20.100000000000001" customHeight="1" x14ac:dyDescent="0.25">
      <c r="A18" s="3">
        <v>171</v>
      </c>
      <c r="B18" s="27" t="s">
        <v>5127</v>
      </c>
      <c r="C18" s="22">
        <v>35431</v>
      </c>
      <c r="D18" s="15">
        <v>1</v>
      </c>
      <c r="E18" s="5" t="s">
        <v>4089</v>
      </c>
      <c r="F18" s="5">
        <v>2</v>
      </c>
      <c r="G18" s="5">
        <v>2</v>
      </c>
      <c r="H18" s="7">
        <v>20</v>
      </c>
      <c r="I18" s="31">
        <v>230</v>
      </c>
      <c r="J18" s="5"/>
      <c r="K18" s="5">
        <v>4.5699999999999998E-2</v>
      </c>
      <c r="L18" s="5">
        <v>0</v>
      </c>
      <c r="M18" s="5">
        <v>0</v>
      </c>
      <c r="N18" s="5">
        <v>0</v>
      </c>
      <c r="O18" s="5">
        <v>0</v>
      </c>
      <c r="P18" s="5">
        <v>0</v>
      </c>
      <c r="Q18" s="5">
        <v>0</v>
      </c>
      <c r="R18" s="5" t="s">
        <v>5631</v>
      </c>
      <c r="S18" s="5">
        <v>4</v>
      </c>
      <c r="T18" s="5" t="s">
        <v>972</v>
      </c>
      <c r="U18" s="5" t="s">
        <v>972</v>
      </c>
      <c r="V18" s="5" t="s">
        <v>972</v>
      </c>
      <c r="W18" s="5" t="s">
        <v>972</v>
      </c>
      <c r="X18" s="5" t="s">
        <v>5673</v>
      </c>
      <c r="Y18" s="5">
        <v>6</v>
      </c>
      <c r="Z18" s="35" t="s">
        <v>4903</v>
      </c>
      <c r="AA18" s="5">
        <v>32</v>
      </c>
      <c r="AB18" s="35" t="s">
        <v>4869</v>
      </c>
      <c r="AC18" s="5">
        <v>15</v>
      </c>
      <c r="AD18" s="5">
        <v>12</v>
      </c>
      <c r="AE18" s="5"/>
      <c r="AF18" s="5"/>
      <c r="AG18" s="47" t="str">
        <f t="shared" si="2"/>
        <v>(171*'20'*230*''*'0,0457'*0*0*0*0*0*0*4*NULL*NULL*6*32*15*12)*</v>
      </c>
    </row>
    <row r="19" spans="1:33" ht="20.100000000000001" customHeight="1" x14ac:dyDescent="0.25">
      <c r="A19" s="3">
        <v>172</v>
      </c>
      <c r="B19" s="27" t="s">
        <v>5128</v>
      </c>
      <c r="C19" s="22">
        <v>36505</v>
      </c>
      <c r="D19" s="15">
        <v>1</v>
      </c>
      <c r="E19" s="5" t="s">
        <v>5670</v>
      </c>
      <c r="F19" s="5">
        <v>12</v>
      </c>
      <c r="G19" s="5">
        <v>12</v>
      </c>
      <c r="H19" s="7">
        <v>20</v>
      </c>
      <c r="I19" s="31">
        <v>33</v>
      </c>
      <c r="J19" s="5" t="s">
        <v>6219</v>
      </c>
      <c r="K19" s="5">
        <v>4.5999999999999999E-2</v>
      </c>
      <c r="L19" s="5">
        <v>55</v>
      </c>
      <c r="M19" s="5">
        <v>55</v>
      </c>
      <c r="N19" s="5">
        <v>0</v>
      </c>
      <c r="O19" s="5">
        <v>0</v>
      </c>
      <c r="P19" s="5">
        <v>5</v>
      </c>
      <c r="Q19" s="5">
        <v>5</v>
      </c>
      <c r="R19" s="5" t="s">
        <v>5627</v>
      </c>
      <c r="S19" s="5">
        <v>3</v>
      </c>
      <c r="T19" s="5" t="s">
        <v>972</v>
      </c>
      <c r="U19" s="5" t="s">
        <v>972</v>
      </c>
      <c r="V19" s="5" t="s">
        <v>972</v>
      </c>
      <c r="W19" s="5" t="s">
        <v>972</v>
      </c>
      <c r="X19" s="5" t="s">
        <v>5673</v>
      </c>
      <c r="Y19" s="5">
        <v>6</v>
      </c>
      <c r="Z19" s="35" t="s">
        <v>5675</v>
      </c>
      <c r="AA19" s="5">
        <v>33</v>
      </c>
      <c r="AB19" s="35" t="s">
        <v>5671</v>
      </c>
      <c r="AC19" s="5">
        <v>15</v>
      </c>
      <c r="AD19" s="5">
        <v>12</v>
      </c>
      <c r="AE19" s="5" t="s">
        <v>4702</v>
      </c>
      <c r="AF19" s="5"/>
      <c r="AG19" s="47" t="str">
        <f t="shared" si="2"/>
        <v>(172*'20'*33*'7,14 - 8,74'*'0,046'*55*55*0*0*5*5*3*NULL*NULL*6*33*15*12)*</v>
      </c>
    </row>
    <row r="20" spans="1:33" ht="20.100000000000001" customHeight="1" x14ac:dyDescent="0.25">
      <c r="A20" s="3">
        <v>173</v>
      </c>
      <c r="B20" s="27" t="s">
        <v>5129</v>
      </c>
      <c r="C20" s="22">
        <v>28795</v>
      </c>
      <c r="D20" s="15">
        <v>1</v>
      </c>
      <c r="E20" s="5" t="s">
        <v>4125</v>
      </c>
      <c r="F20" s="5">
        <v>11</v>
      </c>
      <c r="G20" s="5">
        <v>12</v>
      </c>
      <c r="H20" s="7">
        <v>28</v>
      </c>
      <c r="I20" s="31">
        <v>507</v>
      </c>
      <c r="J20" s="5" t="s">
        <v>6202</v>
      </c>
      <c r="K20" s="5">
        <v>4.5699999999999998E-2</v>
      </c>
      <c r="L20" s="5">
        <v>66</v>
      </c>
      <c r="M20" s="5">
        <v>66</v>
      </c>
      <c r="N20" s="5">
        <v>0</v>
      </c>
      <c r="O20" s="5">
        <v>0</v>
      </c>
      <c r="P20" s="5">
        <v>21</v>
      </c>
      <c r="Q20" s="5">
        <v>13.6</v>
      </c>
      <c r="R20" s="5" t="s">
        <v>5627</v>
      </c>
      <c r="S20" s="5">
        <v>3</v>
      </c>
      <c r="T20" s="5" t="s">
        <v>5662</v>
      </c>
      <c r="U20" s="5">
        <v>14</v>
      </c>
      <c r="V20" s="5" t="s">
        <v>972</v>
      </c>
      <c r="W20" s="5" t="s">
        <v>972</v>
      </c>
      <c r="X20" s="5" t="s">
        <v>5129</v>
      </c>
      <c r="Y20" s="5">
        <v>8</v>
      </c>
      <c r="Z20" s="35" t="s">
        <v>4856</v>
      </c>
      <c r="AA20" s="5">
        <v>8</v>
      </c>
      <c r="AB20" s="35" t="s">
        <v>1824</v>
      </c>
      <c r="AC20" s="5">
        <v>21</v>
      </c>
      <c r="AD20" s="5">
        <v>12</v>
      </c>
      <c r="AE20" s="30" t="s">
        <v>6210</v>
      </c>
      <c r="AF20" s="30"/>
      <c r="AG20" s="47" t="str">
        <f t="shared" si="2"/>
        <v>(173*'28'*507*'6,35 / 7,14 / 7,22 / 8,74 / 9,25 / 12,7 / 14,27'*'0,0457'*66*66*0*0*21*13,6*3*14*NULL*8*8*21*12)*</v>
      </c>
    </row>
    <row r="21" spans="1:33" ht="20.100000000000001" customHeight="1" x14ac:dyDescent="0.25">
      <c r="A21" s="3">
        <v>174</v>
      </c>
      <c r="B21" s="27" t="s">
        <v>5130</v>
      </c>
      <c r="C21" s="22">
        <v>40029</v>
      </c>
      <c r="D21" s="15">
        <v>1</v>
      </c>
      <c r="E21" s="5" t="s">
        <v>4133</v>
      </c>
      <c r="F21" s="5">
        <v>13</v>
      </c>
      <c r="G21" s="5">
        <v>12</v>
      </c>
      <c r="H21" s="7">
        <v>30</v>
      </c>
      <c r="I21" s="31">
        <v>646</v>
      </c>
      <c r="J21" s="5" t="s">
        <v>6094</v>
      </c>
      <c r="K21" s="5">
        <v>4.5699999999999998E-2</v>
      </c>
      <c r="L21" s="5">
        <v>82.9</v>
      </c>
      <c r="M21" s="5">
        <v>82.9</v>
      </c>
      <c r="N21" s="5">
        <v>0</v>
      </c>
      <c r="O21" s="5">
        <v>0</v>
      </c>
      <c r="P21" s="5">
        <v>11.41</v>
      </c>
      <c r="Q21" s="5">
        <v>11.41</v>
      </c>
      <c r="R21" s="5" t="s">
        <v>5631</v>
      </c>
      <c r="S21" s="5">
        <v>4</v>
      </c>
      <c r="T21" s="5" t="s">
        <v>5632</v>
      </c>
      <c r="U21" s="5">
        <v>11</v>
      </c>
      <c r="V21" s="5" t="s">
        <v>972</v>
      </c>
      <c r="W21" s="5" t="s">
        <v>972</v>
      </c>
      <c r="X21" s="5" t="s">
        <v>5130</v>
      </c>
      <c r="Y21" s="5">
        <v>9</v>
      </c>
      <c r="Z21" s="35" t="s">
        <v>4856</v>
      </c>
      <c r="AA21" s="5">
        <v>8</v>
      </c>
      <c r="AB21" s="35" t="s">
        <v>1012</v>
      </c>
      <c r="AC21" s="5">
        <v>34</v>
      </c>
      <c r="AD21" s="5">
        <v>12</v>
      </c>
      <c r="AE21" s="5" t="s">
        <v>6095</v>
      </c>
      <c r="AF21" s="5"/>
      <c r="AG21" s="47" t="str">
        <f t="shared" si="2"/>
        <v>(174*'30'*646*'7,92/ 8,74/ 9,53/ 10,31/ 11,91/ 14,27'*'0,0457'*82,9*82,9*0*0*11,41*11,41*4*11*NULL*9*8*34*12)*</v>
      </c>
    </row>
    <row r="22" spans="1:33" ht="20.100000000000001" customHeight="1" x14ac:dyDescent="0.25">
      <c r="A22" s="3">
        <v>175</v>
      </c>
      <c r="B22" s="27" t="s">
        <v>5131</v>
      </c>
      <c r="C22" s="22">
        <v>21916</v>
      </c>
      <c r="D22" s="15">
        <v>1</v>
      </c>
      <c r="E22" s="5" t="s">
        <v>4137</v>
      </c>
      <c r="F22" s="5">
        <v>14</v>
      </c>
      <c r="G22" s="5">
        <v>12</v>
      </c>
      <c r="H22" s="7" t="s">
        <v>6096</v>
      </c>
      <c r="I22" s="31">
        <v>565</v>
      </c>
      <c r="J22" s="5" t="s">
        <v>6097</v>
      </c>
      <c r="K22" s="5">
        <v>4.5699999999999998E-2</v>
      </c>
      <c r="L22" s="5">
        <v>49</v>
      </c>
      <c r="M22" s="5">
        <v>11</v>
      </c>
      <c r="N22" s="5">
        <v>0</v>
      </c>
      <c r="O22" s="5">
        <v>0</v>
      </c>
      <c r="P22" s="5">
        <v>7.9</v>
      </c>
      <c r="Q22" s="5">
        <v>7.9</v>
      </c>
      <c r="R22" s="5" t="s">
        <v>5627</v>
      </c>
      <c r="S22" s="5">
        <v>3</v>
      </c>
      <c r="T22" s="5" t="s">
        <v>5662</v>
      </c>
      <c r="U22" s="5">
        <v>14</v>
      </c>
      <c r="V22" s="5" t="s">
        <v>5654</v>
      </c>
      <c r="W22" s="5">
        <v>17</v>
      </c>
      <c r="X22" s="5" t="s">
        <v>5131</v>
      </c>
      <c r="Y22" s="5">
        <v>10</v>
      </c>
      <c r="Z22" s="35" t="s">
        <v>6099</v>
      </c>
      <c r="AA22" s="5">
        <v>29</v>
      </c>
      <c r="AB22" s="35" t="s">
        <v>4854</v>
      </c>
      <c r="AC22" s="5">
        <v>7</v>
      </c>
      <c r="AD22" s="5">
        <v>12</v>
      </c>
      <c r="AE22" s="5" t="s">
        <v>6098</v>
      </c>
      <c r="AF22" s="5"/>
      <c r="AG22" s="47" t="str">
        <f t="shared" si="2"/>
        <v>(175*'24/30'*565*'7,14 / 8,74'*'0,0457'*49*11*0*0*7,9*7,9*3*14*17*10*29*7*12)*</v>
      </c>
    </row>
    <row r="23" spans="1:33" ht="20.100000000000001" customHeight="1" x14ac:dyDescent="0.25">
      <c r="A23" s="3">
        <v>176</v>
      </c>
      <c r="B23" s="27" t="s">
        <v>6160</v>
      </c>
      <c r="C23" s="22"/>
      <c r="D23" s="15">
        <v>1</v>
      </c>
      <c r="E23" s="5" t="s">
        <v>4125</v>
      </c>
      <c r="F23" s="5">
        <v>11</v>
      </c>
      <c r="G23" s="5">
        <v>12</v>
      </c>
      <c r="H23" s="29">
        <v>16</v>
      </c>
      <c r="I23" s="31"/>
      <c r="J23" s="5"/>
      <c r="K23" s="5">
        <v>4.5699999999999998E-2</v>
      </c>
      <c r="L23" s="5">
        <v>0</v>
      </c>
      <c r="M23" s="5">
        <v>0</v>
      </c>
      <c r="N23" s="5">
        <v>0</v>
      </c>
      <c r="O23" s="5">
        <v>0</v>
      </c>
      <c r="P23" s="5">
        <v>0</v>
      </c>
      <c r="Q23" s="5">
        <v>0</v>
      </c>
      <c r="R23" s="5" t="s">
        <v>5627</v>
      </c>
      <c r="S23" s="5">
        <v>3</v>
      </c>
      <c r="T23" s="5" t="s">
        <v>972</v>
      </c>
      <c r="U23" s="5" t="s">
        <v>972</v>
      </c>
      <c r="V23" s="5" t="s">
        <v>972</v>
      </c>
      <c r="W23" s="5" t="s">
        <v>972</v>
      </c>
      <c r="X23" s="5" t="s">
        <v>5548</v>
      </c>
      <c r="Y23" s="5">
        <v>11</v>
      </c>
      <c r="Z23" s="35" t="s">
        <v>4856</v>
      </c>
      <c r="AA23" s="5">
        <v>8</v>
      </c>
      <c r="AB23" s="35" t="s">
        <v>1824</v>
      </c>
      <c r="AC23" s="5">
        <v>21</v>
      </c>
      <c r="AD23" s="5">
        <v>12</v>
      </c>
      <c r="AE23" s="5"/>
      <c r="AF23" s="5"/>
      <c r="AG23" s="47" t="str">
        <f t="shared" si="2"/>
        <v>(176*'16'**''*'0,0457'*0*0*0*0*0*0*3*NULL*NULL*11*8*21*12)*</v>
      </c>
    </row>
    <row r="24" spans="1:33" ht="20.100000000000001" customHeight="1" x14ac:dyDescent="0.25">
      <c r="A24" s="3">
        <v>177</v>
      </c>
      <c r="B24" s="27" t="s">
        <v>5133</v>
      </c>
      <c r="C24" s="22">
        <v>30720</v>
      </c>
      <c r="D24" s="15">
        <v>1</v>
      </c>
      <c r="E24" s="5" t="s">
        <v>4125</v>
      </c>
      <c r="F24" s="5">
        <v>11</v>
      </c>
      <c r="G24" s="5">
        <v>12</v>
      </c>
      <c r="H24" s="7">
        <v>24</v>
      </c>
      <c r="I24" s="31">
        <v>503.46</v>
      </c>
      <c r="J24" s="5" t="s">
        <v>6151</v>
      </c>
      <c r="K24" s="5">
        <v>0.05</v>
      </c>
      <c r="L24" s="5">
        <v>84</v>
      </c>
      <c r="M24" s="5">
        <v>84</v>
      </c>
      <c r="N24" s="5">
        <v>0</v>
      </c>
      <c r="O24" s="5">
        <v>0</v>
      </c>
      <c r="P24" s="5">
        <v>9</v>
      </c>
      <c r="Q24" s="5">
        <v>9</v>
      </c>
      <c r="R24" s="5" t="s">
        <v>5635</v>
      </c>
      <c r="S24" s="5">
        <v>3</v>
      </c>
      <c r="T24" s="5" t="s">
        <v>5662</v>
      </c>
      <c r="U24" s="5">
        <v>14</v>
      </c>
      <c r="V24" s="5" t="s">
        <v>972</v>
      </c>
      <c r="W24" s="5" t="s">
        <v>972</v>
      </c>
      <c r="X24" s="5" t="s">
        <v>5548</v>
      </c>
      <c r="Y24" s="5">
        <v>11</v>
      </c>
      <c r="Z24" s="35" t="s">
        <v>4856</v>
      </c>
      <c r="AA24" s="5">
        <v>8</v>
      </c>
      <c r="AB24" s="35" t="s">
        <v>1824</v>
      </c>
      <c r="AC24" s="5">
        <v>21</v>
      </c>
      <c r="AD24" s="5">
        <v>12</v>
      </c>
      <c r="AE24" s="5" t="s">
        <v>6154</v>
      </c>
      <c r="AF24" s="5"/>
      <c r="AG24" s="47" t="str">
        <f t="shared" si="2"/>
        <v>(177*'24'*503,46*'9,52 / 11,91 '*'0,05'*84*84*0*0*9*9*3*14*NULL*11*8*21*12)*</v>
      </c>
    </row>
    <row r="25" spans="1:33" ht="20.100000000000001" customHeight="1" x14ac:dyDescent="0.25">
      <c r="A25" s="3">
        <v>178</v>
      </c>
      <c r="B25" s="27" t="s">
        <v>5134</v>
      </c>
      <c r="C25" s="22">
        <v>39814</v>
      </c>
      <c r="D25" s="15">
        <v>1</v>
      </c>
      <c r="E25" s="5" t="s">
        <v>4125</v>
      </c>
      <c r="F25" s="5">
        <v>11</v>
      </c>
      <c r="G25" s="5">
        <v>12</v>
      </c>
      <c r="H25" s="7">
        <v>24</v>
      </c>
      <c r="I25" s="31">
        <v>495</v>
      </c>
      <c r="J25" s="30" t="s">
        <v>6152</v>
      </c>
      <c r="K25" s="5">
        <v>0.05</v>
      </c>
      <c r="L25" s="5">
        <v>114.1</v>
      </c>
      <c r="M25" s="5">
        <v>114.1</v>
      </c>
      <c r="N25" s="5">
        <v>0</v>
      </c>
      <c r="O25" s="5">
        <v>0</v>
      </c>
      <c r="P25" s="5">
        <v>6</v>
      </c>
      <c r="Q25" s="5">
        <v>6</v>
      </c>
      <c r="R25" s="5" t="s">
        <v>6153</v>
      </c>
      <c r="S25" s="5">
        <v>4</v>
      </c>
      <c r="T25" s="5" t="s">
        <v>5632</v>
      </c>
      <c r="U25" s="5">
        <v>11</v>
      </c>
      <c r="V25" s="5" t="s">
        <v>972</v>
      </c>
      <c r="W25" s="5" t="s">
        <v>972</v>
      </c>
      <c r="X25" s="5" t="s">
        <v>5548</v>
      </c>
      <c r="Y25" s="5">
        <v>11</v>
      </c>
      <c r="Z25" s="35" t="s">
        <v>4856</v>
      </c>
      <c r="AA25" s="5">
        <v>8</v>
      </c>
      <c r="AB25" s="35" t="s">
        <v>1824</v>
      </c>
      <c r="AC25" s="5">
        <v>21</v>
      </c>
      <c r="AD25" s="5">
        <v>12</v>
      </c>
      <c r="AE25" s="5" t="s">
        <v>4624</v>
      </c>
      <c r="AF25" s="5"/>
      <c r="AG25" s="47" t="str">
        <f t="shared" si="2"/>
        <v>(178*'24'*495*'8,74 / 9,52 / 10,31 / 12,70 / 14,27 / 15,88 / 19,05 / 17,5'*'0,05'*114,1*114,1*0*0*6*6*4*11*NULL*11*8*21*12)*</v>
      </c>
    </row>
    <row r="26" spans="1:33" ht="20.100000000000001" customHeight="1" x14ac:dyDescent="0.25">
      <c r="A26" s="3">
        <v>179</v>
      </c>
      <c r="B26" s="27" t="s">
        <v>5135</v>
      </c>
      <c r="C26" s="22">
        <v>35065</v>
      </c>
      <c r="D26" s="15">
        <v>1</v>
      </c>
      <c r="E26" s="5" t="s">
        <v>5670</v>
      </c>
      <c r="F26" s="5">
        <v>12</v>
      </c>
      <c r="G26" s="5">
        <v>12</v>
      </c>
      <c r="H26" s="7" t="s">
        <v>6200</v>
      </c>
      <c r="I26" s="31">
        <v>989</v>
      </c>
      <c r="J26" s="5" t="s">
        <v>6151</v>
      </c>
      <c r="K26" s="5">
        <v>0.05</v>
      </c>
      <c r="L26" s="5">
        <v>91.7</v>
      </c>
      <c r="M26" s="5">
        <v>91.7</v>
      </c>
      <c r="N26" s="5">
        <v>0</v>
      </c>
      <c r="O26" s="5">
        <v>0</v>
      </c>
      <c r="P26" s="5">
        <v>6.5</v>
      </c>
      <c r="Q26" s="5">
        <v>5.7</v>
      </c>
      <c r="R26" s="5" t="s">
        <v>5631</v>
      </c>
      <c r="S26" s="5">
        <v>4</v>
      </c>
      <c r="T26" s="5" t="s">
        <v>5632</v>
      </c>
      <c r="U26" s="5">
        <v>11</v>
      </c>
      <c r="V26" s="5" t="s">
        <v>972</v>
      </c>
      <c r="W26" s="5" t="s">
        <v>972</v>
      </c>
      <c r="X26" s="5" t="s">
        <v>6723</v>
      </c>
      <c r="Y26" s="5">
        <v>12</v>
      </c>
      <c r="Z26" s="35" t="s">
        <v>5386</v>
      </c>
      <c r="AA26" s="5">
        <v>20</v>
      </c>
      <c r="AB26" s="35" t="s">
        <v>4856</v>
      </c>
      <c r="AC26" s="5">
        <v>8</v>
      </c>
      <c r="AD26" s="5">
        <v>12</v>
      </c>
      <c r="AE26" s="5" t="s">
        <v>6155</v>
      </c>
      <c r="AF26" s="5"/>
      <c r="AG26" s="47" t="str">
        <f t="shared" si="2"/>
        <v>(179*'10 / 12 / 14 / 16 / 20 / 24'*989*'9,52 / 11,91 '*'0,05'*91,7*91,7*0*0*6,5*5,7*4*11*NULL*12*20*8*12)*</v>
      </c>
    </row>
    <row r="27" spans="1:33" ht="20.100000000000001" customHeight="1" x14ac:dyDescent="0.25">
      <c r="A27" s="3">
        <v>179</v>
      </c>
      <c r="B27" s="48" t="s">
        <v>6161</v>
      </c>
      <c r="C27" s="22"/>
      <c r="D27" s="15">
        <v>1</v>
      </c>
      <c r="E27" s="5" t="s">
        <v>4125</v>
      </c>
      <c r="F27" s="5">
        <v>11</v>
      </c>
      <c r="G27" s="5">
        <v>12</v>
      </c>
      <c r="H27" s="29">
        <v>12</v>
      </c>
      <c r="I27" s="31"/>
      <c r="J27" s="5" t="s">
        <v>6170</v>
      </c>
      <c r="K27" s="5">
        <v>0.05</v>
      </c>
      <c r="L27" s="5">
        <v>0</v>
      </c>
      <c r="M27" s="5">
        <v>0</v>
      </c>
      <c r="N27" s="5">
        <v>0</v>
      </c>
      <c r="O27" s="5">
        <v>0</v>
      </c>
      <c r="P27" s="5">
        <v>0</v>
      </c>
      <c r="Q27" s="5">
        <v>0</v>
      </c>
      <c r="R27" s="5" t="s">
        <v>5631</v>
      </c>
      <c r="S27" s="5">
        <v>4</v>
      </c>
      <c r="T27" s="5" t="s">
        <v>972</v>
      </c>
      <c r="U27" s="5" t="s">
        <v>972</v>
      </c>
      <c r="V27" s="5" t="s">
        <v>972</v>
      </c>
      <c r="W27" s="5" t="s">
        <v>972</v>
      </c>
      <c r="X27" s="5" t="s">
        <v>6723</v>
      </c>
      <c r="Y27" s="5">
        <v>12</v>
      </c>
      <c r="Z27" s="35" t="s">
        <v>4856</v>
      </c>
      <c r="AA27" s="5">
        <v>8</v>
      </c>
      <c r="AB27" s="35" t="s">
        <v>1824</v>
      </c>
      <c r="AC27" s="5">
        <v>21</v>
      </c>
      <c r="AD27" s="5">
        <v>12</v>
      </c>
      <c r="AE27" s="5"/>
      <c r="AF27" s="5"/>
      <c r="AG27" s="47" t="str">
        <f t="shared" si="2"/>
        <v>(179*'12'**'11,91 / 12,7 / 14,25 / 19,05'*'0,05'*0*0*0*0*0*0*4*NULL*NULL*12*8*21*12)*</v>
      </c>
    </row>
    <row r="28" spans="1:33" ht="20.100000000000001" customHeight="1" x14ac:dyDescent="0.25">
      <c r="A28" s="3">
        <v>180</v>
      </c>
      <c r="B28" s="27" t="s">
        <v>5136</v>
      </c>
      <c r="C28" s="22">
        <v>38264</v>
      </c>
      <c r="D28" s="15">
        <v>1</v>
      </c>
      <c r="E28" s="5" t="s">
        <v>5670</v>
      </c>
      <c r="F28" s="5">
        <v>12</v>
      </c>
      <c r="G28" s="5">
        <v>12</v>
      </c>
      <c r="H28" s="7">
        <v>16</v>
      </c>
      <c r="I28" s="31">
        <v>404</v>
      </c>
      <c r="J28" s="5" t="s">
        <v>6156</v>
      </c>
      <c r="K28" s="5">
        <v>4.5999999999999999E-2</v>
      </c>
      <c r="L28" s="5">
        <v>89.2</v>
      </c>
      <c r="M28" s="5">
        <v>89.2</v>
      </c>
      <c r="N28" s="5">
        <v>0</v>
      </c>
      <c r="O28" s="5">
        <v>0</v>
      </c>
      <c r="P28" s="5">
        <v>3.26</v>
      </c>
      <c r="Q28" s="5">
        <v>3.26</v>
      </c>
      <c r="R28" s="5" t="s">
        <v>5631</v>
      </c>
      <c r="S28" s="5">
        <v>4</v>
      </c>
      <c r="T28" s="5" t="s">
        <v>5632</v>
      </c>
      <c r="U28" s="5">
        <v>11</v>
      </c>
      <c r="V28" s="5" t="s">
        <v>972</v>
      </c>
      <c r="W28" s="5" t="s">
        <v>972</v>
      </c>
      <c r="X28" s="5" t="s">
        <v>6723</v>
      </c>
      <c r="Y28" s="5">
        <v>12</v>
      </c>
      <c r="Z28" s="35" t="s">
        <v>5341</v>
      </c>
      <c r="AA28" s="5">
        <v>16</v>
      </c>
      <c r="AB28" s="35" t="s">
        <v>5390</v>
      </c>
      <c r="AC28" s="5">
        <v>26</v>
      </c>
      <c r="AD28" s="5">
        <v>12</v>
      </c>
      <c r="AE28" s="5" t="s">
        <v>6157</v>
      </c>
      <c r="AF28" s="5"/>
      <c r="AG28" s="47" t="str">
        <f t="shared" si="2"/>
        <v>(180*'16'*404*'7,92 / 11,13'*'0,046'*89,2*89,2*0*0*3,26*3,26*4*11*NULL*12*16*26*12)*</v>
      </c>
    </row>
    <row r="29" spans="1:33" ht="20.100000000000001" customHeight="1" x14ac:dyDescent="0.25">
      <c r="A29" s="3">
        <v>181</v>
      </c>
      <c r="B29" s="27" t="s">
        <v>5137</v>
      </c>
      <c r="C29" s="22">
        <v>41640</v>
      </c>
      <c r="D29" s="15">
        <v>1</v>
      </c>
      <c r="E29" s="5" t="s">
        <v>5670</v>
      </c>
      <c r="F29" s="5">
        <v>12</v>
      </c>
      <c r="G29" s="5">
        <v>12</v>
      </c>
      <c r="H29" s="7">
        <v>24</v>
      </c>
      <c r="I29" s="31">
        <v>336</v>
      </c>
      <c r="J29" s="5" t="s">
        <v>6158</v>
      </c>
      <c r="K29" s="5">
        <v>4.5999999999999999E-2</v>
      </c>
      <c r="L29" s="5">
        <v>77</v>
      </c>
      <c r="M29" s="5">
        <v>77</v>
      </c>
      <c r="N29" s="5">
        <v>0</v>
      </c>
      <c r="O29" s="5">
        <v>0</v>
      </c>
      <c r="P29" s="5">
        <v>4.5</v>
      </c>
      <c r="Q29" s="5">
        <v>4.5</v>
      </c>
      <c r="R29" s="5" t="s">
        <v>5631</v>
      </c>
      <c r="S29" s="5">
        <v>4</v>
      </c>
      <c r="T29" s="5" t="s">
        <v>5646</v>
      </c>
      <c r="U29" s="5">
        <v>21</v>
      </c>
      <c r="V29" s="5" t="s">
        <v>972</v>
      </c>
      <c r="W29" s="5" t="s">
        <v>972</v>
      </c>
      <c r="X29" s="5" t="s">
        <v>6723</v>
      </c>
      <c r="Y29" s="5">
        <v>12</v>
      </c>
      <c r="Z29" s="35" t="s">
        <v>1812</v>
      </c>
      <c r="AA29" s="5">
        <v>14</v>
      </c>
      <c r="AB29" s="35" t="s">
        <v>4856</v>
      </c>
      <c r="AC29" s="5">
        <v>8</v>
      </c>
      <c r="AD29" s="5">
        <v>12</v>
      </c>
      <c r="AE29" s="5" t="s">
        <v>6159</v>
      </c>
      <c r="AF29" s="5"/>
      <c r="AG29" s="47" t="str">
        <f t="shared" si="2"/>
        <v>(181*'24'*336*'14,3 / 9,52 / 11,13 / 15,88 / 10,31'*'0,046'*77*77*0*0*4,5*4,5*4*21*NULL*12*14*8*12)*</v>
      </c>
    </row>
    <row r="30" spans="1:33" ht="20.100000000000001" customHeight="1" x14ac:dyDescent="0.25">
      <c r="A30" s="3">
        <v>182</v>
      </c>
      <c r="B30" s="27" t="s">
        <v>5138</v>
      </c>
      <c r="C30" s="22">
        <v>22282</v>
      </c>
      <c r="D30" s="15">
        <v>1</v>
      </c>
      <c r="E30" s="5" t="s">
        <v>4125</v>
      </c>
      <c r="F30" s="5">
        <v>11</v>
      </c>
      <c r="G30" s="5">
        <v>16</v>
      </c>
      <c r="H30" s="7" t="s">
        <v>6165</v>
      </c>
      <c r="I30" s="31">
        <v>509</v>
      </c>
      <c r="J30" s="5" t="s">
        <v>6164</v>
      </c>
      <c r="K30" s="5">
        <v>1.4999999999999999E-2</v>
      </c>
      <c r="L30" s="5">
        <v>65</v>
      </c>
      <c r="M30" s="5">
        <v>0</v>
      </c>
      <c r="N30" s="5">
        <v>0</v>
      </c>
      <c r="O30" s="5">
        <v>0</v>
      </c>
      <c r="P30" s="5">
        <v>3.56</v>
      </c>
      <c r="Q30" s="5">
        <v>0</v>
      </c>
      <c r="R30" s="5" t="s">
        <v>5635</v>
      </c>
      <c r="S30" s="5">
        <v>3</v>
      </c>
      <c r="T30" s="5" t="s">
        <v>6163</v>
      </c>
      <c r="U30" s="5">
        <v>14</v>
      </c>
      <c r="V30" s="5" t="s">
        <v>6162</v>
      </c>
      <c r="W30" s="5">
        <v>17</v>
      </c>
      <c r="X30" s="5" t="s">
        <v>5138</v>
      </c>
      <c r="Y30" s="5">
        <v>13</v>
      </c>
      <c r="Z30" s="35" t="s">
        <v>4856</v>
      </c>
      <c r="AA30" s="5">
        <v>8</v>
      </c>
      <c r="AB30" s="35" t="s">
        <v>1824</v>
      </c>
      <c r="AC30" s="5">
        <v>21</v>
      </c>
      <c r="AD30" s="5">
        <v>16</v>
      </c>
      <c r="AE30" s="5" t="s">
        <v>6166</v>
      </c>
      <c r="AF30" s="5"/>
      <c r="AG30" s="47" t="str">
        <f t="shared" si="2"/>
        <v>(182*'20 / 24'*509*'8,74 - 12,7 - 10,31 - 15,9'*'0,015'*65*0*0*0*3,56*0*3*14*17*13*8*21*16)*</v>
      </c>
    </row>
    <row r="31" spans="1:33" ht="20.100000000000001" customHeight="1" x14ac:dyDescent="0.25">
      <c r="A31" s="3">
        <v>183</v>
      </c>
      <c r="B31" s="27" t="s">
        <v>5139</v>
      </c>
      <c r="C31" s="22">
        <v>44805</v>
      </c>
      <c r="D31" s="15">
        <v>1</v>
      </c>
      <c r="E31" s="5" t="s">
        <v>4125</v>
      </c>
      <c r="F31" s="5">
        <v>11</v>
      </c>
      <c r="G31" s="5">
        <v>16</v>
      </c>
      <c r="H31" s="7">
        <v>20</v>
      </c>
      <c r="I31" s="31">
        <v>3.6</v>
      </c>
      <c r="J31" s="5">
        <v>11.13</v>
      </c>
      <c r="K31" s="5">
        <v>1.4999999999999999E-2</v>
      </c>
      <c r="L31" s="5">
        <v>70</v>
      </c>
      <c r="M31" s="5">
        <v>70</v>
      </c>
      <c r="N31" s="5">
        <v>0</v>
      </c>
      <c r="O31" s="5">
        <v>0</v>
      </c>
      <c r="P31" s="5">
        <v>0</v>
      </c>
      <c r="Q31" s="5">
        <v>0</v>
      </c>
      <c r="R31" s="5" t="s">
        <v>5631</v>
      </c>
      <c r="S31" s="5">
        <v>4</v>
      </c>
      <c r="T31" s="5" t="s">
        <v>5646</v>
      </c>
      <c r="U31" s="5">
        <v>21</v>
      </c>
      <c r="V31" s="5" t="s">
        <v>6162</v>
      </c>
      <c r="W31" s="5">
        <v>17</v>
      </c>
      <c r="X31" s="5" t="s">
        <v>5553</v>
      </c>
      <c r="Y31" s="5">
        <v>14</v>
      </c>
      <c r="Z31" s="35" t="s">
        <v>1824</v>
      </c>
      <c r="AA31" s="5">
        <v>21</v>
      </c>
      <c r="AB31" s="35" t="s">
        <v>6167</v>
      </c>
      <c r="AC31" s="50">
        <v>122</v>
      </c>
      <c r="AD31" s="5">
        <v>16</v>
      </c>
      <c r="AE31" s="5"/>
      <c r="AF31" s="5"/>
      <c r="AG31" s="47" t="str">
        <f t="shared" si="2"/>
        <v>(183*'20'*3,6*'11,13'*'0,015'*70*70*0*0*0*0*4*21*17*14*21*122*16)*</v>
      </c>
    </row>
    <row r="32" spans="1:33" ht="20.100000000000001" customHeight="1" x14ac:dyDescent="0.25">
      <c r="A32" s="3">
        <v>184</v>
      </c>
      <c r="B32" s="27" t="s">
        <v>5140</v>
      </c>
      <c r="C32" s="22">
        <v>27760</v>
      </c>
      <c r="D32" s="15">
        <v>1</v>
      </c>
      <c r="E32" s="5" t="s">
        <v>4125</v>
      </c>
      <c r="F32" s="5">
        <v>11</v>
      </c>
      <c r="G32" s="5">
        <v>16</v>
      </c>
      <c r="H32" s="7">
        <v>40</v>
      </c>
      <c r="I32" s="31">
        <v>507</v>
      </c>
      <c r="J32" s="5" t="s">
        <v>6169</v>
      </c>
      <c r="K32" s="5">
        <v>1.4999999999999999E-2</v>
      </c>
      <c r="L32" s="5">
        <v>69.8</v>
      </c>
      <c r="M32" s="5">
        <v>69.8</v>
      </c>
      <c r="N32" s="5">
        <v>0</v>
      </c>
      <c r="O32" s="5">
        <v>0</v>
      </c>
      <c r="P32" s="5">
        <v>13.679</v>
      </c>
      <c r="Q32" s="5">
        <v>13.679</v>
      </c>
      <c r="R32" s="5" t="s">
        <v>5635</v>
      </c>
      <c r="S32" s="5">
        <v>3</v>
      </c>
      <c r="T32" s="5" t="s">
        <v>6163</v>
      </c>
      <c r="U32" s="5">
        <v>14</v>
      </c>
      <c r="V32" s="5" t="s">
        <v>6162</v>
      </c>
      <c r="W32" s="5">
        <v>17</v>
      </c>
      <c r="X32" s="5" t="s">
        <v>5553</v>
      </c>
      <c r="Y32" s="5">
        <v>14</v>
      </c>
      <c r="Z32" s="35" t="s">
        <v>4856</v>
      </c>
      <c r="AA32" s="5">
        <v>8</v>
      </c>
      <c r="AB32" s="35" t="s">
        <v>1824</v>
      </c>
      <c r="AC32" s="5">
        <v>21</v>
      </c>
      <c r="AD32" s="5">
        <v>16</v>
      </c>
      <c r="AE32" s="5" t="s">
        <v>6168</v>
      </c>
      <c r="AF32" s="5"/>
      <c r="AG32" s="47" t="str">
        <f t="shared" si="2"/>
        <v>(184*'40'*507*'11,13 - 12,7 - 19,05'*'0,015'*69,8*69,8*0*0*13,679*13,679*3*14*17*14*8*21*16)*</v>
      </c>
    </row>
    <row r="33" spans="1:33" ht="20.100000000000001" customHeight="1" x14ac:dyDescent="0.25">
      <c r="A33" s="3">
        <v>185</v>
      </c>
      <c r="B33" s="27" t="s">
        <v>5141</v>
      </c>
      <c r="C33" s="22">
        <v>29952</v>
      </c>
      <c r="D33" s="15">
        <v>1</v>
      </c>
      <c r="E33" s="5" t="s">
        <v>4125</v>
      </c>
      <c r="F33" s="5">
        <v>11</v>
      </c>
      <c r="G33" s="5">
        <v>16</v>
      </c>
      <c r="H33" s="7">
        <v>40</v>
      </c>
      <c r="I33" s="31">
        <v>511</v>
      </c>
      <c r="J33" s="5" t="s">
        <v>6169</v>
      </c>
      <c r="K33" s="5">
        <v>1.4999999999999999E-2</v>
      </c>
      <c r="L33" s="5">
        <v>67</v>
      </c>
      <c r="M33" s="5">
        <v>67</v>
      </c>
      <c r="N33" s="5">
        <v>0</v>
      </c>
      <c r="O33" s="5">
        <v>0</v>
      </c>
      <c r="P33" s="5">
        <v>12.507</v>
      </c>
      <c r="Q33" s="5">
        <v>12.507</v>
      </c>
      <c r="R33" s="5" t="s">
        <v>5635</v>
      </c>
      <c r="S33" s="5">
        <v>3</v>
      </c>
      <c r="T33" s="5" t="s">
        <v>6163</v>
      </c>
      <c r="U33" s="5">
        <v>14</v>
      </c>
      <c r="V33" s="5" t="s">
        <v>6162</v>
      </c>
      <c r="W33" s="5">
        <v>17</v>
      </c>
      <c r="X33" s="5" t="s">
        <v>5553</v>
      </c>
      <c r="Y33" s="5">
        <v>14</v>
      </c>
      <c r="Z33" s="35" t="s">
        <v>4856</v>
      </c>
      <c r="AA33" s="5">
        <v>8</v>
      </c>
      <c r="AB33" s="35" t="s">
        <v>1824</v>
      </c>
      <c r="AC33" s="5">
        <v>21</v>
      </c>
      <c r="AD33" s="5">
        <v>16</v>
      </c>
      <c r="AE33" s="5" t="s">
        <v>6211</v>
      </c>
      <c r="AF33" s="5"/>
      <c r="AG33" s="47" t="str">
        <f t="shared" si="2"/>
        <v>(185*'40'*511*'11,13 - 12,7 - 19,05'*'0,015'*67*67*0*0*12,507*12,507*3*14*17*14*8*21*16)*</v>
      </c>
    </row>
    <row r="34" spans="1:33" ht="20.100000000000001" customHeight="1" x14ac:dyDescent="0.25">
      <c r="A34" s="3">
        <v>186</v>
      </c>
      <c r="B34" s="27" t="s">
        <v>5142</v>
      </c>
      <c r="C34" s="22"/>
      <c r="D34" s="15">
        <v>1</v>
      </c>
      <c r="E34" s="5" t="s">
        <v>4125</v>
      </c>
      <c r="F34" s="5">
        <v>11</v>
      </c>
      <c r="G34" s="5">
        <v>16</v>
      </c>
      <c r="H34" s="7">
        <v>40</v>
      </c>
      <c r="I34" s="31">
        <v>221</v>
      </c>
      <c r="J34" s="5" t="s">
        <v>6170</v>
      </c>
      <c r="K34" s="5">
        <v>1.4999999999999999E-2</v>
      </c>
      <c r="L34" s="5">
        <v>67</v>
      </c>
      <c r="M34" s="5">
        <v>0</v>
      </c>
      <c r="N34" s="5">
        <v>0</v>
      </c>
      <c r="O34" s="5">
        <v>0</v>
      </c>
      <c r="P34" s="5">
        <v>0</v>
      </c>
      <c r="Q34" s="5">
        <v>0</v>
      </c>
      <c r="R34" s="5" t="s">
        <v>5631</v>
      </c>
      <c r="S34" s="5">
        <v>4</v>
      </c>
      <c r="T34" s="5" t="s">
        <v>972</v>
      </c>
      <c r="U34" s="5" t="s">
        <v>972</v>
      </c>
      <c r="V34" s="5" t="s">
        <v>972</v>
      </c>
      <c r="W34" s="5" t="s">
        <v>972</v>
      </c>
      <c r="X34" s="5" t="s">
        <v>5553</v>
      </c>
      <c r="Y34" s="5">
        <v>14</v>
      </c>
      <c r="Z34" s="35"/>
      <c r="AA34" s="50"/>
      <c r="AB34" s="35"/>
      <c r="AC34" s="50"/>
      <c r="AD34" s="5"/>
      <c r="AE34" s="5"/>
      <c r="AF34" s="5"/>
      <c r="AG34" s="47" t="str">
        <f t="shared" si="1"/>
        <v>(186*'40'*221*'11,91 / 12,7 / 14,25 / 19,05'*'0,015'*67*0*0*0*0*0*4*NULL*NULL*14**)*</v>
      </c>
    </row>
    <row r="35" spans="1:33" ht="20.100000000000001" customHeight="1" x14ac:dyDescent="0.25">
      <c r="A35" s="3">
        <v>187</v>
      </c>
      <c r="B35" s="27" t="s">
        <v>5143</v>
      </c>
      <c r="C35" s="22">
        <v>32509</v>
      </c>
      <c r="D35" s="15">
        <v>1</v>
      </c>
      <c r="E35" s="5" t="s">
        <v>4125</v>
      </c>
      <c r="F35" s="5">
        <v>11</v>
      </c>
      <c r="G35" s="5">
        <v>16</v>
      </c>
      <c r="H35" s="7">
        <v>42</v>
      </c>
      <c r="I35" s="31">
        <v>517</v>
      </c>
      <c r="J35" s="5" t="s">
        <v>6171</v>
      </c>
      <c r="K35" s="5">
        <v>1.4999999999999999E-2</v>
      </c>
      <c r="L35" s="5">
        <v>65</v>
      </c>
      <c r="M35" s="5">
        <v>65</v>
      </c>
      <c r="N35" s="5">
        <v>0</v>
      </c>
      <c r="O35" s="5">
        <v>0</v>
      </c>
      <c r="P35" s="5">
        <v>14.462</v>
      </c>
      <c r="Q35" s="5">
        <v>14.462</v>
      </c>
      <c r="R35" s="5" t="s">
        <v>6172</v>
      </c>
      <c r="S35" s="5">
        <v>4</v>
      </c>
      <c r="T35" s="5" t="s">
        <v>6173</v>
      </c>
      <c r="U35" s="5">
        <v>14</v>
      </c>
      <c r="V35" s="5" t="s">
        <v>6162</v>
      </c>
      <c r="W35" s="5">
        <v>17</v>
      </c>
      <c r="X35" s="5" t="s">
        <v>5553</v>
      </c>
      <c r="Y35" s="5">
        <v>14</v>
      </c>
      <c r="Z35" s="35" t="s">
        <v>4856</v>
      </c>
      <c r="AA35" s="5">
        <v>8</v>
      </c>
      <c r="AB35" s="35" t="s">
        <v>1824</v>
      </c>
      <c r="AC35" s="5">
        <v>21</v>
      </c>
      <c r="AD35" s="5">
        <v>16</v>
      </c>
      <c r="AE35" s="5" t="s">
        <v>6174</v>
      </c>
      <c r="AF35" s="5"/>
      <c r="AG35" s="47" t="str">
        <f>CONCATENATE("(",A35,"*'",H35,"'*",I35,"*'",J35,"'*'",K35,"'*",L35,"*",M35,"*",N35,"*",O35,"*",P35,"*",Q35,"*",S35,"*",U35,"*",W35,"*",Y35,"*",AA35,"*",AC35,"*",AD35,")*")</f>
        <v>(187*'42'*517*'11,13 / 12,7 / 14,3 / 0,6 '*'0,015'*65*65*0*0*14,462*14,462*4*14*17*14*8*21*16)*</v>
      </c>
    </row>
    <row r="36" spans="1:33" ht="20.100000000000001" customHeight="1" x14ac:dyDescent="0.25">
      <c r="A36" s="3">
        <v>188</v>
      </c>
      <c r="B36" s="27" t="s">
        <v>5144</v>
      </c>
      <c r="C36" s="22"/>
      <c r="D36" s="15">
        <v>1</v>
      </c>
      <c r="E36" s="5" t="s">
        <v>4125</v>
      </c>
      <c r="F36" s="5">
        <v>11</v>
      </c>
      <c r="G36" s="5">
        <v>16</v>
      </c>
      <c r="H36" s="7">
        <v>42</v>
      </c>
      <c r="I36" s="31"/>
      <c r="J36" s="7" t="s">
        <v>6175</v>
      </c>
      <c r="K36" s="5">
        <v>1.4999999999999999E-2</v>
      </c>
      <c r="L36" s="5">
        <v>0</v>
      </c>
      <c r="M36" s="5">
        <v>0</v>
      </c>
      <c r="N36" s="5">
        <v>0</v>
      </c>
      <c r="O36" s="5">
        <v>0</v>
      </c>
      <c r="P36" s="5">
        <v>0</v>
      </c>
      <c r="Q36" s="5">
        <v>0</v>
      </c>
      <c r="R36" s="5" t="s">
        <v>5631</v>
      </c>
      <c r="S36" s="5">
        <v>4</v>
      </c>
      <c r="T36" s="5" t="s">
        <v>972</v>
      </c>
      <c r="U36" s="5" t="s">
        <v>972</v>
      </c>
      <c r="V36" s="5" t="s">
        <v>972</v>
      </c>
      <c r="W36" s="5" t="s">
        <v>972</v>
      </c>
      <c r="X36" s="5" t="s">
        <v>5553</v>
      </c>
      <c r="Y36" s="5">
        <v>14</v>
      </c>
      <c r="Z36" s="35"/>
      <c r="AA36" s="50"/>
      <c r="AB36" s="35"/>
      <c r="AC36" s="50"/>
      <c r="AD36" s="5"/>
      <c r="AE36" s="5"/>
      <c r="AF36" s="5"/>
      <c r="AG36" s="47" t="str">
        <f t="shared" si="1"/>
        <v>(188*'42'**'11,91 - 22,22'*'0,015'*0*0*0*0*0*0*4*NULL*NULL*14**)*</v>
      </c>
    </row>
    <row r="37" spans="1:33" ht="20.100000000000001" customHeight="1" x14ac:dyDescent="0.25">
      <c r="A37" s="3">
        <v>189</v>
      </c>
      <c r="B37" s="27" t="s">
        <v>5145</v>
      </c>
      <c r="C37" s="22"/>
      <c r="D37" s="15">
        <v>1</v>
      </c>
      <c r="E37" s="5" t="s">
        <v>4125</v>
      </c>
      <c r="F37" s="5">
        <v>11</v>
      </c>
      <c r="G37" s="5">
        <v>16</v>
      </c>
      <c r="H37" s="7">
        <v>42</v>
      </c>
      <c r="I37" s="31"/>
      <c r="J37" s="7" t="s">
        <v>6175</v>
      </c>
      <c r="K37" s="5">
        <v>1.4999999999999999E-2</v>
      </c>
      <c r="L37" s="5">
        <v>0</v>
      </c>
      <c r="M37" s="5">
        <v>0</v>
      </c>
      <c r="N37" s="5">
        <v>0</v>
      </c>
      <c r="O37" s="5">
        <v>0</v>
      </c>
      <c r="P37" s="5">
        <v>0</v>
      </c>
      <c r="Q37" s="5">
        <v>0</v>
      </c>
      <c r="R37" s="5" t="s">
        <v>5631</v>
      </c>
      <c r="S37" s="5">
        <v>4</v>
      </c>
      <c r="T37" s="5" t="s">
        <v>972</v>
      </c>
      <c r="U37" s="5" t="s">
        <v>972</v>
      </c>
      <c r="V37" s="5" t="s">
        <v>972</v>
      </c>
      <c r="W37" s="5" t="s">
        <v>972</v>
      </c>
      <c r="X37" s="5" t="s">
        <v>5553</v>
      </c>
      <c r="Y37" s="5">
        <v>14</v>
      </c>
      <c r="Z37" s="35"/>
      <c r="AA37" s="50"/>
      <c r="AB37" s="35"/>
      <c r="AC37" s="50"/>
      <c r="AD37" s="5"/>
      <c r="AE37" s="5"/>
      <c r="AF37" s="5"/>
      <c r="AG37" s="47" t="str">
        <f t="shared" si="1"/>
        <v>(189*'42'**'11,91 - 22,22'*'0,015'*0*0*0*0*0*0*4*NULL*NULL*14**)*</v>
      </c>
    </row>
    <row r="38" spans="1:33" ht="20.100000000000001" customHeight="1" x14ac:dyDescent="0.25">
      <c r="A38" s="3">
        <v>190</v>
      </c>
      <c r="B38" s="27" t="s">
        <v>5146</v>
      </c>
      <c r="C38" s="22">
        <v>39841</v>
      </c>
      <c r="D38" s="15">
        <v>1</v>
      </c>
      <c r="E38" s="5" t="s">
        <v>4125</v>
      </c>
      <c r="F38" s="5">
        <v>11</v>
      </c>
      <c r="G38" s="5">
        <v>16</v>
      </c>
      <c r="H38" s="7">
        <v>48</v>
      </c>
      <c r="I38" s="31">
        <v>513.17200000000003</v>
      </c>
      <c r="J38" s="7" t="s">
        <v>6175</v>
      </c>
      <c r="K38" s="5">
        <v>1.4999999999999999E-2</v>
      </c>
      <c r="L38" s="5">
        <v>70</v>
      </c>
      <c r="M38" s="5">
        <v>70</v>
      </c>
      <c r="N38" s="5">
        <v>0</v>
      </c>
      <c r="O38" s="5">
        <v>0</v>
      </c>
      <c r="P38" s="5">
        <v>0</v>
      </c>
      <c r="Q38" s="5">
        <v>0</v>
      </c>
      <c r="R38" s="5" t="s">
        <v>6177</v>
      </c>
      <c r="S38" s="5">
        <v>6</v>
      </c>
      <c r="T38" s="5" t="s">
        <v>5632</v>
      </c>
      <c r="U38" s="5">
        <v>11</v>
      </c>
      <c r="V38" s="5" t="s">
        <v>972</v>
      </c>
      <c r="W38" s="5" t="s">
        <v>972</v>
      </c>
      <c r="X38" s="5" t="s">
        <v>5259</v>
      </c>
      <c r="Y38" s="5">
        <v>15</v>
      </c>
      <c r="Z38" s="35" t="s">
        <v>4856</v>
      </c>
      <c r="AA38" s="5">
        <v>8</v>
      </c>
      <c r="AB38" s="35" t="s">
        <v>1824</v>
      </c>
      <c r="AC38" s="5">
        <v>21</v>
      </c>
      <c r="AD38" s="5">
        <v>16</v>
      </c>
      <c r="AE38" s="5" t="s">
        <v>6176</v>
      </c>
      <c r="AF38" s="5"/>
      <c r="AG38" s="47" t="str">
        <f>CONCATENATE("(",A38,"*'",H38,"'*",I38,"*'",J38,"'*'",K38,"'*",L38,"*",M38,"*",N38,"*",O38,"*",P38,"*",Q38,"*",S38,"*",U38,"*",W38,"*",Y38,"*",AA38,"*",AC38,"*",AD38,")*")</f>
        <v>(190*'48'*513,172*'11,91 - 22,22'*'0,015'*70*70*0*0*0*0*6*11*NULL*15*8*21*16)*</v>
      </c>
    </row>
    <row r="39" spans="1:33" ht="20.100000000000001" customHeight="1" x14ac:dyDescent="0.25">
      <c r="A39" s="3">
        <v>191</v>
      </c>
      <c r="B39" s="27" t="s">
        <v>5147</v>
      </c>
      <c r="C39" s="22">
        <v>40284</v>
      </c>
      <c r="D39" s="15">
        <v>1</v>
      </c>
      <c r="E39" s="5" t="s">
        <v>4125</v>
      </c>
      <c r="F39" s="5">
        <v>11</v>
      </c>
      <c r="G39" s="5">
        <v>16</v>
      </c>
      <c r="H39" s="7">
        <v>48</v>
      </c>
      <c r="I39" s="31">
        <v>120.37</v>
      </c>
      <c r="J39" s="7" t="s">
        <v>6175</v>
      </c>
      <c r="K39" s="5">
        <v>1.4999999999999999E-2</v>
      </c>
      <c r="L39" s="5">
        <v>70</v>
      </c>
      <c r="M39" s="5">
        <v>45</v>
      </c>
      <c r="N39" s="5">
        <v>0</v>
      </c>
      <c r="O39" s="5">
        <v>0</v>
      </c>
      <c r="P39" s="5">
        <v>0</v>
      </c>
      <c r="Q39" s="5">
        <v>0</v>
      </c>
      <c r="R39" s="5" t="s">
        <v>6177</v>
      </c>
      <c r="S39" s="5">
        <v>6</v>
      </c>
      <c r="T39" s="5" t="s">
        <v>5632</v>
      </c>
      <c r="U39" s="5">
        <v>11</v>
      </c>
      <c r="V39" s="5" t="s">
        <v>972</v>
      </c>
      <c r="W39" s="5" t="s">
        <v>972</v>
      </c>
      <c r="X39" s="5" t="s">
        <v>5259</v>
      </c>
      <c r="Y39" s="5">
        <v>15</v>
      </c>
      <c r="Z39" s="35" t="s">
        <v>6179</v>
      </c>
      <c r="AA39" s="50" t="s">
        <v>6179</v>
      </c>
      <c r="AB39" s="35" t="s">
        <v>2048</v>
      </c>
      <c r="AC39" s="5">
        <v>3</v>
      </c>
      <c r="AD39" s="5"/>
      <c r="AE39" s="5" t="s">
        <v>6178</v>
      </c>
      <c r="AF39" s="5"/>
      <c r="AG39" s="47" t="str">
        <f t="shared" si="1"/>
        <v>(191*'48'*120,37*'11,91 - 22,22'*'0,015'*70*45*0*0*0*0*6*11*NULL*15*Mactaa Douz*3)*</v>
      </c>
    </row>
    <row r="40" spans="1:33" ht="20.100000000000001" customHeight="1" x14ac:dyDescent="0.25">
      <c r="A40" s="3">
        <v>192</v>
      </c>
      <c r="B40" s="27" t="s">
        <v>5148</v>
      </c>
      <c r="C40" s="22"/>
      <c r="D40" s="15">
        <v>1</v>
      </c>
      <c r="E40" s="5" t="s">
        <v>4125</v>
      </c>
      <c r="F40" s="5">
        <v>11</v>
      </c>
      <c r="G40" s="5">
        <v>16</v>
      </c>
      <c r="H40" s="7"/>
      <c r="I40" s="31"/>
      <c r="J40" s="7" t="s">
        <v>6175</v>
      </c>
      <c r="K40" s="5">
        <v>1.4999999999999999E-2</v>
      </c>
      <c r="L40" s="5">
        <v>0</v>
      </c>
      <c r="M40" s="5">
        <v>0</v>
      </c>
      <c r="N40" s="5">
        <v>0</v>
      </c>
      <c r="O40" s="5">
        <v>0</v>
      </c>
      <c r="P40" s="5">
        <v>0</v>
      </c>
      <c r="Q40" s="5">
        <v>0</v>
      </c>
      <c r="R40" s="5" t="s">
        <v>5631</v>
      </c>
      <c r="S40" s="5">
        <v>4</v>
      </c>
      <c r="T40" s="5" t="s">
        <v>972</v>
      </c>
      <c r="U40" s="5" t="s">
        <v>972</v>
      </c>
      <c r="V40" s="5" t="s">
        <v>972</v>
      </c>
      <c r="W40" s="5" t="s">
        <v>972</v>
      </c>
      <c r="X40" s="5" t="s">
        <v>5259</v>
      </c>
      <c r="Y40" s="5">
        <v>15</v>
      </c>
      <c r="Z40" s="35"/>
      <c r="AA40" s="5"/>
      <c r="AB40" s="35" t="s">
        <v>4850</v>
      </c>
      <c r="AC40" s="5">
        <v>3</v>
      </c>
      <c r="AD40" s="5"/>
      <c r="AE40" s="5"/>
      <c r="AF40" s="5"/>
      <c r="AG40" s="47" t="str">
        <f t="shared" si="1"/>
        <v>(192*''**'11,91 - 22,22'*'0,015'*0*0*0*0*0*0*4*NULL*NULL*15**3)*</v>
      </c>
    </row>
    <row r="41" spans="1:33" ht="20.100000000000001" customHeight="1" x14ac:dyDescent="0.25">
      <c r="A41" s="3">
        <v>193</v>
      </c>
      <c r="B41" s="27" t="s">
        <v>5149</v>
      </c>
      <c r="C41" s="22">
        <v>25934</v>
      </c>
      <c r="D41" s="15">
        <v>1</v>
      </c>
      <c r="E41" s="5" t="s">
        <v>4133</v>
      </c>
      <c r="F41" s="5">
        <v>13</v>
      </c>
      <c r="G41" s="5">
        <v>16</v>
      </c>
      <c r="H41" s="7">
        <v>40</v>
      </c>
      <c r="I41" s="31">
        <v>574.87</v>
      </c>
      <c r="J41" s="5" t="s">
        <v>6190</v>
      </c>
      <c r="K41" s="5">
        <v>3.5000000000000003E-2</v>
      </c>
      <c r="L41" s="5">
        <v>70</v>
      </c>
      <c r="M41" s="5">
        <v>70</v>
      </c>
      <c r="N41" s="5">
        <v>0</v>
      </c>
      <c r="O41" s="5">
        <v>0</v>
      </c>
      <c r="P41" s="5">
        <v>20.47</v>
      </c>
      <c r="Q41" s="5">
        <v>20.47</v>
      </c>
      <c r="R41" s="5" t="s">
        <v>6189</v>
      </c>
      <c r="S41" s="5">
        <v>4</v>
      </c>
      <c r="T41" s="5" t="s">
        <v>6186</v>
      </c>
      <c r="U41" s="5">
        <v>14</v>
      </c>
      <c r="V41" s="5" t="s">
        <v>6162</v>
      </c>
      <c r="W41" s="5">
        <v>17</v>
      </c>
      <c r="X41" s="5" t="s">
        <v>5557</v>
      </c>
      <c r="Y41" s="5">
        <v>17</v>
      </c>
      <c r="Z41" s="35" t="s">
        <v>4856</v>
      </c>
      <c r="AA41" s="5">
        <v>8</v>
      </c>
      <c r="AB41" s="35" t="s">
        <v>1012</v>
      </c>
      <c r="AC41" s="5">
        <v>34</v>
      </c>
      <c r="AD41" s="5">
        <v>16</v>
      </c>
      <c r="AE41" s="5" t="s">
        <v>6212</v>
      </c>
      <c r="AF41" s="5"/>
      <c r="AG41" s="47" t="str">
        <f t="shared" ref="AG41:AG42" si="3">CONCATENATE("(",A41,"*'",H41,"'*",I41,"*'",J41,"'*'",K41,"'*",L41,"*",M41,"*",N41,"*",O41,"*",P41,"*",Q41,"*",S41,"*",U41,"*",W41,"*",Y41,"*",AA41,"*",AC41,"*",AD41,")*")</f>
        <v>(193*'40'*574,87*'12,7 / 15,88 / 19,43 / 19,05 '*'0,035'*70*70*0*0*20,47*20,47*4*14*17*17*8*34*16)*</v>
      </c>
    </row>
    <row r="42" spans="1:33" ht="20.100000000000001" customHeight="1" x14ac:dyDescent="0.25">
      <c r="A42" s="3">
        <v>194</v>
      </c>
      <c r="B42" s="27" t="s">
        <v>5150</v>
      </c>
      <c r="C42" s="22">
        <v>35796</v>
      </c>
      <c r="D42" s="15">
        <v>1</v>
      </c>
      <c r="E42" s="5" t="s">
        <v>4133</v>
      </c>
      <c r="F42" s="5">
        <v>13</v>
      </c>
      <c r="G42" s="5">
        <v>16</v>
      </c>
      <c r="H42" s="7">
        <v>42</v>
      </c>
      <c r="I42" s="31">
        <v>575.54499999999996</v>
      </c>
      <c r="J42" s="5" t="s">
        <v>6190</v>
      </c>
      <c r="K42" s="5">
        <v>1.4999999999999999E-2</v>
      </c>
      <c r="L42" s="5">
        <v>70</v>
      </c>
      <c r="M42" s="5">
        <v>70</v>
      </c>
      <c r="N42" s="5">
        <v>0</v>
      </c>
      <c r="O42" s="5">
        <v>0</v>
      </c>
      <c r="P42" s="5">
        <v>20.47</v>
      </c>
      <c r="Q42" s="5">
        <v>20.47</v>
      </c>
      <c r="R42" s="5" t="s">
        <v>6187</v>
      </c>
      <c r="S42" s="5">
        <v>4</v>
      </c>
      <c r="T42" s="5" t="s">
        <v>6186</v>
      </c>
      <c r="U42" s="5">
        <v>14</v>
      </c>
      <c r="V42" s="5" t="s">
        <v>6162</v>
      </c>
      <c r="W42" s="5">
        <v>17</v>
      </c>
      <c r="X42" s="5" t="s">
        <v>5557</v>
      </c>
      <c r="Y42" s="5">
        <v>17</v>
      </c>
      <c r="Z42" s="35" t="s">
        <v>4856</v>
      </c>
      <c r="AA42" s="5">
        <v>8</v>
      </c>
      <c r="AB42" s="35" t="s">
        <v>1012</v>
      </c>
      <c r="AC42" s="5">
        <v>34</v>
      </c>
      <c r="AD42" s="5">
        <v>16</v>
      </c>
      <c r="AE42" s="5" t="s">
        <v>6188</v>
      </c>
      <c r="AF42" s="5"/>
      <c r="AG42" s="47" t="str">
        <f t="shared" si="3"/>
        <v>(194*'42'*575,545*'12,7 / 15,88 / 19,43 / 19,05 '*'0,015'*70*70*0*0*20,47*20,47*4*14*17*17*8*34*16)*</v>
      </c>
    </row>
    <row r="43" spans="1:33" ht="20.100000000000001" customHeight="1" x14ac:dyDescent="0.25">
      <c r="A43" s="3">
        <v>195</v>
      </c>
      <c r="B43" s="27" t="s">
        <v>5151</v>
      </c>
      <c r="C43" s="22"/>
      <c r="D43" s="15">
        <v>1</v>
      </c>
      <c r="E43" s="5" t="s">
        <v>4133</v>
      </c>
      <c r="F43" s="5">
        <v>13</v>
      </c>
      <c r="G43" s="5">
        <v>16</v>
      </c>
      <c r="H43" s="7"/>
      <c r="I43" s="31"/>
      <c r="J43" s="5" t="s">
        <v>6191</v>
      </c>
      <c r="K43" s="5">
        <v>1.4999999999999999E-2</v>
      </c>
      <c r="L43" s="5">
        <v>0</v>
      </c>
      <c r="M43" s="5">
        <v>0</v>
      </c>
      <c r="N43" s="5">
        <v>0</v>
      </c>
      <c r="O43" s="5">
        <v>0</v>
      </c>
      <c r="P43" s="5">
        <v>9.66</v>
      </c>
      <c r="Q43" s="5">
        <v>9.66</v>
      </c>
      <c r="R43" s="5" t="s">
        <v>5631</v>
      </c>
      <c r="S43" s="5">
        <v>4</v>
      </c>
      <c r="T43" s="5" t="s">
        <v>972</v>
      </c>
      <c r="U43" s="5" t="s">
        <v>972</v>
      </c>
      <c r="V43" s="5" t="s">
        <v>972</v>
      </c>
      <c r="W43" s="5" t="s">
        <v>972</v>
      </c>
      <c r="X43" s="5" t="s">
        <v>5260</v>
      </c>
      <c r="Y43" s="5">
        <v>18</v>
      </c>
      <c r="Z43" s="35" t="s">
        <v>4856</v>
      </c>
      <c r="AA43" s="5">
        <v>8</v>
      </c>
      <c r="AB43" s="35" t="s">
        <v>6724</v>
      </c>
      <c r="AC43" s="49" t="s">
        <v>6724</v>
      </c>
      <c r="AD43" s="35"/>
      <c r="AE43" s="5"/>
      <c r="AF43" s="5"/>
      <c r="AG43" s="47" t="str">
        <f t="shared" si="1"/>
        <v>(195*''**'14,3 / 22,22'*'0,015'*0*0*0*0*9,66*9,66*4*NULL*NULL*18*8*EL Kala)*</v>
      </c>
    </row>
    <row r="44" spans="1:33" ht="20.100000000000001" customHeight="1" x14ac:dyDescent="0.25">
      <c r="A44" s="3">
        <v>196</v>
      </c>
      <c r="B44" s="27" t="s">
        <v>5152</v>
      </c>
      <c r="C44" s="22"/>
      <c r="D44" s="15">
        <v>1</v>
      </c>
      <c r="E44" s="5" t="s">
        <v>4133</v>
      </c>
      <c r="F44" s="5">
        <v>13</v>
      </c>
      <c r="G44" s="5">
        <v>16</v>
      </c>
      <c r="H44" s="7">
        <v>48</v>
      </c>
      <c r="I44" s="31">
        <v>87</v>
      </c>
      <c r="J44" s="5" t="s">
        <v>6191</v>
      </c>
      <c r="K44" s="5">
        <v>1.4999999999999999E-2</v>
      </c>
      <c r="L44" s="5">
        <v>71.5</v>
      </c>
      <c r="M44" s="5">
        <v>0</v>
      </c>
      <c r="N44" s="5">
        <v>0</v>
      </c>
      <c r="O44" s="5">
        <v>0</v>
      </c>
      <c r="P44" s="5">
        <v>0</v>
      </c>
      <c r="Q44" s="5">
        <v>0</v>
      </c>
      <c r="R44" s="5" t="s">
        <v>6181</v>
      </c>
      <c r="S44" s="5">
        <v>6</v>
      </c>
      <c r="T44" s="5" t="s">
        <v>972</v>
      </c>
      <c r="U44" s="5" t="s">
        <v>972</v>
      </c>
      <c r="V44" s="5" t="s">
        <v>972</v>
      </c>
      <c r="W44" s="5" t="s">
        <v>972</v>
      </c>
      <c r="X44" s="5" t="s">
        <v>5260</v>
      </c>
      <c r="Y44" s="5">
        <v>18</v>
      </c>
      <c r="Z44" s="35"/>
      <c r="AA44" s="50"/>
      <c r="AB44" s="35"/>
      <c r="AC44" s="50"/>
      <c r="AD44" s="5"/>
      <c r="AE44" s="5"/>
      <c r="AF44" s="5"/>
      <c r="AG44" s="47" t="str">
        <f t="shared" si="1"/>
        <v>(196*'48'*87*'14,3 / 22,22'*'0,015'*71,5*0*0*0*0*0*6*NULL*NULL*18**)*</v>
      </c>
    </row>
    <row r="45" spans="1:33" ht="20.100000000000001" customHeight="1" x14ac:dyDescent="0.25">
      <c r="A45" s="3">
        <v>197</v>
      </c>
      <c r="B45" s="27" t="s">
        <v>5153</v>
      </c>
      <c r="C45" s="22">
        <v>29587</v>
      </c>
      <c r="D45" s="15">
        <v>1</v>
      </c>
      <c r="E45" s="5" t="s">
        <v>4141</v>
      </c>
      <c r="F45" s="5">
        <v>15</v>
      </c>
      <c r="G45" s="5">
        <v>16</v>
      </c>
      <c r="H45" s="7">
        <v>42</v>
      </c>
      <c r="I45" s="31">
        <v>437</v>
      </c>
      <c r="J45" s="5" t="s">
        <v>6220</v>
      </c>
      <c r="K45" s="5">
        <v>1.4999999999999999E-2</v>
      </c>
      <c r="L45" s="5">
        <v>70</v>
      </c>
      <c r="M45" s="5">
        <v>70</v>
      </c>
      <c r="N45" s="5">
        <v>0</v>
      </c>
      <c r="O45" s="5">
        <v>0</v>
      </c>
      <c r="P45" s="5">
        <v>11.3</v>
      </c>
      <c r="Q45" s="5">
        <v>11.3</v>
      </c>
      <c r="R45" s="5" t="s">
        <v>5631</v>
      </c>
      <c r="S45" s="5">
        <v>4</v>
      </c>
      <c r="T45" s="5">
        <v>11.3</v>
      </c>
      <c r="U45" s="5">
        <v>14</v>
      </c>
      <c r="V45" s="5" t="s">
        <v>972</v>
      </c>
      <c r="W45" s="5" t="s">
        <v>972</v>
      </c>
      <c r="X45" s="5" t="s">
        <v>5153</v>
      </c>
      <c r="Y45" s="5">
        <v>20</v>
      </c>
      <c r="Z45" s="35" t="s">
        <v>4856</v>
      </c>
      <c r="AA45" s="5">
        <v>8</v>
      </c>
      <c r="AB45" s="35" t="s">
        <v>6223</v>
      </c>
      <c r="AC45" s="5">
        <v>24</v>
      </c>
      <c r="AD45" s="5">
        <v>16</v>
      </c>
      <c r="AE45" s="5" t="s">
        <v>6221</v>
      </c>
      <c r="AF45" s="5"/>
      <c r="AG45" s="47" t="str">
        <f t="shared" ref="AG45:AG46" si="4">CONCATENATE("(",A45,"*'",H45,"'*",I45,"*'",J45,"'*'",K45,"'*",L45,"*",M45,"*",N45,"*",O45,"*",P45,"*",Q45,"*",S45,"*",U45,"*",W45,"*",Y45,"*",AA45,"*",AC45,"*",AD45,")*")</f>
        <v>(197*'42'*437*'11,91 / 12,7 / 19,05'*'0,015'*70*70*0*0*11,3*11,3*4*14*NULL*20*8*24*16)*</v>
      </c>
    </row>
    <row r="46" spans="1:33" ht="20.100000000000001" customHeight="1" x14ac:dyDescent="0.25">
      <c r="A46" s="3">
        <v>198</v>
      </c>
      <c r="B46" s="27" t="s">
        <v>5154</v>
      </c>
      <c r="C46" s="22">
        <v>43800</v>
      </c>
      <c r="D46" s="15">
        <v>1</v>
      </c>
      <c r="E46" s="5" t="s">
        <v>4141</v>
      </c>
      <c r="F46" s="5">
        <v>15</v>
      </c>
      <c r="G46" s="5">
        <v>16</v>
      </c>
      <c r="H46" s="7">
        <v>42</v>
      </c>
      <c r="I46" s="31">
        <v>207</v>
      </c>
      <c r="J46" s="5" t="s">
        <v>6222</v>
      </c>
      <c r="K46" s="5">
        <v>1.4999999999999999E-2</v>
      </c>
      <c r="L46" s="5">
        <v>70</v>
      </c>
      <c r="M46" s="5">
        <v>70</v>
      </c>
      <c r="N46" s="5">
        <v>0</v>
      </c>
      <c r="O46" s="5">
        <v>0</v>
      </c>
      <c r="P46" s="5">
        <v>0</v>
      </c>
      <c r="Q46" s="5">
        <v>0</v>
      </c>
      <c r="R46" s="5" t="s">
        <v>6181</v>
      </c>
      <c r="S46" s="5">
        <v>6</v>
      </c>
      <c r="T46" s="5" t="s">
        <v>5646</v>
      </c>
      <c r="U46" s="5" t="s">
        <v>972</v>
      </c>
      <c r="V46" s="5" t="s">
        <v>972</v>
      </c>
      <c r="W46" s="5" t="s">
        <v>972</v>
      </c>
      <c r="X46" s="5" t="s">
        <v>5153</v>
      </c>
      <c r="Y46" s="5">
        <v>20</v>
      </c>
      <c r="Z46" s="35" t="s">
        <v>6224</v>
      </c>
      <c r="AA46" s="5">
        <v>9</v>
      </c>
      <c r="AB46" s="35" t="s">
        <v>6223</v>
      </c>
      <c r="AC46" s="5">
        <v>24</v>
      </c>
      <c r="AD46" s="5">
        <v>16</v>
      </c>
      <c r="AE46" s="5"/>
      <c r="AF46" s="5"/>
      <c r="AG46" s="47" t="str">
        <f t="shared" si="4"/>
        <v>(198*'42'*207*'20,62 / 14,27'*'0,015'*70*70*0*0*0*0*6*NULL*NULL*20*9*24*16)*</v>
      </c>
    </row>
    <row r="47" spans="1:33" ht="20.100000000000001" customHeight="1" x14ac:dyDescent="0.25">
      <c r="A47" s="3">
        <v>199</v>
      </c>
      <c r="B47" s="27" t="s">
        <v>5155</v>
      </c>
      <c r="C47" s="22"/>
      <c r="D47" s="15">
        <v>1</v>
      </c>
      <c r="E47" s="5" t="s">
        <v>4129</v>
      </c>
      <c r="F47" s="5"/>
      <c r="G47" s="5">
        <v>16</v>
      </c>
      <c r="H47" s="7"/>
      <c r="I47" s="31"/>
      <c r="J47" s="5" t="s">
        <v>6222</v>
      </c>
      <c r="K47" s="5">
        <v>1.4999999999999999E-2</v>
      </c>
      <c r="L47" s="5">
        <v>0</v>
      </c>
      <c r="M47" s="5">
        <v>0</v>
      </c>
      <c r="N47" s="5">
        <v>0</v>
      </c>
      <c r="O47" s="5">
        <v>0</v>
      </c>
      <c r="P47" s="5">
        <v>0</v>
      </c>
      <c r="Q47" s="5">
        <v>0</v>
      </c>
      <c r="R47" s="5" t="s">
        <v>5631</v>
      </c>
      <c r="S47" s="5">
        <v>4</v>
      </c>
      <c r="T47" s="5" t="s">
        <v>972</v>
      </c>
      <c r="U47" s="5" t="s">
        <v>972</v>
      </c>
      <c r="V47" s="5" t="s">
        <v>972</v>
      </c>
      <c r="W47" s="5" t="s">
        <v>972</v>
      </c>
      <c r="X47" s="5" t="s">
        <v>5563</v>
      </c>
      <c r="Y47" s="5">
        <v>21</v>
      </c>
      <c r="Z47" s="35"/>
      <c r="AA47" s="50"/>
      <c r="AB47" s="35"/>
      <c r="AC47" s="50"/>
      <c r="AD47" s="5"/>
      <c r="AE47" s="5"/>
      <c r="AF47" s="5"/>
      <c r="AG47" s="47" t="str">
        <f t="shared" si="1"/>
        <v>(199*''**'20,62 / 14,27'*'0,015'*0*0*0*0*0*0*4*NULL*NULL*21**)*</v>
      </c>
    </row>
    <row r="48" spans="1:33" ht="20.100000000000001" customHeight="1" x14ac:dyDescent="0.25">
      <c r="A48" s="3">
        <v>200</v>
      </c>
      <c r="B48" s="27" t="s">
        <v>5156</v>
      </c>
      <c r="C48" s="22">
        <v>31413</v>
      </c>
      <c r="D48" s="15">
        <v>1</v>
      </c>
      <c r="E48" s="5" t="s">
        <v>4137</v>
      </c>
      <c r="F48" s="5">
        <v>14</v>
      </c>
      <c r="G48" s="5">
        <v>16</v>
      </c>
      <c r="H48" s="7" t="s">
        <v>6195</v>
      </c>
      <c r="I48" s="31">
        <v>966</v>
      </c>
      <c r="J48" s="5" t="s">
        <v>6197</v>
      </c>
      <c r="K48" s="5">
        <v>1.4999999999999999E-2</v>
      </c>
      <c r="L48" s="5">
        <v>71</v>
      </c>
      <c r="M48" s="5">
        <v>71</v>
      </c>
      <c r="N48" s="5">
        <v>0</v>
      </c>
      <c r="O48" s="5">
        <v>0</v>
      </c>
      <c r="P48" s="5">
        <v>15.76</v>
      </c>
      <c r="Q48" s="5">
        <v>15.76</v>
      </c>
      <c r="R48" s="5" t="s">
        <v>6196</v>
      </c>
      <c r="S48" s="5">
        <v>6</v>
      </c>
      <c r="T48" s="5" t="s">
        <v>5662</v>
      </c>
      <c r="U48" s="5">
        <v>14</v>
      </c>
      <c r="V48" s="5" t="s">
        <v>6162</v>
      </c>
      <c r="W48" s="5">
        <v>17</v>
      </c>
      <c r="X48" s="5" t="s">
        <v>5563</v>
      </c>
      <c r="Y48" s="5">
        <v>21</v>
      </c>
      <c r="Z48" s="35" t="s">
        <v>5386</v>
      </c>
      <c r="AA48" s="5">
        <v>20</v>
      </c>
      <c r="AB48" s="35" t="s">
        <v>4856</v>
      </c>
      <c r="AC48" s="5">
        <v>8</v>
      </c>
      <c r="AD48" s="5">
        <v>16</v>
      </c>
      <c r="AE48" s="5" t="s">
        <v>6213</v>
      </c>
      <c r="AF48" s="5"/>
      <c r="AG48" s="47" t="str">
        <f t="shared" ref="AG48:AG49" si="5">CONCATENATE("(",A48,"*'",H48,"'*",I48,"*'",J48,"'*'",K48,"'*",L48,"*",M48,"*",N48,"*",O48,"*",P48,"*",Q48,"*",S48,"*",U48,"*",W48,"*",Y48,"*",AA48,"*",AC48,"*",AD48,")*")</f>
        <v>(200*'42 / 48'*966*'11,92 / 12,7 / 13,35 / 14,27 / 15,88 / 22,22'*'0,015'*71*71*0*0*15,76*15,76*6*14*17*21*20*8*16)*</v>
      </c>
    </row>
    <row r="49" spans="1:33" ht="20.100000000000001" customHeight="1" x14ac:dyDescent="0.25">
      <c r="A49" s="3">
        <v>201</v>
      </c>
      <c r="B49" s="27" t="s">
        <v>5157</v>
      </c>
      <c r="C49" s="22">
        <v>36161</v>
      </c>
      <c r="D49" s="15">
        <v>1</v>
      </c>
      <c r="E49" s="5" t="s">
        <v>4137</v>
      </c>
      <c r="F49" s="5">
        <v>14</v>
      </c>
      <c r="G49" s="5">
        <v>16</v>
      </c>
      <c r="H49" s="7" t="s">
        <v>6195</v>
      </c>
      <c r="I49" s="31">
        <v>966</v>
      </c>
      <c r="J49" s="5" t="s">
        <v>6198</v>
      </c>
      <c r="K49" s="5">
        <v>1.4999999999999999E-2</v>
      </c>
      <c r="L49" s="5">
        <v>71</v>
      </c>
      <c r="M49" s="5">
        <v>71</v>
      </c>
      <c r="N49" s="5">
        <v>0</v>
      </c>
      <c r="O49" s="5">
        <v>0</v>
      </c>
      <c r="P49" s="5">
        <v>15.77</v>
      </c>
      <c r="Q49" s="5">
        <v>15.77</v>
      </c>
      <c r="R49" s="5" t="s">
        <v>6181</v>
      </c>
      <c r="S49" s="5">
        <v>6</v>
      </c>
      <c r="T49" s="5" t="s">
        <v>5632</v>
      </c>
      <c r="U49" s="5">
        <v>11</v>
      </c>
      <c r="V49" s="5" t="s">
        <v>6162</v>
      </c>
      <c r="W49" s="5">
        <v>17</v>
      </c>
      <c r="X49" s="5" t="s">
        <v>5563</v>
      </c>
      <c r="Y49" s="5">
        <v>21</v>
      </c>
      <c r="Z49" s="35" t="s">
        <v>5386</v>
      </c>
      <c r="AA49" s="5">
        <v>20</v>
      </c>
      <c r="AB49" s="35" t="s">
        <v>4856</v>
      </c>
      <c r="AC49" s="5">
        <v>8</v>
      </c>
      <c r="AD49" s="5">
        <v>16</v>
      </c>
      <c r="AE49" s="5" t="s">
        <v>6214</v>
      </c>
      <c r="AF49" s="5"/>
      <c r="AG49" s="47" t="str">
        <f t="shared" si="5"/>
        <v>(201*'42 / 48'*966*'11,91 / 12,7 / 14,27 / 19,05 / 22,22'*'0,015'*71*71*0*0*15,77*15,77*6*11*17*21*20*8*16)*</v>
      </c>
    </row>
    <row r="50" spans="1:33" ht="20.100000000000001" customHeight="1" x14ac:dyDescent="0.25">
      <c r="A50" s="3">
        <v>202</v>
      </c>
      <c r="B50" s="27" t="s">
        <v>5158</v>
      </c>
      <c r="C50" s="22">
        <v>37622</v>
      </c>
      <c r="D50" s="15">
        <v>1</v>
      </c>
      <c r="E50" s="5" t="s">
        <v>4089</v>
      </c>
      <c r="F50" s="5">
        <v>2</v>
      </c>
      <c r="G50" s="5">
        <v>2</v>
      </c>
      <c r="H50" s="7">
        <v>48</v>
      </c>
      <c r="I50" s="31">
        <v>520</v>
      </c>
      <c r="J50" s="5" t="s">
        <v>6198</v>
      </c>
      <c r="K50" s="5">
        <v>1.4999999999999999E-2</v>
      </c>
      <c r="L50" s="5">
        <v>0</v>
      </c>
      <c r="M50" s="5">
        <v>0</v>
      </c>
      <c r="N50" s="5">
        <v>0</v>
      </c>
      <c r="O50" s="5">
        <v>0</v>
      </c>
      <c r="P50" s="5">
        <v>0</v>
      </c>
      <c r="Q50" s="5">
        <v>0</v>
      </c>
      <c r="R50" s="5" t="s">
        <v>5631</v>
      </c>
      <c r="S50" s="5">
        <v>4</v>
      </c>
      <c r="T50" s="5" t="s">
        <v>972</v>
      </c>
      <c r="U50" s="5" t="s">
        <v>972</v>
      </c>
      <c r="V50" s="5" t="s">
        <v>972</v>
      </c>
      <c r="W50" s="5" t="s">
        <v>972</v>
      </c>
      <c r="X50" s="5" t="s">
        <v>5563</v>
      </c>
      <c r="Y50" s="5">
        <v>21</v>
      </c>
      <c r="Z50" s="35"/>
      <c r="AA50" s="50"/>
      <c r="AB50" s="35"/>
      <c r="AC50" s="50"/>
      <c r="AD50" s="5"/>
      <c r="AE50" s="5"/>
      <c r="AF50" s="5"/>
      <c r="AG50" s="47" t="str">
        <f t="shared" si="1"/>
        <v>(202*'48'*520*'11,91 / 12,7 / 14,27 / 19,05 / 22,22'*'0,015'*0*0*0*0*0*0*4*NULL*NULL*21**)*</v>
      </c>
    </row>
    <row r="51" spans="1:33" ht="20.100000000000001" customHeight="1" x14ac:dyDescent="0.25">
      <c r="A51" s="3">
        <v>203</v>
      </c>
      <c r="B51" s="27" t="s">
        <v>5159</v>
      </c>
      <c r="C51" s="22">
        <v>41640</v>
      </c>
      <c r="D51" s="15">
        <v>1</v>
      </c>
      <c r="E51" s="5" t="s">
        <v>4137</v>
      </c>
      <c r="F51" s="5">
        <v>14</v>
      </c>
      <c r="G51" s="5">
        <v>16</v>
      </c>
      <c r="H51" s="7">
        <v>48</v>
      </c>
      <c r="I51" s="31">
        <v>535</v>
      </c>
      <c r="J51" s="5" t="s">
        <v>6180</v>
      </c>
      <c r="K51" s="5">
        <v>1.4999999999999999E-2</v>
      </c>
      <c r="L51" s="5">
        <v>71</v>
      </c>
      <c r="M51" s="5">
        <v>71</v>
      </c>
      <c r="N51" s="5">
        <v>0</v>
      </c>
      <c r="O51" s="5">
        <v>0</v>
      </c>
      <c r="P51" s="5">
        <v>11.05</v>
      </c>
      <c r="Q51" s="5">
        <v>11.05</v>
      </c>
      <c r="R51" s="5" t="s">
        <v>6181</v>
      </c>
      <c r="S51" s="5">
        <v>6</v>
      </c>
      <c r="T51" s="5" t="s">
        <v>972</v>
      </c>
      <c r="U51" s="5" t="s">
        <v>972</v>
      </c>
      <c r="V51" s="5" t="s">
        <v>972</v>
      </c>
      <c r="W51" s="5" t="s">
        <v>972</v>
      </c>
      <c r="X51" s="5" t="s">
        <v>5563</v>
      </c>
      <c r="Y51" s="5">
        <v>21</v>
      </c>
      <c r="Z51" s="35" t="s">
        <v>6199</v>
      </c>
      <c r="AA51" s="5">
        <v>18</v>
      </c>
      <c r="AB51" s="35" t="s">
        <v>4856</v>
      </c>
      <c r="AC51" s="5">
        <v>8</v>
      </c>
      <c r="AD51" s="5">
        <v>16</v>
      </c>
      <c r="AE51" s="5" t="s">
        <v>6178</v>
      </c>
      <c r="AF51" s="5"/>
      <c r="AG51" s="47" t="str">
        <f t="shared" ref="AG51:AG53" si="6">CONCATENATE("(",A51,"*'",H51,"'*",I51,"*'",J51,"'*'",K51,"'*",L51,"*",M51,"*",N51,"*",O51,"*",P51,"*",Q51,"*",S51,"*",U51,"*",W51,"*",Y51,"*",AA51,"*",AC51,"*",AD51,")*")</f>
        <v>(203*'48'*535*'12,7 / 14,27 / 22,22'*'0,015'*71*71*0*0*11,05*11,05*6*NULL*NULL*21*18*8*16)*</v>
      </c>
    </row>
    <row r="52" spans="1:33" ht="20.100000000000001" customHeight="1" x14ac:dyDescent="0.25">
      <c r="A52" s="3">
        <v>204</v>
      </c>
      <c r="B52" s="27" t="s">
        <v>5160</v>
      </c>
      <c r="C52" s="22">
        <v>42887</v>
      </c>
      <c r="D52" s="15">
        <v>1</v>
      </c>
      <c r="E52" s="5" t="s">
        <v>4145</v>
      </c>
      <c r="F52" s="5">
        <v>16</v>
      </c>
      <c r="G52" s="5">
        <v>16</v>
      </c>
      <c r="H52" s="7">
        <v>48</v>
      </c>
      <c r="I52" s="31">
        <v>770</v>
      </c>
      <c r="J52" s="30" t="s">
        <v>6225</v>
      </c>
      <c r="K52" s="5">
        <v>1.4999999999999999E-2</v>
      </c>
      <c r="L52" s="5">
        <v>70</v>
      </c>
      <c r="M52" s="5">
        <v>70</v>
      </c>
      <c r="N52" s="5">
        <v>45</v>
      </c>
      <c r="O52" s="5">
        <v>45</v>
      </c>
      <c r="P52" s="5">
        <v>0</v>
      </c>
      <c r="Q52" s="5">
        <v>0</v>
      </c>
      <c r="R52" s="5" t="s">
        <v>6181</v>
      </c>
      <c r="S52" s="5">
        <v>6</v>
      </c>
      <c r="T52" s="5" t="s">
        <v>972</v>
      </c>
      <c r="U52" s="5" t="s">
        <v>972</v>
      </c>
      <c r="V52" s="5" t="s">
        <v>972</v>
      </c>
      <c r="W52" s="5" t="s">
        <v>972</v>
      </c>
      <c r="X52" s="5" t="s">
        <v>5566</v>
      </c>
      <c r="Y52" s="5">
        <v>22</v>
      </c>
      <c r="Z52" s="35" t="s">
        <v>1123</v>
      </c>
      <c r="AA52" s="5">
        <v>32</v>
      </c>
      <c r="AB52" s="35" t="s">
        <v>4856</v>
      </c>
      <c r="AC52" s="5">
        <v>8</v>
      </c>
      <c r="AD52" s="5">
        <v>16</v>
      </c>
      <c r="AE52" s="5" t="s">
        <v>6226</v>
      </c>
      <c r="AF52" s="5"/>
      <c r="AG52" s="47" t="str">
        <f t="shared" si="6"/>
        <v>(204*'48'*770*'12,48 / 13,61 / 20,79 / 24,26'*'0,015'*70*70*45*45*0*0*6*NULL*NULL*22*32*8*16)*</v>
      </c>
    </row>
    <row r="53" spans="1:33" ht="20.100000000000001" customHeight="1" x14ac:dyDescent="0.25">
      <c r="A53" s="3">
        <v>205</v>
      </c>
      <c r="B53" s="27" t="s">
        <v>5161</v>
      </c>
      <c r="C53" s="22">
        <v>42736</v>
      </c>
      <c r="D53" s="15">
        <v>1</v>
      </c>
      <c r="E53" s="5" t="s">
        <v>4137</v>
      </c>
      <c r="F53" s="5">
        <v>14</v>
      </c>
      <c r="G53" s="5">
        <v>16</v>
      </c>
      <c r="H53" s="7">
        <v>48</v>
      </c>
      <c r="I53" s="31">
        <v>531</v>
      </c>
      <c r="J53" s="5" t="s">
        <v>6180</v>
      </c>
      <c r="K53" s="5">
        <v>1.4999999999999999E-2</v>
      </c>
      <c r="L53" s="5">
        <v>71</v>
      </c>
      <c r="M53" s="5">
        <v>71</v>
      </c>
      <c r="N53" s="5">
        <v>0</v>
      </c>
      <c r="O53" s="5">
        <v>0</v>
      </c>
      <c r="P53" s="5">
        <v>8.52</v>
      </c>
      <c r="Q53" s="5">
        <v>8.52</v>
      </c>
      <c r="R53" s="5" t="s">
        <v>6181</v>
      </c>
      <c r="S53" s="5">
        <v>6</v>
      </c>
      <c r="T53" s="5" t="s">
        <v>972</v>
      </c>
      <c r="U53" s="5" t="s">
        <v>972</v>
      </c>
      <c r="V53" s="5" t="s">
        <v>972</v>
      </c>
      <c r="W53" s="5" t="s">
        <v>972</v>
      </c>
      <c r="X53" s="5" t="s">
        <v>5563</v>
      </c>
      <c r="Y53" s="5">
        <v>21</v>
      </c>
      <c r="Z53" s="35" t="s">
        <v>6199</v>
      </c>
      <c r="AA53" s="5">
        <v>18</v>
      </c>
      <c r="AB53" s="35" t="s">
        <v>4856</v>
      </c>
      <c r="AC53" s="5">
        <v>8</v>
      </c>
      <c r="AD53" s="5">
        <v>16</v>
      </c>
      <c r="AE53" s="5" t="s">
        <v>6178</v>
      </c>
      <c r="AF53" s="5"/>
      <c r="AG53" s="47" t="str">
        <f t="shared" si="6"/>
        <v>(205*'48'*531*'12,7 / 14,27 / 22,22'*'0,015'*71*71*0*0*8,52*8,52*6*NULL*NULL*21*18*8*16)*</v>
      </c>
    </row>
    <row r="54" spans="1:33" ht="20.100000000000001" customHeight="1" x14ac:dyDescent="0.25">
      <c r="A54" s="3">
        <v>206</v>
      </c>
      <c r="B54" s="27" t="s">
        <v>5162</v>
      </c>
      <c r="C54" s="22">
        <v>43800</v>
      </c>
      <c r="D54" s="15">
        <v>1</v>
      </c>
      <c r="E54" s="5" t="s">
        <v>4145</v>
      </c>
      <c r="F54" s="5">
        <v>16</v>
      </c>
      <c r="G54" s="5">
        <v>16</v>
      </c>
      <c r="H54" s="7">
        <v>48</v>
      </c>
      <c r="I54" s="31">
        <v>345</v>
      </c>
      <c r="J54" s="5" t="s">
        <v>6227</v>
      </c>
      <c r="K54" s="5">
        <v>1.4999999999999999E-2</v>
      </c>
      <c r="L54" s="5">
        <v>70</v>
      </c>
      <c r="M54" s="5">
        <v>70</v>
      </c>
      <c r="N54" s="5">
        <v>45</v>
      </c>
      <c r="O54" s="5">
        <v>45</v>
      </c>
      <c r="P54" s="5">
        <v>0</v>
      </c>
      <c r="Q54" s="5">
        <v>0</v>
      </c>
      <c r="R54" s="5" t="s">
        <v>6181</v>
      </c>
      <c r="S54" s="5">
        <v>6</v>
      </c>
      <c r="T54" s="5" t="s">
        <v>972</v>
      </c>
      <c r="U54" s="5" t="s">
        <v>972</v>
      </c>
      <c r="V54" s="5" t="s">
        <v>972</v>
      </c>
      <c r="W54" s="5" t="s">
        <v>972</v>
      </c>
      <c r="X54" s="5" t="s">
        <v>5566</v>
      </c>
      <c r="Y54" s="5">
        <v>22</v>
      </c>
      <c r="Z54" s="35" t="s">
        <v>6228</v>
      </c>
      <c r="AA54" s="5"/>
      <c r="AB54" s="35" t="s">
        <v>4856</v>
      </c>
      <c r="AC54" s="5">
        <v>8</v>
      </c>
      <c r="AD54" s="5"/>
      <c r="AE54" s="5"/>
      <c r="AF54" s="5"/>
      <c r="AG54" s="47" t="str">
        <f t="shared" si="1"/>
        <v>(206*'48'*345*'12,95 / 14,27 / 22,23'*'0,015'*70*70*45*45*0*0*6*NULL*NULL*22**8)*</v>
      </c>
    </row>
    <row r="55" spans="1:33" ht="20.100000000000001" customHeight="1" x14ac:dyDescent="0.25">
      <c r="A55" s="3">
        <v>207</v>
      </c>
      <c r="B55" s="27" t="s">
        <v>4153</v>
      </c>
      <c r="C55" s="22">
        <v>35065</v>
      </c>
      <c r="D55" s="15">
        <v>1</v>
      </c>
      <c r="E55" s="5" t="s">
        <v>4153</v>
      </c>
      <c r="F55" s="5">
        <v>18</v>
      </c>
      <c r="G55" s="5">
        <v>16</v>
      </c>
      <c r="H55" s="7">
        <v>48</v>
      </c>
      <c r="I55" s="31">
        <v>521</v>
      </c>
      <c r="J55" s="5" t="s">
        <v>6180</v>
      </c>
      <c r="K55" s="5">
        <v>1.4999999999999999E-2</v>
      </c>
      <c r="L55" s="5">
        <v>71</v>
      </c>
      <c r="M55" s="5">
        <v>50.81</v>
      </c>
      <c r="N55" s="5">
        <v>0</v>
      </c>
      <c r="O55" s="5">
        <v>0</v>
      </c>
      <c r="P55" s="5">
        <v>11.47</v>
      </c>
      <c r="Q55" s="5">
        <v>11.47</v>
      </c>
      <c r="R55" s="5" t="s">
        <v>6181</v>
      </c>
      <c r="S55" s="5">
        <v>6</v>
      </c>
      <c r="T55" s="5" t="s">
        <v>6182</v>
      </c>
      <c r="U55" s="5">
        <v>9</v>
      </c>
      <c r="V55" s="5" t="s">
        <v>6162</v>
      </c>
      <c r="W55" s="5">
        <v>17</v>
      </c>
      <c r="X55" s="5" t="s">
        <v>6183</v>
      </c>
      <c r="Y55" s="5">
        <v>16</v>
      </c>
      <c r="Z55" s="35" t="s">
        <v>4856</v>
      </c>
      <c r="AA55" s="5">
        <v>8</v>
      </c>
      <c r="AB55" s="35" t="s">
        <v>6184</v>
      </c>
      <c r="AC55" s="5">
        <v>12</v>
      </c>
      <c r="AD55" s="5">
        <v>16</v>
      </c>
      <c r="AE55" s="5" t="s">
        <v>6154</v>
      </c>
      <c r="AF55" s="5"/>
      <c r="AG55" s="47" t="str">
        <f t="shared" ref="AG55:AG59" si="7">CONCATENATE("(",A55,"*'",H55,"'*",I55,"*'",J55,"'*'",K55,"'*",L55,"*",M55,"*",N55,"*",O55,"*",P55,"*",Q55,"*",S55,"*",U55,"*",W55,"*",Y55,"*",AA55,"*",AC55,"*",AD55,")*")</f>
        <v>(207*'48'*521*'12,7 / 14,27 / 22,22'*'0,015'*71*50,81*0*0*11,47*11,47*6*9*17*16*8*12*16)*</v>
      </c>
    </row>
    <row r="56" spans="1:33" ht="20.100000000000001" customHeight="1" x14ac:dyDescent="0.25">
      <c r="A56" s="3">
        <v>208</v>
      </c>
      <c r="B56" s="27" t="s">
        <v>5163</v>
      </c>
      <c r="C56" s="22">
        <v>44197</v>
      </c>
      <c r="D56" s="15">
        <v>1</v>
      </c>
      <c r="E56" s="5" t="s">
        <v>4153</v>
      </c>
      <c r="F56" s="5">
        <v>18</v>
      </c>
      <c r="G56" s="5">
        <v>16</v>
      </c>
      <c r="H56" s="7">
        <v>48</v>
      </c>
      <c r="I56" s="31">
        <v>198</v>
      </c>
      <c r="J56" s="5" t="s">
        <v>6185</v>
      </c>
      <c r="K56" s="5">
        <v>1.4999999999999999E-2</v>
      </c>
      <c r="L56" s="5">
        <v>70</v>
      </c>
      <c r="M56" s="5">
        <v>0</v>
      </c>
      <c r="N56" s="5">
        <v>0</v>
      </c>
      <c r="O56" s="5">
        <v>0</v>
      </c>
      <c r="P56" s="5">
        <v>9</v>
      </c>
      <c r="Q56" s="5">
        <v>9</v>
      </c>
      <c r="R56" s="5" t="s">
        <v>5631</v>
      </c>
      <c r="S56" s="5">
        <v>4</v>
      </c>
      <c r="T56" s="5" t="s">
        <v>972</v>
      </c>
      <c r="U56" s="5" t="s">
        <v>972</v>
      </c>
      <c r="V56" s="5" t="s">
        <v>972</v>
      </c>
      <c r="W56" s="5" t="s">
        <v>972</v>
      </c>
      <c r="X56" s="5" t="s">
        <v>6183</v>
      </c>
      <c r="Y56" s="5">
        <v>16</v>
      </c>
      <c r="Z56" s="35" t="s">
        <v>6184</v>
      </c>
      <c r="AA56" s="5">
        <v>12</v>
      </c>
      <c r="AB56" s="35" t="s">
        <v>2048</v>
      </c>
      <c r="AC56" s="5">
        <v>3</v>
      </c>
      <c r="AD56" s="5">
        <v>16</v>
      </c>
      <c r="AE56" s="5" t="s">
        <v>6159</v>
      </c>
      <c r="AF56" s="5"/>
      <c r="AG56" s="47" t="str">
        <f t="shared" si="7"/>
        <v>(208*'48'*198*'13,61/  14,27 / 20,79 / 22,23'*'0,015'*70*0*0*0*9*9*4*NULL*NULL*16*12*3*16)*</v>
      </c>
    </row>
    <row r="57" spans="1:33" ht="20.100000000000001" customHeight="1" x14ac:dyDescent="0.25">
      <c r="A57" s="3">
        <v>209</v>
      </c>
      <c r="B57" s="27" t="s">
        <v>5164</v>
      </c>
      <c r="C57" s="22">
        <v>29952</v>
      </c>
      <c r="D57" s="15">
        <v>1</v>
      </c>
      <c r="E57" s="5" t="s">
        <v>4149</v>
      </c>
      <c r="F57" s="5">
        <v>17</v>
      </c>
      <c r="G57" s="5">
        <v>16</v>
      </c>
      <c r="H57" s="7">
        <v>48</v>
      </c>
      <c r="I57" s="31">
        <v>548.28499999999997</v>
      </c>
      <c r="J57" s="5" t="s">
        <v>6180</v>
      </c>
      <c r="K57" s="5">
        <v>1.4999999999999999E-2</v>
      </c>
      <c r="L57" s="5">
        <v>70</v>
      </c>
      <c r="M57" s="5">
        <v>70</v>
      </c>
      <c r="N57" s="5">
        <v>0</v>
      </c>
      <c r="O57" s="5">
        <v>0</v>
      </c>
      <c r="P57" s="5">
        <v>11.99</v>
      </c>
      <c r="Q57" s="5">
        <v>11.99</v>
      </c>
      <c r="R57" s="5" t="s">
        <v>6153</v>
      </c>
      <c r="S57" s="5">
        <v>4</v>
      </c>
      <c r="T57" s="5" t="s">
        <v>5655</v>
      </c>
      <c r="U57" s="5">
        <v>14</v>
      </c>
      <c r="V57" s="5" t="s">
        <v>6162</v>
      </c>
      <c r="W57" s="5">
        <v>17</v>
      </c>
      <c r="X57" s="5" t="s">
        <v>5560</v>
      </c>
      <c r="Y57" s="5">
        <v>19</v>
      </c>
      <c r="Z57" s="35" t="s">
        <v>4856</v>
      </c>
      <c r="AA57" s="5">
        <v>8</v>
      </c>
      <c r="AB57" s="35" t="s">
        <v>5482</v>
      </c>
      <c r="AC57" s="5">
        <v>2</v>
      </c>
      <c r="AD57" s="5">
        <v>16</v>
      </c>
      <c r="AE57" s="5" t="s">
        <v>4624</v>
      </c>
      <c r="AF57" s="5"/>
      <c r="AG57" s="47" t="str">
        <f t="shared" si="7"/>
        <v>(209*'48'*548,285*'12,7 / 14,27 / 22,22'*'0,015'*70*70*0*0*11,99*11,99*4*14*17*19*8*2*16)*</v>
      </c>
    </row>
    <row r="58" spans="1:33" ht="20.100000000000001" customHeight="1" x14ac:dyDescent="0.25">
      <c r="A58" s="3">
        <v>210</v>
      </c>
      <c r="B58" s="27" t="s">
        <v>5165</v>
      </c>
      <c r="C58" s="22">
        <v>31778</v>
      </c>
      <c r="D58" s="15">
        <v>1</v>
      </c>
      <c r="E58" s="5" t="s">
        <v>4149</v>
      </c>
      <c r="F58" s="5">
        <v>17</v>
      </c>
      <c r="G58" s="5">
        <v>16</v>
      </c>
      <c r="H58" s="7">
        <v>48</v>
      </c>
      <c r="I58" s="31">
        <v>548.28499999999997</v>
      </c>
      <c r="J58" s="5" t="s">
        <v>6180</v>
      </c>
      <c r="K58" s="5">
        <v>1.4999999999999999E-2</v>
      </c>
      <c r="L58" s="5">
        <v>70</v>
      </c>
      <c r="M58" s="5">
        <v>70</v>
      </c>
      <c r="N58" s="5">
        <v>0</v>
      </c>
      <c r="O58" s="5">
        <v>0</v>
      </c>
      <c r="P58" s="5">
        <v>11.99</v>
      </c>
      <c r="Q58" s="5">
        <v>11.99</v>
      </c>
      <c r="R58" s="5" t="s">
        <v>6153</v>
      </c>
      <c r="S58" s="5">
        <v>4</v>
      </c>
      <c r="T58" s="5" t="s">
        <v>5655</v>
      </c>
      <c r="U58" s="5">
        <v>14</v>
      </c>
      <c r="V58" s="5" t="s">
        <v>6162</v>
      </c>
      <c r="W58" s="5">
        <v>17</v>
      </c>
      <c r="X58" s="5" t="s">
        <v>5560</v>
      </c>
      <c r="Y58" s="5">
        <v>19</v>
      </c>
      <c r="Z58" s="35" t="s">
        <v>4856</v>
      </c>
      <c r="AA58" s="5">
        <v>8</v>
      </c>
      <c r="AB58" s="35" t="s">
        <v>5482</v>
      </c>
      <c r="AC58" s="5">
        <v>2</v>
      </c>
      <c r="AD58" s="5">
        <v>16</v>
      </c>
      <c r="AE58" s="5" t="s">
        <v>6193</v>
      </c>
      <c r="AF58" s="5"/>
      <c r="AG58" s="47" t="str">
        <f t="shared" si="7"/>
        <v>(210*'48'*548,285*'12,7 / 14,27 / 22,22'*'0,015'*70*70*0*0*11,99*11,99*4*14*17*19*8*2*16)*</v>
      </c>
    </row>
    <row r="59" spans="1:33" ht="20.100000000000001" customHeight="1" x14ac:dyDescent="0.25">
      <c r="A59" s="3">
        <v>211</v>
      </c>
      <c r="B59" s="27" t="s">
        <v>5166</v>
      </c>
      <c r="C59" s="22">
        <v>39448</v>
      </c>
      <c r="D59" s="15">
        <v>1</v>
      </c>
      <c r="E59" s="5" t="s">
        <v>4149</v>
      </c>
      <c r="F59" s="5">
        <v>17</v>
      </c>
      <c r="G59" s="5">
        <v>16</v>
      </c>
      <c r="H59" s="7">
        <v>48</v>
      </c>
      <c r="I59" s="31">
        <v>548.28499999999997</v>
      </c>
      <c r="J59" s="5" t="s">
        <v>6180</v>
      </c>
      <c r="K59" s="5">
        <v>1.4999999999999999E-2</v>
      </c>
      <c r="L59" s="5">
        <v>70</v>
      </c>
      <c r="M59" s="5">
        <v>70</v>
      </c>
      <c r="N59" s="5">
        <v>0</v>
      </c>
      <c r="O59" s="5">
        <v>0</v>
      </c>
      <c r="P59" s="5">
        <v>8.74</v>
      </c>
      <c r="Q59" s="5">
        <v>8.74</v>
      </c>
      <c r="R59" s="5" t="s">
        <v>6153</v>
      </c>
      <c r="S59" s="5">
        <v>4</v>
      </c>
      <c r="T59" s="5" t="s">
        <v>6192</v>
      </c>
      <c r="U59" s="5">
        <v>11</v>
      </c>
      <c r="V59" s="5" t="s">
        <v>6162</v>
      </c>
      <c r="W59" s="5">
        <v>17</v>
      </c>
      <c r="X59" s="5" t="s">
        <v>5560</v>
      </c>
      <c r="Y59" s="5">
        <v>19</v>
      </c>
      <c r="Z59" s="35" t="s">
        <v>4856</v>
      </c>
      <c r="AA59" s="5">
        <v>8</v>
      </c>
      <c r="AB59" s="35" t="s">
        <v>5482</v>
      </c>
      <c r="AC59" s="5">
        <v>2</v>
      </c>
      <c r="AD59" s="5">
        <v>16</v>
      </c>
      <c r="AE59" s="5" t="s">
        <v>6194</v>
      </c>
      <c r="AF59" s="5"/>
      <c r="AG59" s="47" t="str">
        <f t="shared" si="7"/>
        <v>(211*'48'*548,285*'12,7 / 14,27 / 22,22'*'0,015'*70*70*0*0*8,74*8,74*4*11*17*19*8*2*16)*</v>
      </c>
    </row>
  </sheetData>
  <autoFilter ref="A1:AC59"/>
  <phoneticPr fontId="2" type="noConversion"/>
  <pageMargins left="0.7" right="0.7" top="0.75" bottom="0.75" header="0.3" footer="0.3"/>
  <pageSetup paperSize="9" orientation="portrait" r:id="rId1"/>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7" tint="0.79998168889431442"/>
  </sheetPr>
  <dimension ref="A1:C89"/>
  <sheetViews>
    <sheetView workbookViewId="0">
      <selection activeCell="C4" sqref="C4"/>
    </sheetView>
  </sheetViews>
  <sheetFormatPr baseColWidth="10" defaultColWidth="10.85546875" defaultRowHeight="15.75" x14ac:dyDescent="0.25"/>
  <cols>
    <col min="1" max="2" width="15.5703125" style="2" customWidth="1"/>
    <col min="3" max="3" width="65.42578125" style="2" bestFit="1" customWidth="1"/>
    <col min="4" max="16384" width="10.85546875" style="2"/>
  </cols>
  <sheetData>
    <row r="1" spans="1:3" ht="20.100000000000001" customHeight="1" x14ac:dyDescent="0.25">
      <c r="A1" s="1" t="s">
        <v>6081</v>
      </c>
      <c r="B1" s="1" t="s">
        <v>4798</v>
      </c>
      <c r="C1" s="1" t="s">
        <v>5597</v>
      </c>
    </row>
    <row r="2" spans="1:3" ht="20.100000000000001" customHeight="1" x14ac:dyDescent="0.25">
      <c r="A2" s="1" t="s">
        <v>41</v>
      </c>
      <c r="B2" s="1" t="s">
        <v>42</v>
      </c>
      <c r="C2" s="1" t="s">
        <v>6091</v>
      </c>
    </row>
    <row r="3" spans="1:3" ht="20.100000000000001" customHeight="1" x14ac:dyDescent="0.25">
      <c r="A3" s="5">
        <v>7</v>
      </c>
      <c r="B3" s="5">
        <v>1</v>
      </c>
      <c r="C3" s="4" t="str">
        <f>CONCATENATE("(",A3,",",B3,"),")</f>
        <v>(7,1),</v>
      </c>
    </row>
    <row r="4" spans="1:3" ht="20.100000000000001" customHeight="1" x14ac:dyDescent="0.25">
      <c r="A4" s="5"/>
      <c r="B4" s="5"/>
      <c r="C4" s="4"/>
    </row>
    <row r="5" spans="1:3" ht="20.100000000000001" customHeight="1" x14ac:dyDescent="0.25">
      <c r="A5" s="5"/>
      <c r="B5" s="5"/>
      <c r="C5" s="4"/>
    </row>
    <row r="6" spans="1:3" ht="20.100000000000001" customHeight="1" x14ac:dyDescent="0.25">
      <c r="A6" s="5"/>
      <c r="B6" s="5"/>
      <c r="C6" s="4"/>
    </row>
    <row r="7" spans="1:3" ht="20.100000000000001" customHeight="1" x14ac:dyDescent="0.25">
      <c r="A7" s="5"/>
      <c r="B7" s="5"/>
      <c r="C7" s="4"/>
    </row>
    <row r="8" spans="1:3" ht="20.100000000000001" customHeight="1" x14ac:dyDescent="0.25">
      <c r="A8" s="5"/>
      <c r="B8" s="5"/>
      <c r="C8" s="4"/>
    </row>
    <row r="9" spans="1:3" ht="20.100000000000001" customHeight="1" x14ac:dyDescent="0.25">
      <c r="A9" s="5"/>
      <c r="B9" s="5"/>
      <c r="C9" s="4"/>
    </row>
    <row r="10" spans="1:3" ht="20.100000000000001" customHeight="1" x14ac:dyDescent="0.25">
      <c r="A10" s="5"/>
      <c r="B10" s="5"/>
      <c r="C10" s="4"/>
    </row>
    <row r="11" spans="1:3" ht="20.100000000000001" customHeight="1" x14ac:dyDescent="0.25">
      <c r="A11" s="5"/>
      <c r="B11" s="5"/>
      <c r="C11" s="4"/>
    </row>
    <row r="12" spans="1:3" ht="20.100000000000001" customHeight="1" x14ac:dyDescent="0.25">
      <c r="A12" s="5"/>
      <c r="B12" s="5"/>
      <c r="C12" s="4"/>
    </row>
    <row r="13" spans="1:3" ht="20.100000000000001" customHeight="1" x14ac:dyDescent="0.25">
      <c r="A13" s="5"/>
      <c r="B13" s="5"/>
      <c r="C13" s="4"/>
    </row>
    <row r="14" spans="1:3" ht="20.100000000000001" customHeight="1" x14ac:dyDescent="0.25">
      <c r="A14" s="5"/>
      <c r="B14" s="5"/>
      <c r="C14" s="4"/>
    </row>
    <row r="15" spans="1:3" ht="20.100000000000001" customHeight="1" x14ac:dyDescent="0.25">
      <c r="A15" s="5"/>
      <c r="B15" s="5"/>
      <c r="C15" s="4"/>
    </row>
    <row r="16" spans="1:3" ht="20.100000000000001" customHeight="1" x14ac:dyDescent="0.25">
      <c r="A16" s="5"/>
      <c r="B16" s="5"/>
      <c r="C16" s="4"/>
    </row>
    <row r="17" spans="1:3" ht="20.100000000000001" customHeight="1" x14ac:dyDescent="0.25">
      <c r="A17" s="5"/>
      <c r="B17" s="5"/>
      <c r="C17" s="4"/>
    </row>
    <row r="18" spans="1:3" ht="20.100000000000001" customHeight="1" x14ac:dyDescent="0.25">
      <c r="A18" s="5"/>
      <c r="B18" s="5"/>
      <c r="C18" s="4"/>
    </row>
    <row r="19" spans="1:3" ht="20.100000000000001" customHeight="1" x14ac:dyDescent="0.25">
      <c r="A19" s="5"/>
      <c r="B19" s="5"/>
      <c r="C19" s="4"/>
    </row>
    <row r="20" spans="1:3" ht="20.100000000000001" customHeight="1" x14ac:dyDescent="0.25">
      <c r="A20" s="5"/>
      <c r="B20" s="5"/>
      <c r="C20" s="4"/>
    </row>
    <row r="21" spans="1:3" ht="20.100000000000001" customHeight="1" x14ac:dyDescent="0.25">
      <c r="A21" s="5"/>
      <c r="B21" s="5"/>
      <c r="C21" s="4"/>
    </row>
    <row r="22" spans="1:3" ht="20.100000000000001" customHeight="1" x14ac:dyDescent="0.25">
      <c r="A22" s="5"/>
      <c r="B22" s="5"/>
      <c r="C22" s="4"/>
    </row>
    <row r="23" spans="1:3" ht="20.100000000000001" customHeight="1" x14ac:dyDescent="0.25">
      <c r="A23" s="5"/>
      <c r="B23" s="5"/>
      <c r="C23" s="4"/>
    </row>
    <row r="24" spans="1:3" ht="20.100000000000001" customHeight="1" x14ac:dyDescent="0.25">
      <c r="A24" s="5"/>
      <c r="B24" s="5"/>
      <c r="C24" s="4"/>
    </row>
    <row r="25" spans="1:3" ht="20.100000000000001" customHeight="1" x14ac:dyDescent="0.25">
      <c r="A25" s="5"/>
      <c r="B25" s="5"/>
      <c r="C25" s="4"/>
    </row>
    <row r="26" spans="1:3" ht="20.100000000000001" customHeight="1" x14ac:dyDescent="0.25">
      <c r="A26" s="5"/>
      <c r="B26" s="5"/>
      <c r="C26" s="4"/>
    </row>
    <row r="27" spans="1:3" ht="20.100000000000001" customHeight="1" x14ac:dyDescent="0.25">
      <c r="A27" s="5"/>
      <c r="B27" s="5"/>
      <c r="C27" s="4"/>
    </row>
    <row r="28" spans="1:3" ht="20.100000000000001" customHeight="1" x14ac:dyDescent="0.25">
      <c r="A28" s="5"/>
      <c r="B28" s="5"/>
      <c r="C28" s="4"/>
    </row>
    <row r="29" spans="1:3" ht="20.100000000000001" customHeight="1" x14ac:dyDescent="0.25">
      <c r="A29" s="5"/>
      <c r="B29" s="5"/>
      <c r="C29" s="4"/>
    </row>
    <row r="30" spans="1:3" ht="20.100000000000001" customHeight="1" x14ac:dyDescent="0.25">
      <c r="A30" s="5"/>
      <c r="B30" s="5"/>
      <c r="C30" s="4"/>
    </row>
    <row r="31" spans="1:3" ht="20.100000000000001" customHeight="1" x14ac:dyDescent="0.25">
      <c r="A31" s="5"/>
      <c r="B31" s="5"/>
      <c r="C31" s="4"/>
    </row>
    <row r="32" spans="1:3" ht="20.100000000000001" customHeight="1" x14ac:dyDescent="0.25">
      <c r="A32" s="5"/>
      <c r="B32" s="5"/>
      <c r="C32" s="4"/>
    </row>
    <row r="33" spans="1:3" ht="20.100000000000001" customHeight="1" x14ac:dyDescent="0.25">
      <c r="A33" s="5"/>
      <c r="B33" s="5"/>
      <c r="C33" s="4"/>
    </row>
    <row r="34" spans="1:3" ht="20.100000000000001" customHeight="1" x14ac:dyDescent="0.25">
      <c r="A34" s="5"/>
      <c r="B34" s="5"/>
      <c r="C34" s="4"/>
    </row>
    <row r="35" spans="1:3" ht="20.100000000000001" customHeight="1" x14ac:dyDescent="0.25">
      <c r="A35" s="5"/>
      <c r="B35" s="5"/>
      <c r="C35" s="4"/>
    </row>
    <row r="36" spans="1:3" ht="20.100000000000001" customHeight="1" x14ac:dyDescent="0.25">
      <c r="A36" s="5"/>
      <c r="B36" s="5"/>
      <c r="C36" s="4"/>
    </row>
    <row r="37" spans="1:3" ht="20.100000000000001" customHeight="1" x14ac:dyDescent="0.25">
      <c r="A37" s="5"/>
      <c r="B37" s="5"/>
      <c r="C37" s="4"/>
    </row>
    <row r="38" spans="1:3" ht="20.100000000000001" customHeight="1" x14ac:dyDescent="0.25">
      <c r="A38" s="5"/>
      <c r="B38" s="5"/>
      <c r="C38" s="4"/>
    </row>
    <row r="39" spans="1:3" ht="20.100000000000001" customHeight="1" x14ac:dyDescent="0.25">
      <c r="A39" s="5"/>
      <c r="B39" s="5"/>
      <c r="C39" s="4"/>
    </row>
    <row r="40" spans="1:3" ht="20.100000000000001" customHeight="1" x14ac:dyDescent="0.25">
      <c r="A40" s="5"/>
      <c r="B40" s="5"/>
      <c r="C40" s="4"/>
    </row>
    <row r="41" spans="1:3" ht="20.100000000000001" customHeight="1" x14ac:dyDescent="0.25">
      <c r="A41" s="5"/>
      <c r="B41" s="5"/>
      <c r="C41" s="4"/>
    </row>
    <row r="42" spans="1:3" ht="20.100000000000001" customHeight="1" x14ac:dyDescent="0.25">
      <c r="A42" s="5"/>
      <c r="B42" s="5"/>
      <c r="C42" s="4"/>
    </row>
    <row r="43" spans="1:3" ht="20.100000000000001" customHeight="1" x14ac:dyDescent="0.25">
      <c r="A43" s="5"/>
      <c r="B43" s="5"/>
      <c r="C43" s="4"/>
    </row>
    <row r="44" spans="1:3" ht="20.100000000000001" customHeight="1" x14ac:dyDescent="0.25">
      <c r="A44" s="5"/>
      <c r="B44" s="5"/>
      <c r="C44" s="4"/>
    </row>
    <row r="45" spans="1:3" ht="20.100000000000001" customHeight="1" x14ac:dyDescent="0.25">
      <c r="A45" s="5"/>
      <c r="B45" s="5"/>
      <c r="C45" s="4"/>
    </row>
    <row r="46" spans="1:3" ht="20.100000000000001" customHeight="1" x14ac:dyDescent="0.25">
      <c r="A46" s="5"/>
      <c r="B46" s="5"/>
      <c r="C46" s="4"/>
    </row>
    <row r="47" spans="1:3" ht="20.100000000000001" customHeight="1" x14ac:dyDescent="0.25">
      <c r="A47" s="5"/>
      <c r="B47" s="5"/>
      <c r="C47" s="4"/>
    </row>
    <row r="48" spans="1:3" ht="20.100000000000001" customHeight="1" x14ac:dyDescent="0.25">
      <c r="A48" s="5"/>
      <c r="B48" s="5"/>
      <c r="C48" s="4"/>
    </row>
    <row r="49" spans="1:3" ht="20.100000000000001" customHeight="1" x14ac:dyDescent="0.25">
      <c r="A49" s="5"/>
      <c r="B49" s="5"/>
      <c r="C49" s="4"/>
    </row>
    <row r="50" spans="1:3" ht="20.100000000000001" customHeight="1" x14ac:dyDescent="0.25">
      <c r="A50" s="5"/>
      <c r="B50" s="5"/>
      <c r="C50" s="4"/>
    </row>
    <row r="51" spans="1:3" ht="20.100000000000001" customHeight="1" x14ac:dyDescent="0.25">
      <c r="A51" s="5"/>
      <c r="B51" s="5"/>
      <c r="C51" s="4"/>
    </row>
    <row r="52" spans="1:3" ht="20.100000000000001" customHeight="1" x14ac:dyDescent="0.25">
      <c r="A52" s="5"/>
      <c r="B52" s="5"/>
      <c r="C52" s="4"/>
    </row>
    <row r="53" spans="1:3" ht="20.100000000000001" customHeight="1" x14ac:dyDescent="0.25">
      <c r="A53" s="5"/>
      <c r="B53" s="5"/>
      <c r="C53" s="4"/>
    </row>
    <row r="54" spans="1:3" ht="20.100000000000001" customHeight="1" x14ac:dyDescent="0.25">
      <c r="A54" s="5"/>
      <c r="B54" s="5"/>
      <c r="C54" s="4"/>
    </row>
    <row r="55" spans="1:3" ht="20.100000000000001" customHeight="1" x14ac:dyDescent="0.25">
      <c r="A55" s="5"/>
      <c r="B55" s="5"/>
      <c r="C55" s="4"/>
    </row>
    <row r="56" spans="1:3" ht="20.100000000000001" customHeight="1" x14ac:dyDescent="0.25">
      <c r="A56" s="5"/>
      <c r="B56" s="5"/>
      <c r="C56" s="4"/>
    </row>
    <row r="57" spans="1:3" ht="20.100000000000001" customHeight="1" x14ac:dyDescent="0.25">
      <c r="A57" s="5"/>
      <c r="B57" s="5"/>
      <c r="C57" s="4"/>
    </row>
    <row r="58" spans="1:3" ht="20.100000000000001" customHeight="1" x14ac:dyDescent="0.25">
      <c r="A58" s="5"/>
      <c r="B58" s="5"/>
      <c r="C58" s="4"/>
    </row>
    <row r="59" spans="1:3" ht="20.100000000000001" customHeight="1" x14ac:dyDescent="0.25">
      <c r="A59" s="5"/>
      <c r="B59" s="5"/>
      <c r="C59" s="4"/>
    </row>
    <row r="60" spans="1:3" ht="20.100000000000001" customHeight="1" x14ac:dyDescent="0.25">
      <c r="A60" s="5"/>
      <c r="B60" s="5"/>
      <c r="C60" s="4"/>
    </row>
    <row r="61" spans="1:3" ht="20.100000000000001" customHeight="1" x14ac:dyDescent="0.25">
      <c r="A61" s="5"/>
      <c r="B61" s="5"/>
      <c r="C61" s="4"/>
    </row>
    <row r="62" spans="1:3" ht="20.100000000000001" customHeight="1" x14ac:dyDescent="0.25">
      <c r="A62" s="5"/>
      <c r="B62" s="5"/>
      <c r="C62" s="4"/>
    </row>
    <row r="63" spans="1:3" ht="20.100000000000001" customHeight="1" x14ac:dyDescent="0.25">
      <c r="A63" s="5"/>
      <c r="B63" s="5"/>
      <c r="C63" s="4"/>
    </row>
    <row r="64" spans="1:3" ht="20.100000000000001" customHeight="1" x14ac:dyDescent="0.25">
      <c r="A64" s="5"/>
      <c r="B64" s="5"/>
      <c r="C64" s="4"/>
    </row>
    <row r="65" spans="1:3" ht="20.100000000000001" customHeight="1" x14ac:dyDescent="0.25">
      <c r="A65" s="5"/>
      <c r="B65" s="5"/>
      <c r="C65" s="4"/>
    </row>
    <row r="66" spans="1:3" ht="20.100000000000001" customHeight="1" x14ac:dyDescent="0.25">
      <c r="A66" s="5"/>
      <c r="B66" s="5"/>
      <c r="C66" s="4"/>
    </row>
    <row r="67" spans="1:3" ht="20.100000000000001" customHeight="1" x14ac:dyDescent="0.25">
      <c r="A67" s="5"/>
      <c r="B67" s="5"/>
      <c r="C67" s="4"/>
    </row>
    <row r="68" spans="1:3" ht="20.100000000000001" customHeight="1" x14ac:dyDescent="0.25">
      <c r="A68" s="5"/>
      <c r="B68" s="5"/>
      <c r="C68" s="4"/>
    </row>
    <row r="69" spans="1:3" ht="20.100000000000001" customHeight="1" x14ac:dyDescent="0.25">
      <c r="A69" s="5"/>
      <c r="B69" s="5"/>
      <c r="C69" s="4"/>
    </row>
    <row r="70" spans="1:3" ht="20.100000000000001" customHeight="1" x14ac:dyDescent="0.25">
      <c r="A70" s="5"/>
      <c r="B70" s="5"/>
      <c r="C70" s="4"/>
    </row>
    <row r="71" spans="1:3" ht="20.100000000000001" customHeight="1" x14ac:dyDescent="0.25">
      <c r="A71" s="5"/>
      <c r="B71" s="5"/>
      <c r="C71" s="4"/>
    </row>
    <row r="72" spans="1:3" ht="20.100000000000001" customHeight="1" x14ac:dyDescent="0.25">
      <c r="A72" s="5"/>
      <c r="B72" s="5"/>
      <c r="C72" s="4"/>
    </row>
    <row r="73" spans="1:3" ht="20.100000000000001" customHeight="1" x14ac:dyDescent="0.25">
      <c r="A73" s="5"/>
      <c r="B73" s="5"/>
      <c r="C73" s="4"/>
    </row>
    <row r="74" spans="1:3" ht="20.100000000000001" customHeight="1" x14ac:dyDescent="0.25">
      <c r="A74" s="5"/>
      <c r="B74" s="5"/>
      <c r="C74" s="4"/>
    </row>
    <row r="75" spans="1:3" ht="20.100000000000001" customHeight="1" x14ac:dyDescent="0.25">
      <c r="A75" s="5"/>
      <c r="B75" s="5"/>
      <c r="C75" s="4"/>
    </row>
    <row r="76" spans="1:3" ht="20.100000000000001" customHeight="1" x14ac:dyDescent="0.25">
      <c r="A76" s="5"/>
      <c r="B76" s="5"/>
      <c r="C76" s="4"/>
    </row>
    <row r="77" spans="1:3" ht="20.100000000000001" customHeight="1" x14ac:dyDescent="0.25">
      <c r="A77" s="5"/>
      <c r="B77" s="5"/>
      <c r="C77" s="4"/>
    </row>
    <row r="78" spans="1:3" ht="20.100000000000001" customHeight="1" x14ac:dyDescent="0.25">
      <c r="A78" s="5"/>
      <c r="B78" s="5"/>
      <c r="C78" s="4"/>
    </row>
    <row r="79" spans="1:3" ht="20.100000000000001" customHeight="1" x14ac:dyDescent="0.25">
      <c r="A79" s="5"/>
      <c r="B79" s="5"/>
      <c r="C79" s="4"/>
    </row>
    <row r="80" spans="1:3" ht="20.100000000000001" customHeight="1" x14ac:dyDescent="0.25">
      <c r="A80" s="5"/>
      <c r="B80" s="5"/>
      <c r="C80" s="4"/>
    </row>
    <row r="81" spans="1:3" ht="20.100000000000001" customHeight="1" x14ac:dyDescent="0.25">
      <c r="A81" s="5"/>
      <c r="B81" s="5"/>
      <c r="C81" s="4"/>
    </row>
    <row r="82" spans="1:3" ht="20.100000000000001" customHeight="1" x14ac:dyDescent="0.25">
      <c r="A82" s="5"/>
      <c r="B82" s="5"/>
      <c r="C82" s="4"/>
    </row>
    <row r="83" spans="1:3" ht="20.100000000000001" customHeight="1" x14ac:dyDescent="0.25">
      <c r="A83" s="5"/>
      <c r="B83" s="5"/>
      <c r="C83" s="4"/>
    </row>
    <row r="84" spans="1:3" ht="20.100000000000001" customHeight="1" x14ac:dyDescent="0.25">
      <c r="A84" s="5"/>
      <c r="B84" s="5"/>
      <c r="C84" s="4"/>
    </row>
    <row r="85" spans="1:3" ht="20.100000000000001" customHeight="1" x14ac:dyDescent="0.25">
      <c r="A85" s="5"/>
      <c r="B85" s="5"/>
      <c r="C85" s="4"/>
    </row>
    <row r="86" spans="1:3" ht="20.100000000000001" customHeight="1" x14ac:dyDescent="0.25">
      <c r="A86" s="5"/>
      <c r="B86" s="5"/>
      <c r="C86" s="4"/>
    </row>
    <row r="87" spans="1:3" ht="20.100000000000001" customHeight="1" x14ac:dyDescent="0.25">
      <c r="A87" s="5"/>
      <c r="B87" s="5"/>
      <c r="C87" s="4"/>
    </row>
    <row r="88" spans="1:3" ht="20.100000000000001" customHeight="1" x14ac:dyDescent="0.25">
      <c r="A88" s="5"/>
      <c r="B88" s="5"/>
      <c r="C88" s="4"/>
    </row>
    <row r="89" spans="1:3" ht="20.100000000000001" customHeight="1" x14ac:dyDescent="0.25">
      <c r="A89" s="5"/>
      <c r="B89" s="5"/>
      <c r="C89" s="4"/>
    </row>
  </sheetData>
  <autoFilter ref="A2:C89"/>
  <pageMargins left="0.7" right="0.7" top="0.75" bottom="0.75" header="0.3" footer="0.3"/>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1:AE74"/>
  <sheetViews>
    <sheetView tabSelected="1" workbookViewId="0">
      <selection activeCell="Z36" sqref="Z36"/>
    </sheetView>
  </sheetViews>
  <sheetFormatPr baseColWidth="10" defaultColWidth="10.85546875" defaultRowHeight="15.75" x14ac:dyDescent="0.25"/>
  <cols>
    <col min="1" max="1" width="5.5703125" style="2" customWidth="1"/>
    <col min="2" max="2" width="10.5703125" style="2" customWidth="1"/>
    <col min="3" max="3" width="15.5703125" style="2" bestFit="1" customWidth="1"/>
    <col min="4" max="4" width="12.7109375" style="2" customWidth="1"/>
    <col min="5" max="8" width="12.7109375" style="2" hidden="1" customWidth="1"/>
    <col min="9" max="14" width="10.5703125" style="2" customWidth="1"/>
    <col min="15" max="26" width="12.7109375" style="2" customWidth="1"/>
    <col min="27" max="27" width="12.7109375" style="2" hidden="1" customWidth="1"/>
    <col min="28" max="28" width="21.42578125" style="2" hidden="1" customWidth="1"/>
    <col min="29" max="29" width="12.7109375" style="2" hidden="1" customWidth="1"/>
    <col min="30" max="30" width="117.42578125" style="2" bestFit="1" customWidth="1"/>
    <col min="31" max="16384" width="10.85546875" style="2"/>
  </cols>
  <sheetData>
    <row r="1" spans="1:31" ht="20.100000000000001" customHeight="1" x14ac:dyDescent="0.25">
      <c r="A1" s="1" t="s">
        <v>37</v>
      </c>
      <c r="B1" s="26" t="s">
        <v>54</v>
      </c>
      <c r="C1" s="26" t="s">
        <v>4572</v>
      </c>
      <c r="D1" s="1" t="s">
        <v>5638</v>
      </c>
      <c r="E1" s="1" t="s">
        <v>4710</v>
      </c>
      <c r="F1" s="1" t="s">
        <v>6203</v>
      </c>
      <c r="G1" s="1" t="s">
        <v>6205</v>
      </c>
      <c r="H1" s="1" t="s">
        <v>6206</v>
      </c>
      <c r="I1" s="1" t="s">
        <v>5570</v>
      </c>
      <c r="J1" s="1" t="s">
        <v>5571</v>
      </c>
      <c r="K1" s="1" t="s">
        <v>5572</v>
      </c>
      <c r="L1" s="1" t="s">
        <v>5573</v>
      </c>
      <c r="M1" s="1" t="s">
        <v>6817</v>
      </c>
      <c r="N1" s="1" t="s">
        <v>6818</v>
      </c>
      <c r="O1" s="1" t="s">
        <v>5580</v>
      </c>
      <c r="P1" s="1" t="s">
        <v>6217</v>
      </c>
      <c r="Q1" s="1" t="s">
        <v>5581</v>
      </c>
      <c r="R1" s="1" t="s">
        <v>6216</v>
      </c>
      <c r="S1" s="1" t="s">
        <v>5582</v>
      </c>
      <c r="T1" s="1" t="s">
        <v>6215</v>
      </c>
      <c r="U1" s="1" t="s">
        <v>6081</v>
      </c>
      <c r="V1" s="1" t="s">
        <v>6819</v>
      </c>
      <c r="W1" s="1" t="s">
        <v>5583</v>
      </c>
      <c r="X1" s="1" t="s">
        <v>6207</v>
      </c>
      <c r="Y1" s="1" t="s">
        <v>5584</v>
      </c>
      <c r="Z1" s="1" t="s">
        <v>6208</v>
      </c>
      <c r="AA1" s="1" t="s">
        <v>6801</v>
      </c>
      <c r="AB1" s="1" t="s">
        <v>5489</v>
      </c>
      <c r="AC1" s="1" t="s">
        <v>6229</v>
      </c>
    </row>
    <row r="2" spans="1:31" ht="20.100000000000001" customHeight="1" x14ac:dyDescent="0.25">
      <c r="A2" s="1" t="s">
        <v>44</v>
      </c>
      <c r="B2" s="26" t="s">
        <v>41</v>
      </c>
      <c r="C2" s="26" t="s">
        <v>42</v>
      </c>
      <c r="D2" s="26" t="s">
        <v>43</v>
      </c>
      <c r="E2" s="26" t="s">
        <v>4077</v>
      </c>
      <c r="F2" s="1"/>
      <c r="G2" s="1" t="s">
        <v>4349</v>
      </c>
      <c r="H2" s="1" t="s">
        <v>5596</v>
      </c>
      <c r="I2" s="1" t="s">
        <v>4350</v>
      </c>
      <c r="J2" s="1" t="s">
        <v>4351</v>
      </c>
      <c r="K2" s="1" t="s">
        <v>5531</v>
      </c>
      <c r="L2" s="1" t="s">
        <v>5532</v>
      </c>
      <c r="M2" s="1" t="s">
        <v>5568</v>
      </c>
      <c r="N2" s="1" t="s">
        <v>5585</v>
      </c>
      <c r="O2" s="1"/>
      <c r="P2" s="1" t="s">
        <v>5586</v>
      </c>
      <c r="Q2" s="1"/>
      <c r="R2" s="1" t="s">
        <v>5587</v>
      </c>
      <c r="S2" s="1"/>
      <c r="T2" s="1" t="s">
        <v>5588</v>
      </c>
      <c r="U2" s="1"/>
      <c r="V2" s="1" t="s">
        <v>5589</v>
      </c>
      <c r="W2" s="1"/>
      <c r="X2" s="1" t="s">
        <v>5590</v>
      </c>
      <c r="Y2" s="1"/>
      <c r="Z2" s="1" t="s">
        <v>5591</v>
      </c>
      <c r="AA2" s="1" t="s">
        <v>5596</v>
      </c>
      <c r="AB2" s="1"/>
      <c r="AC2" s="1" t="s">
        <v>6316</v>
      </c>
      <c r="AD2" s="46" t="s">
        <v>6853</v>
      </c>
    </row>
    <row r="3" spans="1:31" ht="20.100000000000001" customHeight="1" x14ac:dyDescent="0.25">
      <c r="A3" s="55">
        <v>214</v>
      </c>
      <c r="B3" s="56" t="s">
        <v>6807</v>
      </c>
      <c r="C3" s="56" t="s">
        <v>6815</v>
      </c>
      <c r="D3" s="58">
        <v>24053</v>
      </c>
      <c r="E3" s="60">
        <v>1</v>
      </c>
      <c r="F3" s="59" t="s">
        <v>4125</v>
      </c>
      <c r="G3" s="59">
        <v>11</v>
      </c>
      <c r="H3" s="59">
        <v>12</v>
      </c>
      <c r="I3" s="61">
        <v>28</v>
      </c>
      <c r="J3" s="62">
        <v>124.8</v>
      </c>
      <c r="K3" s="59" t="s">
        <v>6808</v>
      </c>
      <c r="L3" s="59">
        <v>4.5699999999999998E-2</v>
      </c>
      <c r="M3" s="63">
        <v>0</v>
      </c>
      <c r="N3" s="63">
        <v>124.8</v>
      </c>
      <c r="O3" s="59" t="s">
        <v>5627</v>
      </c>
      <c r="P3" s="59">
        <v>3</v>
      </c>
      <c r="Q3" s="59" t="s">
        <v>5628</v>
      </c>
      <c r="R3" s="59">
        <v>14</v>
      </c>
      <c r="S3" s="59" t="s">
        <v>972</v>
      </c>
      <c r="T3" s="59" t="s">
        <v>972</v>
      </c>
      <c r="U3" s="59" t="s">
        <v>5112</v>
      </c>
      <c r="V3" s="59">
        <v>156</v>
      </c>
      <c r="W3" s="64" t="s">
        <v>6820</v>
      </c>
      <c r="X3" s="65">
        <v>37</v>
      </c>
      <c r="Y3" s="64" t="s">
        <v>6821</v>
      </c>
      <c r="Z3" s="65">
        <v>39</v>
      </c>
      <c r="AA3" s="59">
        <v>12</v>
      </c>
      <c r="AB3" s="59" t="s">
        <v>5629</v>
      </c>
      <c r="AC3" s="59"/>
      <c r="AD3" s="66" t="str">
        <f>CONCATENATE("(",A3,"*",I3,"*",J3,"*",K3,"*",L3,"*",M3,"*",N3,"*",P3,"*",R3,"*",T3,"*",V3,"*",X3,"*",Z3,")*")</f>
        <v>(214*28*124,8*8.74*0,0457*0*124,8*3*14*NULL*156*37*39)*</v>
      </c>
      <c r="AE3" s="37"/>
    </row>
    <row r="4" spans="1:31" ht="20.100000000000001" customHeight="1" x14ac:dyDescent="0.25">
      <c r="A4" s="55">
        <v>215</v>
      </c>
      <c r="B4" s="56" t="s">
        <v>6809</v>
      </c>
      <c r="C4" s="56" t="s">
        <v>6827</v>
      </c>
      <c r="D4" s="58">
        <v>24053</v>
      </c>
      <c r="E4" s="60"/>
      <c r="F4" s="59"/>
      <c r="G4" s="59"/>
      <c r="H4" s="59"/>
      <c r="I4" s="61">
        <v>28</v>
      </c>
      <c r="J4" s="62">
        <v>93.274999999999991</v>
      </c>
      <c r="K4" s="59" t="s">
        <v>6808</v>
      </c>
      <c r="L4" s="59">
        <v>4.5699999999999998E-2</v>
      </c>
      <c r="M4" s="63">
        <v>124.8</v>
      </c>
      <c r="N4" s="63">
        <v>218.07499999999999</v>
      </c>
      <c r="O4" s="59" t="s">
        <v>5627</v>
      </c>
      <c r="P4" s="59">
        <v>3</v>
      </c>
      <c r="Q4" s="59" t="s">
        <v>5628</v>
      </c>
      <c r="R4" s="59">
        <v>14</v>
      </c>
      <c r="S4" s="59" t="s">
        <v>972</v>
      </c>
      <c r="T4" s="59" t="s">
        <v>972</v>
      </c>
      <c r="U4" s="59" t="s">
        <v>5112</v>
      </c>
      <c r="V4" s="59">
        <v>156</v>
      </c>
      <c r="W4" s="64" t="s">
        <v>6821</v>
      </c>
      <c r="X4" s="65">
        <v>39</v>
      </c>
      <c r="Y4" s="64" t="s">
        <v>6822</v>
      </c>
      <c r="Z4" s="65">
        <v>41</v>
      </c>
      <c r="AA4" s="59"/>
      <c r="AB4" s="59"/>
      <c r="AC4" s="59"/>
      <c r="AD4" s="66" t="str">
        <f t="shared" ref="AD4:AD20" si="0">CONCATENATE("(",A4,"*",I4,"*",J4,"*",K4,"*",L4,"*",M4,"*",N4,"*",P4,"*",R4,"*",T4,"*",V4,"*",X4,"*",Z4,")*")</f>
        <v>(215*28*93,275*8.74*0,0457*124,8*218,075*3*14*NULL*156*39*41)*</v>
      </c>
      <c r="AE4" s="37"/>
    </row>
    <row r="5" spans="1:31" ht="20.100000000000001" customHeight="1" x14ac:dyDescent="0.25">
      <c r="A5" s="55">
        <v>216</v>
      </c>
      <c r="B5" s="56" t="s">
        <v>6810</v>
      </c>
      <c r="C5" s="56" t="s">
        <v>6828</v>
      </c>
      <c r="D5" s="58">
        <v>24053</v>
      </c>
      <c r="E5" s="60"/>
      <c r="F5" s="59"/>
      <c r="G5" s="59"/>
      <c r="H5" s="59"/>
      <c r="I5" s="61">
        <v>28</v>
      </c>
      <c r="J5" s="62">
        <v>87.925000000000011</v>
      </c>
      <c r="K5" s="59" t="s">
        <v>6808</v>
      </c>
      <c r="L5" s="59">
        <v>4.5699999999999998E-2</v>
      </c>
      <c r="M5" s="63">
        <v>218.07499999999999</v>
      </c>
      <c r="N5" s="63">
        <v>306</v>
      </c>
      <c r="O5" s="59" t="s">
        <v>5627</v>
      </c>
      <c r="P5" s="59">
        <v>3</v>
      </c>
      <c r="Q5" s="59" t="s">
        <v>5628</v>
      </c>
      <c r="R5" s="59">
        <v>14</v>
      </c>
      <c r="S5" s="59" t="s">
        <v>972</v>
      </c>
      <c r="T5" s="59" t="s">
        <v>972</v>
      </c>
      <c r="U5" s="59" t="s">
        <v>5112</v>
      </c>
      <c r="V5" s="59">
        <v>156</v>
      </c>
      <c r="W5" s="64" t="s">
        <v>6822</v>
      </c>
      <c r="X5" s="65">
        <v>41</v>
      </c>
      <c r="Y5" s="64" t="s">
        <v>6823</v>
      </c>
      <c r="Z5" s="65">
        <v>43</v>
      </c>
      <c r="AA5" s="59"/>
      <c r="AB5" s="59"/>
      <c r="AC5" s="59"/>
      <c r="AD5" s="66" t="str">
        <f t="shared" si="0"/>
        <v>(216*28*87,925*8.74*0,0457*218,075*306*3*14*NULL*156*41*43)*</v>
      </c>
      <c r="AE5" s="37"/>
    </row>
    <row r="6" spans="1:31" ht="20.100000000000001" customHeight="1" x14ac:dyDescent="0.25">
      <c r="A6" s="55">
        <v>217</v>
      </c>
      <c r="B6" s="56" t="s">
        <v>6811</v>
      </c>
      <c r="C6" s="56" t="s">
        <v>6829</v>
      </c>
      <c r="D6" s="58">
        <v>24053</v>
      </c>
      <c r="E6" s="60"/>
      <c r="F6" s="59"/>
      <c r="G6" s="59"/>
      <c r="H6" s="59"/>
      <c r="I6" s="61">
        <v>28</v>
      </c>
      <c r="J6" s="62">
        <v>109.10000000000002</v>
      </c>
      <c r="K6" s="59" t="s">
        <v>6808</v>
      </c>
      <c r="L6" s="59">
        <v>4.5699999999999998E-2</v>
      </c>
      <c r="M6" s="63">
        <v>306</v>
      </c>
      <c r="N6" s="63">
        <v>415.1</v>
      </c>
      <c r="O6" s="59" t="s">
        <v>5627</v>
      </c>
      <c r="P6" s="59">
        <v>3</v>
      </c>
      <c r="Q6" s="59" t="s">
        <v>5628</v>
      </c>
      <c r="R6" s="59">
        <v>14</v>
      </c>
      <c r="S6" s="59" t="s">
        <v>972</v>
      </c>
      <c r="T6" s="59" t="s">
        <v>972</v>
      </c>
      <c r="U6" s="59" t="s">
        <v>5112</v>
      </c>
      <c r="V6" s="59">
        <v>156</v>
      </c>
      <c r="W6" s="64" t="s">
        <v>6823</v>
      </c>
      <c r="X6" s="65">
        <v>43</v>
      </c>
      <c r="Y6" s="64" t="s">
        <v>6824</v>
      </c>
      <c r="Z6" s="65">
        <v>45</v>
      </c>
      <c r="AA6" s="59"/>
      <c r="AB6" s="59"/>
      <c r="AC6" s="59"/>
      <c r="AD6" s="66" t="str">
        <f t="shared" si="0"/>
        <v>(217*28*109,1*8.74*0,0457*306*415,1*3*14*NULL*156*43*45)*</v>
      </c>
      <c r="AE6" s="37"/>
    </row>
    <row r="7" spans="1:31" ht="20.100000000000001" customHeight="1" x14ac:dyDescent="0.25">
      <c r="A7" s="55">
        <v>218</v>
      </c>
      <c r="B7" s="56" t="s">
        <v>6812</v>
      </c>
      <c r="C7" s="56" t="s">
        <v>6830</v>
      </c>
      <c r="D7" s="58">
        <v>24053</v>
      </c>
      <c r="E7" s="60"/>
      <c r="F7" s="59"/>
      <c r="G7" s="59"/>
      <c r="H7" s="59"/>
      <c r="I7" s="61">
        <v>28</v>
      </c>
      <c r="J7" s="62">
        <v>119.79999999999995</v>
      </c>
      <c r="K7" s="59" t="s">
        <v>6808</v>
      </c>
      <c r="L7" s="59">
        <v>4.5699999999999998E-2</v>
      </c>
      <c r="M7" s="63">
        <v>415.1</v>
      </c>
      <c r="N7" s="63">
        <v>534.9</v>
      </c>
      <c r="O7" s="59" t="s">
        <v>5627</v>
      </c>
      <c r="P7" s="59">
        <v>3</v>
      </c>
      <c r="Q7" s="59" t="s">
        <v>5628</v>
      </c>
      <c r="R7" s="59">
        <v>14</v>
      </c>
      <c r="S7" s="59" t="s">
        <v>972</v>
      </c>
      <c r="T7" s="59" t="s">
        <v>972</v>
      </c>
      <c r="U7" s="59" t="s">
        <v>5112</v>
      </c>
      <c r="V7" s="59">
        <v>156</v>
      </c>
      <c r="W7" s="64" t="s">
        <v>6824</v>
      </c>
      <c r="X7" s="65">
        <v>45</v>
      </c>
      <c r="Y7" s="64" t="s">
        <v>6825</v>
      </c>
      <c r="Z7" s="65">
        <v>47</v>
      </c>
      <c r="AA7" s="59"/>
      <c r="AB7" s="59"/>
      <c r="AC7" s="59"/>
      <c r="AD7" s="66" t="str">
        <f t="shared" si="0"/>
        <v>(218*28*119,8*8.74*0,0457*415,1*534,9*3*14*NULL*156*45*47)*</v>
      </c>
      <c r="AE7" s="37"/>
    </row>
    <row r="8" spans="1:31" ht="20.100000000000001" customHeight="1" x14ac:dyDescent="0.25">
      <c r="A8" s="55">
        <v>219</v>
      </c>
      <c r="B8" s="56" t="s">
        <v>6813</v>
      </c>
      <c r="C8" s="56" t="s">
        <v>6831</v>
      </c>
      <c r="D8" s="58">
        <v>24053</v>
      </c>
      <c r="E8" s="60"/>
      <c r="F8" s="59"/>
      <c r="G8" s="59"/>
      <c r="H8" s="59"/>
      <c r="I8" s="61">
        <v>28</v>
      </c>
      <c r="J8" s="62">
        <v>170.673</v>
      </c>
      <c r="K8" s="59" t="s">
        <v>6808</v>
      </c>
      <c r="L8" s="59">
        <v>4.5699999999999998E-2</v>
      </c>
      <c r="M8" s="63">
        <v>534.9</v>
      </c>
      <c r="N8" s="63">
        <v>705.57299999999998</v>
      </c>
      <c r="O8" s="59" t="s">
        <v>5627</v>
      </c>
      <c r="P8" s="59">
        <v>3</v>
      </c>
      <c r="Q8" s="59" t="s">
        <v>5628</v>
      </c>
      <c r="R8" s="59">
        <v>14</v>
      </c>
      <c r="S8" s="59" t="s">
        <v>972</v>
      </c>
      <c r="T8" s="59" t="s">
        <v>972</v>
      </c>
      <c r="U8" s="59" t="s">
        <v>5112</v>
      </c>
      <c r="V8" s="59">
        <v>156</v>
      </c>
      <c r="W8" s="64" t="s">
        <v>6825</v>
      </c>
      <c r="X8" s="65">
        <v>47</v>
      </c>
      <c r="Y8" s="64" t="s">
        <v>6826</v>
      </c>
      <c r="Z8" s="65">
        <v>49</v>
      </c>
      <c r="AA8" s="59"/>
      <c r="AB8" s="59"/>
      <c r="AC8" s="59"/>
      <c r="AD8" s="66" t="str">
        <f t="shared" si="0"/>
        <v>(219*28*170,673*8.74*0,0457*534,9*705,573*3*14*NULL*156*47*49)*</v>
      </c>
      <c r="AE8" s="37"/>
    </row>
    <row r="9" spans="1:31" ht="20.100000000000001" customHeight="1" x14ac:dyDescent="0.25">
      <c r="A9" s="55">
        <v>220</v>
      </c>
      <c r="B9" s="56" t="s">
        <v>6814</v>
      </c>
      <c r="C9" s="56" t="s">
        <v>6832</v>
      </c>
      <c r="D9" s="58">
        <v>24053</v>
      </c>
      <c r="E9" s="60"/>
      <c r="F9" s="59"/>
      <c r="G9" s="59"/>
      <c r="H9" s="59"/>
      <c r="I9" s="61">
        <v>28</v>
      </c>
      <c r="J9" s="62">
        <v>95.427000000000021</v>
      </c>
      <c r="K9" s="59" t="s">
        <v>6808</v>
      </c>
      <c r="L9" s="59">
        <v>4.5699999999999998E-2</v>
      </c>
      <c r="M9" s="63">
        <v>705.57299999999998</v>
      </c>
      <c r="N9" s="63">
        <v>801</v>
      </c>
      <c r="O9" s="59" t="s">
        <v>5627</v>
      </c>
      <c r="P9" s="59">
        <v>3</v>
      </c>
      <c r="Q9" s="59" t="s">
        <v>5628</v>
      </c>
      <c r="R9" s="59">
        <v>14</v>
      </c>
      <c r="S9" s="59" t="s">
        <v>972</v>
      </c>
      <c r="T9" s="59" t="s">
        <v>972</v>
      </c>
      <c r="U9" s="59" t="s">
        <v>5112</v>
      </c>
      <c r="V9" s="59">
        <v>156</v>
      </c>
      <c r="W9" s="64" t="s">
        <v>6826</v>
      </c>
      <c r="X9" s="65">
        <v>49</v>
      </c>
      <c r="Y9" s="64" t="s">
        <v>1824</v>
      </c>
      <c r="Z9" s="65">
        <v>21</v>
      </c>
      <c r="AA9" s="59"/>
      <c r="AB9" s="59"/>
      <c r="AC9" s="59"/>
      <c r="AD9" s="66" t="str">
        <f t="shared" si="0"/>
        <v>(220*28*95,427*8.74*0,0457*705,573*801*3*14*NULL*156*49*21)*</v>
      </c>
      <c r="AE9" s="37"/>
    </row>
    <row r="10" spans="1:31" ht="20.100000000000001" customHeight="1" x14ac:dyDescent="0.25">
      <c r="A10" s="55">
        <v>221</v>
      </c>
      <c r="B10" s="56" t="s">
        <v>6833</v>
      </c>
      <c r="C10" s="56" t="s">
        <v>6840</v>
      </c>
      <c r="D10" s="58">
        <v>37851</v>
      </c>
      <c r="E10" s="60">
        <v>1</v>
      </c>
      <c r="F10" s="59" t="s">
        <v>4125</v>
      </c>
      <c r="G10" s="59">
        <v>11</v>
      </c>
      <c r="H10" s="59">
        <v>12</v>
      </c>
      <c r="I10" s="61">
        <v>34</v>
      </c>
      <c r="J10" s="62">
        <v>127.6</v>
      </c>
      <c r="K10" s="59" t="s">
        <v>6846</v>
      </c>
      <c r="L10" s="59">
        <v>4.5699999999999998E-2</v>
      </c>
      <c r="M10" s="63">
        <v>0</v>
      </c>
      <c r="N10" s="63">
        <v>127.6</v>
      </c>
      <c r="O10" s="59" t="s">
        <v>5631</v>
      </c>
      <c r="P10" s="59">
        <v>4</v>
      </c>
      <c r="Q10" s="59" t="s">
        <v>5632</v>
      </c>
      <c r="R10" s="59">
        <v>11</v>
      </c>
      <c r="S10" s="59" t="s">
        <v>972</v>
      </c>
      <c r="T10" s="59" t="s">
        <v>972</v>
      </c>
      <c r="U10" s="59" t="s">
        <v>5113</v>
      </c>
      <c r="V10" s="59">
        <v>157</v>
      </c>
      <c r="W10" s="64" t="s">
        <v>6820</v>
      </c>
      <c r="X10" s="59">
        <v>37</v>
      </c>
      <c r="Y10" s="64" t="s">
        <v>6821</v>
      </c>
      <c r="Z10" s="59">
        <v>39</v>
      </c>
      <c r="AA10" s="59">
        <v>12</v>
      </c>
      <c r="AB10" s="67" t="s">
        <v>5633</v>
      </c>
      <c r="AC10" s="67"/>
      <c r="AD10" s="66" t="str">
        <f t="shared" si="0"/>
        <v>(221*34*127,6*7.92*0,0457*0*127,6*4*11*NULL*157*37*39)*</v>
      </c>
    </row>
    <row r="11" spans="1:31" ht="20.100000000000001" customHeight="1" x14ac:dyDescent="0.25">
      <c r="A11" s="55">
        <v>222</v>
      </c>
      <c r="B11" s="56" t="s">
        <v>6834</v>
      </c>
      <c r="C11" s="56" t="s">
        <v>6816</v>
      </c>
      <c r="D11" s="58">
        <v>37851</v>
      </c>
      <c r="E11" s="60"/>
      <c r="F11" s="59"/>
      <c r="G11" s="59"/>
      <c r="H11" s="59"/>
      <c r="I11" s="61">
        <v>34</v>
      </c>
      <c r="J11" s="62">
        <v>93.200000000000017</v>
      </c>
      <c r="K11" s="59" t="s">
        <v>6847</v>
      </c>
      <c r="L11" s="59">
        <v>1.0457000000000001</v>
      </c>
      <c r="M11" s="63">
        <v>127.6</v>
      </c>
      <c r="N11" s="63">
        <v>220.8</v>
      </c>
      <c r="O11" s="59" t="s">
        <v>5631</v>
      </c>
      <c r="P11" s="59">
        <v>4</v>
      </c>
      <c r="Q11" s="59" t="s">
        <v>5632</v>
      </c>
      <c r="R11" s="59">
        <v>11</v>
      </c>
      <c r="S11" s="59" t="s">
        <v>972</v>
      </c>
      <c r="T11" s="59" t="s">
        <v>972</v>
      </c>
      <c r="U11" s="59" t="s">
        <v>5113</v>
      </c>
      <c r="V11" s="59">
        <v>157</v>
      </c>
      <c r="W11" s="64" t="s">
        <v>6821</v>
      </c>
      <c r="X11" s="59">
        <v>39</v>
      </c>
      <c r="Y11" s="64" t="s">
        <v>6822</v>
      </c>
      <c r="Z11" s="59">
        <v>41</v>
      </c>
      <c r="AA11" s="59"/>
      <c r="AB11" s="67"/>
      <c r="AC11" s="67"/>
      <c r="AD11" s="66" t="str">
        <f t="shared" si="0"/>
        <v>(222*34*93,2*7.93*1,0457*127,6*220,8*4*11*NULL*157*39*41)*</v>
      </c>
    </row>
    <row r="12" spans="1:31" ht="20.100000000000001" customHeight="1" x14ac:dyDescent="0.25">
      <c r="A12" s="55">
        <v>223</v>
      </c>
      <c r="B12" s="56" t="s">
        <v>6835</v>
      </c>
      <c r="C12" s="56" t="s">
        <v>6841</v>
      </c>
      <c r="D12" s="58">
        <v>37851</v>
      </c>
      <c r="E12" s="60"/>
      <c r="F12" s="59"/>
      <c r="G12" s="59"/>
      <c r="H12" s="59"/>
      <c r="I12" s="61">
        <v>34</v>
      </c>
      <c r="J12" s="62">
        <v>87.099999999999966</v>
      </c>
      <c r="K12" s="59" t="s">
        <v>6848</v>
      </c>
      <c r="L12" s="59">
        <v>2.0457000000000001</v>
      </c>
      <c r="M12" s="63">
        <v>220.8</v>
      </c>
      <c r="N12" s="63">
        <v>307.89999999999998</v>
      </c>
      <c r="O12" s="59" t="s">
        <v>5631</v>
      </c>
      <c r="P12" s="59">
        <v>4</v>
      </c>
      <c r="Q12" s="59" t="s">
        <v>5632</v>
      </c>
      <c r="R12" s="59">
        <v>11</v>
      </c>
      <c r="S12" s="59" t="s">
        <v>972</v>
      </c>
      <c r="T12" s="59" t="s">
        <v>972</v>
      </c>
      <c r="U12" s="59" t="s">
        <v>5113</v>
      </c>
      <c r="V12" s="59">
        <v>157</v>
      </c>
      <c r="W12" s="64" t="s">
        <v>6822</v>
      </c>
      <c r="X12" s="59">
        <v>41</v>
      </c>
      <c r="Y12" s="64" t="s">
        <v>6823</v>
      </c>
      <c r="Z12" s="59">
        <v>43</v>
      </c>
      <c r="AA12" s="59"/>
      <c r="AB12" s="67"/>
      <c r="AC12" s="67"/>
      <c r="AD12" s="66" t="str">
        <f t="shared" si="0"/>
        <v>(223*34*87,1*7.94*2,0457*220,8*307,9*4*11*NULL*157*41*43)*</v>
      </c>
    </row>
    <row r="13" spans="1:31" ht="20.100000000000001" customHeight="1" x14ac:dyDescent="0.25">
      <c r="A13" s="55">
        <v>224</v>
      </c>
      <c r="B13" s="56" t="s">
        <v>6836</v>
      </c>
      <c r="C13" s="56" t="s">
        <v>6842</v>
      </c>
      <c r="D13" s="58">
        <v>37851</v>
      </c>
      <c r="E13" s="60"/>
      <c r="F13" s="59"/>
      <c r="G13" s="59"/>
      <c r="H13" s="59"/>
      <c r="I13" s="61">
        <v>34</v>
      </c>
      <c r="J13" s="62">
        <v>109.30000000000001</v>
      </c>
      <c r="K13" s="59" t="s">
        <v>6849</v>
      </c>
      <c r="L13" s="59">
        <v>3.0457000000000001</v>
      </c>
      <c r="M13" s="63">
        <v>307.89999999999998</v>
      </c>
      <c r="N13" s="63">
        <v>417.2</v>
      </c>
      <c r="O13" s="59" t="s">
        <v>5631</v>
      </c>
      <c r="P13" s="59">
        <v>4</v>
      </c>
      <c r="Q13" s="59" t="s">
        <v>5632</v>
      </c>
      <c r="R13" s="59">
        <v>11</v>
      </c>
      <c r="S13" s="59" t="s">
        <v>972</v>
      </c>
      <c r="T13" s="59" t="s">
        <v>972</v>
      </c>
      <c r="U13" s="59" t="s">
        <v>5113</v>
      </c>
      <c r="V13" s="59">
        <v>157</v>
      </c>
      <c r="W13" s="64" t="s">
        <v>6823</v>
      </c>
      <c r="X13" s="59">
        <v>43</v>
      </c>
      <c r="Y13" s="64" t="s">
        <v>6824</v>
      </c>
      <c r="Z13" s="59">
        <v>45</v>
      </c>
      <c r="AA13" s="59"/>
      <c r="AB13" s="67"/>
      <c r="AC13" s="67"/>
      <c r="AD13" s="66" t="str">
        <f t="shared" si="0"/>
        <v>(224*34*109,3*7.95*3,0457*307,9*417,2*4*11*NULL*157*43*45)*</v>
      </c>
    </row>
    <row r="14" spans="1:31" ht="20.100000000000001" customHeight="1" x14ac:dyDescent="0.25">
      <c r="A14" s="55">
        <v>225</v>
      </c>
      <c r="B14" s="56" t="s">
        <v>6837</v>
      </c>
      <c r="C14" s="56" t="s">
        <v>6843</v>
      </c>
      <c r="D14" s="58">
        <v>37851</v>
      </c>
      <c r="E14" s="60"/>
      <c r="F14" s="59"/>
      <c r="G14" s="59"/>
      <c r="H14" s="59"/>
      <c r="I14" s="61">
        <v>34</v>
      </c>
      <c r="J14" s="62">
        <v>121.00000000000006</v>
      </c>
      <c r="K14" s="59" t="s">
        <v>6850</v>
      </c>
      <c r="L14" s="59">
        <v>4.0457000000000001</v>
      </c>
      <c r="M14" s="63">
        <v>417.2</v>
      </c>
      <c r="N14" s="63">
        <v>538.20000000000005</v>
      </c>
      <c r="O14" s="59" t="s">
        <v>5631</v>
      </c>
      <c r="P14" s="59">
        <v>4</v>
      </c>
      <c r="Q14" s="59" t="s">
        <v>5632</v>
      </c>
      <c r="R14" s="59">
        <v>11</v>
      </c>
      <c r="S14" s="59" t="s">
        <v>972</v>
      </c>
      <c r="T14" s="59" t="s">
        <v>972</v>
      </c>
      <c r="U14" s="59" t="s">
        <v>5113</v>
      </c>
      <c r="V14" s="59">
        <v>157</v>
      </c>
      <c r="W14" s="64" t="s">
        <v>6824</v>
      </c>
      <c r="X14" s="59">
        <v>45</v>
      </c>
      <c r="Y14" s="64" t="s">
        <v>6825</v>
      </c>
      <c r="Z14" s="59">
        <v>47</v>
      </c>
      <c r="AA14" s="59"/>
      <c r="AB14" s="67"/>
      <c r="AC14" s="67"/>
      <c r="AD14" s="66" t="str">
        <f t="shared" si="0"/>
        <v>(225*34*121*7.96*4,0457*417,2*538,2*4*11*NULL*157*45*47)*</v>
      </c>
    </row>
    <row r="15" spans="1:31" ht="20.100000000000001" customHeight="1" x14ac:dyDescent="0.25">
      <c r="A15" s="55">
        <v>226</v>
      </c>
      <c r="B15" s="56" t="s">
        <v>6838</v>
      </c>
      <c r="C15" s="56" t="s">
        <v>6844</v>
      </c>
      <c r="D15" s="58">
        <v>37851</v>
      </c>
      <c r="E15" s="60"/>
      <c r="F15" s="59"/>
      <c r="G15" s="59"/>
      <c r="H15" s="59"/>
      <c r="I15" s="61">
        <v>34</v>
      </c>
      <c r="J15" s="62">
        <v>167.37299999999993</v>
      </c>
      <c r="K15" s="59" t="s">
        <v>6851</v>
      </c>
      <c r="L15" s="59">
        <v>5.0457000000000001</v>
      </c>
      <c r="M15" s="63">
        <v>538.20000000000005</v>
      </c>
      <c r="N15" s="63">
        <v>705.57299999999998</v>
      </c>
      <c r="O15" s="59" t="s">
        <v>5631</v>
      </c>
      <c r="P15" s="59">
        <v>4</v>
      </c>
      <c r="Q15" s="59" t="s">
        <v>5632</v>
      </c>
      <c r="R15" s="59">
        <v>11</v>
      </c>
      <c r="S15" s="59" t="s">
        <v>972</v>
      </c>
      <c r="T15" s="59" t="s">
        <v>972</v>
      </c>
      <c r="U15" s="59" t="s">
        <v>5113</v>
      </c>
      <c r="V15" s="59">
        <v>157</v>
      </c>
      <c r="W15" s="64" t="s">
        <v>6825</v>
      </c>
      <c r="X15" s="59">
        <v>47</v>
      </c>
      <c r="Y15" s="64" t="s">
        <v>6826</v>
      </c>
      <c r="Z15" s="59">
        <v>49</v>
      </c>
      <c r="AA15" s="59"/>
      <c r="AB15" s="67"/>
      <c r="AC15" s="67"/>
      <c r="AD15" s="66" t="str">
        <f t="shared" si="0"/>
        <v>(226*34*167,373*7.97*5,0457*538,2*705,573*4*11*NULL*157*47*49)*</v>
      </c>
    </row>
    <row r="16" spans="1:31" ht="20.100000000000001" customHeight="1" x14ac:dyDescent="0.25">
      <c r="A16" s="55">
        <v>227</v>
      </c>
      <c r="B16" s="56" t="s">
        <v>6839</v>
      </c>
      <c r="C16" s="56" t="s">
        <v>6845</v>
      </c>
      <c r="D16" s="58">
        <v>37851</v>
      </c>
      <c r="E16" s="60"/>
      <c r="F16" s="59"/>
      <c r="G16" s="59"/>
      <c r="H16" s="59"/>
      <c r="I16" s="61">
        <v>34</v>
      </c>
      <c r="J16" s="62">
        <v>115.42700000000002</v>
      </c>
      <c r="K16" s="59" t="s">
        <v>6852</v>
      </c>
      <c r="L16" s="59">
        <v>6.0457000000000001</v>
      </c>
      <c r="M16" s="63">
        <v>705.57299999999998</v>
      </c>
      <c r="N16" s="63">
        <v>821</v>
      </c>
      <c r="O16" s="59" t="s">
        <v>5631</v>
      </c>
      <c r="P16" s="59">
        <v>4</v>
      </c>
      <c r="Q16" s="59" t="s">
        <v>5632</v>
      </c>
      <c r="R16" s="59">
        <v>11</v>
      </c>
      <c r="S16" s="59" t="s">
        <v>972</v>
      </c>
      <c r="T16" s="59" t="s">
        <v>972</v>
      </c>
      <c r="U16" s="59" t="s">
        <v>5113</v>
      </c>
      <c r="V16" s="59">
        <v>157</v>
      </c>
      <c r="W16" s="64" t="s">
        <v>6826</v>
      </c>
      <c r="X16" s="59">
        <v>49</v>
      </c>
      <c r="Y16" s="64" t="s">
        <v>1824</v>
      </c>
      <c r="Z16" s="59">
        <v>21</v>
      </c>
      <c r="AA16" s="59"/>
      <c r="AB16" s="67"/>
      <c r="AC16" s="67"/>
      <c r="AD16" s="66" t="str">
        <f t="shared" si="0"/>
        <v>(227*34*115,427*7.98*6,0457*705,573*821*4*11*NULL*157*49*21)*</v>
      </c>
    </row>
    <row r="17" spans="1:30" ht="20.100000000000001" customHeight="1" x14ac:dyDescent="0.25">
      <c r="A17" s="55">
        <v>228</v>
      </c>
      <c r="B17" s="56" t="s">
        <v>6861</v>
      </c>
      <c r="C17" s="56" t="s">
        <v>6854</v>
      </c>
      <c r="D17" s="58">
        <v>26299</v>
      </c>
      <c r="E17" s="60">
        <v>1</v>
      </c>
      <c r="F17" s="59" t="s">
        <v>4133</v>
      </c>
      <c r="G17" s="59">
        <v>13</v>
      </c>
      <c r="H17" s="59">
        <v>12</v>
      </c>
      <c r="I17" s="61">
        <v>34</v>
      </c>
      <c r="J17" s="62">
        <v>190.56</v>
      </c>
      <c r="K17" s="67">
        <v>7.92</v>
      </c>
      <c r="L17" s="59">
        <v>4.5699999999999998E-2</v>
      </c>
      <c r="M17" s="63">
        <v>0</v>
      </c>
      <c r="N17" s="63">
        <v>190.56</v>
      </c>
      <c r="O17" s="59" t="s">
        <v>5627</v>
      </c>
      <c r="P17" s="59">
        <v>3</v>
      </c>
      <c r="Q17" s="67" t="s">
        <v>5636</v>
      </c>
      <c r="R17" s="59">
        <v>14</v>
      </c>
      <c r="S17" s="59" t="s">
        <v>972</v>
      </c>
      <c r="T17" s="59" t="s">
        <v>972</v>
      </c>
      <c r="U17" s="59" t="s">
        <v>5114</v>
      </c>
      <c r="V17" s="59">
        <v>158</v>
      </c>
      <c r="W17" s="56" t="s">
        <v>4915</v>
      </c>
      <c r="X17" s="55">
        <v>51</v>
      </c>
      <c r="Y17" s="56" t="s">
        <v>4919</v>
      </c>
      <c r="Z17" s="55">
        <v>53</v>
      </c>
      <c r="AA17" s="59">
        <v>12</v>
      </c>
      <c r="AB17" s="59" t="s">
        <v>5637</v>
      </c>
      <c r="AC17" s="59"/>
      <c r="AD17" s="66" t="str">
        <f t="shared" si="0"/>
        <v>(228*34*190,56*7,92*0,0457*0*190,56*3*14*NULL*158*51*53)*</v>
      </c>
    </row>
    <row r="18" spans="1:30" ht="20.100000000000001" customHeight="1" x14ac:dyDescent="0.25">
      <c r="A18" s="55">
        <v>229</v>
      </c>
      <c r="B18" s="56" t="s">
        <v>6862</v>
      </c>
      <c r="C18" s="56" t="s">
        <v>6855</v>
      </c>
      <c r="D18" s="58">
        <v>26299</v>
      </c>
      <c r="E18" s="60">
        <v>1</v>
      </c>
      <c r="F18" s="59" t="s">
        <v>4133</v>
      </c>
      <c r="G18" s="59">
        <v>13</v>
      </c>
      <c r="H18" s="59">
        <v>12</v>
      </c>
      <c r="I18" s="61">
        <v>34</v>
      </c>
      <c r="J18" s="62">
        <v>148.08299999999997</v>
      </c>
      <c r="K18" s="67">
        <v>7.92</v>
      </c>
      <c r="L18" s="59">
        <v>4.5699999999999998E-2</v>
      </c>
      <c r="M18" s="63">
        <v>190.56</v>
      </c>
      <c r="N18" s="63">
        <v>338.64299999999997</v>
      </c>
      <c r="O18" s="59" t="s">
        <v>5627</v>
      </c>
      <c r="P18" s="59">
        <v>3</v>
      </c>
      <c r="Q18" s="67" t="s">
        <v>5636</v>
      </c>
      <c r="R18" s="59">
        <v>14</v>
      </c>
      <c r="S18" s="59" t="s">
        <v>972</v>
      </c>
      <c r="T18" s="59" t="s">
        <v>972</v>
      </c>
      <c r="U18" s="59" t="s">
        <v>5114</v>
      </c>
      <c r="V18" s="59">
        <v>158</v>
      </c>
      <c r="W18" s="56" t="s">
        <v>4919</v>
      </c>
      <c r="X18" s="55">
        <v>53</v>
      </c>
      <c r="Y18" s="56" t="s">
        <v>4921</v>
      </c>
      <c r="Z18" s="55">
        <v>54</v>
      </c>
      <c r="AA18" s="59"/>
      <c r="AB18" s="59"/>
      <c r="AC18" s="59"/>
      <c r="AD18" s="66" t="str">
        <f t="shared" si="0"/>
        <v>(229*34*148,083*7,92*0,0457*190,56*338,643*3*14*NULL*158*53*54)*</v>
      </c>
    </row>
    <row r="19" spans="1:30" ht="20.100000000000001" customHeight="1" x14ac:dyDescent="0.25">
      <c r="A19" s="55">
        <v>230</v>
      </c>
      <c r="B19" s="56" t="s">
        <v>6863</v>
      </c>
      <c r="C19" s="56" t="s">
        <v>6856</v>
      </c>
      <c r="D19" s="58">
        <v>26299</v>
      </c>
      <c r="E19" s="60">
        <v>1</v>
      </c>
      <c r="F19" s="59" t="s">
        <v>4133</v>
      </c>
      <c r="G19" s="59">
        <v>13</v>
      </c>
      <c r="H19" s="59">
        <v>12</v>
      </c>
      <c r="I19" s="61">
        <v>34</v>
      </c>
      <c r="J19" s="62">
        <v>92.784000000000049</v>
      </c>
      <c r="K19" s="67">
        <v>7.92</v>
      </c>
      <c r="L19" s="59">
        <v>4.5699999999999998E-2</v>
      </c>
      <c r="M19" s="63">
        <v>338.64299999999997</v>
      </c>
      <c r="N19" s="63">
        <v>431.42700000000002</v>
      </c>
      <c r="O19" s="59" t="s">
        <v>5631</v>
      </c>
      <c r="P19" s="59">
        <v>4</v>
      </c>
      <c r="Q19" s="67" t="s">
        <v>5636</v>
      </c>
      <c r="R19" s="59">
        <v>14</v>
      </c>
      <c r="S19" s="59" t="s">
        <v>972</v>
      </c>
      <c r="T19" s="59" t="s">
        <v>972</v>
      </c>
      <c r="U19" s="59" t="s">
        <v>5114</v>
      </c>
      <c r="V19" s="59">
        <v>158</v>
      </c>
      <c r="W19" s="56" t="s">
        <v>4921</v>
      </c>
      <c r="X19" s="55">
        <v>54</v>
      </c>
      <c r="Y19" s="56" t="s">
        <v>4925</v>
      </c>
      <c r="Z19" s="55">
        <v>56</v>
      </c>
      <c r="AA19" s="59"/>
      <c r="AB19" s="59"/>
      <c r="AC19" s="59"/>
      <c r="AD19" s="66" t="str">
        <f t="shared" si="0"/>
        <v>(230*34*92,784*7,92*0,0457*338,643*431,427*4*14*NULL*158*54*56)*</v>
      </c>
    </row>
    <row r="20" spans="1:30" ht="20.100000000000001" customHeight="1" x14ac:dyDescent="0.25">
      <c r="A20" s="55">
        <v>231</v>
      </c>
      <c r="B20" s="56" t="s">
        <v>6864</v>
      </c>
      <c r="C20" s="56" t="s">
        <v>6857</v>
      </c>
      <c r="D20" s="58">
        <v>26299</v>
      </c>
      <c r="E20" s="60">
        <v>1</v>
      </c>
      <c r="F20" s="59" t="s">
        <v>4133</v>
      </c>
      <c r="G20" s="59">
        <v>13</v>
      </c>
      <c r="H20" s="59">
        <v>12</v>
      </c>
      <c r="I20" s="61">
        <v>34</v>
      </c>
      <c r="J20" s="62">
        <v>215.31999999999994</v>
      </c>
      <c r="K20" s="67">
        <v>7.92</v>
      </c>
      <c r="L20" s="59">
        <v>4.5699999999999998E-2</v>
      </c>
      <c r="M20" s="63">
        <v>431.42700000000002</v>
      </c>
      <c r="N20" s="63">
        <v>646.74699999999996</v>
      </c>
      <c r="O20" s="59" t="s">
        <v>5631</v>
      </c>
      <c r="P20" s="59">
        <v>4</v>
      </c>
      <c r="Q20" s="67" t="s">
        <v>5636</v>
      </c>
      <c r="R20" s="59">
        <v>14</v>
      </c>
      <c r="S20" s="59" t="s">
        <v>972</v>
      </c>
      <c r="T20" s="59" t="s">
        <v>972</v>
      </c>
      <c r="U20" s="59" t="s">
        <v>5114</v>
      </c>
      <c r="V20" s="59">
        <v>158</v>
      </c>
      <c r="W20" s="56" t="s">
        <v>4925</v>
      </c>
      <c r="X20" s="55">
        <v>56</v>
      </c>
      <c r="Y20" s="68" t="s">
        <v>1012</v>
      </c>
      <c r="Z20" s="59">
        <v>34</v>
      </c>
      <c r="AA20" s="59"/>
      <c r="AB20" s="59"/>
      <c r="AC20" s="59"/>
      <c r="AD20" s="66" t="str">
        <f t="shared" si="0"/>
        <v>(231*34*215,32*7,92*0,0457*431,427*646,747*4*14*NULL*158*56*34)*</v>
      </c>
    </row>
    <row r="21" spans="1:30" ht="20.100000000000001" customHeight="1" x14ac:dyDescent="0.25">
      <c r="A21" s="3">
        <v>159</v>
      </c>
      <c r="B21" s="27" t="s">
        <v>5115</v>
      </c>
      <c r="C21" s="27"/>
      <c r="D21" s="22">
        <v>21864</v>
      </c>
      <c r="E21" s="15">
        <v>1</v>
      </c>
      <c r="F21" s="5" t="s">
        <v>4141</v>
      </c>
      <c r="G21" s="5">
        <v>15</v>
      </c>
      <c r="H21" s="5">
        <v>12</v>
      </c>
      <c r="I21" s="7" t="s">
        <v>6201</v>
      </c>
      <c r="J21" s="31">
        <v>672</v>
      </c>
      <c r="K21" s="5" t="s">
        <v>5639</v>
      </c>
      <c r="L21" s="5">
        <v>1.4999999999999999E-2</v>
      </c>
      <c r="M21" s="5"/>
      <c r="N21" s="5"/>
      <c r="O21" s="5" t="s">
        <v>5640</v>
      </c>
      <c r="P21" s="5">
        <v>2</v>
      </c>
      <c r="Q21" s="5" t="s">
        <v>5641</v>
      </c>
      <c r="R21" s="5">
        <v>14</v>
      </c>
      <c r="S21" s="5" t="s">
        <v>972</v>
      </c>
      <c r="T21" s="5" t="s">
        <v>972</v>
      </c>
      <c r="U21" s="5" t="s">
        <v>5537</v>
      </c>
      <c r="V21" s="5">
        <v>3</v>
      </c>
      <c r="W21" s="35" t="s">
        <v>4854</v>
      </c>
      <c r="X21" s="5">
        <v>7</v>
      </c>
      <c r="Y21" s="35" t="s">
        <v>1091</v>
      </c>
      <c r="Z21" s="5">
        <v>22</v>
      </c>
      <c r="AA21" s="5">
        <v>12</v>
      </c>
      <c r="AB21" s="5" t="s">
        <v>5642</v>
      </c>
      <c r="AC21" s="5"/>
      <c r="AD21" s="47" t="str">
        <f t="shared" ref="AD21:AD70" si="1">CONCATENATE("(",A21,"*'",I21,"'*",J21,"*'",K21,"'*'",L21,"'*",M21,"*",N21,"*",P21,"*",R21,"*",T21,"*",V21,"*",X21,"*",Z21,")*")</f>
        <v>(159*'24 / 22'*672*'2,7 / 9,52 / 9,0 / 8,73 / 7,92 / 7,13 / 6,35'*'0,015'***2*14*NULL*3*7*22)*</v>
      </c>
    </row>
    <row r="22" spans="1:30" ht="20.100000000000001" customHeight="1" x14ac:dyDescent="0.25">
      <c r="A22" s="3">
        <v>160</v>
      </c>
      <c r="B22" s="27" t="s">
        <v>5116</v>
      </c>
      <c r="C22" s="27"/>
      <c r="D22" s="22">
        <v>44738</v>
      </c>
      <c r="E22" s="15">
        <v>1</v>
      </c>
      <c r="F22" s="5" t="s">
        <v>4141</v>
      </c>
      <c r="G22" s="5">
        <v>15</v>
      </c>
      <c r="H22" s="5">
        <v>12</v>
      </c>
      <c r="I22" s="7" t="s">
        <v>6201</v>
      </c>
      <c r="J22" s="31">
        <v>174</v>
      </c>
      <c r="K22" s="5" t="s">
        <v>5644</v>
      </c>
      <c r="L22" s="5">
        <v>4.5999999999999999E-2</v>
      </c>
      <c r="M22" s="5"/>
      <c r="N22" s="5"/>
      <c r="O22" s="5" t="s">
        <v>5631</v>
      </c>
      <c r="P22" s="5">
        <v>4</v>
      </c>
      <c r="Q22" s="5" t="s">
        <v>5647</v>
      </c>
      <c r="R22" s="5">
        <v>10</v>
      </c>
      <c r="S22" s="5" t="s">
        <v>972</v>
      </c>
      <c r="T22" s="5" t="s">
        <v>972</v>
      </c>
      <c r="U22" s="5" t="s">
        <v>5537</v>
      </c>
      <c r="V22" s="5">
        <v>3</v>
      </c>
      <c r="W22" s="35" t="s">
        <v>1026</v>
      </c>
      <c r="X22" s="5">
        <v>10</v>
      </c>
      <c r="Y22" s="35" t="s">
        <v>1091</v>
      </c>
      <c r="Z22" s="5">
        <v>22</v>
      </c>
      <c r="AA22" s="5">
        <v>12</v>
      </c>
      <c r="AB22" s="5"/>
      <c r="AC22" s="5"/>
      <c r="AD22" s="47" t="str">
        <f t="shared" si="1"/>
        <v>(160*'24 / 22'*174*'8,74 / 9,53 / 11,3 / 12,7'*'0,046'***4*10*NULL*3*10*22)*</v>
      </c>
    </row>
    <row r="23" spans="1:30" ht="20.100000000000001" customHeight="1" x14ac:dyDescent="0.25">
      <c r="A23" s="3">
        <v>161</v>
      </c>
      <c r="B23" s="27" t="s">
        <v>5117</v>
      </c>
      <c r="C23" s="27"/>
      <c r="D23" s="22">
        <v>46388</v>
      </c>
      <c r="E23" s="15">
        <v>1</v>
      </c>
      <c r="F23" s="5" t="s">
        <v>4141</v>
      </c>
      <c r="G23" s="5">
        <v>15</v>
      </c>
      <c r="H23" s="5">
        <v>12</v>
      </c>
      <c r="I23" s="7">
        <v>24</v>
      </c>
      <c r="J23" s="31">
        <v>504</v>
      </c>
      <c r="K23" s="5" t="s">
        <v>5645</v>
      </c>
      <c r="L23" s="5">
        <v>4.5999999999999999E-2</v>
      </c>
      <c r="M23" s="5"/>
      <c r="N23" s="5"/>
      <c r="O23" s="5" t="s">
        <v>5631</v>
      </c>
      <c r="P23" s="5">
        <v>4</v>
      </c>
      <c r="Q23" s="5" t="s">
        <v>5646</v>
      </c>
      <c r="R23" s="5">
        <v>21</v>
      </c>
      <c r="S23" s="5" t="s">
        <v>972</v>
      </c>
      <c r="T23" s="5" t="s">
        <v>972</v>
      </c>
      <c r="U23" s="5" t="s">
        <v>5537</v>
      </c>
      <c r="V23" s="5">
        <v>3</v>
      </c>
      <c r="W23" s="35" t="s">
        <v>4854</v>
      </c>
      <c r="X23" s="5">
        <v>7</v>
      </c>
      <c r="Y23" s="35" t="s">
        <v>1916</v>
      </c>
      <c r="Z23" s="5">
        <v>11</v>
      </c>
      <c r="AA23" s="5">
        <v>12</v>
      </c>
      <c r="AB23" s="5"/>
      <c r="AC23" s="5"/>
      <c r="AD23" s="47" t="str">
        <f t="shared" si="1"/>
        <v>(161*'24'*504*'12,7 / 11,13 / 9,53 / 7,9'*'0,046'***4*21*NULL*3*7*11)*</v>
      </c>
    </row>
    <row r="24" spans="1:30" ht="20.100000000000001" customHeight="1" x14ac:dyDescent="0.25">
      <c r="A24" s="3">
        <v>162</v>
      </c>
      <c r="B24" s="27" t="s">
        <v>5118</v>
      </c>
      <c r="C24" s="27"/>
      <c r="D24" s="22">
        <v>38537</v>
      </c>
      <c r="E24" s="15">
        <v>1</v>
      </c>
      <c r="F24" s="5" t="s">
        <v>4141</v>
      </c>
      <c r="G24" s="5">
        <v>15</v>
      </c>
      <c r="H24" s="5">
        <v>12</v>
      </c>
      <c r="I24" s="7">
        <v>20</v>
      </c>
      <c r="J24" s="31" t="s">
        <v>5648</v>
      </c>
      <c r="K24" s="5" t="s">
        <v>5649</v>
      </c>
      <c r="L24" s="5">
        <v>4.5699999999999998E-2</v>
      </c>
      <c r="M24" s="5"/>
      <c r="N24" s="5"/>
      <c r="O24" s="5" t="s">
        <v>5631</v>
      </c>
      <c r="P24" s="5">
        <v>4</v>
      </c>
      <c r="Q24" s="5" t="s">
        <v>5632</v>
      </c>
      <c r="R24" s="5">
        <v>11</v>
      </c>
      <c r="S24" s="5" t="s">
        <v>972</v>
      </c>
      <c r="T24" s="5" t="s">
        <v>972</v>
      </c>
      <c r="U24" s="5" t="s">
        <v>5537</v>
      </c>
      <c r="V24" s="5">
        <v>3</v>
      </c>
      <c r="W24" s="35" t="s">
        <v>5651</v>
      </c>
      <c r="X24" s="5">
        <v>13</v>
      </c>
      <c r="Y24" s="35" t="s">
        <v>5519</v>
      </c>
      <c r="Z24" s="50">
        <v>128</v>
      </c>
      <c r="AA24" s="5">
        <v>12</v>
      </c>
      <c r="AB24" s="5" t="s">
        <v>5650</v>
      </c>
      <c r="AC24" s="5"/>
      <c r="AD24" s="47" t="str">
        <f t="shared" si="1"/>
        <v>(162*'20'*144.74*'8,74 / 10,31'*'0,0457'***4*11*NULL*3*13*128)*</v>
      </c>
    </row>
    <row r="25" spans="1:30" ht="20.100000000000001" customHeight="1" x14ac:dyDescent="0.25">
      <c r="A25" s="3">
        <v>163</v>
      </c>
      <c r="B25" s="27" t="s">
        <v>5119</v>
      </c>
      <c r="C25" s="27"/>
      <c r="D25" s="22">
        <v>21916</v>
      </c>
      <c r="E25" s="15">
        <v>1</v>
      </c>
      <c r="F25" s="5" t="s">
        <v>4137</v>
      </c>
      <c r="G25" s="5">
        <v>14</v>
      </c>
      <c r="H25" s="5">
        <v>12</v>
      </c>
      <c r="I25" s="7">
        <v>24</v>
      </c>
      <c r="J25" s="31">
        <v>265</v>
      </c>
      <c r="K25" s="5" t="s">
        <v>5658</v>
      </c>
      <c r="L25" s="5">
        <v>1.4999999999999999E-2</v>
      </c>
      <c r="M25" s="5"/>
      <c r="N25" s="5"/>
      <c r="O25" s="5" t="s">
        <v>5627</v>
      </c>
      <c r="P25" s="5">
        <v>3</v>
      </c>
      <c r="Q25" s="5" t="s">
        <v>5655</v>
      </c>
      <c r="R25" s="5">
        <v>14</v>
      </c>
      <c r="S25" s="5" t="s">
        <v>5654</v>
      </c>
      <c r="T25" s="5">
        <v>17</v>
      </c>
      <c r="U25" s="5" t="s">
        <v>5119</v>
      </c>
      <c r="V25" s="5">
        <v>4</v>
      </c>
      <c r="W25" s="35" t="s">
        <v>1848</v>
      </c>
      <c r="X25" s="5">
        <v>29</v>
      </c>
      <c r="Y25" s="35" t="s">
        <v>5652</v>
      </c>
      <c r="Z25" s="5">
        <v>1</v>
      </c>
      <c r="AA25" s="5">
        <v>12</v>
      </c>
      <c r="AB25" s="5" t="s">
        <v>5653</v>
      </c>
      <c r="AC25" s="5"/>
      <c r="AD25" s="47" t="str">
        <f t="shared" si="1"/>
        <v>(163*'24'*265*'7,94 / 8,74 / 10,31'*'0,015'***3*14*17*4*29*1)*</v>
      </c>
    </row>
    <row r="26" spans="1:30" ht="20.100000000000001" customHeight="1" x14ac:dyDescent="0.25">
      <c r="A26" s="3">
        <v>164</v>
      </c>
      <c r="B26" s="27" t="s">
        <v>5120</v>
      </c>
      <c r="C26" s="27"/>
      <c r="D26" s="22">
        <v>29952</v>
      </c>
      <c r="E26" s="15">
        <v>1</v>
      </c>
      <c r="F26" s="5" t="s">
        <v>4137</v>
      </c>
      <c r="G26" s="5">
        <v>14</v>
      </c>
      <c r="H26" s="5">
        <v>12</v>
      </c>
      <c r="I26" s="7">
        <v>30</v>
      </c>
      <c r="J26" s="31">
        <v>630</v>
      </c>
      <c r="K26" s="5" t="s">
        <v>5659</v>
      </c>
      <c r="L26" s="5">
        <v>0.06</v>
      </c>
      <c r="M26" s="5"/>
      <c r="N26" s="5"/>
      <c r="O26" s="5" t="s">
        <v>5627</v>
      </c>
      <c r="P26" s="5">
        <v>3</v>
      </c>
      <c r="Q26" s="5" t="s">
        <v>5662</v>
      </c>
      <c r="R26" s="5">
        <v>14</v>
      </c>
      <c r="S26" s="5" t="s">
        <v>5654</v>
      </c>
      <c r="T26" s="5">
        <v>17</v>
      </c>
      <c r="U26" s="5" t="s">
        <v>5120</v>
      </c>
      <c r="V26" s="5">
        <v>5</v>
      </c>
      <c r="W26" s="35" t="s">
        <v>1848</v>
      </c>
      <c r="X26" s="5">
        <v>29</v>
      </c>
      <c r="Y26" s="35" t="s">
        <v>4854</v>
      </c>
      <c r="Z26" s="5">
        <v>7</v>
      </c>
      <c r="AA26" s="5">
        <v>12</v>
      </c>
      <c r="AB26" s="5" t="s">
        <v>5663</v>
      </c>
      <c r="AC26" s="5"/>
      <c r="AD26" s="47" t="str">
        <f t="shared" si="1"/>
        <v>(164*'30'*630*'7,14 / 7,92'*'0,06'***3*14*17*5*29*7)*</v>
      </c>
    </row>
    <row r="27" spans="1:30" ht="20.100000000000001" customHeight="1" x14ac:dyDescent="0.25">
      <c r="A27" s="3">
        <v>165</v>
      </c>
      <c r="B27" s="28" t="s">
        <v>5121</v>
      </c>
      <c r="C27" s="28"/>
      <c r="D27" s="22">
        <v>38353</v>
      </c>
      <c r="E27" s="15">
        <v>1</v>
      </c>
      <c r="F27" s="5" t="s">
        <v>4137</v>
      </c>
      <c r="G27" s="5">
        <v>14</v>
      </c>
      <c r="H27" s="5">
        <v>12</v>
      </c>
      <c r="I27" s="7">
        <v>30</v>
      </c>
      <c r="J27" s="31" t="s">
        <v>5664</v>
      </c>
      <c r="K27" s="5" t="s">
        <v>5665</v>
      </c>
      <c r="L27" s="5">
        <v>4.5699999999999998E-2</v>
      </c>
      <c r="M27" s="5"/>
      <c r="N27" s="5"/>
      <c r="O27" s="5" t="s">
        <v>5631</v>
      </c>
      <c r="P27" s="5">
        <v>4</v>
      </c>
      <c r="Q27" s="5" t="s">
        <v>5666</v>
      </c>
      <c r="R27" s="5">
        <v>11</v>
      </c>
      <c r="S27" s="5" t="s">
        <v>972</v>
      </c>
      <c r="T27" s="5" t="s">
        <v>972</v>
      </c>
      <c r="U27" s="5" t="s">
        <v>5120</v>
      </c>
      <c r="V27" s="5">
        <v>5</v>
      </c>
      <c r="W27" s="35" t="s">
        <v>5667</v>
      </c>
      <c r="X27" s="50" t="s">
        <v>5667</v>
      </c>
      <c r="Y27" s="35" t="s">
        <v>4044</v>
      </c>
      <c r="Z27" s="50" t="s">
        <v>4044</v>
      </c>
      <c r="AA27" s="5"/>
      <c r="AB27" s="5"/>
      <c r="AC27" s="5"/>
      <c r="AD27" s="47" t="str">
        <f t="shared" si="1"/>
        <v>(165*'30'*44.5*'10.31'*'0,0457'***4*11*NULL*5*TFT*Nezla)*</v>
      </c>
    </row>
    <row r="28" spans="1:30" ht="20.100000000000001" customHeight="1" x14ac:dyDescent="0.25">
      <c r="A28" s="3">
        <v>166</v>
      </c>
      <c r="B28" s="27" t="s">
        <v>5122</v>
      </c>
      <c r="C28" s="27"/>
      <c r="D28" s="22">
        <v>26399</v>
      </c>
      <c r="E28" s="15">
        <v>1</v>
      </c>
      <c r="F28" s="5" t="s">
        <v>5670</v>
      </c>
      <c r="G28" s="5">
        <v>12</v>
      </c>
      <c r="H28" s="5">
        <v>12</v>
      </c>
      <c r="I28" s="7">
        <v>26</v>
      </c>
      <c r="J28" s="31">
        <v>108.372</v>
      </c>
      <c r="K28" s="5" t="s">
        <v>6097</v>
      </c>
      <c r="L28" s="5">
        <v>4.5699999999999998E-2</v>
      </c>
      <c r="M28" s="5"/>
      <c r="N28" s="5"/>
      <c r="O28" s="5" t="s">
        <v>5627</v>
      </c>
      <c r="P28" s="5">
        <v>3</v>
      </c>
      <c r="Q28" s="5" t="s">
        <v>5662</v>
      </c>
      <c r="R28" s="5">
        <v>14</v>
      </c>
      <c r="S28" s="5" t="s">
        <v>972</v>
      </c>
      <c r="T28" s="5" t="s">
        <v>972</v>
      </c>
      <c r="U28" s="5" t="s">
        <v>5673</v>
      </c>
      <c r="V28" s="5">
        <v>6</v>
      </c>
      <c r="W28" s="35" t="s">
        <v>5345</v>
      </c>
      <c r="X28" s="5">
        <v>15</v>
      </c>
      <c r="Y28" s="35" t="s">
        <v>4854</v>
      </c>
      <c r="Z28" s="5">
        <v>7</v>
      </c>
      <c r="AA28" s="5">
        <v>12</v>
      </c>
      <c r="AB28" s="5" t="s">
        <v>5676</v>
      </c>
      <c r="AC28" s="5"/>
      <c r="AD28" s="47" t="str">
        <f t="shared" si="1"/>
        <v>(166*'26'*108,372*'7,14 / 8,74'*'0,0457'***3*14*NULL*6*15*7)*</v>
      </c>
    </row>
    <row r="29" spans="1:30" ht="20.100000000000001" customHeight="1" x14ac:dyDescent="0.25">
      <c r="A29" s="3">
        <v>167</v>
      </c>
      <c r="B29" s="27" t="s">
        <v>5123</v>
      </c>
      <c r="C29" s="27"/>
      <c r="D29" s="22">
        <v>36161</v>
      </c>
      <c r="E29" s="15">
        <v>1</v>
      </c>
      <c r="F29" s="5" t="s">
        <v>5670</v>
      </c>
      <c r="G29" s="5">
        <v>12</v>
      </c>
      <c r="H29" s="5">
        <v>12</v>
      </c>
      <c r="I29" s="7">
        <v>30</v>
      </c>
      <c r="J29" s="31">
        <v>292</v>
      </c>
      <c r="K29" s="5" t="s">
        <v>5677</v>
      </c>
      <c r="L29" s="5">
        <v>4.5699999999999998E-2</v>
      </c>
      <c r="M29" s="5"/>
      <c r="N29" s="5"/>
      <c r="O29" s="5" t="s">
        <v>5627</v>
      </c>
      <c r="P29" s="5">
        <v>3</v>
      </c>
      <c r="Q29" s="5" t="s">
        <v>5678</v>
      </c>
      <c r="R29" s="5">
        <v>11</v>
      </c>
      <c r="S29" s="5" t="s">
        <v>972</v>
      </c>
      <c r="T29" s="5" t="s">
        <v>972</v>
      </c>
      <c r="U29" s="5" t="s">
        <v>5543</v>
      </c>
      <c r="V29" s="5">
        <v>7</v>
      </c>
      <c r="W29" s="35" t="s">
        <v>5349</v>
      </c>
      <c r="X29" s="5">
        <v>27</v>
      </c>
      <c r="Y29" s="35" t="s">
        <v>4854</v>
      </c>
      <c r="Z29" s="5">
        <v>7</v>
      </c>
      <c r="AA29" s="5">
        <v>12</v>
      </c>
      <c r="AB29" s="30" t="s">
        <v>6209</v>
      </c>
      <c r="AC29" s="30"/>
      <c r="AD29" s="47" t="str">
        <f t="shared" si="1"/>
        <v>(167*'30'*292*'10,31 - 12,7'*'0,0457'***3*11*NULL*7*27*7)*</v>
      </c>
    </row>
    <row r="30" spans="1:30" ht="20.100000000000001" customHeight="1" x14ac:dyDescent="0.25">
      <c r="A30" s="3">
        <v>168</v>
      </c>
      <c r="B30" s="27" t="s">
        <v>5124</v>
      </c>
      <c r="C30" s="27"/>
      <c r="D30" s="22">
        <v>38718</v>
      </c>
      <c r="E30" s="15">
        <v>1</v>
      </c>
      <c r="F30" s="5" t="s">
        <v>5670</v>
      </c>
      <c r="G30" s="5">
        <v>12</v>
      </c>
      <c r="H30" s="5">
        <v>12</v>
      </c>
      <c r="I30" s="7">
        <v>30</v>
      </c>
      <c r="J30" s="31">
        <v>292</v>
      </c>
      <c r="K30" s="5" t="s">
        <v>5677</v>
      </c>
      <c r="L30" s="5">
        <v>4.5699999999999998E-2</v>
      </c>
      <c r="M30" s="5"/>
      <c r="N30" s="5"/>
      <c r="O30" s="5" t="s">
        <v>5631</v>
      </c>
      <c r="P30" s="5">
        <v>4</v>
      </c>
      <c r="Q30" s="5" t="s">
        <v>5678</v>
      </c>
      <c r="R30" s="5">
        <v>11</v>
      </c>
      <c r="S30" s="5" t="s">
        <v>972</v>
      </c>
      <c r="T30" s="5" t="s">
        <v>972</v>
      </c>
      <c r="U30" s="5" t="s">
        <v>5543</v>
      </c>
      <c r="V30" s="5">
        <v>7</v>
      </c>
      <c r="W30" s="35" t="s">
        <v>5349</v>
      </c>
      <c r="X30" s="5">
        <v>27</v>
      </c>
      <c r="Y30" s="35" t="s">
        <v>4854</v>
      </c>
      <c r="Z30" s="5">
        <v>7</v>
      </c>
      <c r="AA30" s="5">
        <v>12</v>
      </c>
      <c r="AB30" s="30" t="s">
        <v>6209</v>
      </c>
      <c r="AC30" s="30"/>
      <c r="AD30" s="47" t="str">
        <f t="shared" si="1"/>
        <v>(168*'30'*292*'10,31 - 12,7'*'0,0457'***4*11*NULL*7*27*7)*</v>
      </c>
    </row>
    <row r="31" spans="1:30" ht="20.100000000000001" customHeight="1" x14ac:dyDescent="0.25">
      <c r="A31" s="3">
        <v>169</v>
      </c>
      <c r="B31" s="27" t="s">
        <v>5125</v>
      </c>
      <c r="C31" s="27"/>
      <c r="D31" s="22">
        <v>28207</v>
      </c>
      <c r="E31" s="15">
        <v>1</v>
      </c>
      <c r="F31" s="5" t="s">
        <v>5670</v>
      </c>
      <c r="G31" s="5">
        <v>12</v>
      </c>
      <c r="H31" s="5">
        <v>12</v>
      </c>
      <c r="I31" s="7">
        <v>20</v>
      </c>
      <c r="J31" s="31">
        <v>272.35000000000002</v>
      </c>
      <c r="K31" s="5" t="s">
        <v>6218</v>
      </c>
      <c r="L31" s="5">
        <v>4.5699999999999998E-2</v>
      </c>
      <c r="M31" s="5"/>
      <c r="N31" s="5"/>
      <c r="O31" s="5" t="s">
        <v>5627</v>
      </c>
      <c r="P31" s="5">
        <v>3</v>
      </c>
      <c r="Q31" s="5" t="s">
        <v>972</v>
      </c>
      <c r="R31" s="5" t="s">
        <v>972</v>
      </c>
      <c r="S31" s="5" t="s">
        <v>972</v>
      </c>
      <c r="T31" s="5" t="s">
        <v>972</v>
      </c>
      <c r="U31" s="5" t="s">
        <v>5673</v>
      </c>
      <c r="V31" s="5">
        <v>6</v>
      </c>
      <c r="W31" s="35" t="s">
        <v>5672</v>
      </c>
      <c r="X31" s="5">
        <v>25</v>
      </c>
      <c r="Y31" s="35" t="s">
        <v>5671</v>
      </c>
      <c r="Z31" s="5">
        <v>15</v>
      </c>
      <c r="AA31" s="5">
        <v>12</v>
      </c>
      <c r="AB31" s="5" t="s">
        <v>5669</v>
      </c>
      <c r="AC31" s="5"/>
      <c r="AD31" s="47" t="str">
        <f t="shared" si="1"/>
        <v>(169*'20'*272,35*'6,35 - 8,74'*'0,0457'***3*NULL*NULL*6*25*15)*</v>
      </c>
    </row>
    <row r="32" spans="1:30" ht="20.100000000000001" customHeight="1" x14ac:dyDescent="0.25">
      <c r="A32" s="3">
        <v>170</v>
      </c>
      <c r="B32" s="27" t="s">
        <v>5126</v>
      </c>
      <c r="C32" s="27"/>
      <c r="D32" s="22">
        <v>45778</v>
      </c>
      <c r="E32" s="15">
        <v>1</v>
      </c>
      <c r="F32" s="5" t="s">
        <v>5670</v>
      </c>
      <c r="G32" s="5">
        <v>12</v>
      </c>
      <c r="H32" s="5">
        <v>12</v>
      </c>
      <c r="I32" s="7">
        <v>16</v>
      </c>
      <c r="J32" s="31">
        <v>271</v>
      </c>
      <c r="K32" s="5">
        <v>6.35</v>
      </c>
      <c r="L32" s="5">
        <v>4.5999999999999999E-2</v>
      </c>
      <c r="M32" s="5"/>
      <c r="N32" s="5"/>
      <c r="O32" s="5" t="s">
        <v>5631</v>
      </c>
      <c r="P32" s="5">
        <v>4</v>
      </c>
      <c r="Q32" s="5" t="s">
        <v>972</v>
      </c>
      <c r="R32" s="5" t="s">
        <v>972</v>
      </c>
      <c r="S32" s="5" t="s">
        <v>972</v>
      </c>
      <c r="T32" s="5" t="s">
        <v>972</v>
      </c>
      <c r="U32" s="5" t="s">
        <v>5673</v>
      </c>
      <c r="V32" s="5">
        <v>6</v>
      </c>
      <c r="W32" s="35" t="s">
        <v>5672</v>
      </c>
      <c r="X32" s="5">
        <v>25</v>
      </c>
      <c r="Y32" s="35" t="s">
        <v>5671</v>
      </c>
      <c r="Z32" s="5">
        <v>15</v>
      </c>
      <c r="AA32" s="5">
        <v>12</v>
      </c>
      <c r="AB32" s="5"/>
      <c r="AC32" s="5"/>
      <c r="AD32" s="47" t="str">
        <f t="shared" si="1"/>
        <v>(170*'16'*271*'6,35'*'0,046'***4*NULL*NULL*6*25*15)*</v>
      </c>
    </row>
    <row r="33" spans="1:30" ht="20.100000000000001" customHeight="1" x14ac:dyDescent="0.25">
      <c r="A33" s="3">
        <v>171</v>
      </c>
      <c r="B33" s="27" t="s">
        <v>5127</v>
      </c>
      <c r="C33" s="27"/>
      <c r="D33" s="22">
        <v>35431</v>
      </c>
      <c r="E33" s="15">
        <v>1</v>
      </c>
      <c r="F33" s="5" t="s">
        <v>4089</v>
      </c>
      <c r="G33" s="5">
        <v>2</v>
      </c>
      <c r="H33" s="5">
        <v>2</v>
      </c>
      <c r="I33" s="7">
        <v>20</v>
      </c>
      <c r="J33" s="31">
        <v>230</v>
      </c>
      <c r="K33" s="5"/>
      <c r="L33" s="5">
        <v>4.5699999999999998E-2</v>
      </c>
      <c r="M33" s="5"/>
      <c r="N33" s="5"/>
      <c r="O33" s="5" t="s">
        <v>5631</v>
      </c>
      <c r="P33" s="5">
        <v>4</v>
      </c>
      <c r="Q33" s="5" t="s">
        <v>972</v>
      </c>
      <c r="R33" s="5" t="s">
        <v>972</v>
      </c>
      <c r="S33" s="5" t="s">
        <v>972</v>
      </c>
      <c r="T33" s="5" t="s">
        <v>972</v>
      </c>
      <c r="U33" s="5" t="s">
        <v>5673</v>
      </c>
      <c r="V33" s="5">
        <v>6</v>
      </c>
      <c r="W33" s="35" t="s">
        <v>4903</v>
      </c>
      <c r="X33" s="5">
        <v>32</v>
      </c>
      <c r="Y33" s="35" t="s">
        <v>4869</v>
      </c>
      <c r="Z33" s="5">
        <v>15</v>
      </c>
      <c r="AA33" s="5">
        <v>12</v>
      </c>
      <c r="AB33" s="5"/>
      <c r="AC33" s="5"/>
      <c r="AD33" s="47" t="str">
        <f t="shared" si="1"/>
        <v>(171*'20'*230*''*'0,0457'***4*NULL*NULL*6*32*15)*</v>
      </c>
    </row>
    <row r="34" spans="1:30" ht="20.100000000000001" customHeight="1" x14ac:dyDescent="0.25">
      <c r="A34" s="3">
        <v>172</v>
      </c>
      <c r="B34" s="27" t="s">
        <v>5128</v>
      </c>
      <c r="C34" s="27"/>
      <c r="D34" s="22">
        <v>36505</v>
      </c>
      <c r="E34" s="15">
        <v>1</v>
      </c>
      <c r="F34" s="5" t="s">
        <v>5670</v>
      </c>
      <c r="G34" s="5">
        <v>12</v>
      </c>
      <c r="H34" s="5">
        <v>12</v>
      </c>
      <c r="I34" s="7">
        <v>20</v>
      </c>
      <c r="J34" s="31">
        <v>33</v>
      </c>
      <c r="K34" s="5" t="s">
        <v>6219</v>
      </c>
      <c r="L34" s="5">
        <v>4.5999999999999999E-2</v>
      </c>
      <c r="M34" s="5"/>
      <c r="N34" s="5"/>
      <c r="O34" s="5" t="s">
        <v>5627</v>
      </c>
      <c r="P34" s="5">
        <v>3</v>
      </c>
      <c r="Q34" s="5" t="s">
        <v>972</v>
      </c>
      <c r="R34" s="5" t="s">
        <v>972</v>
      </c>
      <c r="S34" s="5" t="s">
        <v>972</v>
      </c>
      <c r="T34" s="5" t="s">
        <v>972</v>
      </c>
      <c r="U34" s="5" t="s">
        <v>5673</v>
      </c>
      <c r="V34" s="5">
        <v>6</v>
      </c>
      <c r="W34" s="35" t="s">
        <v>5675</v>
      </c>
      <c r="X34" s="5">
        <v>33</v>
      </c>
      <c r="Y34" s="35" t="s">
        <v>5671</v>
      </c>
      <c r="Z34" s="5">
        <v>15</v>
      </c>
      <c r="AA34" s="5">
        <v>12</v>
      </c>
      <c r="AB34" s="5" t="s">
        <v>4702</v>
      </c>
      <c r="AC34" s="5"/>
      <c r="AD34" s="47" t="str">
        <f t="shared" si="1"/>
        <v>(172*'20'*33*'7,14 - 8,74'*'0,046'***3*NULL*NULL*6*33*15)*</v>
      </c>
    </row>
    <row r="35" spans="1:30" ht="20.100000000000001" customHeight="1" x14ac:dyDescent="0.25">
      <c r="A35" s="3">
        <v>173</v>
      </c>
      <c r="B35" s="27" t="s">
        <v>5129</v>
      </c>
      <c r="C35" s="27"/>
      <c r="D35" s="22">
        <v>28795</v>
      </c>
      <c r="E35" s="15">
        <v>1</v>
      </c>
      <c r="F35" s="5" t="s">
        <v>4125</v>
      </c>
      <c r="G35" s="5">
        <v>11</v>
      </c>
      <c r="H35" s="5">
        <v>12</v>
      </c>
      <c r="I35" s="7">
        <v>28</v>
      </c>
      <c r="J35" s="31">
        <v>507</v>
      </c>
      <c r="K35" s="5" t="s">
        <v>6202</v>
      </c>
      <c r="L35" s="5">
        <v>4.5699999999999998E-2</v>
      </c>
      <c r="M35" s="5"/>
      <c r="N35" s="5"/>
      <c r="O35" s="5" t="s">
        <v>5627</v>
      </c>
      <c r="P35" s="5">
        <v>3</v>
      </c>
      <c r="Q35" s="5" t="s">
        <v>5662</v>
      </c>
      <c r="R35" s="5">
        <v>14</v>
      </c>
      <c r="S35" s="5" t="s">
        <v>972</v>
      </c>
      <c r="T35" s="5" t="s">
        <v>972</v>
      </c>
      <c r="U35" s="5" t="s">
        <v>5129</v>
      </c>
      <c r="V35" s="5">
        <v>8</v>
      </c>
      <c r="W35" s="35" t="s">
        <v>4856</v>
      </c>
      <c r="X35" s="5">
        <v>8</v>
      </c>
      <c r="Y35" s="35" t="s">
        <v>1824</v>
      </c>
      <c r="Z35" s="5">
        <v>21</v>
      </c>
      <c r="AA35" s="5">
        <v>12</v>
      </c>
      <c r="AB35" s="30" t="s">
        <v>6210</v>
      </c>
      <c r="AC35" s="30"/>
      <c r="AD35" s="47" t="str">
        <f t="shared" si="1"/>
        <v>(173*'28'*507*'6,35 / 7,14 / 7,22 / 8,74 / 9,25 / 12,7 / 14,27'*'0,0457'***3*14*NULL*8*8*21)*</v>
      </c>
    </row>
    <row r="36" spans="1:30" ht="20.100000000000001" customHeight="1" x14ac:dyDescent="0.25">
      <c r="A36" s="3">
        <v>174</v>
      </c>
      <c r="B36" s="27" t="s">
        <v>5130</v>
      </c>
      <c r="C36" s="27"/>
      <c r="D36" s="22">
        <v>40029</v>
      </c>
      <c r="E36" s="15">
        <v>1</v>
      </c>
      <c r="F36" s="5" t="s">
        <v>4133</v>
      </c>
      <c r="G36" s="5">
        <v>13</v>
      </c>
      <c r="H36" s="5">
        <v>12</v>
      </c>
      <c r="I36" s="7">
        <v>30</v>
      </c>
      <c r="J36" s="31">
        <v>646</v>
      </c>
      <c r="K36" s="5" t="s">
        <v>6094</v>
      </c>
      <c r="L36" s="5">
        <v>4.5699999999999998E-2</v>
      </c>
      <c r="M36" s="5"/>
      <c r="N36" s="5"/>
      <c r="O36" s="5" t="s">
        <v>5631</v>
      </c>
      <c r="P36" s="5">
        <v>4</v>
      </c>
      <c r="Q36" s="5" t="s">
        <v>5632</v>
      </c>
      <c r="R36" s="5">
        <v>11</v>
      </c>
      <c r="S36" s="5" t="s">
        <v>972</v>
      </c>
      <c r="T36" s="5" t="s">
        <v>972</v>
      </c>
      <c r="U36" s="5" t="s">
        <v>5130</v>
      </c>
      <c r="V36" s="5">
        <v>9</v>
      </c>
      <c r="W36" s="35" t="s">
        <v>4856</v>
      </c>
      <c r="X36" s="5">
        <v>8</v>
      </c>
      <c r="Y36" s="35" t="s">
        <v>1012</v>
      </c>
      <c r="Z36" s="5">
        <v>34</v>
      </c>
      <c r="AA36" s="5">
        <v>12</v>
      </c>
      <c r="AB36" s="5" t="s">
        <v>6095</v>
      </c>
      <c r="AC36" s="5"/>
      <c r="AD36" s="47" t="str">
        <f t="shared" si="1"/>
        <v>(174*'30'*646*'7,92/ 8,74/ 9,53/ 10,31/ 11,91/ 14,27'*'0,0457'***4*11*NULL*9*8*34)*</v>
      </c>
    </row>
    <row r="37" spans="1:30" ht="20.100000000000001" customHeight="1" x14ac:dyDescent="0.25">
      <c r="A37" s="3">
        <v>175</v>
      </c>
      <c r="B37" s="27" t="s">
        <v>5131</v>
      </c>
      <c r="C37" s="27"/>
      <c r="D37" s="22">
        <v>21916</v>
      </c>
      <c r="E37" s="15">
        <v>1</v>
      </c>
      <c r="F37" s="5" t="s">
        <v>4137</v>
      </c>
      <c r="G37" s="5">
        <v>14</v>
      </c>
      <c r="H37" s="5">
        <v>12</v>
      </c>
      <c r="I37" s="7" t="s">
        <v>6096</v>
      </c>
      <c r="J37" s="31">
        <v>565</v>
      </c>
      <c r="K37" s="5" t="s">
        <v>6097</v>
      </c>
      <c r="L37" s="5">
        <v>4.5699999999999998E-2</v>
      </c>
      <c r="M37" s="5"/>
      <c r="N37" s="5"/>
      <c r="O37" s="5" t="s">
        <v>5627</v>
      </c>
      <c r="P37" s="5">
        <v>3</v>
      </c>
      <c r="Q37" s="5" t="s">
        <v>5662</v>
      </c>
      <c r="R37" s="5">
        <v>14</v>
      </c>
      <c r="S37" s="5" t="s">
        <v>5654</v>
      </c>
      <c r="T37" s="5">
        <v>17</v>
      </c>
      <c r="U37" s="5" t="s">
        <v>5131</v>
      </c>
      <c r="V37" s="5">
        <v>10</v>
      </c>
      <c r="W37" s="35" t="s">
        <v>6099</v>
      </c>
      <c r="X37" s="5">
        <v>29</v>
      </c>
      <c r="Y37" s="35" t="s">
        <v>4854</v>
      </c>
      <c r="Z37" s="5">
        <v>7</v>
      </c>
      <c r="AA37" s="5">
        <v>12</v>
      </c>
      <c r="AB37" s="5" t="s">
        <v>6098</v>
      </c>
      <c r="AC37" s="5"/>
      <c r="AD37" s="47" t="str">
        <f t="shared" si="1"/>
        <v>(175*'24/30'*565*'7,14 / 8,74'*'0,0457'***3*14*17*10*29*7)*</v>
      </c>
    </row>
    <row r="38" spans="1:30" ht="20.100000000000001" customHeight="1" x14ac:dyDescent="0.25">
      <c r="A38" s="3">
        <v>176</v>
      </c>
      <c r="B38" s="27" t="s">
        <v>6160</v>
      </c>
      <c r="C38" s="27"/>
      <c r="D38" s="22"/>
      <c r="E38" s="15">
        <v>1</v>
      </c>
      <c r="F38" s="5" t="s">
        <v>4125</v>
      </c>
      <c r="G38" s="5">
        <v>11</v>
      </c>
      <c r="H38" s="5">
        <v>12</v>
      </c>
      <c r="I38" s="29">
        <v>16</v>
      </c>
      <c r="J38" s="31"/>
      <c r="K38" s="5"/>
      <c r="L38" s="5">
        <v>4.5699999999999998E-2</v>
      </c>
      <c r="M38" s="5"/>
      <c r="N38" s="5"/>
      <c r="O38" s="5" t="s">
        <v>5627</v>
      </c>
      <c r="P38" s="5">
        <v>3</v>
      </c>
      <c r="Q38" s="5" t="s">
        <v>972</v>
      </c>
      <c r="R38" s="5" t="s">
        <v>972</v>
      </c>
      <c r="S38" s="5" t="s">
        <v>972</v>
      </c>
      <c r="T38" s="5" t="s">
        <v>972</v>
      </c>
      <c r="U38" s="5" t="s">
        <v>5548</v>
      </c>
      <c r="V38" s="5">
        <v>11</v>
      </c>
      <c r="W38" s="35" t="s">
        <v>4856</v>
      </c>
      <c r="X38" s="5">
        <v>8</v>
      </c>
      <c r="Y38" s="35" t="s">
        <v>1824</v>
      </c>
      <c r="Z38" s="5">
        <v>21</v>
      </c>
      <c r="AA38" s="5">
        <v>12</v>
      </c>
      <c r="AB38" s="5"/>
      <c r="AC38" s="5"/>
      <c r="AD38" s="47" t="str">
        <f t="shared" si="1"/>
        <v>(176*'16'**''*'0,0457'***3*NULL*NULL*11*8*21)*</v>
      </c>
    </row>
    <row r="39" spans="1:30" ht="20.100000000000001" customHeight="1" x14ac:dyDescent="0.25">
      <c r="A39" s="3">
        <v>177</v>
      </c>
      <c r="B39" s="27" t="s">
        <v>5133</v>
      </c>
      <c r="C39" s="27"/>
      <c r="D39" s="22">
        <v>30720</v>
      </c>
      <c r="E39" s="15">
        <v>1</v>
      </c>
      <c r="F39" s="5" t="s">
        <v>4125</v>
      </c>
      <c r="G39" s="5">
        <v>11</v>
      </c>
      <c r="H39" s="5">
        <v>12</v>
      </c>
      <c r="I39" s="7">
        <v>24</v>
      </c>
      <c r="J39" s="31">
        <v>503.46</v>
      </c>
      <c r="K39" s="5" t="s">
        <v>6151</v>
      </c>
      <c r="L39" s="5">
        <v>0.05</v>
      </c>
      <c r="M39" s="5"/>
      <c r="N39" s="5"/>
      <c r="O39" s="5" t="s">
        <v>5635</v>
      </c>
      <c r="P39" s="5">
        <v>3</v>
      </c>
      <c r="Q39" s="5" t="s">
        <v>5662</v>
      </c>
      <c r="R39" s="5">
        <v>14</v>
      </c>
      <c r="S39" s="5" t="s">
        <v>972</v>
      </c>
      <c r="T39" s="5" t="s">
        <v>972</v>
      </c>
      <c r="U39" s="5" t="s">
        <v>5548</v>
      </c>
      <c r="V39" s="5">
        <v>11</v>
      </c>
      <c r="W39" s="35" t="s">
        <v>4856</v>
      </c>
      <c r="X39" s="5">
        <v>8</v>
      </c>
      <c r="Y39" s="35" t="s">
        <v>1824</v>
      </c>
      <c r="Z39" s="5">
        <v>21</v>
      </c>
      <c r="AA39" s="5">
        <v>12</v>
      </c>
      <c r="AB39" s="5" t="s">
        <v>6154</v>
      </c>
      <c r="AC39" s="5"/>
      <c r="AD39" s="47" t="str">
        <f t="shared" si="1"/>
        <v>(177*'24'*503,46*'9,52 / 11,91 '*'0,05'***3*14*NULL*11*8*21)*</v>
      </c>
    </row>
    <row r="40" spans="1:30" ht="20.100000000000001" customHeight="1" x14ac:dyDescent="0.25">
      <c r="A40" s="3">
        <v>178</v>
      </c>
      <c r="B40" s="27" t="s">
        <v>5134</v>
      </c>
      <c r="C40" s="27"/>
      <c r="D40" s="22">
        <v>39814</v>
      </c>
      <c r="E40" s="15">
        <v>1</v>
      </c>
      <c r="F40" s="5" t="s">
        <v>4125</v>
      </c>
      <c r="G40" s="5">
        <v>11</v>
      </c>
      <c r="H40" s="5">
        <v>12</v>
      </c>
      <c r="I40" s="7">
        <v>24</v>
      </c>
      <c r="J40" s="31">
        <v>495</v>
      </c>
      <c r="K40" s="30" t="s">
        <v>6152</v>
      </c>
      <c r="L40" s="5">
        <v>0.05</v>
      </c>
      <c r="M40" s="5"/>
      <c r="N40" s="5"/>
      <c r="O40" s="5" t="s">
        <v>6153</v>
      </c>
      <c r="P40" s="5">
        <v>4</v>
      </c>
      <c r="Q40" s="5" t="s">
        <v>5632</v>
      </c>
      <c r="R40" s="5">
        <v>11</v>
      </c>
      <c r="S40" s="5" t="s">
        <v>972</v>
      </c>
      <c r="T40" s="5" t="s">
        <v>972</v>
      </c>
      <c r="U40" s="5" t="s">
        <v>5548</v>
      </c>
      <c r="V40" s="5">
        <v>11</v>
      </c>
      <c r="W40" s="35" t="s">
        <v>4856</v>
      </c>
      <c r="X40" s="5">
        <v>8</v>
      </c>
      <c r="Y40" s="35" t="s">
        <v>1824</v>
      </c>
      <c r="Z40" s="5">
        <v>21</v>
      </c>
      <c r="AA40" s="5">
        <v>12</v>
      </c>
      <c r="AB40" s="5" t="s">
        <v>4624</v>
      </c>
      <c r="AC40" s="5"/>
      <c r="AD40" s="47" t="str">
        <f t="shared" si="1"/>
        <v>(178*'24'*495*'8,74 / 9,52 / 10,31 / 12,70 / 14,27 / 15,88 / 19,05 / 17,5'*'0,05'***4*11*NULL*11*8*21)*</v>
      </c>
    </row>
    <row r="41" spans="1:30" ht="20.100000000000001" customHeight="1" x14ac:dyDescent="0.25">
      <c r="A41" s="3">
        <v>179</v>
      </c>
      <c r="B41" s="27" t="s">
        <v>5135</v>
      </c>
      <c r="C41" s="27"/>
      <c r="D41" s="22">
        <v>35065</v>
      </c>
      <c r="E41" s="15">
        <v>1</v>
      </c>
      <c r="F41" s="5" t="s">
        <v>5670</v>
      </c>
      <c r="G41" s="5">
        <v>12</v>
      </c>
      <c r="H41" s="5">
        <v>12</v>
      </c>
      <c r="I41" s="7" t="s">
        <v>6200</v>
      </c>
      <c r="J41" s="31">
        <v>989</v>
      </c>
      <c r="K41" s="5" t="s">
        <v>6151</v>
      </c>
      <c r="L41" s="5">
        <v>0.05</v>
      </c>
      <c r="M41" s="5"/>
      <c r="N41" s="5"/>
      <c r="O41" s="5" t="s">
        <v>5631</v>
      </c>
      <c r="P41" s="5">
        <v>4</v>
      </c>
      <c r="Q41" s="5" t="s">
        <v>5632</v>
      </c>
      <c r="R41" s="5">
        <v>11</v>
      </c>
      <c r="S41" s="5" t="s">
        <v>972</v>
      </c>
      <c r="T41" s="5" t="s">
        <v>972</v>
      </c>
      <c r="U41" s="5" t="s">
        <v>6723</v>
      </c>
      <c r="V41" s="5">
        <v>12</v>
      </c>
      <c r="W41" s="35" t="s">
        <v>5386</v>
      </c>
      <c r="X41" s="5">
        <v>20</v>
      </c>
      <c r="Y41" s="35" t="s">
        <v>4856</v>
      </c>
      <c r="Z41" s="5">
        <v>8</v>
      </c>
      <c r="AA41" s="5">
        <v>12</v>
      </c>
      <c r="AB41" s="5" t="s">
        <v>6155</v>
      </c>
      <c r="AC41" s="5"/>
      <c r="AD41" s="47" t="str">
        <f t="shared" si="1"/>
        <v>(179*'10 / 12 / 14 / 16 / 20 / 24'*989*'9,52 / 11,91 '*'0,05'***4*11*NULL*12*20*8)*</v>
      </c>
    </row>
    <row r="42" spans="1:30" ht="20.100000000000001" customHeight="1" x14ac:dyDescent="0.25">
      <c r="A42" s="3">
        <v>179</v>
      </c>
      <c r="B42" s="48" t="s">
        <v>6161</v>
      </c>
      <c r="C42" s="48"/>
      <c r="D42" s="22"/>
      <c r="E42" s="15">
        <v>1</v>
      </c>
      <c r="F42" s="5" t="s">
        <v>4125</v>
      </c>
      <c r="G42" s="5">
        <v>11</v>
      </c>
      <c r="H42" s="5">
        <v>12</v>
      </c>
      <c r="I42" s="29">
        <v>12</v>
      </c>
      <c r="J42" s="31"/>
      <c r="K42" s="5" t="s">
        <v>6170</v>
      </c>
      <c r="L42" s="5">
        <v>0.05</v>
      </c>
      <c r="M42" s="5"/>
      <c r="N42" s="5"/>
      <c r="O42" s="5" t="s">
        <v>5631</v>
      </c>
      <c r="P42" s="5">
        <v>4</v>
      </c>
      <c r="Q42" s="5" t="s">
        <v>972</v>
      </c>
      <c r="R42" s="5" t="s">
        <v>972</v>
      </c>
      <c r="S42" s="5" t="s">
        <v>972</v>
      </c>
      <c r="T42" s="5" t="s">
        <v>972</v>
      </c>
      <c r="U42" s="5" t="s">
        <v>6723</v>
      </c>
      <c r="V42" s="5">
        <v>12</v>
      </c>
      <c r="W42" s="35" t="s">
        <v>4856</v>
      </c>
      <c r="X42" s="5">
        <v>8</v>
      </c>
      <c r="Y42" s="35" t="s">
        <v>1824</v>
      </c>
      <c r="Z42" s="5">
        <v>21</v>
      </c>
      <c r="AA42" s="5">
        <v>12</v>
      </c>
      <c r="AB42" s="5"/>
      <c r="AC42" s="5"/>
      <c r="AD42" s="47" t="str">
        <f t="shared" si="1"/>
        <v>(179*'12'**'11,91 / 12,7 / 14,25 / 19,05'*'0,05'***4*NULL*NULL*12*8*21)*</v>
      </c>
    </row>
    <row r="43" spans="1:30" ht="20.100000000000001" customHeight="1" x14ac:dyDescent="0.25">
      <c r="A43" s="3">
        <v>180</v>
      </c>
      <c r="B43" s="27" t="s">
        <v>5136</v>
      </c>
      <c r="C43" s="27"/>
      <c r="D43" s="22">
        <v>38264</v>
      </c>
      <c r="E43" s="15">
        <v>1</v>
      </c>
      <c r="F43" s="5" t="s">
        <v>5670</v>
      </c>
      <c r="G43" s="5">
        <v>12</v>
      </c>
      <c r="H43" s="5">
        <v>12</v>
      </c>
      <c r="I43" s="7">
        <v>16</v>
      </c>
      <c r="J43" s="31">
        <v>404</v>
      </c>
      <c r="K43" s="5" t="s">
        <v>6156</v>
      </c>
      <c r="L43" s="5">
        <v>4.5999999999999999E-2</v>
      </c>
      <c r="M43" s="5"/>
      <c r="N43" s="5"/>
      <c r="O43" s="5" t="s">
        <v>5631</v>
      </c>
      <c r="P43" s="5">
        <v>4</v>
      </c>
      <c r="Q43" s="5" t="s">
        <v>5632</v>
      </c>
      <c r="R43" s="5">
        <v>11</v>
      </c>
      <c r="S43" s="5" t="s">
        <v>972</v>
      </c>
      <c r="T43" s="5" t="s">
        <v>972</v>
      </c>
      <c r="U43" s="5" t="s">
        <v>6723</v>
      </c>
      <c r="V43" s="5">
        <v>12</v>
      </c>
      <c r="W43" s="35" t="s">
        <v>5341</v>
      </c>
      <c r="X43" s="5">
        <v>16</v>
      </c>
      <c r="Y43" s="35" t="s">
        <v>5390</v>
      </c>
      <c r="Z43" s="5">
        <v>26</v>
      </c>
      <c r="AA43" s="5">
        <v>12</v>
      </c>
      <c r="AB43" s="5" t="s">
        <v>6157</v>
      </c>
      <c r="AC43" s="5"/>
      <c r="AD43" s="47" t="str">
        <f t="shared" si="1"/>
        <v>(180*'16'*404*'7,92 / 11,13'*'0,046'***4*11*NULL*12*16*26)*</v>
      </c>
    </row>
    <row r="44" spans="1:30" ht="20.100000000000001" customHeight="1" x14ac:dyDescent="0.25">
      <c r="A44" s="3">
        <v>181</v>
      </c>
      <c r="B44" s="27" t="s">
        <v>5137</v>
      </c>
      <c r="C44" s="27"/>
      <c r="D44" s="22">
        <v>41640</v>
      </c>
      <c r="E44" s="15">
        <v>1</v>
      </c>
      <c r="F44" s="5" t="s">
        <v>5670</v>
      </c>
      <c r="G44" s="5">
        <v>12</v>
      </c>
      <c r="H44" s="5">
        <v>12</v>
      </c>
      <c r="I44" s="7">
        <v>24</v>
      </c>
      <c r="J44" s="31">
        <v>336</v>
      </c>
      <c r="K44" s="5" t="s">
        <v>6158</v>
      </c>
      <c r="L44" s="5">
        <v>4.5999999999999999E-2</v>
      </c>
      <c r="M44" s="5"/>
      <c r="N44" s="5"/>
      <c r="O44" s="5" t="s">
        <v>5631</v>
      </c>
      <c r="P44" s="5">
        <v>4</v>
      </c>
      <c r="Q44" s="5" t="s">
        <v>5646</v>
      </c>
      <c r="R44" s="5">
        <v>21</v>
      </c>
      <c r="S44" s="5" t="s">
        <v>972</v>
      </c>
      <c r="T44" s="5" t="s">
        <v>972</v>
      </c>
      <c r="U44" s="5" t="s">
        <v>6723</v>
      </c>
      <c r="V44" s="5">
        <v>12</v>
      </c>
      <c r="W44" s="35" t="s">
        <v>1812</v>
      </c>
      <c r="X44" s="5">
        <v>14</v>
      </c>
      <c r="Y44" s="35" t="s">
        <v>4856</v>
      </c>
      <c r="Z44" s="5">
        <v>8</v>
      </c>
      <c r="AA44" s="5">
        <v>12</v>
      </c>
      <c r="AB44" s="5" t="s">
        <v>6159</v>
      </c>
      <c r="AC44" s="5"/>
      <c r="AD44" s="47" t="str">
        <f t="shared" si="1"/>
        <v>(181*'24'*336*'14,3 / 9,52 / 11,13 / 15,88 / 10,31'*'0,046'***4*21*NULL*12*14*8)*</v>
      </c>
    </row>
    <row r="45" spans="1:30" ht="20.100000000000001" customHeight="1" x14ac:dyDescent="0.25">
      <c r="A45" s="3">
        <v>182</v>
      </c>
      <c r="B45" s="27" t="s">
        <v>5138</v>
      </c>
      <c r="C45" s="27"/>
      <c r="D45" s="22">
        <v>22282</v>
      </c>
      <c r="E45" s="15">
        <v>1</v>
      </c>
      <c r="F45" s="5" t="s">
        <v>4125</v>
      </c>
      <c r="G45" s="5">
        <v>11</v>
      </c>
      <c r="H45" s="5">
        <v>16</v>
      </c>
      <c r="I45" s="7" t="s">
        <v>6165</v>
      </c>
      <c r="J45" s="31">
        <v>509</v>
      </c>
      <c r="K45" s="5" t="s">
        <v>6164</v>
      </c>
      <c r="L45" s="5">
        <v>1.4999999999999999E-2</v>
      </c>
      <c r="M45" s="5"/>
      <c r="N45" s="5"/>
      <c r="O45" s="5" t="s">
        <v>5635</v>
      </c>
      <c r="P45" s="5">
        <v>3</v>
      </c>
      <c r="Q45" s="5" t="s">
        <v>6163</v>
      </c>
      <c r="R45" s="5">
        <v>14</v>
      </c>
      <c r="S45" s="5" t="s">
        <v>6162</v>
      </c>
      <c r="T45" s="5">
        <v>17</v>
      </c>
      <c r="U45" s="5" t="s">
        <v>5138</v>
      </c>
      <c r="V45" s="5">
        <v>13</v>
      </c>
      <c r="W45" s="35" t="s">
        <v>4856</v>
      </c>
      <c r="X45" s="5">
        <v>8</v>
      </c>
      <c r="Y45" s="35" t="s">
        <v>1824</v>
      </c>
      <c r="Z45" s="5">
        <v>21</v>
      </c>
      <c r="AA45" s="5">
        <v>16</v>
      </c>
      <c r="AB45" s="5" t="s">
        <v>6166</v>
      </c>
      <c r="AC45" s="5"/>
      <c r="AD45" s="47" t="str">
        <f t="shared" si="1"/>
        <v>(182*'20 / 24'*509*'8,74 - 12,7 - 10,31 - 15,9'*'0,015'***3*14*17*13*8*21)*</v>
      </c>
    </row>
    <row r="46" spans="1:30" ht="20.100000000000001" customHeight="1" x14ac:dyDescent="0.25">
      <c r="A46" s="3">
        <v>183</v>
      </c>
      <c r="B46" s="27" t="s">
        <v>5139</v>
      </c>
      <c r="C46" s="27"/>
      <c r="D46" s="22">
        <v>44805</v>
      </c>
      <c r="E46" s="15">
        <v>1</v>
      </c>
      <c r="F46" s="5" t="s">
        <v>4125</v>
      </c>
      <c r="G46" s="5">
        <v>11</v>
      </c>
      <c r="H46" s="5">
        <v>16</v>
      </c>
      <c r="I46" s="7">
        <v>20</v>
      </c>
      <c r="J46" s="31">
        <v>3.6</v>
      </c>
      <c r="K46" s="5">
        <v>11.13</v>
      </c>
      <c r="L46" s="5">
        <v>1.4999999999999999E-2</v>
      </c>
      <c r="M46" s="5"/>
      <c r="N46" s="5"/>
      <c r="O46" s="5" t="s">
        <v>5631</v>
      </c>
      <c r="P46" s="5">
        <v>4</v>
      </c>
      <c r="Q46" s="5" t="s">
        <v>5646</v>
      </c>
      <c r="R46" s="5">
        <v>21</v>
      </c>
      <c r="S46" s="5" t="s">
        <v>6162</v>
      </c>
      <c r="T46" s="5">
        <v>17</v>
      </c>
      <c r="U46" s="5" t="s">
        <v>5553</v>
      </c>
      <c r="V46" s="5">
        <v>14</v>
      </c>
      <c r="W46" s="35" t="s">
        <v>1824</v>
      </c>
      <c r="X46" s="5">
        <v>21</v>
      </c>
      <c r="Y46" s="35" t="s">
        <v>6167</v>
      </c>
      <c r="Z46" s="50">
        <v>122</v>
      </c>
      <c r="AA46" s="5">
        <v>16</v>
      </c>
      <c r="AB46" s="5"/>
      <c r="AC46" s="5"/>
      <c r="AD46" s="47" t="str">
        <f t="shared" si="1"/>
        <v>(183*'20'*3,6*'11,13'*'0,015'***4*21*17*14*21*122)*</v>
      </c>
    </row>
    <row r="47" spans="1:30" ht="20.100000000000001" customHeight="1" x14ac:dyDescent="0.25">
      <c r="A47" s="3">
        <v>184</v>
      </c>
      <c r="B47" s="27" t="s">
        <v>5140</v>
      </c>
      <c r="C47" s="27"/>
      <c r="D47" s="22">
        <v>27760</v>
      </c>
      <c r="E47" s="15">
        <v>1</v>
      </c>
      <c r="F47" s="5" t="s">
        <v>4125</v>
      </c>
      <c r="G47" s="5">
        <v>11</v>
      </c>
      <c r="H47" s="5">
        <v>16</v>
      </c>
      <c r="I47" s="7">
        <v>40</v>
      </c>
      <c r="J47" s="31">
        <v>507</v>
      </c>
      <c r="K47" s="5" t="s">
        <v>6169</v>
      </c>
      <c r="L47" s="5">
        <v>1.4999999999999999E-2</v>
      </c>
      <c r="M47" s="5"/>
      <c r="N47" s="5"/>
      <c r="O47" s="5" t="s">
        <v>5635</v>
      </c>
      <c r="P47" s="5">
        <v>3</v>
      </c>
      <c r="Q47" s="5" t="s">
        <v>6163</v>
      </c>
      <c r="R47" s="5">
        <v>14</v>
      </c>
      <c r="S47" s="5" t="s">
        <v>6162</v>
      </c>
      <c r="T47" s="5">
        <v>17</v>
      </c>
      <c r="U47" s="5" t="s">
        <v>5553</v>
      </c>
      <c r="V47" s="5">
        <v>14</v>
      </c>
      <c r="W47" s="35" t="s">
        <v>4856</v>
      </c>
      <c r="X47" s="5">
        <v>8</v>
      </c>
      <c r="Y47" s="35" t="s">
        <v>1824</v>
      </c>
      <c r="Z47" s="5">
        <v>21</v>
      </c>
      <c r="AA47" s="5">
        <v>16</v>
      </c>
      <c r="AB47" s="5" t="s">
        <v>6168</v>
      </c>
      <c r="AC47" s="5"/>
      <c r="AD47" s="47" t="str">
        <f t="shared" si="1"/>
        <v>(184*'40'*507*'11,13 - 12,7 - 19,05'*'0,015'***3*14*17*14*8*21)*</v>
      </c>
    </row>
    <row r="48" spans="1:30" ht="20.100000000000001" customHeight="1" x14ac:dyDescent="0.25">
      <c r="A48" s="3">
        <v>185</v>
      </c>
      <c r="B48" s="27" t="s">
        <v>5141</v>
      </c>
      <c r="C48" s="27"/>
      <c r="D48" s="22">
        <v>29952</v>
      </c>
      <c r="E48" s="15">
        <v>1</v>
      </c>
      <c r="F48" s="5" t="s">
        <v>4125</v>
      </c>
      <c r="G48" s="5">
        <v>11</v>
      </c>
      <c r="H48" s="5">
        <v>16</v>
      </c>
      <c r="I48" s="7">
        <v>40</v>
      </c>
      <c r="J48" s="31">
        <v>511</v>
      </c>
      <c r="K48" s="5" t="s">
        <v>6169</v>
      </c>
      <c r="L48" s="5">
        <v>1.4999999999999999E-2</v>
      </c>
      <c r="M48" s="5"/>
      <c r="N48" s="5"/>
      <c r="O48" s="5" t="s">
        <v>5635</v>
      </c>
      <c r="P48" s="5">
        <v>3</v>
      </c>
      <c r="Q48" s="5" t="s">
        <v>6163</v>
      </c>
      <c r="R48" s="5">
        <v>14</v>
      </c>
      <c r="S48" s="5" t="s">
        <v>6162</v>
      </c>
      <c r="T48" s="5">
        <v>17</v>
      </c>
      <c r="U48" s="5" t="s">
        <v>5553</v>
      </c>
      <c r="V48" s="5">
        <v>14</v>
      </c>
      <c r="W48" s="35" t="s">
        <v>4856</v>
      </c>
      <c r="X48" s="5">
        <v>8</v>
      </c>
      <c r="Y48" s="35" t="s">
        <v>1824</v>
      </c>
      <c r="Z48" s="5">
        <v>21</v>
      </c>
      <c r="AA48" s="5">
        <v>16</v>
      </c>
      <c r="AB48" s="5" t="s">
        <v>6211</v>
      </c>
      <c r="AC48" s="5"/>
      <c r="AD48" s="47" t="str">
        <f t="shared" si="1"/>
        <v>(185*'40'*511*'11,13 - 12,7 - 19,05'*'0,015'***3*14*17*14*8*21)*</v>
      </c>
    </row>
    <row r="49" spans="1:30" ht="20.100000000000001" customHeight="1" x14ac:dyDescent="0.25">
      <c r="A49" s="3">
        <v>186</v>
      </c>
      <c r="B49" s="27" t="s">
        <v>5142</v>
      </c>
      <c r="C49" s="27"/>
      <c r="D49" s="22"/>
      <c r="E49" s="15">
        <v>1</v>
      </c>
      <c r="F49" s="5" t="s">
        <v>4125</v>
      </c>
      <c r="G49" s="5">
        <v>11</v>
      </c>
      <c r="H49" s="5">
        <v>16</v>
      </c>
      <c r="I49" s="7">
        <v>40</v>
      </c>
      <c r="J49" s="31">
        <v>221</v>
      </c>
      <c r="K49" s="5" t="s">
        <v>6170</v>
      </c>
      <c r="L49" s="5">
        <v>1.4999999999999999E-2</v>
      </c>
      <c r="M49" s="5"/>
      <c r="N49" s="5"/>
      <c r="O49" s="5" t="s">
        <v>5631</v>
      </c>
      <c r="P49" s="5">
        <v>4</v>
      </c>
      <c r="Q49" s="5" t="s">
        <v>972</v>
      </c>
      <c r="R49" s="5" t="s">
        <v>972</v>
      </c>
      <c r="S49" s="5" t="s">
        <v>972</v>
      </c>
      <c r="T49" s="5" t="s">
        <v>972</v>
      </c>
      <c r="U49" s="5" t="s">
        <v>5553</v>
      </c>
      <c r="V49" s="5">
        <v>14</v>
      </c>
      <c r="W49" s="35"/>
      <c r="X49" s="50"/>
      <c r="Y49" s="35"/>
      <c r="Z49" s="50"/>
      <c r="AA49" s="5"/>
      <c r="AB49" s="5"/>
      <c r="AC49" s="5"/>
      <c r="AD49" s="47" t="str">
        <f t="shared" si="1"/>
        <v>(186*'40'*221*'11,91 / 12,7 / 14,25 / 19,05'*'0,015'***4*NULL*NULL*14**)*</v>
      </c>
    </row>
    <row r="50" spans="1:30" ht="20.100000000000001" customHeight="1" x14ac:dyDescent="0.25">
      <c r="A50" s="3">
        <v>187</v>
      </c>
      <c r="B50" s="27" t="s">
        <v>5143</v>
      </c>
      <c r="C50" s="27"/>
      <c r="D50" s="22">
        <v>32509</v>
      </c>
      <c r="E50" s="15">
        <v>1</v>
      </c>
      <c r="F50" s="5" t="s">
        <v>4125</v>
      </c>
      <c r="G50" s="5">
        <v>11</v>
      </c>
      <c r="H50" s="5">
        <v>16</v>
      </c>
      <c r="I50" s="7">
        <v>42</v>
      </c>
      <c r="J50" s="31">
        <v>517</v>
      </c>
      <c r="K50" s="5" t="s">
        <v>6171</v>
      </c>
      <c r="L50" s="5">
        <v>1.4999999999999999E-2</v>
      </c>
      <c r="M50" s="5"/>
      <c r="N50" s="5"/>
      <c r="O50" s="5" t="s">
        <v>6172</v>
      </c>
      <c r="P50" s="5">
        <v>4</v>
      </c>
      <c r="Q50" s="5" t="s">
        <v>6173</v>
      </c>
      <c r="R50" s="5">
        <v>14</v>
      </c>
      <c r="S50" s="5" t="s">
        <v>6162</v>
      </c>
      <c r="T50" s="5">
        <v>17</v>
      </c>
      <c r="U50" s="5" t="s">
        <v>5553</v>
      </c>
      <c r="V50" s="5">
        <v>14</v>
      </c>
      <c r="W50" s="35" t="s">
        <v>4856</v>
      </c>
      <c r="X50" s="5">
        <v>8</v>
      </c>
      <c r="Y50" s="35" t="s">
        <v>1824</v>
      </c>
      <c r="Z50" s="5">
        <v>21</v>
      </c>
      <c r="AA50" s="5">
        <v>16</v>
      </c>
      <c r="AB50" s="5" t="s">
        <v>6174</v>
      </c>
      <c r="AC50" s="5"/>
      <c r="AD50" s="47" t="str">
        <f t="shared" si="1"/>
        <v>(187*'42'*517*'11,13 / 12,7 / 14,3 / 0,6 '*'0,015'***4*14*17*14*8*21)*</v>
      </c>
    </row>
    <row r="51" spans="1:30" ht="20.100000000000001" customHeight="1" x14ac:dyDescent="0.25">
      <c r="A51" s="3">
        <v>188</v>
      </c>
      <c r="B51" s="27" t="s">
        <v>5144</v>
      </c>
      <c r="C51" s="27"/>
      <c r="D51" s="22"/>
      <c r="E51" s="15">
        <v>1</v>
      </c>
      <c r="F51" s="5" t="s">
        <v>4125</v>
      </c>
      <c r="G51" s="5">
        <v>11</v>
      </c>
      <c r="H51" s="5">
        <v>16</v>
      </c>
      <c r="I51" s="7"/>
      <c r="J51" s="31"/>
      <c r="K51" s="7" t="s">
        <v>6175</v>
      </c>
      <c r="L51" s="5">
        <v>1.4999999999999999E-2</v>
      </c>
      <c r="M51" s="5"/>
      <c r="N51" s="5"/>
      <c r="O51" s="5" t="s">
        <v>5631</v>
      </c>
      <c r="P51" s="5">
        <v>4</v>
      </c>
      <c r="Q51" s="5" t="s">
        <v>972</v>
      </c>
      <c r="R51" s="5" t="s">
        <v>972</v>
      </c>
      <c r="S51" s="5" t="s">
        <v>972</v>
      </c>
      <c r="T51" s="5" t="s">
        <v>972</v>
      </c>
      <c r="U51" s="5" t="s">
        <v>5553</v>
      </c>
      <c r="V51" s="5">
        <v>14</v>
      </c>
      <c r="W51" s="35"/>
      <c r="X51" s="50"/>
      <c r="Y51" s="35"/>
      <c r="Z51" s="50"/>
      <c r="AA51" s="5"/>
      <c r="AB51" s="5"/>
      <c r="AC51" s="5"/>
      <c r="AD51" s="47" t="str">
        <f t="shared" si="1"/>
        <v>(188*''**'11,91 - 22,22'*'0,015'***4*NULL*NULL*14**)*</v>
      </c>
    </row>
    <row r="52" spans="1:30" ht="20.100000000000001" customHeight="1" x14ac:dyDescent="0.25">
      <c r="A52" s="3">
        <v>189</v>
      </c>
      <c r="B52" s="27" t="s">
        <v>5145</v>
      </c>
      <c r="C52" s="27"/>
      <c r="D52" s="22"/>
      <c r="E52" s="15">
        <v>1</v>
      </c>
      <c r="F52" s="5" t="s">
        <v>4125</v>
      </c>
      <c r="G52" s="5">
        <v>11</v>
      </c>
      <c r="H52" s="5">
        <v>16</v>
      </c>
      <c r="I52" s="7"/>
      <c r="J52" s="31"/>
      <c r="K52" s="7" t="s">
        <v>6175</v>
      </c>
      <c r="L52" s="5">
        <v>1.4999999999999999E-2</v>
      </c>
      <c r="M52" s="5"/>
      <c r="N52" s="5"/>
      <c r="O52" s="5" t="s">
        <v>5631</v>
      </c>
      <c r="P52" s="5">
        <v>4</v>
      </c>
      <c r="Q52" s="5" t="s">
        <v>972</v>
      </c>
      <c r="R52" s="5" t="s">
        <v>972</v>
      </c>
      <c r="S52" s="5" t="s">
        <v>972</v>
      </c>
      <c r="T52" s="5" t="s">
        <v>972</v>
      </c>
      <c r="U52" s="5" t="s">
        <v>5553</v>
      </c>
      <c r="V52" s="5">
        <v>14</v>
      </c>
      <c r="W52" s="35"/>
      <c r="X52" s="50"/>
      <c r="Y52" s="35"/>
      <c r="Z52" s="50"/>
      <c r="AA52" s="5"/>
      <c r="AB52" s="5"/>
      <c r="AC52" s="5"/>
      <c r="AD52" s="47" t="str">
        <f t="shared" si="1"/>
        <v>(189*''**'11,91 - 22,22'*'0,015'***4*NULL*NULL*14**)*</v>
      </c>
    </row>
    <row r="53" spans="1:30" ht="20.100000000000001" customHeight="1" x14ac:dyDescent="0.25">
      <c r="A53" s="3">
        <v>190</v>
      </c>
      <c r="B53" s="27" t="s">
        <v>5146</v>
      </c>
      <c r="C53" s="27"/>
      <c r="D53" s="22">
        <v>39841</v>
      </c>
      <c r="E53" s="15">
        <v>1</v>
      </c>
      <c r="F53" s="5" t="s">
        <v>4125</v>
      </c>
      <c r="G53" s="5">
        <v>11</v>
      </c>
      <c r="H53" s="5">
        <v>16</v>
      </c>
      <c r="I53" s="7">
        <v>48</v>
      </c>
      <c r="J53" s="31">
        <v>513.17200000000003</v>
      </c>
      <c r="K53" s="7" t="s">
        <v>6175</v>
      </c>
      <c r="L53" s="5">
        <v>1.4999999999999999E-2</v>
      </c>
      <c r="M53" s="5"/>
      <c r="N53" s="5"/>
      <c r="O53" s="5" t="s">
        <v>6177</v>
      </c>
      <c r="P53" s="5">
        <v>6</v>
      </c>
      <c r="Q53" s="5" t="s">
        <v>5632</v>
      </c>
      <c r="R53" s="5">
        <v>11</v>
      </c>
      <c r="S53" s="5" t="s">
        <v>972</v>
      </c>
      <c r="T53" s="5" t="s">
        <v>972</v>
      </c>
      <c r="U53" s="5" t="s">
        <v>5259</v>
      </c>
      <c r="V53" s="5">
        <v>15</v>
      </c>
      <c r="W53" s="35" t="s">
        <v>4856</v>
      </c>
      <c r="X53" s="5">
        <v>8</v>
      </c>
      <c r="Y53" s="35" t="s">
        <v>1824</v>
      </c>
      <c r="Z53" s="5">
        <v>21</v>
      </c>
      <c r="AA53" s="5">
        <v>16</v>
      </c>
      <c r="AB53" s="5" t="s">
        <v>6176</v>
      </c>
      <c r="AC53" s="5"/>
      <c r="AD53" s="47" t="str">
        <f t="shared" si="1"/>
        <v>(190*'48'*513,172*'11,91 - 22,22'*'0,015'***6*11*NULL*15*8*21)*</v>
      </c>
    </row>
    <row r="54" spans="1:30" ht="20.100000000000001" customHeight="1" x14ac:dyDescent="0.25">
      <c r="A54" s="3">
        <v>191</v>
      </c>
      <c r="B54" s="27" t="s">
        <v>5147</v>
      </c>
      <c r="C54" s="27"/>
      <c r="D54" s="22">
        <v>40284</v>
      </c>
      <c r="E54" s="15">
        <v>1</v>
      </c>
      <c r="F54" s="5" t="s">
        <v>4125</v>
      </c>
      <c r="G54" s="5">
        <v>11</v>
      </c>
      <c r="H54" s="5">
        <v>16</v>
      </c>
      <c r="I54" s="7">
        <v>48</v>
      </c>
      <c r="J54" s="31">
        <v>120.37</v>
      </c>
      <c r="K54" s="7" t="s">
        <v>6175</v>
      </c>
      <c r="L54" s="5">
        <v>1.4999999999999999E-2</v>
      </c>
      <c r="M54" s="5"/>
      <c r="N54" s="5"/>
      <c r="O54" s="5" t="s">
        <v>6177</v>
      </c>
      <c r="P54" s="5">
        <v>6</v>
      </c>
      <c r="Q54" s="5" t="s">
        <v>5632</v>
      </c>
      <c r="R54" s="5">
        <v>11</v>
      </c>
      <c r="S54" s="5" t="s">
        <v>972</v>
      </c>
      <c r="T54" s="5" t="s">
        <v>972</v>
      </c>
      <c r="U54" s="5" t="s">
        <v>5259</v>
      </c>
      <c r="V54" s="5">
        <v>15</v>
      </c>
      <c r="W54" s="35" t="s">
        <v>6179</v>
      </c>
      <c r="X54" s="50" t="s">
        <v>6179</v>
      </c>
      <c r="Y54" s="35" t="s">
        <v>2048</v>
      </c>
      <c r="Z54" s="5">
        <v>3</v>
      </c>
      <c r="AA54" s="5"/>
      <c r="AB54" s="5" t="s">
        <v>6178</v>
      </c>
      <c r="AC54" s="5"/>
      <c r="AD54" s="47" t="str">
        <f t="shared" si="1"/>
        <v>(191*'48'*120,37*'11,91 - 22,22'*'0,015'***6*11*NULL*15*Mactaa Douz*3)*</v>
      </c>
    </row>
    <row r="55" spans="1:30" ht="20.100000000000001" customHeight="1" x14ac:dyDescent="0.25">
      <c r="A55" s="3">
        <v>192</v>
      </c>
      <c r="B55" s="27" t="s">
        <v>5148</v>
      </c>
      <c r="C55" s="27"/>
      <c r="D55" s="22"/>
      <c r="E55" s="15">
        <v>1</v>
      </c>
      <c r="F55" s="5" t="s">
        <v>4125</v>
      </c>
      <c r="G55" s="5">
        <v>11</v>
      </c>
      <c r="H55" s="5">
        <v>16</v>
      </c>
      <c r="I55" s="7"/>
      <c r="J55" s="31"/>
      <c r="K55" s="7" t="s">
        <v>6175</v>
      </c>
      <c r="L55" s="5">
        <v>1.4999999999999999E-2</v>
      </c>
      <c r="M55" s="5"/>
      <c r="N55" s="5"/>
      <c r="O55" s="5" t="s">
        <v>5631</v>
      </c>
      <c r="P55" s="5">
        <v>4</v>
      </c>
      <c r="Q55" s="5" t="s">
        <v>972</v>
      </c>
      <c r="R55" s="5" t="s">
        <v>972</v>
      </c>
      <c r="S55" s="5" t="s">
        <v>972</v>
      </c>
      <c r="T55" s="5" t="s">
        <v>972</v>
      </c>
      <c r="U55" s="5" t="s">
        <v>5259</v>
      </c>
      <c r="V55" s="5">
        <v>15</v>
      </c>
      <c r="W55" s="35"/>
      <c r="X55" s="5"/>
      <c r="Y55" s="35" t="s">
        <v>4850</v>
      </c>
      <c r="Z55" s="5">
        <v>3</v>
      </c>
      <c r="AA55" s="5"/>
      <c r="AB55" s="5"/>
      <c r="AC55" s="5"/>
      <c r="AD55" s="47" t="str">
        <f t="shared" si="1"/>
        <v>(192*''**'11,91 - 22,22'*'0,015'***4*NULL*NULL*15**3)*</v>
      </c>
    </row>
    <row r="56" spans="1:30" ht="20.100000000000001" customHeight="1" x14ac:dyDescent="0.25">
      <c r="A56" s="3">
        <v>193</v>
      </c>
      <c r="B56" s="27" t="s">
        <v>5149</v>
      </c>
      <c r="C56" s="27"/>
      <c r="D56" s="22">
        <v>25934</v>
      </c>
      <c r="E56" s="15">
        <v>1</v>
      </c>
      <c r="F56" s="5" t="s">
        <v>4133</v>
      </c>
      <c r="G56" s="5">
        <v>13</v>
      </c>
      <c r="H56" s="5">
        <v>16</v>
      </c>
      <c r="I56" s="7">
        <v>40</v>
      </c>
      <c r="J56" s="31">
        <v>574.87</v>
      </c>
      <c r="K56" s="5" t="s">
        <v>6190</v>
      </c>
      <c r="L56" s="5">
        <v>3.5000000000000003E-2</v>
      </c>
      <c r="M56" s="5"/>
      <c r="N56" s="5"/>
      <c r="O56" s="5" t="s">
        <v>6189</v>
      </c>
      <c r="P56" s="5">
        <v>4</v>
      </c>
      <c r="Q56" s="5" t="s">
        <v>6186</v>
      </c>
      <c r="R56" s="5">
        <v>14</v>
      </c>
      <c r="S56" s="5" t="s">
        <v>6162</v>
      </c>
      <c r="T56" s="5">
        <v>17</v>
      </c>
      <c r="U56" s="5" t="s">
        <v>5557</v>
      </c>
      <c r="V56" s="5">
        <v>17</v>
      </c>
      <c r="W56" s="35" t="s">
        <v>4856</v>
      </c>
      <c r="X56" s="5">
        <v>8</v>
      </c>
      <c r="Y56" s="35" t="s">
        <v>1012</v>
      </c>
      <c r="Z56" s="5">
        <v>34</v>
      </c>
      <c r="AA56" s="5">
        <v>16</v>
      </c>
      <c r="AB56" s="5" t="s">
        <v>6212</v>
      </c>
      <c r="AC56" s="5"/>
      <c r="AD56" s="47" t="str">
        <f t="shared" si="1"/>
        <v>(193*'40'*574,87*'12,7 / 15,88 / 19,43 / 19,05 '*'0,035'***4*14*17*17*8*34)*</v>
      </c>
    </row>
    <row r="57" spans="1:30" ht="20.100000000000001" customHeight="1" x14ac:dyDescent="0.25">
      <c r="A57" s="3">
        <v>194</v>
      </c>
      <c r="B57" s="27" t="s">
        <v>5150</v>
      </c>
      <c r="C57" s="27"/>
      <c r="D57" s="22">
        <v>35796</v>
      </c>
      <c r="E57" s="15">
        <v>1</v>
      </c>
      <c r="F57" s="5" t="s">
        <v>4133</v>
      </c>
      <c r="G57" s="5">
        <v>13</v>
      </c>
      <c r="H57" s="5">
        <v>16</v>
      </c>
      <c r="I57" s="7">
        <v>42</v>
      </c>
      <c r="J57" s="31">
        <v>575.54499999999996</v>
      </c>
      <c r="K57" s="5" t="s">
        <v>6190</v>
      </c>
      <c r="L57" s="5">
        <v>1.4999999999999999E-2</v>
      </c>
      <c r="M57" s="5"/>
      <c r="N57" s="5"/>
      <c r="O57" s="5" t="s">
        <v>6187</v>
      </c>
      <c r="P57" s="5">
        <v>4</v>
      </c>
      <c r="Q57" s="5" t="s">
        <v>6186</v>
      </c>
      <c r="R57" s="5">
        <v>14</v>
      </c>
      <c r="S57" s="5" t="s">
        <v>6162</v>
      </c>
      <c r="T57" s="5">
        <v>17</v>
      </c>
      <c r="U57" s="5" t="s">
        <v>5557</v>
      </c>
      <c r="V57" s="5">
        <v>17</v>
      </c>
      <c r="W57" s="35" t="s">
        <v>4856</v>
      </c>
      <c r="X57" s="5">
        <v>8</v>
      </c>
      <c r="Y57" s="35" t="s">
        <v>1012</v>
      </c>
      <c r="Z57" s="5">
        <v>34</v>
      </c>
      <c r="AA57" s="5">
        <v>16</v>
      </c>
      <c r="AB57" s="5" t="s">
        <v>6188</v>
      </c>
      <c r="AC57" s="5"/>
      <c r="AD57" s="47" t="str">
        <f t="shared" si="1"/>
        <v>(194*'42'*575,545*'12,7 / 15,88 / 19,43 / 19,05 '*'0,015'***4*14*17*17*8*34)*</v>
      </c>
    </row>
    <row r="58" spans="1:30" ht="20.100000000000001" customHeight="1" x14ac:dyDescent="0.25">
      <c r="A58" s="3">
        <v>195</v>
      </c>
      <c r="B58" s="27" t="s">
        <v>5151</v>
      </c>
      <c r="C58" s="27"/>
      <c r="D58" s="22"/>
      <c r="E58" s="15">
        <v>1</v>
      </c>
      <c r="F58" s="5" t="s">
        <v>4133</v>
      </c>
      <c r="G58" s="5">
        <v>13</v>
      </c>
      <c r="H58" s="5">
        <v>16</v>
      </c>
      <c r="I58" s="7"/>
      <c r="J58" s="31"/>
      <c r="K58" s="5" t="s">
        <v>6191</v>
      </c>
      <c r="L58" s="5">
        <v>1.4999999999999999E-2</v>
      </c>
      <c r="M58" s="5"/>
      <c r="N58" s="5"/>
      <c r="O58" s="5" t="s">
        <v>5631</v>
      </c>
      <c r="P58" s="5">
        <v>4</v>
      </c>
      <c r="Q58" s="5" t="s">
        <v>972</v>
      </c>
      <c r="R58" s="5" t="s">
        <v>972</v>
      </c>
      <c r="S58" s="5" t="s">
        <v>972</v>
      </c>
      <c r="T58" s="5" t="s">
        <v>972</v>
      </c>
      <c r="U58" s="5" t="s">
        <v>5260</v>
      </c>
      <c r="V58" s="5">
        <v>18</v>
      </c>
      <c r="W58" s="35" t="s">
        <v>4856</v>
      </c>
      <c r="X58" s="5">
        <v>8</v>
      </c>
      <c r="Y58" s="35" t="s">
        <v>6724</v>
      </c>
      <c r="Z58" s="49" t="s">
        <v>6724</v>
      </c>
      <c r="AA58" s="35"/>
      <c r="AB58" s="5"/>
      <c r="AC58" s="5"/>
      <c r="AD58" s="47" t="str">
        <f t="shared" si="1"/>
        <v>(195*''**'14,3 / 22,22'*'0,015'***4*NULL*NULL*18*8*EL Kala)*</v>
      </c>
    </row>
    <row r="59" spans="1:30" ht="20.100000000000001" customHeight="1" x14ac:dyDescent="0.25">
      <c r="A59" s="3">
        <v>196</v>
      </c>
      <c r="B59" s="27" t="s">
        <v>5152</v>
      </c>
      <c r="C59" s="27"/>
      <c r="D59" s="22"/>
      <c r="E59" s="15">
        <v>1</v>
      </c>
      <c r="F59" s="5" t="s">
        <v>4133</v>
      </c>
      <c r="G59" s="5">
        <v>13</v>
      </c>
      <c r="H59" s="5">
        <v>16</v>
      </c>
      <c r="I59" s="7">
        <v>48</v>
      </c>
      <c r="J59" s="31">
        <v>87</v>
      </c>
      <c r="K59" s="5" t="s">
        <v>6191</v>
      </c>
      <c r="L59" s="5">
        <v>1.4999999999999999E-2</v>
      </c>
      <c r="M59" s="5"/>
      <c r="N59" s="5"/>
      <c r="O59" s="5" t="s">
        <v>6181</v>
      </c>
      <c r="P59" s="5">
        <v>6</v>
      </c>
      <c r="Q59" s="5" t="s">
        <v>972</v>
      </c>
      <c r="R59" s="5" t="s">
        <v>972</v>
      </c>
      <c r="S59" s="5" t="s">
        <v>972</v>
      </c>
      <c r="T59" s="5" t="s">
        <v>972</v>
      </c>
      <c r="U59" s="5" t="s">
        <v>5260</v>
      </c>
      <c r="V59" s="5">
        <v>18</v>
      </c>
      <c r="W59" s="35"/>
      <c r="X59" s="50"/>
      <c r="Y59" s="35"/>
      <c r="Z59" s="50"/>
      <c r="AA59" s="5"/>
      <c r="AB59" s="5"/>
      <c r="AC59" s="5"/>
      <c r="AD59" s="47" t="str">
        <f t="shared" si="1"/>
        <v>(196*'48'*87*'14,3 / 22,22'*'0,015'***6*NULL*NULL*18**)*</v>
      </c>
    </row>
    <row r="60" spans="1:30" ht="20.100000000000001" customHeight="1" x14ac:dyDescent="0.25">
      <c r="A60" s="3">
        <v>197</v>
      </c>
      <c r="B60" s="27" t="s">
        <v>5153</v>
      </c>
      <c r="C60" s="27"/>
      <c r="D60" s="22">
        <v>29587</v>
      </c>
      <c r="E60" s="15">
        <v>1</v>
      </c>
      <c r="F60" s="5" t="s">
        <v>4141</v>
      </c>
      <c r="G60" s="5">
        <v>15</v>
      </c>
      <c r="H60" s="5">
        <v>16</v>
      </c>
      <c r="I60" s="7">
        <v>42</v>
      </c>
      <c r="J60" s="31">
        <v>437</v>
      </c>
      <c r="K60" s="5" t="s">
        <v>6220</v>
      </c>
      <c r="L60" s="5">
        <v>1.4999999999999999E-2</v>
      </c>
      <c r="M60" s="5"/>
      <c r="N60" s="5"/>
      <c r="O60" s="5" t="s">
        <v>5631</v>
      </c>
      <c r="P60" s="5">
        <v>4</v>
      </c>
      <c r="Q60" s="5">
        <v>11.3</v>
      </c>
      <c r="R60" s="5">
        <v>14</v>
      </c>
      <c r="S60" s="5" t="s">
        <v>972</v>
      </c>
      <c r="T60" s="5" t="s">
        <v>972</v>
      </c>
      <c r="U60" s="5" t="s">
        <v>5153</v>
      </c>
      <c r="V60" s="5">
        <v>20</v>
      </c>
      <c r="W60" s="35" t="s">
        <v>4856</v>
      </c>
      <c r="X60" s="5">
        <v>8</v>
      </c>
      <c r="Y60" s="35" t="s">
        <v>6223</v>
      </c>
      <c r="Z60" s="5">
        <v>24</v>
      </c>
      <c r="AA60" s="5">
        <v>16</v>
      </c>
      <c r="AB60" s="5" t="s">
        <v>6221</v>
      </c>
      <c r="AC60" s="5"/>
      <c r="AD60" s="47" t="str">
        <f t="shared" si="1"/>
        <v>(197*'42'*437*'11,91 / 12,7 / 19,05'*'0,015'***4*14*NULL*20*8*24)*</v>
      </c>
    </row>
    <row r="61" spans="1:30" ht="20.100000000000001" customHeight="1" x14ac:dyDescent="0.25">
      <c r="A61" s="3">
        <v>198</v>
      </c>
      <c r="B61" s="27" t="s">
        <v>5154</v>
      </c>
      <c r="C61" s="27"/>
      <c r="D61" s="22">
        <v>43800</v>
      </c>
      <c r="E61" s="15">
        <v>1</v>
      </c>
      <c r="F61" s="5" t="s">
        <v>4141</v>
      </c>
      <c r="G61" s="5">
        <v>15</v>
      </c>
      <c r="H61" s="5">
        <v>16</v>
      </c>
      <c r="I61" s="7">
        <v>42</v>
      </c>
      <c r="J61" s="31">
        <v>207</v>
      </c>
      <c r="K61" s="5" t="s">
        <v>6222</v>
      </c>
      <c r="L61" s="5">
        <v>1.4999999999999999E-2</v>
      </c>
      <c r="M61" s="5"/>
      <c r="N61" s="5"/>
      <c r="O61" s="5" t="s">
        <v>6181</v>
      </c>
      <c r="P61" s="5">
        <v>6</v>
      </c>
      <c r="Q61" s="5" t="s">
        <v>5646</v>
      </c>
      <c r="R61" s="5" t="s">
        <v>972</v>
      </c>
      <c r="S61" s="5" t="s">
        <v>972</v>
      </c>
      <c r="T61" s="5" t="s">
        <v>972</v>
      </c>
      <c r="U61" s="5" t="s">
        <v>5153</v>
      </c>
      <c r="V61" s="5">
        <v>20</v>
      </c>
      <c r="W61" s="35" t="s">
        <v>6224</v>
      </c>
      <c r="X61" s="5">
        <v>9</v>
      </c>
      <c r="Y61" s="35" t="s">
        <v>6223</v>
      </c>
      <c r="Z61" s="5">
        <v>24</v>
      </c>
      <c r="AA61" s="5">
        <v>16</v>
      </c>
      <c r="AB61" s="5"/>
      <c r="AC61" s="5"/>
      <c r="AD61" s="47" t="str">
        <f t="shared" si="1"/>
        <v>(198*'42'*207*'20,62 / 14,27'*'0,015'***6*NULL*NULL*20*9*24)*</v>
      </c>
    </row>
    <row r="62" spans="1:30" ht="20.100000000000001" customHeight="1" x14ac:dyDescent="0.25">
      <c r="A62" s="3">
        <v>199</v>
      </c>
      <c r="B62" s="27" t="s">
        <v>5155</v>
      </c>
      <c r="C62" s="27"/>
      <c r="D62" s="22"/>
      <c r="E62" s="15">
        <v>1</v>
      </c>
      <c r="F62" s="5" t="s">
        <v>4129</v>
      </c>
      <c r="G62" s="5"/>
      <c r="H62" s="5">
        <v>16</v>
      </c>
      <c r="I62" s="7"/>
      <c r="J62" s="31"/>
      <c r="K62" s="5" t="s">
        <v>6222</v>
      </c>
      <c r="L62" s="5">
        <v>1.4999999999999999E-2</v>
      </c>
      <c r="M62" s="5"/>
      <c r="N62" s="5"/>
      <c r="O62" s="5" t="s">
        <v>5631</v>
      </c>
      <c r="P62" s="5">
        <v>4</v>
      </c>
      <c r="Q62" s="5" t="s">
        <v>972</v>
      </c>
      <c r="R62" s="5" t="s">
        <v>972</v>
      </c>
      <c r="S62" s="5" t="s">
        <v>972</v>
      </c>
      <c r="T62" s="5" t="s">
        <v>972</v>
      </c>
      <c r="U62" s="5" t="s">
        <v>5563</v>
      </c>
      <c r="V62" s="5">
        <v>21</v>
      </c>
      <c r="W62" s="35"/>
      <c r="X62" s="50"/>
      <c r="Y62" s="35"/>
      <c r="Z62" s="50"/>
      <c r="AA62" s="5"/>
      <c r="AB62" s="5"/>
      <c r="AC62" s="5"/>
      <c r="AD62" s="47" t="str">
        <f t="shared" si="1"/>
        <v>(199*''**'20,62 / 14,27'*'0,015'***4*NULL*NULL*21**)*</v>
      </c>
    </row>
    <row r="63" spans="1:30" ht="20.100000000000001" customHeight="1" x14ac:dyDescent="0.25">
      <c r="A63" s="3">
        <v>200</v>
      </c>
      <c r="B63" s="27" t="s">
        <v>5156</v>
      </c>
      <c r="C63" s="27"/>
      <c r="D63" s="22">
        <v>31413</v>
      </c>
      <c r="E63" s="15">
        <v>1</v>
      </c>
      <c r="F63" s="5" t="s">
        <v>4137</v>
      </c>
      <c r="G63" s="5">
        <v>14</v>
      </c>
      <c r="H63" s="5">
        <v>16</v>
      </c>
      <c r="I63" s="7" t="s">
        <v>6195</v>
      </c>
      <c r="J63" s="31">
        <v>966</v>
      </c>
      <c r="K63" s="5" t="s">
        <v>6197</v>
      </c>
      <c r="L63" s="5">
        <v>1.4999999999999999E-2</v>
      </c>
      <c r="M63" s="5"/>
      <c r="N63" s="5"/>
      <c r="O63" s="5" t="s">
        <v>6196</v>
      </c>
      <c r="P63" s="5">
        <v>6</v>
      </c>
      <c r="Q63" s="5" t="s">
        <v>5662</v>
      </c>
      <c r="R63" s="5">
        <v>14</v>
      </c>
      <c r="S63" s="5" t="s">
        <v>6162</v>
      </c>
      <c r="T63" s="5">
        <v>17</v>
      </c>
      <c r="U63" s="5" t="s">
        <v>5563</v>
      </c>
      <c r="V63" s="5">
        <v>21</v>
      </c>
      <c r="W63" s="35" t="s">
        <v>5386</v>
      </c>
      <c r="X63" s="5">
        <v>20</v>
      </c>
      <c r="Y63" s="35" t="s">
        <v>4856</v>
      </c>
      <c r="Z63" s="5">
        <v>8</v>
      </c>
      <c r="AA63" s="5">
        <v>16</v>
      </c>
      <c r="AB63" s="5" t="s">
        <v>6213</v>
      </c>
      <c r="AC63" s="5"/>
      <c r="AD63" s="47" t="str">
        <f t="shared" si="1"/>
        <v>(200*'42 / 48'*966*'11,92 / 12,7 / 13,35 / 14,27 / 15,88 / 22,22'*'0,015'***6*14*17*21*20*8)*</v>
      </c>
    </row>
    <row r="64" spans="1:30" ht="20.100000000000001" customHeight="1" x14ac:dyDescent="0.25">
      <c r="A64" s="3">
        <v>201</v>
      </c>
      <c r="B64" s="27" t="s">
        <v>5157</v>
      </c>
      <c r="C64" s="27"/>
      <c r="D64" s="22">
        <v>36161</v>
      </c>
      <c r="E64" s="15">
        <v>1</v>
      </c>
      <c r="F64" s="5" t="s">
        <v>4137</v>
      </c>
      <c r="G64" s="5">
        <v>14</v>
      </c>
      <c r="H64" s="5">
        <v>16</v>
      </c>
      <c r="I64" s="7" t="s">
        <v>6195</v>
      </c>
      <c r="J64" s="31">
        <v>966</v>
      </c>
      <c r="K64" s="5" t="s">
        <v>6198</v>
      </c>
      <c r="L64" s="5">
        <v>1.4999999999999999E-2</v>
      </c>
      <c r="M64" s="5"/>
      <c r="N64" s="5"/>
      <c r="O64" s="5" t="s">
        <v>6181</v>
      </c>
      <c r="P64" s="5">
        <v>6</v>
      </c>
      <c r="Q64" s="5" t="s">
        <v>5632</v>
      </c>
      <c r="R64" s="5">
        <v>11</v>
      </c>
      <c r="S64" s="5" t="s">
        <v>6162</v>
      </c>
      <c r="T64" s="5">
        <v>17</v>
      </c>
      <c r="U64" s="5" t="s">
        <v>5563</v>
      </c>
      <c r="V64" s="5">
        <v>21</v>
      </c>
      <c r="W64" s="35" t="s">
        <v>5386</v>
      </c>
      <c r="X64" s="5">
        <v>20</v>
      </c>
      <c r="Y64" s="35" t="s">
        <v>4856</v>
      </c>
      <c r="Z64" s="5">
        <v>8</v>
      </c>
      <c r="AA64" s="5">
        <v>16</v>
      </c>
      <c r="AB64" s="5" t="s">
        <v>6214</v>
      </c>
      <c r="AC64" s="5"/>
      <c r="AD64" s="47" t="str">
        <f t="shared" si="1"/>
        <v>(201*'42 / 48'*966*'11,91 / 12,7 / 14,27 / 19,05 / 22,22'*'0,015'***6*11*17*21*20*8)*</v>
      </c>
    </row>
    <row r="65" spans="1:30" ht="20.100000000000001" customHeight="1" x14ac:dyDescent="0.25">
      <c r="A65" s="3">
        <v>202</v>
      </c>
      <c r="B65" s="27" t="s">
        <v>5158</v>
      </c>
      <c r="C65" s="27"/>
      <c r="D65" s="22">
        <v>37622</v>
      </c>
      <c r="E65" s="15">
        <v>1</v>
      </c>
      <c r="F65" s="5" t="s">
        <v>4089</v>
      </c>
      <c r="G65" s="5">
        <v>2</v>
      </c>
      <c r="H65" s="5">
        <v>2</v>
      </c>
      <c r="I65" s="7">
        <v>48</v>
      </c>
      <c r="J65" s="31">
        <v>520</v>
      </c>
      <c r="K65" s="5" t="s">
        <v>6198</v>
      </c>
      <c r="L65" s="5">
        <v>1.4999999999999999E-2</v>
      </c>
      <c r="M65" s="5"/>
      <c r="N65" s="5"/>
      <c r="O65" s="5" t="s">
        <v>5631</v>
      </c>
      <c r="P65" s="5">
        <v>4</v>
      </c>
      <c r="Q65" s="5" t="s">
        <v>972</v>
      </c>
      <c r="R65" s="5" t="s">
        <v>972</v>
      </c>
      <c r="S65" s="5" t="s">
        <v>972</v>
      </c>
      <c r="T65" s="5" t="s">
        <v>972</v>
      </c>
      <c r="U65" s="5" t="s">
        <v>5563</v>
      </c>
      <c r="V65" s="5">
        <v>21</v>
      </c>
      <c r="W65" s="35"/>
      <c r="X65" s="50"/>
      <c r="Y65" s="35"/>
      <c r="Z65" s="50"/>
      <c r="AA65" s="5"/>
      <c r="AB65" s="5"/>
      <c r="AC65" s="5"/>
      <c r="AD65" s="47" t="str">
        <f t="shared" si="1"/>
        <v>(202*'48'*520*'11,91 / 12,7 / 14,27 / 19,05 / 22,22'*'0,015'***4*NULL*NULL*21**)*</v>
      </c>
    </row>
    <row r="66" spans="1:30" ht="20.100000000000001" customHeight="1" x14ac:dyDescent="0.25">
      <c r="A66" s="3">
        <v>203</v>
      </c>
      <c r="B66" s="27" t="s">
        <v>5159</v>
      </c>
      <c r="C66" s="27"/>
      <c r="D66" s="22">
        <v>41640</v>
      </c>
      <c r="E66" s="15">
        <v>1</v>
      </c>
      <c r="F66" s="5" t="s">
        <v>4137</v>
      </c>
      <c r="G66" s="5">
        <v>14</v>
      </c>
      <c r="H66" s="5">
        <v>16</v>
      </c>
      <c r="I66" s="7">
        <v>48</v>
      </c>
      <c r="J66" s="31">
        <v>535</v>
      </c>
      <c r="K66" s="5" t="s">
        <v>6180</v>
      </c>
      <c r="L66" s="5">
        <v>1.4999999999999999E-2</v>
      </c>
      <c r="M66" s="5"/>
      <c r="N66" s="5"/>
      <c r="O66" s="5" t="s">
        <v>6181</v>
      </c>
      <c r="P66" s="5">
        <v>6</v>
      </c>
      <c r="Q66" s="5" t="s">
        <v>972</v>
      </c>
      <c r="R66" s="5" t="s">
        <v>972</v>
      </c>
      <c r="S66" s="5" t="s">
        <v>972</v>
      </c>
      <c r="T66" s="5" t="s">
        <v>972</v>
      </c>
      <c r="U66" s="5" t="s">
        <v>5563</v>
      </c>
      <c r="V66" s="5">
        <v>21</v>
      </c>
      <c r="W66" s="35" t="s">
        <v>6199</v>
      </c>
      <c r="X66" s="5">
        <v>18</v>
      </c>
      <c r="Y66" s="35" t="s">
        <v>4856</v>
      </c>
      <c r="Z66" s="5">
        <v>8</v>
      </c>
      <c r="AA66" s="5">
        <v>16</v>
      </c>
      <c r="AB66" s="5" t="s">
        <v>6178</v>
      </c>
      <c r="AC66" s="5"/>
      <c r="AD66" s="47" t="str">
        <f t="shared" si="1"/>
        <v>(203*'48'*535*'12,7 / 14,27 / 22,22'*'0,015'***6*NULL*NULL*21*18*8)*</v>
      </c>
    </row>
    <row r="67" spans="1:30" ht="20.100000000000001" customHeight="1" x14ac:dyDescent="0.25">
      <c r="A67" s="3">
        <v>204</v>
      </c>
      <c r="B67" s="27" t="s">
        <v>5160</v>
      </c>
      <c r="C67" s="27"/>
      <c r="D67" s="22">
        <v>42887</v>
      </c>
      <c r="E67" s="15">
        <v>1</v>
      </c>
      <c r="F67" s="5" t="s">
        <v>4145</v>
      </c>
      <c r="G67" s="5">
        <v>16</v>
      </c>
      <c r="H67" s="5">
        <v>16</v>
      </c>
      <c r="I67" s="7">
        <v>48</v>
      </c>
      <c r="J67" s="31">
        <v>770</v>
      </c>
      <c r="K67" s="30" t="s">
        <v>6225</v>
      </c>
      <c r="L67" s="5">
        <v>1.4999999999999999E-2</v>
      </c>
      <c r="M67" s="5"/>
      <c r="N67" s="5"/>
      <c r="O67" s="5" t="s">
        <v>6181</v>
      </c>
      <c r="P67" s="5">
        <v>6</v>
      </c>
      <c r="Q67" s="5" t="s">
        <v>972</v>
      </c>
      <c r="R67" s="5" t="s">
        <v>972</v>
      </c>
      <c r="S67" s="5" t="s">
        <v>972</v>
      </c>
      <c r="T67" s="5" t="s">
        <v>972</v>
      </c>
      <c r="U67" s="5" t="s">
        <v>5566</v>
      </c>
      <c r="V67" s="5">
        <v>22</v>
      </c>
      <c r="W67" s="35" t="s">
        <v>1123</v>
      </c>
      <c r="X67" s="5">
        <v>32</v>
      </c>
      <c r="Y67" s="35" t="s">
        <v>4856</v>
      </c>
      <c r="Z67" s="5">
        <v>8</v>
      </c>
      <c r="AA67" s="5">
        <v>16</v>
      </c>
      <c r="AB67" s="5" t="s">
        <v>6226</v>
      </c>
      <c r="AC67" s="5"/>
      <c r="AD67" s="47" t="str">
        <f t="shared" si="1"/>
        <v>(204*'48'*770*'12,48 / 13,61 / 20,79 / 24,26'*'0,015'***6*NULL*NULL*22*32*8)*</v>
      </c>
    </row>
    <row r="68" spans="1:30" ht="20.100000000000001" customHeight="1" x14ac:dyDescent="0.25">
      <c r="A68" s="3">
        <v>205</v>
      </c>
      <c r="B68" s="27" t="s">
        <v>5161</v>
      </c>
      <c r="C68" s="27"/>
      <c r="D68" s="22">
        <v>42736</v>
      </c>
      <c r="E68" s="15">
        <v>1</v>
      </c>
      <c r="F68" s="5" t="s">
        <v>4137</v>
      </c>
      <c r="G68" s="5">
        <v>14</v>
      </c>
      <c r="H68" s="5">
        <v>16</v>
      </c>
      <c r="I68" s="7">
        <v>48</v>
      </c>
      <c r="J68" s="31">
        <v>531</v>
      </c>
      <c r="K68" s="5" t="s">
        <v>6180</v>
      </c>
      <c r="L68" s="5">
        <v>1.4999999999999999E-2</v>
      </c>
      <c r="M68" s="5"/>
      <c r="N68" s="5"/>
      <c r="O68" s="5" t="s">
        <v>6181</v>
      </c>
      <c r="P68" s="5">
        <v>6</v>
      </c>
      <c r="Q68" s="5" t="s">
        <v>972</v>
      </c>
      <c r="R68" s="5" t="s">
        <v>972</v>
      </c>
      <c r="S68" s="5" t="s">
        <v>972</v>
      </c>
      <c r="T68" s="5" t="s">
        <v>972</v>
      </c>
      <c r="U68" s="5" t="s">
        <v>5563</v>
      </c>
      <c r="V68" s="5">
        <v>21</v>
      </c>
      <c r="W68" s="35" t="s">
        <v>6199</v>
      </c>
      <c r="X68" s="5">
        <v>18</v>
      </c>
      <c r="Y68" s="35" t="s">
        <v>4856</v>
      </c>
      <c r="Z68" s="5">
        <v>8</v>
      </c>
      <c r="AA68" s="5">
        <v>16</v>
      </c>
      <c r="AB68" s="5" t="s">
        <v>6178</v>
      </c>
      <c r="AC68" s="5"/>
      <c r="AD68" s="47" t="str">
        <f t="shared" si="1"/>
        <v>(205*'48'*531*'12,7 / 14,27 / 22,22'*'0,015'***6*NULL*NULL*21*18*8)*</v>
      </c>
    </row>
    <row r="69" spans="1:30" ht="20.100000000000001" customHeight="1" x14ac:dyDescent="0.25">
      <c r="A69" s="3">
        <v>206</v>
      </c>
      <c r="B69" s="27" t="s">
        <v>5162</v>
      </c>
      <c r="C69" s="27"/>
      <c r="D69" s="22">
        <v>43800</v>
      </c>
      <c r="E69" s="15">
        <v>1</v>
      </c>
      <c r="F69" s="5" t="s">
        <v>4145</v>
      </c>
      <c r="G69" s="5">
        <v>16</v>
      </c>
      <c r="H69" s="5">
        <v>16</v>
      </c>
      <c r="I69" s="7">
        <v>48</v>
      </c>
      <c r="J69" s="31">
        <v>345</v>
      </c>
      <c r="K69" s="5" t="s">
        <v>6227</v>
      </c>
      <c r="L69" s="5">
        <v>1.4999999999999999E-2</v>
      </c>
      <c r="M69" s="5"/>
      <c r="N69" s="5"/>
      <c r="O69" s="5" t="s">
        <v>6181</v>
      </c>
      <c r="P69" s="5">
        <v>6</v>
      </c>
      <c r="Q69" s="5" t="s">
        <v>972</v>
      </c>
      <c r="R69" s="5" t="s">
        <v>972</v>
      </c>
      <c r="S69" s="5" t="s">
        <v>972</v>
      </c>
      <c r="T69" s="5" t="s">
        <v>972</v>
      </c>
      <c r="U69" s="5" t="s">
        <v>5566</v>
      </c>
      <c r="V69" s="5">
        <v>22</v>
      </c>
      <c r="W69" s="35" t="s">
        <v>6228</v>
      </c>
      <c r="X69" s="5"/>
      <c r="Y69" s="35" t="s">
        <v>4856</v>
      </c>
      <c r="Z69" s="5">
        <v>8</v>
      </c>
      <c r="AA69" s="5"/>
      <c r="AB69" s="5"/>
      <c r="AC69" s="5"/>
      <c r="AD69" s="47" t="str">
        <f t="shared" si="1"/>
        <v>(206*'48'*345*'12,95 / 14,27 / 22,23'*'0,015'***6*NULL*NULL*22**8)*</v>
      </c>
    </row>
    <row r="70" spans="1:30" ht="20.100000000000001" customHeight="1" x14ac:dyDescent="0.25">
      <c r="A70" s="3">
        <v>207</v>
      </c>
      <c r="B70" s="27" t="s">
        <v>4153</v>
      </c>
      <c r="C70" s="27"/>
      <c r="D70" s="22">
        <v>35065</v>
      </c>
      <c r="E70" s="15">
        <v>1</v>
      </c>
      <c r="F70" s="5" t="s">
        <v>4153</v>
      </c>
      <c r="G70" s="5">
        <v>18</v>
      </c>
      <c r="H70" s="5">
        <v>16</v>
      </c>
      <c r="I70" s="7">
        <v>48</v>
      </c>
      <c r="J70" s="31">
        <v>521</v>
      </c>
      <c r="K70" s="5" t="s">
        <v>6180</v>
      </c>
      <c r="L70" s="5">
        <v>1.4999999999999999E-2</v>
      </c>
      <c r="M70" s="5"/>
      <c r="N70" s="5"/>
      <c r="O70" s="5" t="s">
        <v>6181</v>
      </c>
      <c r="P70" s="5">
        <v>6</v>
      </c>
      <c r="Q70" s="5" t="s">
        <v>6182</v>
      </c>
      <c r="R70" s="5">
        <v>9</v>
      </c>
      <c r="S70" s="5" t="s">
        <v>6162</v>
      </c>
      <c r="T70" s="5">
        <v>17</v>
      </c>
      <c r="U70" s="5" t="s">
        <v>6183</v>
      </c>
      <c r="V70" s="5">
        <v>16</v>
      </c>
      <c r="W70" s="35" t="s">
        <v>4856</v>
      </c>
      <c r="X70" s="5">
        <v>8</v>
      </c>
      <c r="Y70" s="35" t="s">
        <v>6184</v>
      </c>
      <c r="Z70" s="5">
        <v>12</v>
      </c>
      <c r="AA70" s="5">
        <v>16</v>
      </c>
      <c r="AB70" s="5" t="s">
        <v>6154</v>
      </c>
      <c r="AC70" s="5"/>
      <c r="AD70" s="47" t="str">
        <f t="shared" si="1"/>
        <v>(207*'48'*521*'12,7 / 14,27 / 22,22'*'0,015'***6*9*17*16*8*12)*</v>
      </c>
    </row>
    <row r="71" spans="1:30" ht="20.100000000000001" customHeight="1" x14ac:dyDescent="0.25">
      <c r="A71" s="3">
        <v>208</v>
      </c>
      <c r="B71" s="27" t="s">
        <v>5163</v>
      </c>
      <c r="C71" s="27"/>
      <c r="D71" s="22">
        <v>44197</v>
      </c>
      <c r="E71" s="15">
        <v>1</v>
      </c>
      <c r="F71" s="5" t="s">
        <v>4153</v>
      </c>
      <c r="G71" s="5">
        <v>18</v>
      </c>
      <c r="H71" s="5">
        <v>16</v>
      </c>
      <c r="I71" s="7">
        <v>48</v>
      </c>
      <c r="J71" s="31">
        <v>198</v>
      </c>
      <c r="K71" s="5" t="s">
        <v>6185</v>
      </c>
      <c r="L71" s="5">
        <v>1.4999999999999999E-2</v>
      </c>
      <c r="M71" s="5"/>
      <c r="N71" s="5"/>
      <c r="O71" s="5" t="s">
        <v>5631</v>
      </c>
      <c r="P71" s="5">
        <v>4</v>
      </c>
      <c r="Q71" s="5" t="s">
        <v>972</v>
      </c>
      <c r="R71" s="5" t="s">
        <v>972</v>
      </c>
      <c r="S71" s="5" t="s">
        <v>972</v>
      </c>
      <c r="T71" s="5" t="s">
        <v>972</v>
      </c>
      <c r="U71" s="5" t="s">
        <v>6183</v>
      </c>
      <c r="V71" s="5">
        <v>16</v>
      </c>
      <c r="W71" s="35" t="s">
        <v>6184</v>
      </c>
      <c r="X71" s="5">
        <v>12</v>
      </c>
      <c r="Y71" s="35" t="s">
        <v>2048</v>
      </c>
      <c r="Z71" s="5">
        <v>3</v>
      </c>
      <c r="AA71" s="5">
        <v>16</v>
      </c>
      <c r="AB71" s="5" t="s">
        <v>6159</v>
      </c>
      <c r="AC71" s="5"/>
      <c r="AD71" s="47" t="str">
        <f t="shared" ref="AD71:AD74" si="2">CONCATENATE("(",A71,"*'",I71,"'*",J71,"*'",K71,"'*'",L71,"'*",M71,"*",N71,"*",P71,"*",R71,"*",T71,"*",V71,"*",X71,"*",Z71,")*")</f>
        <v>(208*'48'*198*'13,61/  14,27 / 20,79 / 22,23'*'0,015'***4*NULL*NULL*16*12*3)*</v>
      </c>
    </row>
    <row r="72" spans="1:30" ht="20.100000000000001" customHeight="1" x14ac:dyDescent="0.25">
      <c r="A72" s="3">
        <v>209</v>
      </c>
      <c r="B72" s="27" t="s">
        <v>5164</v>
      </c>
      <c r="C72" s="27"/>
      <c r="D72" s="22">
        <v>29952</v>
      </c>
      <c r="E72" s="15">
        <v>1</v>
      </c>
      <c r="F72" s="5" t="s">
        <v>4149</v>
      </c>
      <c r="G72" s="5">
        <v>17</v>
      </c>
      <c r="H72" s="5">
        <v>16</v>
      </c>
      <c r="I72" s="7">
        <v>48</v>
      </c>
      <c r="J72" s="31">
        <v>548.28499999999997</v>
      </c>
      <c r="K72" s="5" t="s">
        <v>6180</v>
      </c>
      <c r="L72" s="5">
        <v>1.4999999999999999E-2</v>
      </c>
      <c r="M72" s="5"/>
      <c r="N72" s="5"/>
      <c r="O72" s="5" t="s">
        <v>6153</v>
      </c>
      <c r="P72" s="5">
        <v>4</v>
      </c>
      <c r="Q72" s="5" t="s">
        <v>5655</v>
      </c>
      <c r="R72" s="5">
        <v>14</v>
      </c>
      <c r="S72" s="5" t="s">
        <v>6162</v>
      </c>
      <c r="T72" s="5">
        <v>17</v>
      </c>
      <c r="U72" s="5" t="s">
        <v>5560</v>
      </c>
      <c r="V72" s="5">
        <v>19</v>
      </c>
      <c r="W72" s="35" t="s">
        <v>4856</v>
      </c>
      <c r="X72" s="5">
        <v>8</v>
      </c>
      <c r="Y72" s="35" t="s">
        <v>5482</v>
      </c>
      <c r="Z72" s="5">
        <v>2</v>
      </c>
      <c r="AA72" s="5">
        <v>16</v>
      </c>
      <c r="AB72" s="5" t="s">
        <v>4624</v>
      </c>
      <c r="AC72" s="5"/>
      <c r="AD72" s="47" t="str">
        <f t="shared" si="2"/>
        <v>(209*'48'*548,285*'12,7 / 14,27 / 22,22'*'0,015'***4*14*17*19*8*2)*</v>
      </c>
    </row>
    <row r="73" spans="1:30" ht="20.100000000000001" customHeight="1" x14ac:dyDescent="0.25">
      <c r="A73" s="3">
        <v>210</v>
      </c>
      <c r="B73" s="27" t="s">
        <v>5165</v>
      </c>
      <c r="C73" s="27"/>
      <c r="D73" s="22">
        <v>31778</v>
      </c>
      <c r="E73" s="15">
        <v>1</v>
      </c>
      <c r="F73" s="5" t="s">
        <v>4149</v>
      </c>
      <c r="G73" s="5">
        <v>17</v>
      </c>
      <c r="H73" s="5">
        <v>16</v>
      </c>
      <c r="I73" s="7">
        <v>48</v>
      </c>
      <c r="J73" s="31">
        <v>548.28499999999997</v>
      </c>
      <c r="K73" s="5" t="s">
        <v>6180</v>
      </c>
      <c r="L73" s="5">
        <v>1.4999999999999999E-2</v>
      </c>
      <c r="M73" s="5"/>
      <c r="N73" s="5"/>
      <c r="O73" s="5" t="s">
        <v>6153</v>
      </c>
      <c r="P73" s="5">
        <v>4</v>
      </c>
      <c r="Q73" s="5" t="s">
        <v>5655</v>
      </c>
      <c r="R73" s="5">
        <v>14</v>
      </c>
      <c r="S73" s="5" t="s">
        <v>6162</v>
      </c>
      <c r="T73" s="5">
        <v>17</v>
      </c>
      <c r="U73" s="5" t="s">
        <v>5560</v>
      </c>
      <c r="V73" s="5">
        <v>19</v>
      </c>
      <c r="W73" s="35" t="s">
        <v>4856</v>
      </c>
      <c r="X73" s="5">
        <v>8</v>
      </c>
      <c r="Y73" s="35" t="s">
        <v>5482</v>
      </c>
      <c r="Z73" s="5">
        <v>2</v>
      </c>
      <c r="AA73" s="5">
        <v>16</v>
      </c>
      <c r="AB73" s="5" t="s">
        <v>6193</v>
      </c>
      <c r="AC73" s="5"/>
      <c r="AD73" s="47" t="str">
        <f t="shared" si="2"/>
        <v>(210*'48'*548,285*'12,7 / 14,27 / 22,22'*'0,015'***4*14*17*19*8*2)*</v>
      </c>
    </row>
    <row r="74" spans="1:30" ht="20.100000000000001" customHeight="1" x14ac:dyDescent="0.25">
      <c r="A74" s="3">
        <v>211</v>
      </c>
      <c r="B74" s="27" t="s">
        <v>5166</v>
      </c>
      <c r="C74" s="27"/>
      <c r="D74" s="22">
        <v>39448</v>
      </c>
      <c r="E74" s="15">
        <v>1</v>
      </c>
      <c r="F74" s="5" t="s">
        <v>4149</v>
      </c>
      <c r="G74" s="5">
        <v>17</v>
      </c>
      <c r="H74" s="5">
        <v>16</v>
      </c>
      <c r="I74" s="7">
        <v>48</v>
      </c>
      <c r="J74" s="31">
        <v>548.28499999999997</v>
      </c>
      <c r="K74" s="5" t="s">
        <v>6180</v>
      </c>
      <c r="L74" s="5">
        <v>1.4999999999999999E-2</v>
      </c>
      <c r="M74" s="5"/>
      <c r="N74" s="5"/>
      <c r="O74" s="5" t="s">
        <v>6153</v>
      </c>
      <c r="P74" s="5">
        <v>4</v>
      </c>
      <c r="Q74" s="5" t="s">
        <v>6192</v>
      </c>
      <c r="R74" s="5">
        <v>11</v>
      </c>
      <c r="S74" s="5" t="s">
        <v>6162</v>
      </c>
      <c r="T74" s="5">
        <v>17</v>
      </c>
      <c r="U74" s="5" t="s">
        <v>5560</v>
      </c>
      <c r="V74" s="5">
        <v>19</v>
      </c>
      <c r="W74" s="35" t="s">
        <v>4856</v>
      </c>
      <c r="X74" s="5">
        <v>8</v>
      </c>
      <c r="Y74" s="35" t="s">
        <v>5482</v>
      </c>
      <c r="Z74" s="5">
        <v>2</v>
      </c>
      <c r="AA74" s="5">
        <v>16</v>
      </c>
      <c r="AB74" s="5" t="s">
        <v>6194</v>
      </c>
      <c r="AC74" s="5"/>
      <c r="AD74" s="47" t="str">
        <f t="shared" si="2"/>
        <v>(211*'48'*548,285*'12,7 / 14,27 / 22,22'*'0,015'***4*11*17*19*8*2)*</v>
      </c>
    </row>
  </sheetData>
  <autoFilter ref="A1:Z74"/>
  <phoneticPr fontId="2" type="noConversion"/>
  <pageMargins left="0.7" right="0.7" top="0.75" bottom="0.75" header="0.3" footer="0.3"/>
  <pageSetup paperSize="9" orientation="portrait" r:id="rId1"/>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5"/>
  </sheetPr>
  <dimension ref="A1:F12"/>
  <sheetViews>
    <sheetView workbookViewId="0">
      <selection activeCell="F2" sqref="F2:F12"/>
    </sheetView>
  </sheetViews>
  <sheetFormatPr baseColWidth="10" defaultColWidth="10.85546875" defaultRowHeight="15.75" x14ac:dyDescent="0.25"/>
  <cols>
    <col min="1" max="1" width="5.5703125" style="2" customWidth="1"/>
    <col min="2" max="2" width="10.5703125" style="2" customWidth="1"/>
    <col min="3" max="5" width="25.5703125" style="2" customWidth="1"/>
    <col min="6" max="6" width="65.42578125" style="2" bestFit="1" customWidth="1"/>
    <col min="7" max="16384" width="10.85546875" style="2"/>
  </cols>
  <sheetData>
    <row r="1" spans="1:6" ht="20.100000000000001" customHeight="1" x14ac:dyDescent="0.25">
      <c r="A1" s="1" t="s">
        <v>37</v>
      </c>
      <c r="B1" s="1" t="s">
        <v>54</v>
      </c>
      <c r="C1" s="1" t="s">
        <v>6460</v>
      </c>
      <c r="D1" s="1" t="s">
        <v>6459</v>
      </c>
      <c r="E1" s="1" t="s">
        <v>6461</v>
      </c>
      <c r="F1" s="1" t="s">
        <v>5597</v>
      </c>
    </row>
    <row r="2" spans="1:6" ht="20.100000000000001" customHeight="1" x14ac:dyDescent="0.25">
      <c r="A2" s="40" t="s">
        <v>44</v>
      </c>
      <c r="B2" s="40" t="s">
        <v>41</v>
      </c>
      <c r="C2" s="40" t="s">
        <v>42</v>
      </c>
      <c r="D2" s="40" t="s">
        <v>43</v>
      </c>
      <c r="E2" s="40" t="s">
        <v>53</v>
      </c>
      <c r="F2" s="1" t="s">
        <v>6682</v>
      </c>
    </row>
    <row r="3" spans="1:6" ht="20.100000000000001" customHeight="1" x14ac:dyDescent="0.25">
      <c r="A3" s="3">
        <v>1</v>
      </c>
      <c r="B3" s="3" t="s">
        <v>6646</v>
      </c>
      <c r="C3" s="4" t="s">
        <v>6647</v>
      </c>
      <c r="D3" s="4" t="s">
        <v>6648</v>
      </c>
      <c r="E3" s="4" t="s">
        <v>6648</v>
      </c>
      <c r="F3" s="4" t="str">
        <f>CONCATENATE("(",A3,",'",B3,"','",C3,"','",D3,"','",E3,"'),")</f>
        <v>(1,'PRODUCTION','إنتاج','Production','Production'),</v>
      </c>
    </row>
    <row r="4" spans="1:6" ht="20.100000000000001" customHeight="1" x14ac:dyDescent="0.25">
      <c r="A4" s="3">
        <v>2</v>
      </c>
      <c r="B4" s="3" t="s">
        <v>6649</v>
      </c>
      <c r="C4" s="4" t="s">
        <v>6650</v>
      </c>
      <c r="D4" s="4" t="s">
        <v>6651</v>
      </c>
      <c r="E4" s="4" t="s">
        <v>6651</v>
      </c>
      <c r="F4" s="4" t="str">
        <f t="shared" ref="F4:F12" si="0">CONCATENATE("(",A4,",'",B4,"','",C4,"','",D4,"','",E4,"'),")</f>
        <v>(2,'TRANSPORT','نقل','Transport','Transport'),</v>
      </c>
    </row>
    <row r="5" spans="1:6" ht="20.100000000000001" customHeight="1" x14ac:dyDescent="0.25">
      <c r="A5" s="3">
        <v>3</v>
      </c>
      <c r="B5" s="3" t="s">
        <v>6652</v>
      </c>
      <c r="C5" s="4" t="s">
        <v>6653</v>
      </c>
      <c r="D5" s="4" t="s">
        <v>6106</v>
      </c>
      <c r="E5" s="4" t="s">
        <v>6654</v>
      </c>
      <c r="F5" s="4" t="str">
        <f t="shared" si="0"/>
        <v>(3,'EXPORT','تصدير','Export','Exportation'),</v>
      </c>
    </row>
    <row r="6" spans="1:6" ht="20.100000000000001" customHeight="1" x14ac:dyDescent="0.25">
      <c r="A6" s="3">
        <v>4</v>
      </c>
      <c r="B6" s="3" t="s">
        <v>6655</v>
      </c>
      <c r="C6" s="4" t="s">
        <v>6656</v>
      </c>
      <c r="D6" s="4" t="s">
        <v>6657</v>
      </c>
      <c r="E6" s="4" t="s">
        <v>6658</v>
      </c>
      <c r="F6" s="4" t="str">
        <f t="shared" si="0"/>
        <v>(4,'IMPORT','استيراد','Import','Importation'),</v>
      </c>
    </row>
    <row r="7" spans="1:6" ht="20.100000000000001" customHeight="1" x14ac:dyDescent="0.25">
      <c r="A7" s="3">
        <v>5</v>
      </c>
      <c r="B7" s="3" t="s">
        <v>6659</v>
      </c>
      <c r="C7" s="4" t="s">
        <v>6660</v>
      </c>
      <c r="D7" s="4" t="s">
        <v>6661</v>
      </c>
      <c r="E7" s="4" t="s">
        <v>6662</v>
      </c>
      <c r="F7" s="4" t="str">
        <f t="shared" si="0"/>
        <v>(5,'STORAGE_IN','تخزين - دخول','Storage In','Stockage - Entrée'),</v>
      </c>
    </row>
    <row r="8" spans="1:6" ht="20.100000000000001" customHeight="1" x14ac:dyDescent="0.25">
      <c r="A8" s="3">
        <v>6</v>
      </c>
      <c r="B8" s="3" t="s">
        <v>6663</v>
      </c>
      <c r="C8" s="4" t="s">
        <v>6664</v>
      </c>
      <c r="D8" s="4" t="s">
        <v>6665</v>
      </c>
      <c r="E8" s="4" t="s">
        <v>6666</v>
      </c>
      <c r="F8" s="4" t="str">
        <f t="shared" si="0"/>
        <v>(6,'STORAGE_OUT','تخزين - خروج','Storage Out','Stockage - Sortie'),</v>
      </c>
    </row>
    <row r="9" spans="1:6" ht="20.100000000000001" customHeight="1" x14ac:dyDescent="0.25">
      <c r="A9" s="3">
        <v>7</v>
      </c>
      <c r="B9" s="3" t="s">
        <v>6667</v>
      </c>
      <c r="C9" s="4" t="s">
        <v>6668</v>
      </c>
      <c r="D9" s="4" t="s">
        <v>6669</v>
      </c>
      <c r="E9" s="4" t="s">
        <v>6670</v>
      </c>
      <c r="F9" s="4" t="str">
        <f t="shared" si="0"/>
        <v>(7,'CONSUMPTION','استهلاك','Consumption','Consommation'),</v>
      </c>
    </row>
    <row r="10" spans="1:6" ht="20.100000000000001" customHeight="1" x14ac:dyDescent="0.25">
      <c r="A10" s="3">
        <v>8</v>
      </c>
      <c r="B10" s="3" t="s">
        <v>6671</v>
      </c>
      <c r="C10" s="4" t="s">
        <v>6672</v>
      </c>
      <c r="D10" s="4" t="s">
        <v>6673</v>
      </c>
      <c r="E10" s="4" t="s">
        <v>6673</v>
      </c>
      <c r="F10" s="4" t="str">
        <f t="shared" si="0"/>
        <v>(8,'INJECTION','حقن','Injection','Injection'),</v>
      </c>
    </row>
    <row r="11" spans="1:6" ht="20.100000000000001" customHeight="1" x14ac:dyDescent="0.25">
      <c r="A11" s="3">
        <v>9</v>
      </c>
      <c r="B11" s="3" t="s">
        <v>6674</v>
      </c>
      <c r="C11" s="4" t="s">
        <v>6675</v>
      </c>
      <c r="D11" s="4" t="s">
        <v>6676</v>
      </c>
      <c r="E11" s="4" t="s">
        <v>6677</v>
      </c>
      <c r="F11" s="4" t="str">
        <f t="shared" si="0"/>
        <v>(9,'FLARING','حرق','Flaring','Torchage'),</v>
      </c>
    </row>
    <row r="12" spans="1:6" ht="20.100000000000001" customHeight="1" x14ac:dyDescent="0.25">
      <c r="A12" s="3">
        <v>10</v>
      </c>
      <c r="B12" s="3" t="s">
        <v>6678</v>
      </c>
      <c r="C12" s="4" t="s">
        <v>6679</v>
      </c>
      <c r="D12" s="4" t="s">
        <v>6680</v>
      </c>
      <c r="E12" s="4" t="s">
        <v>6681</v>
      </c>
      <c r="F12" s="4" t="str">
        <f t="shared" si="0"/>
        <v>(10,'TRANSFER','نقل داخلي','Transfer','Transfert'),</v>
      </c>
    </row>
  </sheetData>
  <autoFilter ref="A2:F12"/>
  <phoneticPr fontId="2" type="noConversion"/>
  <pageMargins left="0.7" right="0.7" top="0.75" bottom="0.75" header="0.3" footer="0.3"/>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5"/>
  </sheetPr>
  <dimension ref="A1:F12"/>
  <sheetViews>
    <sheetView workbookViewId="0">
      <selection activeCell="F2" sqref="F2:F12"/>
    </sheetView>
  </sheetViews>
  <sheetFormatPr baseColWidth="10" defaultColWidth="10.85546875" defaultRowHeight="15.75" x14ac:dyDescent="0.25"/>
  <cols>
    <col min="1" max="1" width="5.5703125" style="2" customWidth="1"/>
    <col min="2" max="2" width="10.5703125" style="2" customWidth="1"/>
    <col min="3" max="5" width="25.5703125" style="2" customWidth="1"/>
    <col min="6" max="6" width="65.42578125" style="2" bestFit="1" customWidth="1"/>
    <col min="7" max="16384" width="10.85546875" style="2"/>
  </cols>
  <sheetData>
    <row r="1" spans="1:6" ht="20.100000000000001" customHeight="1" x14ac:dyDescent="0.25">
      <c r="A1" s="1" t="s">
        <v>37</v>
      </c>
      <c r="B1" s="1" t="s">
        <v>54</v>
      </c>
      <c r="C1" s="1" t="s">
        <v>6460</v>
      </c>
      <c r="D1" s="1" t="s">
        <v>6459</v>
      </c>
      <c r="E1" s="1" t="s">
        <v>6461</v>
      </c>
      <c r="F1" s="1" t="s">
        <v>5597</v>
      </c>
    </row>
    <row r="2" spans="1:6" ht="20.100000000000001" customHeight="1" x14ac:dyDescent="0.25">
      <c r="A2" s="40" t="s">
        <v>44</v>
      </c>
      <c r="B2" s="40" t="s">
        <v>41</v>
      </c>
      <c r="C2" s="40" t="s">
        <v>42</v>
      </c>
      <c r="D2" s="40" t="s">
        <v>43</v>
      </c>
      <c r="E2" s="40" t="s">
        <v>53</v>
      </c>
      <c r="F2" s="1" t="s">
        <v>6722</v>
      </c>
    </row>
    <row r="3" spans="1:6" ht="20.100000000000001" customHeight="1" x14ac:dyDescent="0.25">
      <c r="A3" s="3">
        <v>1</v>
      </c>
      <c r="B3" s="3" t="s">
        <v>6683</v>
      </c>
      <c r="C3" s="4" t="s">
        <v>6684</v>
      </c>
      <c r="D3" s="4" t="s">
        <v>6686</v>
      </c>
      <c r="E3" s="4" t="s">
        <v>6685</v>
      </c>
      <c r="F3" s="4" t="str">
        <f>CONCATENATE("(",A3,",'",B3,"','",C3,"','",D3,"','",E3,"'),")</f>
        <v>(1,'EMERGENCY_SHUTDOWN','إيقاف طارئ','Arrêt d'Urgence','Emergency Shutdown'),</v>
      </c>
    </row>
    <row r="4" spans="1:6" ht="20.100000000000001" customHeight="1" x14ac:dyDescent="0.25">
      <c r="A4" s="3">
        <v>2</v>
      </c>
      <c r="B4" s="3" t="s">
        <v>6687</v>
      </c>
      <c r="C4" s="4" t="s">
        <v>6688</v>
      </c>
      <c r="D4" s="4" t="s">
        <v>6690</v>
      </c>
      <c r="E4" s="4" t="s">
        <v>6689</v>
      </c>
      <c r="F4" s="4" t="str">
        <f t="shared" ref="F4:F12" si="0">CONCATENATE("(",A4,",'",B4,"','",C4,"','",D4,"','",E4,"'),")</f>
        <v>(2,'PLANNED_MAINT','صيانة مخططة','Maintenance Planifiée','Planned Maintenance'),</v>
      </c>
    </row>
    <row r="5" spans="1:6" ht="20.100000000000001" customHeight="1" x14ac:dyDescent="0.25">
      <c r="A5" s="3">
        <v>3</v>
      </c>
      <c r="B5" s="3" t="s">
        <v>6691</v>
      </c>
      <c r="C5" s="4" t="s">
        <v>6692</v>
      </c>
      <c r="D5" s="4" t="s">
        <v>6694</v>
      </c>
      <c r="E5" s="4" t="s">
        <v>6693</v>
      </c>
      <c r="F5" s="4" t="str">
        <f t="shared" si="0"/>
        <v>(3,'CORRECTIVE_MAINT','صيانة تصحيحية','Maintenance Corrective','Corrective Maintenance'),</v>
      </c>
    </row>
    <row r="6" spans="1:6" ht="20.100000000000001" customHeight="1" x14ac:dyDescent="0.25">
      <c r="A6" s="3">
        <v>4</v>
      </c>
      <c r="B6" s="3" t="s">
        <v>6695</v>
      </c>
      <c r="C6" s="4" t="s">
        <v>6696</v>
      </c>
      <c r="D6" s="4" t="s">
        <v>6698</v>
      </c>
      <c r="E6" s="4" t="s">
        <v>6697</v>
      </c>
      <c r="F6" s="4" t="str">
        <f t="shared" si="0"/>
        <v>(4,'EQUIPMENT_FAILURE','عطل في المعدات','Panne d'Équipement','Equipment Failure'),</v>
      </c>
    </row>
    <row r="7" spans="1:6" ht="20.100000000000001" customHeight="1" x14ac:dyDescent="0.25">
      <c r="A7" s="3">
        <v>5</v>
      </c>
      <c r="B7" s="3" t="s">
        <v>6699</v>
      </c>
      <c r="C7" s="4" t="s">
        <v>6700</v>
      </c>
      <c r="D7" s="4" t="s">
        <v>6702</v>
      </c>
      <c r="E7" s="4" t="s">
        <v>6701</v>
      </c>
      <c r="F7" s="4" t="str">
        <f t="shared" si="0"/>
        <v>(5,'SAFETY_INCIDENT','حادث أمان','Incident de Sécurité','Safety Incident'),</v>
      </c>
    </row>
    <row r="8" spans="1:6" ht="20.100000000000001" customHeight="1" x14ac:dyDescent="0.25">
      <c r="A8" s="3">
        <v>6</v>
      </c>
      <c r="B8" s="3" t="s">
        <v>6703</v>
      </c>
      <c r="C8" s="4" t="s">
        <v>6704</v>
      </c>
      <c r="D8" s="4" t="s">
        <v>6705</v>
      </c>
      <c r="E8" s="4" t="s">
        <v>6705</v>
      </c>
      <c r="F8" s="4" t="str">
        <f t="shared" si="0"/>
        <v>(6,'INSPECTION','تفتيش','Inspection','Inspection'),</v>
      </c>
    </row>
    <row r="9" spans="1:6" ht="20.100000000000001" customHeight="1" x14ac:dyDescent="0.25">
      <c r="A9" s="3">
        <v>7</v>
      </c>
      <c r="B9" s="3" t="s">
        <v>6706</v>
      </c>
      <c r="C9" s="4" t="s">
        <v>6707</v>
      </c>
      <c r="D9" s="4" t="s">
        <v>6709</v>
      </c>
      <c r="E9" s="4" t="s">
        <v>6708</v>
      </c>
      <c r="F9" s="4" t="str">
        <f t="shared" si="0"/>
        <v>(7,'STARTUP','بدء التشغيل','Démarrage','Startup'),</v>
      </c>
    </row>
    <row r="10" spans="1:6" ht="20.100000000000001" customHeight="1" x14ac:dyDescent="0.25">
      <c r="A10" s="3">
        <v>8</v>
      </c>
      <c r="B10" s="3" t="s">
        <v>6710</v>
      </c>
      <c r="C10" s="4" t="s">
        <v>6711</v>
      </c>
      <c r="D10" s="4" t="s">
        <v>6713</v>
      </c>
      <c r="E10" s="4" t="s">
        <v>6712</v>
      </c>
      <c r="F10" s="4" t="str">
        <f t="shared" si="0"/>
        <v>(8,'NORMAL_SHUTDOWN','إيقاف عادي','Arrêt Normal','Normal Shutdown'),</v>
      </c>
    </row>
    <row r="11" spans="1:6" ht="20.100000000000001" customHeight="1" x14ac:dyDescent="0.25">
      <c r="A11" s="3">
        <v>9</v>
      </c>
      <c r="B11" s="3" t="s">
        <v>6714</v>
      </c>
      <c r="C11" s="4" t="s">
        <v>6715</v>
      </c>
      <c r="D11" s="4" t="s">
        <v>6717</v>
      </c>
      <c r="E11" s="4" t="s">
        <v>6716</v>
      </c>
      <c r="F11" s="4" t="str">
        <f t="shared" si="0"/>
        <v>(9,'PROCESS_UPSET','اضطراب العملية','Perturbation du Processus','Process Upset'),</v>
      </c>
    </row>
    <row r="12" spans="1:6" ht="20.100000000000001" customHeight="1" x14ac:dyDescent="0.25">
      <c r="A12" s="3">
        <v>10</v>
      </c>
      <c r="B12" s="3" t="s">
        <v>6718</v>
      </c>
      <c r="C12" s="4" t="s">
        <v>6719</v>
      </c>
      <c r="D12" s="4" t="s">
        <v>6721</v>
      </c>
      <c r="E12" s="4" t="s">
        <v>6720</v>
      </c>
      <c r="F12" s="4" t="str">
        <f t="shared" si="0"/>
        <v>(10,'LEAK_DETECTION','كشف التسرب','Détection de Fuite','Leak Detection'),</v>
      </c>
    </row>
  </sheetData>
  <autoFilter ref="A2:F12"/>
  <pageMargins left="0.7" right="0.7" top="0.75" bottom="0.75" header="0.3" footer="0.3"/>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030A0"/>
  </sheetPr>
  <dimension ref="A1:E8"/>
  <sheetViews>
    <sheetView workbookViewId="0">
      <selection activeCell="C18" sqref="C18"/>
    </sheetView>
  </sheetViews>
  <sheetFormatPr baseColWidth="10" defaultColWidth="10.85546875" defaultRowHeight="15.75" x14ac:dyDescent="0.25"/>
  <cols>
    <col min="1" max="1" width="5.5703125" style="2" customWidth="1"/>
    <col min="2" max="4" width="25.5703125" style="2" customWidth="1"/>
    <col min="5" max="5" width="65.42578125" style="2" bestFit="1" customWidth="1"/>
    <col min="6" max="16384" width="10.85546875" style="2"/>
  </cols>
  <sheetData>
    <row r="1" spans="1:5" ht="20.100000000000001" customHeight="1" x14ac:dyDescent="0.25">
      <c r="A1" s="1" t="s">
        <v>37</v>
      </c>
      <c r="B1" s="1" t="s">
        <v>6460</v>
      </c>
      <c r="C1" s="1" t="s">
        <v>6459</v>
      </c>
      <c r="D1" s="1" t="s">
        <v>6461</v>
      </c>
      <c r="E1" s="1" t="s">
        <v>5597</v>
      </c>
    </row>
    <row r="2" spans="1:5" ht="20.100000000000001" customHeight="1" x14ac:dyDescent="0.25">
      <c r="A2" s="40" t="s">
        <v>44</v>
      </c>
      <c r="B2" s="40" t="s">
        <v>41</v>
      </c>
      <c r="C2" s="40" t="s">
        <v>42</v>
      </c>
      <c r="D2" s="40" t="s">
        <v>43</v>
      </c>
      <c r="E2" s="1" t="s">
        <v>6458</v>
      </c>
    </row>
    <row r="3" spans="1:5" ht="20.100000000000001" customHeight="1" x14ac:dyDescent="0.25">
      <c r="A3" s="3">
        <v>1</v>
      </c>
      <c r="B3" s="4" t="s">
        <v>6440</v>
      </c>
      <c r="C3" s="4" t="s">
        <v>6441</v>
      </c>
      <c r="D3" s="4" t="s">
        <v>6442</v>
      </c>
      <c r="E3" s="4" t="str">
        <f>CONCATENATE("(",A3,",'",B3,"','",C3,"','",D3,"'),")</f>
        <v>(1,'مجدول','Scheduled','Planifié'),</v>
      </c>
    </row>
    <row r="4" spans="1:5" ht="20.100000000000001" customHeight="1" x14ac:dyDescent="0.25">
      <c r="A4" s="3">
        <v>2</v>
      </c>
      <c r="B4" s="4" t="s">
        <v>6443</v>
      </c>
      <c r="C4" s="4" t="s">
        <v>6444</v>
      </c>
      <c r="D4" s="4" t="s">
        <v>6445</v>
      </c>
      <c r="E4" s="4" t="str">
        <f t="shared" ref="E4:E8" si="0">CONCATENATE("(",A4,",'",B4,"','",C4,"','",D4,"'),")</f>
        <v>(2,'جاري','Ongoing','En Cours'),</v>
      </c>
    </row>
    <row r="5" spans="1:5" ht="20.100000000000001" customHeight="1" x14ac:dyDescent="0.25">
      <c r="A5" s="3">
        <v>3</v>
      </c>
      <c r="B5" s="4" t="s">
        <v>6446</v>
      </c>
      <c r="C5" s="4" t="s">
        <v>6447</v>
      </c>
      <c r="D5" s="4" t="s">
        <v>6448</v>
      </c>
      <c r="E5" s="4" t="str">
        <f t="shared" si="0"/>
        <v>(3,'مكتمل','Completed','Terminé'),</v>
      </c>
    </row>
    <row r="6" spans="1:5" ht="20.100000000000001" customHeight="1" x14ac:dyDescent="0.25">
      <c r="A6" s="3">
        <v>4</v>
      </c>
      <c r="B6" s="4" t="s">
        <v>6449</v>
      </c>
      <c r="C6" s="4" t="s">
        <v>6450</v>
      </c>
      <c r="D6" s="4" t="s">
        <v>6451</v>
      </c>
      <c r="E6" s="4" t="str">
        <f t="shared" si="0"/>
        <v>(4,'ملغى','Cancelled','Annulé'),</v>
      </c>
    </row>
    <row r="7" spans="1:5" ht="20.100000000000001" customHeight="1" x14ac:dyDescent="0.25">
      <c r="A7" s="3">
        <v>5</v>
      </c>
      <c r="B7" s="4" t="s">
        <v>6452</v>
      </c>
      <c r="C7" s="4" t="s">
        <v>6453</v>
      </c>
      <c r="D7" s="4" t="s">
        <v>6454</v>
      </c>
      <c r="E7" s="4" t="str">
        <f t="shared" si="0"/>
        <v>(5,'مؤجل','Postponed','Reporté'),</v>
      </c>
    </row>
    <row r="8" spans="1:5" ht="20.100000000000001" customHeight="1" x14ac:dyDescent="0.25">
      <c r="A8" s="3">
        <v>6</v>
      </c>
      <c r="B8" s="4" t="s">
        <v>6455</v>
      </c>
      <c r="C8" s="4" t="s">
        <v>6456</v>
      </c>
      <c r="D8" s="4" t="s">
        <v>6457</v>
      </c>
      <c r="E8" s="4" t="str">
        <f t="shared" si="0"/>
        <v>(6,'قيد التحقيق','Under Investigation','En Investigation'),</v>
      </c>
    </row>
  </sheetData>
  <autoFilter ref="A2:E8"/>
  <pageMargins left="0.7" right="0.7" top="0.75" bottom="0.75" header="0.3" footer="0.3"/>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030A0"/>
  </sheetPr>
  <dimension ref="A1:E9"/>
  <sheetViews>
    <sheetView workbookViewId="0">
      <selection activeCell="E2" sqref="E2:E9"/>
    </sheetView>
  </sheetViews>
  <sheetFormatPr baseColWidth="10" defaultColWidth="10.85546875" defaultRowHeight="15.75" x14ac:dyDescent="0.25"/>
  <cols>
    <col min="1" max="1" width="5.5703125" style="2" customWidth="1"/>
    <col min="2" max="4" width="25.5703125" style="2" customWidth="1"/>
    <col min="5" max="5" width="65.42578125" style="2" bestFit="1" customWidth="1"/>
    <col min="6" max="16384" width="10.85546875" style="2"/>
  </cols>
  <sheetData>
    <row r="1" spans="1:5" ht="20.100000000000001" customHeight="1" x14ac:dyDescent="0.25">
      <c r="A1" s="1" t="s">
        <v>37</v>
      </c>
      <c r="B1" s="1" t="s">
        <v>6460</v>
      </c>
      <c r="C1" s="1" t="s">
        <v>6459</v>
      </c>
      <c r="D1" s="1" t="s">
        <v>6461</v>
      </c>
      <c r="E1" s="1" t="s">
        <v>5597</v>
      </c>
    </row>
    <row r="2" spans="1:5" ht="20.100000000000001" customHeight="1" x14ac:dyDescent="0.25">
      <c r="A2" s="40" t="s">
        <v>44</v>
      </c>
      <c r="B2" s="40" t="s">
        <v>41</v>
      </c>
      <c r="C2" s="40" t="s">
        <v>42</v>
      </c>
      <c r="D2" s="40" t="s">
        <v>43</v>
      </c>
      <c r="E2" s="1" t="s">
        <v>6462</v>
      </c>
    </row>
    <row r="3" spans="1:5" ht="20.100000000000001" customHeight="1" x14ac:dyDescent="0.25">
      <c r="A3" s="3">
        <v>1</v>
      </c>
      <c r="B3" s="4" t="s">
        <v>6463</v>
      </c>
      <c r="C3" s="4" t="s">
        <v>6464</v>
      </c>
      <c r="D3" s="4" t="s">
        <v>6465</v>
      </c>
      <c r="E3" s="4" t="str">
        <f>CONCATENATE("(",A3,",'",B3,"','",C3,"','",D3,"'),")</f>
        <v>(1,'مفتوح','Open','Ouvert'),</v>
      </c>
    </row>
    <row r="4" spans="1:5" ht="20.100000000000001" customHeight="1" x14ac:dyDescent="0.25">
      <c r="A4" s="3">
        <v>2</v>
      </c>
      <c r="B4" s="4" t="s">
        <v>6466</v>
      </c>
      <c r="C4" s="4" t="s">
        <v>6467</v>
      </c>
      <c r="D4" s="4" t="s">
        <v>6468</v>
      </c>
      <c r="E4" s="4" t="str">
        <f t="shared" ref="E4:E9" si="0">CONCATENATE("(",A4,",'",B4,"','",C4,"','",D4,"'),")</f>
        <v>(2,'تم الإقرار','Acknowledged','Reconnu'),</v>
      </c>
    </row>
    <row r="5" spans="1:5" ht="20.100000000000001" customHeight="1" x14ac:dyDescent="0.25">
      <c r="A5" s="3">
        <v>3</v>
      </c>
      <c r="B5" s="4" t="s">
        <v>6469</v>
      </c>
      <c r="C5" s="4" t="s">
        <v>6470</v>
      </c>
      <c r="D5" s="4" t="s">
        <v>6445</v>
      </c>
      <c r="E5" s="4" t="str">
        <f t="shared" si="0"/>
        <v>(3,'قيد التنفيذ','In Progress','En Cours'),</v>
      </c>
    </row>
    <row r="6" spans="1:5" ht="20.100000000000001" customHeight="1" x14ac:dyDescent="0.25">
      <c r="A6" s="3">
        <v>4</v>
      </c>
      <c r="B6" s="4" t="s">
        <v>6471</v>
      </c>
      <c r="C6" s="4" t="s">
        <v>6472</v>
      </c>
      <c r="D6" s="4" t="s">
        <v>6473</v>
      </c>
      <c r="E6" s="4" t="str">
        <f t="shared" si="0"/>
        <v>(4,'تم الحل','Resolved','Résolu'),</v>
      </c>
    </row>
    <row r="7" spans="1:5" ht="20.100000000000001" customHeight="1" x14ac:dyDescent="0.25">
      <c r="A7" s="3">
        <v>5</v>
      </c>
      <c r="B7" s="4" t="s">
        <v>6474</v>
      </c>
      <c r="C7" s="4" t="s">
        <v>6475</v>
      </c>
      <c r="D7" s="4" t="s">
        <v>6476</v>
      </c>
      <c r="E7" s="4" t="str">
        <f t="shared" si="0"/>
        <v>(5,'مغلق','Closed','Fermé'),</v>
      </c>
    </row>
    <row r="8" spans="1:5" ht="20.100000000000001" customHeight="1" x14ac:dyDescent="0.25">
      <c r="A8" s="3">
        <v>6</v>
      </c>
      <c r="B8" s="4" t="s">
        <v>6477</v>
      </c>
      <c r="C8" s="4" t="s">
        <v>6478</v>
      </c>
      <c r="D8" s="4" t="s">
        <v>6479</v>
      </c>
      <c r="E8" s="4" t="str">
        <f t="shared" si="0"/>
        <v>(6,'تم التصعيد','Escalated','Escaladé'),</v>
      </c>
    </row>
    <row r="9" spans="1:5" ht="20.100000000000001" customHeight="1" x14ac:dyDescent="0.25">
      <c r="A9" s="3">
        <v>7</v>
      </c>
      <c r="B9" s="4" t="s">
        <v>6480</v>
      </c>
      <c r="C9" s="4" t="s">
        <v>6481</v>
      </c>
      <c r="D9" s="4" t="s">
        <v>6482</v>
      </c>
      <c r="E9" s="4" t="str">
        <f t="shared" si="0"/>
        <v>(7,'إنذار كاذب','False Alarm','Fausse Alerte'),</v>
      </c>
    </row>
  </sheetData>
  <autoFilter ref="A2:E9"/>
  <pageMargins left="0.7" right="0.7" top="0.75" bottom="0.75" header="0.3" footer="0.3"/>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030A0"/>
  </sheetPr>
  <dimension ref="A1:E8"/>
  <sheetViews>
    <sheetView workbookViewId="0">
      <selection activeCell="E2" sqref="E2:E8"/>
    </sheetView>
  </sheetViews>
  <sheetFormatPr baseColWidth="10" defaultColWidth="10.85546875" defaultRowHeight="15.75" x14ac:dyDescent="0.25"/>
  <cols>
    <col min="1" max="1" width="5.5703125" style="2" customWidth="1"/>
    <col min="2" max="4" width="25.5703125" style="2" customWidth="1"/>
    <col min="5" max="5" width="65.42578125" style="2" bestFit="1" customWidth="1"/>
    <col min="6" max="16384" width="10.85546875" style="2"/>
  </cols>
  <sheetData>
    <row r="1" spans="1:5" ht="20.100000000000001" customHeight="1" x14ac:dyDescent="0.25">
      <c r="A1" s="1" t="s">
        <v>37</v>
      </c>
      <c r="B1" s="1" t="s">
        <v>6460</v>
      </c>
      <c r="C1" s="1" t="s">
        <v>6459</v>
      </c>
      <c r="D1" s="1" t="s">
        <v>6461</v>
      </c>
      <c r="E1" s="1" t="s">
        <v>5597</v>
      </c>
    </row>
    <row r="2" spans="1:5" ht="20.100000000000001" customHeight="1" x14ac:dyDescent="0.25">
      <c r="A2" s="40" t="s">
        <v>44</v>
      </c>
      <c r="B2" s="40" t="s">
        <v>41</v>
      </c>
      <c r="C2" s="40" t="s">
        <v>42</v>
      </c>
      <c r="D2" s="40" t="s">
        <v>43</v>
      </c>
      <c r="E2" s="1" t="s">
        <v>6501</v>
      </c>
    </row>
    <row r="3" spans="1:5" ht="20.100000000000001" customHeight="1" x14ac:dyDescent="0.25">
      <c r="A3" s="3">
        <v>1</v>
      </c>
      <c r="B3" s="4" t="s">
        <v>6483</v>
      </c>
      <c r="C3" s="4" t="s">
        <v>6484</v>
      </c>
      <c r="D3" s="4" t="s">
        <v>6485</v>
      </c>
      <c r="E3" s="4" t="str">
        <f>CONCATENATE("(",A3,",'",B3,"','",C3,"','",D3,"'),")</f>
        <v>(1,'معلومات','Info','Information'),</v>
      </c>
    </row>
    <row r="4" spans="1:5" ht="20.100000000000001" customHeight="1" x14ac:dyDescent="0.25">
      <c r="A4" s="3">
        <v>2</v>
      </c>
      <c r="B4" s="4" t="s">
        <v>6486</v>
      </c>
      <c r="C4" s="4" t="s">
        <v>6487</v>
      </c>
      <c r="D4" s="4" t="s">
        <v>6488</v>
      </c>
      <c r="E4" s="4" t="str">
        <f t="shared" ref="E4:E8" si="0">CONCATENATE("(",A4,",'",B4,"','",C4,"','",D4,"'),")</f>
        <v>(2,'منخفض','Low','Faible'),</v>
      </c>
    </row>
    <row r="5" spans="1:5" ht="20.100000000000001" customHeight="1" x14ac:dyDescent="0.25">
      <c r="A5" s="3">
        <v>3</v>
      </c>
      <c r="B5" s="4" t="s">
        <v>6489</v>
      </c>
      <c r="C5" s="4" t="s">
        <v>6490</v>
      </c>
      <c r="D5" s="4" t="s">
        <v>6491</v>
      </c>
      <c r="E5" s="4" t="str">
        <f t="shared" si="0"/>
        <v>(3,'متوسط','Medium','Moyen'),</v>
      </c>
    </row>
    <row r="6" spans="1:5" ht="20.100000000000001" customHeight="1" x14ac:dyDescent="0.25">
      <c r="A6" s="3">
        <v>4</v>
      </c>
      <c r="B6" s="4" t="s">
        <v>6492</v>
      </c>
      <c r="C6" s="4" t="s">
        <v>6493</v>
      </c>
      <c r="D6" s="4" t="s">
        <v>6494</v>
      </c>
      <c r="E6" s="4" t="str">
        <f t="shared" si="0"/>
        <v>(4,'عالي','High','Élevé'),</v>
      </c>
    </row>
    <row r="7" spans="1:5" ht="20.100000000000001" customHeight="1" x14ac:dyDescent="0.25">
      <c r="A7" s="3">
        <v>5</v>
      </c>
      <c r="B7" s="4" t="s">
        <v>6495</v>
      </c>
      <c r="C7" s="4" t="s">
        <v>6496</v>
      </c>
      <c r="D7" s="4" t="s">
        <v>6497</v>
      </c>
      <c r="E7" s="4" t="str">
        <f t="shared" si="0"/>
        <v>(5,'حرج','Critical','Critique'),</v>
      </c>
    </row>
    <row r="8" spans="1:5" ht="20.100000000000001" customHeight="1" x14ac:dyDescent="0.25">
      <c r="A8" s="3">
        <v>6</v>
      </c>
      <c r="B8" s="4" t="s">
        <v>6498</v>
      </c>
      <c r="C8" s="4" t="s">
        <v>6499</v>
      </c>
      <c r="D8" s="4" t="s">
        <v>6500</v>
      </c>
      <c r="E8" s="4" t="str">
        <f t="shared" si="0"/>
        <v>(6,'طارئ','Emergency','Urgence'),</v>
      </c>
    </row>
  </sheetData>
  <autoFilter ref="A2:E8"/>
  <pageMargins left="0.7" right="0.7" top="0.75" bottom="0.75" header="0.3" footer="0.3"/>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030A0"/>
  </sheetPr>
  <dimension ref="A1:I8"/>
  <sheetViews>
    <sheetView topLeftCell="E1" workbookViewId="0">
      <selection activeCell="I2" sqref="I2:I8"/>
    </sheetView>
  </sheetViews>
  <sheetFormatPr baseColWidth="10" defaultColWidth="10.85546875" defaultRowHeight="15.75" x14ac:dyDescent="0.25"/>
  <cols>
    <col min="1" max="1" width="5.5703125" style="2" customWidth="1"/>
    <col min="2" max="2" width="15.5703125" style="2" customWidth="1"/>
    <col min="3" max="8" width="20.5703125" style="2" customWidth="1"/>
    <col min="9" max="9" width="75.5703125" style="2" customWidth="1"/>
    <col min="10" max="16384" width="10.85546875" style="2"/>
  </cols>
  <sheetData>
    <row r="1" spans="1:9" ht="20.100000000000001" customHeight="1" x14ac:dyDescent="0.25">
      <c r="A1" s="1" t="s">
        <v>37</v>
      </c>
      <c r="B1" s="1" t="s">
        <v>54</v>
      </c>
      <c r="C1" s="1" t="s">
        <v>6460</v>
      </c>
      <c r="D1" s="1" t="s">
        <v>6459</v>
      </c>
      <c r="E1" s="1" t="s">
        <v>6461</v>
      </c>
      <c r="F1" s="1" t="s">
        <v>6544</v>
      </c>
      <c r="G1" s="1" t="s">
        <v>6545</v>
      </c>
      <c r="H1" s="1" t="s">
        <v>6546</v>
      </c>
      <c r="I1" s="1" t="s">
        <v>5597</v>
      </c>
    </row>
    <row r="2" spans="1:9" ht="20.100000000000001" customHeight="1" x14ac:dyDescent="0.25">
      <c r="A2" s="40" t="s">
        <v>44</v>
      </c>
      <c r="B2" s="40" t="s">
        <v>41</v>
      </c>
      <c r="C2" s="40" t="s">
        <v>42</v>
      </c>
      <c r="D2" s="40" t="s">
        <v>43</v>
      </c>
      <c r="E2" s="40" t="s">
        <v>53</v>
      </c>
      <c r="F2" s="40" t="s">
        <v>2094</v>
      </c>
      <c r="G2" s="40" t="s">
        <v>4077</v>
      </c>
      <c r="H2" s="40" t="s">
        <v>4349</v>
      </c>
      <c r="I2" s="1" t="s">
        <v>6547</v>
      </c>
    </row>
    <row r="3" spans="1:9" ht="20.100000000000001" customHeight="1" x14ac:dyDescent="0.25">
      <c r="A3" s="3">
        <v>1</v>
      </c>
      <c r="B3" s="3" t="s">
        <v>6502</v>
      </c>
      <c r="C3" s="4" t="s">
        <v>6506</v>
      </c>
      <c r="D3" s="4" t="s">
        <v>6507</v>
      </c>
      <c r="E3" s="4" t="s">
        <v>6508</v>
      </c>
      <c r="F3" s="4" t="s">
        <v>6503</v>
      </c>
      <c r="G3" s="4" t="s">
        <v>6504</v>
      </c>
      <c r="H3" s="4" t="s">
        <v>6505</v>
      </c>
      <c r="I3" s="4" t="str">
        <f>CONCATENATE("(",A3,",'",B3,"','",C3,"','",D3,"','",E3,"','",F3,"','",G3,"','",H3,"'),")</f>
        <v>(1,'SCADA','نظام SCADA','SCADA System','Système SCADA','قراءات تلقائية من نظام المراقبة والتحكم','Automated readings from Supervisory Control and Data Acquisition system','Lectures automatisées du système de contrôle et d'acquisition de données'),</v>
      </c>
    </row>
    <row r="4" spans="1:9" ht="20.100000000000001" customHeight="1" x14ac:dyDescent="0.25">
      <c r="A4" s="3">
        <v>2</v>
      </c>
      <c r="B4" s="3" t="s">
        <v>6509</v>
      </c>
      <c r="C4" s="4" t="s">
        <v>6513</v>
      </c>
      <c r="D4" s="4" t="s">
        <v>6514</v>
      </c>
      <c r="E4" s="4" t="s">
        <v>6515</v>
      </c>
      <c r="F4" s="4" t="s">
        <v>6510</v>
      </c>
      <c r="G4" s="4" t="s">
        <v>6511</v>
      </c>
      <c r="H4" s="4" t="s">
        <v>6512</v>
      </c>
      <c r="I4" s="4" t="str">
        <f t="shared" ref="I4:I8" si="0">CONCATENATE("(",A4,",'",B4,"','",C4,"','",D4,"','",E4,"','",F4,"','",G4,"','",H4,"'),")</f>
        <v>(2,'MANUAL','قراءة يدوية','Manual Reading','Lecture Manuelle','قراءات يدوية من قبل المشغلين في الميدان','Manual readings taken by field operators','Lectures manuelles effectuées par les opérateurs sur le terrain'),</v>
      </c>
    </row>
    <row r="5" spans="1:9" ht="20.100000000000001" customHeight="1" x14ac:dyDescent="0.25">
      <c r="A5" s="3">
        <v>3</v>
      </c>
      <c r="B5" s="3" t="s">
        <v>6516</v>
      </c>
      <c r="C5" s="4" t="s">
        <v>6520</v>
      </c>
      <c r="D5" s="4" t="s">
        <v>6521</v>
      </c>
      <c r="E5" s="4" t="s">
        <v>6522</v>
      </c>
      <c r="F5" s="4" t="s">
        <v>6517</v>
      </c>
      <c r="G5" s="4" t="s">
        <v>6518</v>
      </c>
      <c r="H5" s="4" t="s">
        <v>6519</v>
      </c>
      <c r="I5" s="4" t="str">
        <f t="shared" si="0"/>
        <v>(3,'CALCULATED','قيمة محسوبة','Calculated Value','Valeur Calculée','قيم محسوبة من بيانات أخرى','Values computed from other data sources','Valeurs calculées à partir d'autres sources de données'),</v>
      </c>
    </row>
    <row r="6" spans="1:9" ht="20.100000000000001" customHeight="1" x14ac:dyDescent="0.25">
      <c r="A6" s="3">
        <v>4</v>
      </c>
      <c r="B6" s="3" t="s">
        <v>6523</v>
      </c>
      <c r="C6" s="4" t="s">
        <v>6527</v>
      </c>
      <c r="D6" s="4" t="s">
        <v>6528</v>
      </c>
      <c r="E6" s="4" t="s">
        <v>6529</v>
      </c>
      <c r="F6" s="4" t="s">
        <v>6524</v>
      </c>
      <c r="G6" s="4" t="s">
        <v>6525</v>
      </c>
      <c r="H6" s="4" t="s">
        <v>6526</v>
      </c>
      <c r="I6" s="4" t="str">
        <f t="shared" si="0"/>
        <v>(4,'EXTERNAL','مصدر خارجي','External Source','Source Externe','بيانات من أنظمة خارجية أو شركاء','Data from external systems or partners','Données provenant de systèmes externes ou de partenaires'),</v>
      </c>
    </row>
    <row r="7" spans="1:9" ht="20.100000000000001" customHeight="1" x14ac:dyDescent="0.25">
      <c r="A7" s="3">
        <v>5</v>
      </c>
      <c r="B7" s="3" t="s">
        <v>6530</v>
      </c>
      <c r="C7" s="4" t="s">
        <v>6534</v>
      </c>
      <c r="D7" s="4" t="s">
        <v>6535</v>
      </c>
      <c r="E7" s="4" t="s">
        <v>6536</v>
      </c>
      <c r="F7" s="4" t="s">
        <v>6531</v>
      </c>
      <c r="G7" s="4" t="s">
        <v>6532</v>
      </c>
      <c r="H7" s="4" t="s">
        <v>6533</v>
      </c>
      <c r="I7" s="4" t="str">
        <f t="shared" si="0"/>
        <v>(5,'FLOWMETER','عداد التدفق','Flow Meter','Débitmètre','قراءات مباشرة من أجهزة قياس التدفق','Direct readings from flow measurement devices','Lectures directes des dispositifs de mesure de débit'),</v>
      </c>
    </row>
    <row r="8" spans="1:9" ht="20.100000000000001" customHeight="1" x14ac:dyDescent="0.25">
      <c r="A8" s="3">
        <v>6</v>
      </c>
      <c r="B8" s="3" t="s">
        <v>6537</v>
      </c>
      <c r="C8" s="4" t="s">
        <v>6541</v>
      </c>
      <c r="D8" s="4" t="s">
        <v>6542</v>
      </c>
      <c r="E8" s="4" t="s">
        <v>6543</v>
      </c>
      <c r="F8" s="4" t="s">
        <v>6538</v>
      </c>
      <c r="G8" s="4" t="s">
        <v>6539</v>
      </c>
      <c r="H8" s="4" t="s">
        <v>6540</v>
      </c>
      <c r="I8" s="4" t="str">
        <f t="shared" si="0"/>
        <v>(6,'ESTIMATED','تقديري','Estimated','Estimé','قيم تقديرية بناء على بيانات تاريخية','Estimated values based on historical data','Valeurs estimées basées sur des données historiques'),</v>
      </c>
    </row>
  </sheetData>
  <autoFilter ref="A2:I8"/>
  <phoneticPr fontId="2" type="noConversion"/>
  <pageMargins left="0.7" right="0.7" top="0.75" bottom="0.75" header="0.3" footer="0.3"/>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030A0"/>
  </sheetPr>
  <dimension ref="A1:J9"/>
  <sheetViews>
    <sheetView topLeftCell="G1" workbookViewId="0">
      <selection activeCell="J2" sqref="J2:J9"/>
    </sheetView>
  </sheetViews>
  <sheetFormatPr baseColWidth="10" defaultColWidth="10.85546875" defaultRowHeight="15.75" x14ac:dyDescent="0.25"/>
  <cols>
    <col min="1" max="1" width="5.5703125" style="2" customWidth="1"/>
    <col min="2" max="2" width="15.5703125" style="2" customWidth="1"/>
    <col min="3" max="9" width="20.5703125" style="2" customWidth="1"/>
    <col min="10" max="10" width="75.5703125" style="2" customWidth="1"/>
    <col min="11" max="16384" width="10.85546875" style="2"/>
  </cols>
  <sheetData>
    <row r="1" spans="1:10" ht="20.100000000000001" customHeight="1" x14ac:dyDescent="0.25">
      <c r="A1" s="1" t="s">
        <v>37</v>
      </c>
      <c r="B1" s="1" t="s">
        <v>54</v>
      </c>
      <c r="C1" s="1" t="s">
        <v>6460</v>
      </c>
      <c r="D1" s="1" t="s">
        <v>6459</v>
      </c>
      <c r="E1" s="1" t="s">
        <v>6461</v>
      </c>
      <c r="F1" s="1" t="s">
        <v>6544</v>
      </c>
      <c r="G1" s="1" t="s">
        <v>6545</v>
      </c>
      <c r="H1" s="1" t="s">
        <v>6546</v>
      </c>
      <c r="I1" s="1" t="s">
        <v>6601</v>
      </c>
      <c r="J1" s="1" t="s">
        <v>5597</v>
      </c>
    </row>
    <row r="2" spans="1:10" ht="20.100000000000001" customHeight="1" x14ac:dyDescent="0.25">
      <c r="A2" s="40" t="s">
        <v>44</v>
      </c>
      <c r="B2" s="40" t="s">
        <v>41</v>
      </c>
      <c r="C2" s="40" t="s">
        <v>42</v>
      </c>
      <c r="D2" s="40" t="s">
        <v>43</v>
      </c>
      <c r="E2" s="40" t="s">
        <v>53</v>
      </c>
      <c r="F2" s="40" t="s">
        <v>2094</v>
      </c>
      <c r="G2" s="40" t="s">
        <v>4077</v>
      </c>
      <c r="H2" s="40" t="s">
        <v>4349</v>
      </c>
      <c r="I2" s="40" t="s">
        <v>4350</v>
      </c>
      <c r="J2" s="1" t="s">
        <v>6645</v>
      </c>
    </row>
    <row r="3" spans="1:10" ht="20.100000000000001" customHeight="1" x14ac:dyDescent="0.25">
      <c r="A3" s="3">
        <v>1</v>
      </c>
      <c r="B3" s="3" t="s">
        <v>6548</v>
      </c>
      <c r="C3" s="4" t="s">
        <v>6552</v>
      </c>
      <c r="D3" s="4" t="s">
        <v>6553</v>
      </c>
      <c r="E3" s="4" t="s">
        <v>6554</v>
      </c>
      <c r="F3" s="4" t="s">
        <v>6549</v>
      </c>
      <c r="G3" s="4" t="s">
        <v>6550</v>
      </c>
      <c r="H3" s="4" t="s">
        <v>6551</v>
      </c>
      <c r="I3" s="4" t="s">
        <v>6555</v>
      </c>
      <c r="J3" s="4" t="str">
        <f>CONCATENATE("(",A3,",'",B3,"','",C3,"','",D3,"','",E3,"','",F3,"','",G3,"','",H3,"','",I3,"'),")</f>
        <v>(1,'GOOD','جيد','Good Quality','Bonne Qualité','البيانات ذات جودة عالية وموثوقة','Data is of high quality and reliable','Les données sont de haute qualité et fiables','LOW'),</v>
      </c>
    </row>
    <row r="4" spans="1:10" ht="20.100000000000001" customHeight="1" x14ac:dyDescent="0.25">
      <c r="A4" s="3">
        <v>2</v>
      </c>
      <c r="B4" s="3" t="s">
        <v>6556</v>
      </c>
      <c r="C4" s="4" t="s">
        <v>6560</v>
      </c>
      <c r="D4" s="4" t="s">
        <v>6561</v>
      </c>
      <c r="E4" s="4" t="s">
        <v>6562</v>
      </c>
      <c r="F4" s="4" t="s">
        <v>6557</v>
      </c>
      <c r="G4" s="4" t="s">
        <v>6558</v>
      </c>
      <c r="H4" s="4" t="s">
        <v>6559</v>
      </c>
      <c r="I4" s="4" t="s">
        <v>6563</v>
      </c>
      <c r="J4" s="4" t="str">
        <f t="shared" ref="J4:J9" si="0">CONCATENATE("(",A4,",'",B4,"','",C4,"','",D4,"','",E4,"','",F4,"','",G4,"','",H4,"','",I4,"'),")</f>
        <v>(2,'SENSOR_ERROR','خطأ في الحساس','Sensor Error','Erreur de Capteur','الحساس يظهر قراءات غير صحيحة','Sensor showing incorrect readings','Le capteur affiche des lectures incorrectes','HIGH'),</v>
      </c>
    </row>
    <row r="5" spans="1:10" ht="20.100000000000001" customHeight="1" x14ac:dyDescent="0.25">
      <c r="A5" s="3">
        <v>3</v>
      </c>
      <c r="B5" s="3" t="s">
        <v>6564</v>
      </c>
      <c r="C5" s="4" t="s">
        <v>6568</v>
      </c>
      <c r="D5" s="4" t="s">
        <v>6569</v>
      </c>
      <c r="E5" s="4" t="s">
        <v>6570</v>
      </c>
      <c r="F5" s="4" t="s">
        <v>6565</v>
      </c>
      <c r="G5" s="4" t="s">
        <v>6566</v>
      </c>
      <c r="H5" s="4" t="s">
        <v>6567</v>
      </c>
      <c r="I5" s="4" t="s">
        <v>6571</v>
      </c>
      <c r="J5" s="4" t="str">
        <f t="shared" si="0"/>
        <v>(3,'CALIBRATION_NEEDED','يحتاج معايرة','Calibration Needed','Étalonnage Requis','الجهاز يحتاج إلى معايرة','Device requires calibration','L'appareil nécessite un étalonnage','MEDIUM'),</v>
      </c>
    </row>
    <row r="6" spans="1:10" ht="20.100000000000001" customHeight="1" x14ac:dyDescent="0.25">
      <c r="A6" s="3">
        <v>4</v>
      </c>
      <c r="B6" s="3" t="s">
        <v>6572</v>
      </c>
      <c r="C6" s="4" t="s">
        <v>6576</v>
      </c>
      <c r="D6" s="4" t="s">
        <v>6577</v>
      </c>
      <c r="E6" s="4" t="s">
        <v>6578</v>
      </c>
      <c r="F6" s="4" t="s">
        <v>6573</v>
      </c>
      <c r="G6" s="4" t="s">
        <v>6574</v>
      </c>
      <c r="H6" s="4" t="s">
        <v>6575</v>
      </c>
      <c r="I6" s="4" t="s">
        <v>6563</v>
      </c>
      <c r="J6" s="4" t="str">
        <f t="shared" si="0"/>
        <v>(4,'OUT_OF_RANGE','خارج النطاق','Out of Range','Hors Plage','القراءة خارج النطاق المتوقع','Reading outside expected range','Lecture en dehors de la plage attendue','HIGH'),</v>
      </c>
    </row>
    <row r="7" spans="1:10" ht="20.100000000000001" customHeight="1" x14ac:dyDescent="0.25">
      <c r="A7" s="3">
        <v>5</v>
      </c>
      <c r="B7" s="3" t="s">
        <v>6579</v>
      </c>
      <c r="C7" s="4" t="s">
        <v>6583</v>
      </c>
      <c r="D7" s="4" t="s">
        <v>6584</v>
      </c>
      <c r="E7" s="4" t="s">
        <v>6585</v>
      </c>
      <c r="F7" s="4" t="s">
        <v>6580</v>
      </c>
      <c r="G7" s="4" t="s">
        <v>6581</v>
      </c>
      <c r="H7" s="4" t="s">
        <v>6582</v>
      </c>
      <c r="I7" s="4" t="s">
        <v>6571</v>
      </c>
      <c r="J7" s="4" t="str">
        <f t="shared" si="0"/>
        <v>(5,'SUSPICIOUS','قراءة مشبوهة','Suspicious Reading','Lecture Suspecte','القراءة تبدو غير طبيعية','Reading appears abnormal','La lecture semble anormale','MEDIUM'),</v>
      </c>
    </row>
    <row r="8" spans="1:10" ht="20.100000000000001" customHeight="1" x14ac:dyDescent="0.25">
      <c r="A8" s="3">
        <v>6</v>
      </c>
      <c r="B8" s="3" t="s">
        <v>6586</v>
      </c>
      <c r="C8" s="4" t="s">
        <v>6590</v>
      </c>
      <c r="D8" s="4" t="s">
        <v>6591</v>
      </c>
      <c r="E8" s="4" t="s">
        <v>6592</v>
      </c>
      <c r="F8" s="4" t="s">
        <v>6587</v>
      </c>
      <c r="G8" s="4" t="s">
        <v>6588</v>
      </c>
      <c r="H8" s="4" t="s">
        <v>6589</v>
      </c>
      <c r="I8" s="4" t="s">
        <v>6593</v>
      </c>
      <c r="J8" s="4" t="str">
        <f t="shared" si="0"/>
        <v>(6,'COMM_FAILURE','فشل الاتصال','Communication Failure','Échec de Communication','فقدان الاتصال مع الجهاز','Loss of communication with device','Perte de communication avec l'appareil','CRITICAL'),</v>
      </c>
    </row>
    <row r="9" spans="1:10" ht="20.100000000000001" customHeight="1" x14ac:dyDescent="0.25">
      <c r="A9" s="3">
        <v>7</v>
      </c>
      <c r="B9" s="3" t="s">
        <v>6594</v>
      </c>
      <c r="C9" s="4" t="s">
        <v>6598</v>
      </c>
      <c r="D9" s="4" t="s">
        <v>6599</v>
      </c>
      <c r="E9" s="4" t="s">
        <v>6600</v>
      </c>
      <c r="F9" s="4" t="s">
        <v>6595</v>
      </c>
      <c r="G9" s="4" t="s">
        <v>6596</v>
      </c>
      <c r="H9" s="4" t="s">
        <v>6597</v>
      </c>
      <c r="I9" s="4" t="s">
        <v>6571</v>
      </c>
      <c r="J9" s="4" t="str">
        <f t="shared" si="0"/>
        <v>(7,'DRIFT','انحراف مكتشف','Drift Detected','Dérive Détectée','انحراف في قيم القياس بمرور الوقت','Measurement values drifting over time','Valeurs de mesure dérivant dans le temps','MEDIUM'),</v>
      </c>
    </row>
  </sheetData>
  <autoFilter ref="A2:J9"/>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030A0"/>
  </sheetPr>
  <dimension ref="A1:I8"/>
  <sheetViews>
    <sheetView topLeftCell="E1" workbookViewId="0">
      <selection activeCell="I2" sqref="I2:I8"/>
    </sheetView>
  </sheetViews>
  <sheetFormatPr baseColWidth="10" defaultColWidth="10.85546875" defaultRowHeight="15.75" x14ac:dyDescent="0.25"/>
  <cols>
    <col min="1" max="1" width="5.5703125" style="2" customWidth="1"/>
    <col min="2" max="2" width="15.5703125" style="2" customWidth="1"/>
    <col min="3" max="8" width="20.5703125" style="2" customWidth="1"/>
    <col min="9" max="9" width="75.5703125" style="2" customWidth="1"/>
    <col min="10" max="16384" width="10.85546875" style="2"/>
  </cols>
  <sheetData>
    <row r="1" spans="1:9" ht="20.100000000000001" customHeight="1" x14ac:dyDescent="0.25">
      <c r="A1" s="1" t="s">
        <v>37</v>
      </c>
      <c r="B1" s="1" t="s">
        <v>54</v>
      </c>
      <c r="C1" s="1" t="s">
        <v>6460</v>
      </c>
      <c r="D1" s="1" t="s">
        <v>6459</v>
      </c>
      <c r="E1" s="1" t="s">
        <v>6461</v>
      </c>
      <c r="F1" s="1" t="s">
        <v>6544</v>
      </c>
      <c r="G1" s="1" t="s">
        <v>6545</v>
      </c>
      <c r="H1" s="1" t="s">
        <v>6546</v>
      </c>
      <c r="I1" s="1" t="s">
        <v>5597</v>
      </c>
    </row>
    <row r="2" spans="1:9" ht="20.100000000000001" customHeight="1" x14ac:dyDescent="0.25">
      <c r="A2" s="40" t="s">
        <v>44</v>
      </c>
      <c r="B2" s="40" t="s">
        <v>41</v>
      </c>
      <c r="C2" s="40" t="s">
        <v>42</v>
      </c>
      <c r="D2" s="40" t="s">
        <v>43</v>
      </c>
      <c r="E2" s="40" t="s">
        <v>53</v>
      </c>
      <c r="F2" s="40" t="s">
        <v>2094</v>
      </c>
      <c r="G2" s="40" t="s">
        <v>4077</v>
      </c>
      <c r="H2" s="40" t="s">
        <v>4349</v>
      </c>
      <c r="I2" s="1" t="s">
        <v>6644</v>
      </c>
    </row>
    <row r="3" spans="1:9" ht="20.100000000000001" customHeight="1" x14ac:dyDescent="0.25">
      <c r="A3" s="3">
        <v>1</v>
      </c>
      <c r="B3" s="3" t="s">
        <v>6602</v>
      </c>
      <c r="C3" s="4" t="s">
        <v>6606</v>
      </c>
      <c r="D3" s="4" t="s">
        <v>6607</v>
      </c>
      <c r="E3" s="4" t="s">
        <v>6608</v>
      </c>
      <c r="F3" s="4" t="s">
        <v>6603</v>
      </c>
      <c r="G3" s="4" t="s">
        <v>6604</v>
      </c>
      <c r="H3" s="4" t="s">
        <v>6605</v>
      </c>
      <c r="I3" s="4" t="str">
        <f>CONCATENATE("(",A3,",'",B3,"','",C3,"','",D3,"','",E3,"','",F3,"','",G3,"','",H3,"'),")</f>
        <v>(1,'PENDING','قيد الانتظار','Pending Validation','En Attente de Validation','البيانات في انتظار التحقق','Data awaiting validation','Données en attente de validation'),</v>
      </c>
    </row>
    <row r="4" spans="1:9" ht="20.100000000000001" customHeight="1" x14ac:dyDescent="0.25">
      <c r="A4" s="3">
        <v>2</v>
      </c>
      <c r="B4" s="3" t="s">
        <v>6609</v>
      </c>
      <c r="C4" s="4" t="s">
        <v>6613</v>
      </c>
      <c r="D4" s="4" t="s">
        <v>6614</v>
      </c>
      <c r="E4" s="4" t="s">
        <v>6615</v>
      </c>
      <c r="F4" s="4" t="s">
        <v>6610</v>
      </c>
      <c r="G4" s="4" t="s">
        <v>6611</v>
      </c>
      <c r="H4" s="4" t="s">
        <v>6612</v>
      </c>
      <c r="I4" s="4" t="str">
        <f t="shared" ref="I4:I8" si="0">CONCATENATE("(",A4,",'",B4,"','",C4,"','",D4,"','",E4,"','",F4,"','",G4,"','",H4,"'),")</f>
        <v>(2,'VALIDATED','تم التحقق','Validated','Validé','البيانات تم التحقق منها والموافقة عليها','Data has been verified and approved','Les données ont été vérifiées et approuvées'),</v>
      </c>
    </row>
    <row r="5" spans="1:9" ht="20.100000000000001" customHeight="1" x14ac:dyDescent="0.25">
      <c r="A5" s="3">
        <v>3</v>
      </c>
      <c r="B5" s="3" t="s">
        <v>6616</v>
      </c>
      <c r="C5" s="4" t="s">
        <v>6620</v>
      </c>
      <c r="D5" s="4" t="s">
        <v>6621</v>
      </c>
      <c r="E5" s="4" t="s">
        <v>6622</v>
      </c>
      <c r="F5" s="4" t="s">
        <v>6617</v>
      </c>
      <c r="G5" s="4" t="s">
        <v>6618</v>
      </c>
      <c r="H5" s="4" t="s">
        <v>6619</v>
      </c>
      <c r="I5" s="4" t="str">
        <f t="shared" si="0"/>
        <v>(3,'REJECTED','مرفوض','Rejected','Rejeté','البيانات تم رفضها بسبب مشاكل في الجودة','Data rejected due to quality issues','Données rejetées en raison de problèmes de qualité'),</v>
      </c>
    </row>
    <row r="6" spans="1:9" ht="20.100000000000001" customHeight="1" x14ac:dyDescent="0.25">
      <c r="A6" s="3">
        <v>4</v>
      </c>
      <c r="B6" s="3" t="s">
        <v>6623</v>
      </c>
      <c r="C6" s="4" t="s">
        <v>6627</v>
      </c>
      <c r="D6" s="4" t="s">
        <v>6628</v>
      </c>
      <c r="E6" s="4" t="s">
        <v>6629</v>
      </c>
      <c r="F6" s="4" t="s">
        <v>6624</v>
      </c>
      <c r="G6" s="4" t="s">
        <v>6625</v>
      </c>
      <c r="H6" s="4" t="s">
        <v>6626</v>
      </c>
      <c r="I6" s="4" t="str">
        <f t="shared" si="0"/>
        <v>(4,'REQUIRES_REVIEW','يتطلب مراجعة','Requires Review','Nécessite une Révision','البيانات تحتاج إلى مراجعة يدوية','Data requires manual review','Les données nécessitent une révision manuelle'),</v>
      </c>
    </row>
    <row r="7" spans="1:9" ht="20.100000000000001" customHeight="1" x14ac:dyDescent="0.25">
      <c r="A7" s="3">
        <v>5</v>
      </c>
      <c r="B7" s="3" t="s">
        <v>6630</v>
      </c>
      <c r="C7" s="4" t="s">
        <v>6634</v>
      </c>
      <c r="D7" s="4" t="s">
        <v>6635</v>
      </c>
      <c r="E7" s="4" t="s">
        <v>6636</v>
      </c>
      <c r="F7" s="4" t="s">
        <v>6631</v>
      </c>
      <c r="G7" s="4" t="s">
        <v>6632</v>
      </c>
      <c r="H7" s="4" t="s">
        <v>6633</v>
      </c>
      <c r="I7" s="4" t="str">
        <f t="shared" si="0"/>
        <v>(5,'AUTO_VALIDATED','تم التحقق تلقائياً','Auto-Validated','Validé Automatiquement','التحقق التلقائي من البيانات ناجح','Automatic validation successful','Validation automatique réussie'),</v>
      </c>
    </row>
    <row r="8" spans="1:9" ht="20.100000000000001" customHeight="1" x14ac:dyDescent="0.25">
      <c r="A8" s="3">
        <v>6</v>
      </c>
      <c r="B8" s="3" t="s">
        <v>6637</v>
      </c>
      <c r="C8" s="4" t="s">
        <v>6641</v>
      </c>
      <c r="D8" s="4" t="s">
        <v>6642</v>
      </c>
      <c r="E8" s="4" t="s">
        <v>6643</v>
      </c>
      <c r="F8" s="4" t="s">
        <v>6638</v>
      </c>
      <c r="G8" s="4" t="s">
        <v>6639</v>
      </c>
      <c r="H8" s="4" t="s">
        <v>6640</v>
      </c>
      <c r="I8" s="4" t="str">
        <f t="shared" si="0"/>
        <v>(6,'CORRECTED','تم التصحيح','Corrected','Corrigé','البيانات تم تصحيحها وإعادة التحقق منها','Data has been corrected and revalidated','Les données ont été corrigées et revalidées'),</v>
      </c>
    </row>
  </sheetData>
  <autoFilter ref="A2:I8"/>
  <pageMargins left="0.7" right="0.7" top="0.75" bottom="0.75" header="0.3" footer="0.3"/>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030A0"/>
  </sheetPr>
  <dimension ref="A1:H14"/>
  <sheetViews>
    <sheetView workbookViewId="0">
      <selection activeCell="H10" sqref="H10"/>
    </sheetView>
  </sheetViews>
  <sheetFormatPr baseColWidth="10" defaultColWidth="10.85546875" defaultRowHeight="15.75" x14ac:dyDescent="0.25"/>
  <cols>
    <col min="1" max="1" width="5.5703125" style="2" customWidth="1"/>
    <col min="2" max="2" width="17.7109375" style="2" bestFit="1" customWidth="1"/>
    <col min="3" max="4" width="17.7109375" style="2" customWidth="1"/>
    <col min="5" max="7" width="25.5703125" style="2" customWidth="1"/>
    <col min="8" max="8" width="74.5703125" style="2" bestFit="1" customWidth="1"/>
    <col min="9" max="16384" width="10.85546875" style="2"/>
  </cols>
  <sheetData>
    <row r="1" spans="1:8" ht="20.100000000000001" customHeight="1" x14ac:dyDescent="0.25">
      <c r="A1" s="1" t="s">
        <v>37</v>
      </c>
      <c r="B1" s="1" t="s">
        <v>54</v>
      </c>
      <c r="C1" s="1" t="s">
        <v>6317</v>
      </c>
      <c r="D1" s="1" t="s">
        <v>6318</v>
      </c>
      <c r="E1" s="1" t="s">
        <v>6460</v>
      </c>
      <c r="F1" s="1" t="s">
        <v>6459</v>
      </c>
      <c r="G1" s="1" t="s">
        <v>6461</v>
      </c>
      <c r="H1" s="1" t="s">
        <v>5597</v>
      </c>
    </row>
    <row r="2" spans="1:8" ht="20.100000000000001" customHeight="1" x14ac:dyDescent="0.25">
      <c r="A2" s="40" t="s">
        <v>44</v>
      </c>
      <c r="B2" s="40" t="s">
        <v>41</v>
      </c>
      <c r="C2" s="40" t="s">
        <v>42</v>
      </c>
      <c r="D2" s="40" t="s">
        <v>43</v>
      </c>
      <c r="E2" s="40" t="s">
        <v>53</v>
      </c>
      <c r="F2" s="40" t="s">
        <v>2094</v>
      </c>
      <c r="G2" s="40" t="s">
        <v>4077</v>
      </c>
      <c r="H2" s="1" t="s">
        <v>6367</v>
      </c>
    </row>
    <row r="3" spans="1:8" ht="20.100000000000001" customHeight="1" x14ac:dyDescent="0.25">
      <c r="A3" s="3">
        <v>1</v>
      </c>
      <c r="B3" s="18" t="s">
        <v>6357</v>
      </c>
      <c r="C3" s="41">
        <v>0.33333333333333331</v>
      </c>
      <c r="D3" s="41">
        <v>0.41666666666666669</v>
      </c>
      <c r="E3" s="4" t="s">
        <v>6320</v>
      </c>
      <c r="F3" s="4" t="s">
        <v>6319</v>
      </c>
      <c r="G3" s="4" t="s">
        <v>6321</v>
      </c>
      <c r="H3" s="4" t="str">
        <f>CONCATENATE("(",A3,",'",B3,"','",TEXT(C3,"HH:MM:SS"),"','",TEXT(D3,"HH:MM:SS"),"','",E3,"','",F3,"','",G3,"'),")</f>
        <v>(1,'SLOT_01','08:00:00','10:00:00','الصباح المبكر','Morning Early','Matinée tôt'),</v>
      </c>
    </row>
    <row r="4" spans="1:8" ht="20.100000000000001" customHeight="1" x14ac:dyDescent="0.25">
      <c r="A4" s="3">
        <v>2</v>
      </c>
      <c r="B4" s="17" t="s">
        <v>6358</v>
      </c>
      <c r="C4" s="41">
        <v>0.41666666666666669</v>
      </c>
      <c r="D4" s="41">
        <v>0.5</v>
      </c>
      <c r="E4" s="4" t="s">
        <v>6323</v>
      </c>
      <c r="F4" s="4" t="s">
        <v>6322</v>
      </c>
      <c r="G4" s="4" t="s">
        <v>6324</v>
      </c>
      <c r="H4" s="4" t="str">
        <f t="shared" ref="H4:H14" si="0">CONCATENATE("(",A4,",'",B4,"','",TEXT(C4,"HH:MM:SS"),"','",TEXT(D4,"HH:MM:SS"),"','",E4,"','",F4,"','",G4,"'),")</f>
        <v>(2,'SLOT_02','10:00:00','12:00:00','الصباح المتأخر','Late Morning','Fin de matinée'),</v>
      </c>
    </row>
    <row r="5" spans="1:8" ht="20.100000000000001" customHeight="1" x14ac:dyDescent="0.25">
      <c r="A5" s="3">
        <v>3</v>
      </c>
      <c r="B5" s="18" t="s">
        <v>6359</v>
      </c>
      <c r="C5" s="41">
        <v>0.5</v>
      </c>
      <c r="D5" s="41">
        <v>0.58333333333333337</v>
      </c>
      <c r="E5" s="4" t="s">
        <v>6326</v>
      </c>
      <c r="F5" s="4" t="s">
        <v>6325</v>
      </c>
      <c r="G5" s="4" t="s">
        <v>6327</v>
      </c>
      <c r="H5" s="4" t="str">
        <f t="shared" si="0"/>
        <v>(3,'SLOT_03','12:00:00','14:00:00','الظهيرة','Midday','Midi'),</v>
      </c>
    </row>
    <row r="6" spans="1:8" ht="20.100000000000001" customHeight="1" x14ac:dyDescent="0.25">
      <c r="A6" s="3">
        <v>4</v>
      </c>
      <c r="B6" s="17" t="s">
        <v>6360</v>
      </c>
      <c r="C6" s="41">
        <v>0.58333333333333337</v>
      </c>
      <c r="D6" s="41">
        <v>0.66666666666666663</v>
      </c>
      <c r="E6" s="4" t="s">
        <v>6366</v>
      </c>
      <c r="F6" s="4" t="s">
        <v>6328</v>
      </c>
      <c r="G6" s="4" t="s">
        <v>6329</v>
      </c>
      <c r="H6" s="4" t="str">
        <f t="shared" si="0"/>
        <v>(4,'SLOT_04','14:00:00','16:00:00','بعد الظهر','Early Afternoon','Début d'après-midi'),</v>
      </c>
    </row>
    <row r="7" spans="1:8" ht="20.100000000000001" customHeight="1" x14ac:dyDescent="0.25">
      <c r="A7" s="3">
        <v>5</v>
      </c>
      <c r="B7" s="18" t="s">
        <v>6361</v>
      </c>
      <c r="C7" s="41">
        <v>0.66666666666666663</v>
      </c>
      <c r="D7" s="41">
        <v>0.75</v>
      </c>
      <c r="E7" s="4" t="s">
        <v>6331</v>
      </c>
      <c r="F7" s="4" t="s">
        <v>6330</v>
      </c>
      <c r="G7" s="4" t="s">
        <v>6332</v>
      </c>
      <c r="H7" s="4" t="str">
        <f t="shared" si="0"/>
        <v>(5,'SLOT_05','16:00:00','18:00:00','بعد الظهر المتأخر','Late Afternoon','Fin d'après-midi'),</v>
      </c>
    </row>
    <row r="8" spans="1:8" ht="20.100000000000001" customHeight="1" x14ac:dyDescent="0.25">
      <c r="A8" s="3">
        <v>6</v>
      </c>
      <c r="B8" s="17" t="s">
        <v>6362</v>
      </c>
      <c r="C8" s="41">
        <v>0.75</v>
      </c>
      <c r="D8" s="41">
        <v>0.83333333333333337</v>
      </c>
      <c r="E8" s="4" t="s">
        <v>6334</v>
      </c>
      <c r="F8" s="4" t="s">
        <v>6333</v>
      </c>
      <c r="G8" s="4" t="s">
        <v>6335</v>
      </c>
      <c r="H8" s="4" t="str">
        <f t="shared" si="0"/>
        <v>(6,'SLOT_06','18:00:00','20:00:00','المساء','Evening','Soirée'),</v>
      </c>
    </row>
    <row r="9" spans="1:8" ht="20.100000000000001" customHeight="1" x14ac:dyDescent="0.25">
      <c r="A9" s="3">
        <v>7</v>
      </c>
      <c r="B9" s="18" t="s">
        <v>6363</v>
      </c>
      <c r="C9" s="41">
        <v>0.83333333333333337</v>
      </c>
      <c r="D9" s="41">
        <v>0.91666666666666663</v>
      </c>
      <c r="E9" s="4" t="s">
        <v>6337</v>
      </c>
      <c r="F9" s="4" t="s">
        <v>6336</v>
      </c>
      <c r="G9" s="4" t="s">
        <v>6338</v>
      </c>
      <c r="H9" s="4" t="str">
        <f t="shared" si="0"/>
        <v>(7,'SLOT_07','20:00:00','22:00:00','المساء المتأخر','Late Evening','Fin de soirée'),</v>
      </c>
    </row>
    <row r="10" spans="1:8" ht="20.100000000000001" customHeight="1" x14ac:dyDescent="0.25">
      <c r="A10" s="3">
        <v>8</v>
      </c>
      <c r="B10" s="17" t="s">
        <v>6364</v>
      </c>
      <c r="C10" s="41">
        <v>0.91666666666666663</v>
      </c>
      <c r="D10" s="41">
        <v>0</v>
      </c>
      <c r="E10" s="4" t="s">
        <v>6340</v>
      </c>
      <c r="F10" s="4" t="s">
        <v>6339</v>
      </c>
      <c r="G10" s="4" t="s">
        <v>6341</v>
      </c>
      <c r="H10" s="4" t="str">
        <f t="shared" si="0"/>
        <v>(8,'SLOT_08','22:00:00','00:00:00','الليل','Night','Nuit'),</v>
      </c>
    </row>
    <row r="11" spans="1:8" ht="20.100000000000001" customHeight="1" x14ac:dyDescent="0.25">
      <c r="A11" s="3">
        <v>9</v>
      </c>
      <c r="B11" s="18" t="s">
        <v>6365</v>
      </c>
      <c r="C11" s="41">
        <v>0</v>
      </c>
      <c r="D11" s="41">
        <v>8.3333333333333329E-2</v>
      </c>
      <c r="E11" s="4" t="s">
        <v>6343</v>
      </c>
      <c r="F11" s="4" t="s">
        <v>6342</v>
      </c>
      <c r="G11" s="4" t="s">
        <v>6344</v>
      </c>
      <c r="H11" s="4" t="str">
        <f t="shared" si="0"/>
        <v>(9,'SLOT_09','00:00:00','02:00:00','منتصف الليل','Midnight','Minuit'),</v>
      </c>
    </row>
    <row r="12" spans="1:8" ht="20.100000000000001" customHeight="1" x14ac:dyDescent="0.25">
      <c r="A12" s="3">
        <v>10</v>
      </c>
      <c r="B12" s="17" t="s">
        <v>6345</v>
      </c>
      <c r="C12" s="41">
        <v>8.3333333333333329E-2</v>
      </c>
      <c r="D12" s="41">
        <v>0.16666666666666666</v>
      </c>
      <c r="E12" s="4" t="s">
        <v>6347</v>
      </c>
      <c r="F12" s="4" t="s">
        <v>6346</v>
      </c>
      <c r="G12" s="4" t="s">
        <v>6348</v>
      </c>
      <c r="H12" s="4" t="str">
        <f t="shared" si="0"/>
        <v>(10,'SLOT_10','02:00:00','04:00:00','الليل المتأخر','Late Night','Fin de nuit'),</v>
      </c>
    </row>
    <row r="13" spans="1:8" ht="20.100000000000001" customHeight="1" x14ac:dyDescent="0.25">
      <c r="A13" s="3">
        <v>11</v>
      </c>
      <c r="B13" s="18" t="s">
        <v>6349</v>
      </c>
      <c r="C13" s="41">
        <v>0.16666666666666666</v>
      </c>
      <c r="D13" s="41">
        <v>0.25</v>
      </c>
      <c r="E13" s="4" t="s">
        <v>6351</v>
      </c>
      <c r="F13" s="4" t="s">
        <v>6350</v>
      </c>
      <c r="G13" s="4" t="s">
        <v>6352</v>
      </c>
      <c r="H13" s="4" t="str">
        <f t="shared" si="0"/>
        <v>(11,'SLOT_11','04:00:00','06:00:00','الفجر المبكر','Early Dawn','Aube'),</v>
      </c>
    </row>
    <row r="14" spans="1:8" ht="20.100000000000001" customHeight="1" x14ac:dyDescent="0.25">
      <c r="A14" s="3">
        <v>12</v>
      </c>
      <c r="B14" s="17" t="s">
        <v>6353</v>
      </c>
      <c r="C14" s="41">
        <v>0.25</v>
      </c>
      <c r="D14" s="41">
        <v>0.33333333333333331</v>
      </c>
      <c r="E14" s="4" t="s">
        <v>6355</v>
      </c>
      <c r="F14" s="4" t="s">
        <v>6354</v>
      </c>
      <c r="G14" s="4" t="s">
        <v>6356</v>
      </c>
      <c r="H14" s="4" t="str">
        <f t="shared" si="0"/>
        <v>(12,'SLOT_12','06:00:00','08:00:00','الفجر','Dawn','Petit matin'),</v>
      </c>
    </row>
  </sheetData>
  <autoFilter ref="A2:G14"/>
  <phoneticPr fontId="2" type="noConversion"/>
  <pageMargins left="0.7" right="0.7" top="0.75" bottom="0.75" header="0.3" footer="0.3"/>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34"/>
  <sheetViews>
    <sheetView workbookViewId="0">
      <selection activeCell="G2" sqref="G2:G19"/>
    </sheetView>
  </sheetViews>
  <sheetFormatPr baseColWidth="10" defaultRowHeight="15" x14ac:dyDescent="0.25"/>
  <cols>
    <col min="1" max="1" width="29.5703125" bestFit="1" customWidth="1"/>
    <col min="2" max="2" width="29.42578125" bestFit="1" customWidth="1"/>
    <col min="3" max="3" width="16.5703125" bestFit="1" customWidth="1"/>
  </cols>
  <sheetData>
    <row r="1" spans="1:8" x14ac:dyDescent="0.25">
      <c r="A1" t="s">
        <v>4572</v>
      </c>
      <c r="B1" t="s">
        <v>4083</v>
      </c>
      <c r="C1" t="s">
        <v>4798</v>
      </c>
      <c r="D1" t="s">
        <v>4079</v>
      </c>
      <c r="E1" t="s">
        <v>4080</v>
      </c>
      <c r="F1" t="s">
        <v>4078</v>
      </c>
      <c r="G1" t="s">
        <v>4846</v>
      </c>
      <c r="H1" t="s">
        <v>4847</v>
      </c>
    </row>
    <row r="2" spans="1:8" x14ac:dyDescent="0.25">
      <c r="A2" t="s">
        <v>4722</v>
      </c>
      <c r="B2" t="s">
        <v>4726</v>
      </c>
      <c r="C2" t="s">
        <v>1030</v>
      </c>
      <c r="D2">
        <v>31.7</v>
      </c>
      <c r="E2">
        <v>5.85</v>
      </c>
      <c r="F2" t="s">
        <v>4723</v>
      </c>
      <c r="G2">
        <v>1978</v>
      </c>
      <c r="H2" t="s">
        <v>4724</v>
      </c>
    </row>
    <row r="3" spans="1:8" x14ac:dyDescent="0.25">
      <c r="A3" t="s">
        <v>4725</v>
      </c>
      <c r="B3" t="s">
        <v>4726</v>
      </c>
      <c r="C3" t="s">
        <v>1036</v>
      </c>
      <c r="D3">
        <v>28.05</v>
      </c>
      <c r="E3">
        <v>9.6329999999999991</v>
      </c>
      <c r="F3" t="s">
        <v>4727</v>
      </c>
      <c r="G3">
        <v>1968</v>
      </c>
      <c r="H3" t="s">
        <v>4728</v>
      </c>
    </row>
    <row r="4" spans="1:8" x14ac:dyDescent="0.25">
      <c r="A4" t="s">
        <v>4729</v>
      </c>
      <c r="B4" t="s">
        <v>4726</v>
      </c>
      <c r="C4" t="s">
        <v>4730</v>
      </c>
      <c r="D4">
        <v>26.417999999999999</v>
      </c>
      <c r="E4">
        <v>9.08</v>
      </c>
      <c r="F4" t="s">
        <v>4731</v>
      </c>
      <c r="G4">
        <v>2006</v>
      </c>
      <c r="H4" t="s">
        <v>4732</v>
      </c>
    </row>
    <row r="5" spans="1:8" x14ac:dyDescent="0.25">
      <c r="A5" t="s">
        <v>4744</v>
      </c>
      <c r="B5" t="s">
        <v>4745</v>
      </c>
      <c r="C5" t="s">
        <v>4746</v>
      </c>
      <c r="D5">
        <v>31.917999999999999</v>
      </c>
      <c r="E5">
        <v>3.3530000000000002</v>
      </c>
      <c r="F5" t="s">
        <v>4747</v>
      </c>
      <c r="G5">
        <v>1961</v>
      </c>
      <c r="H5" t="s">
        <v>4748</v>
      </c>
    </row>
    <row r="6" spans="1:8" x14ac:dyDescent="0.25">
      <c r="A6" t="s">
        <v>4834</v>
      </c>
      <c r="B6" t="s">
        <v>4745</v>
      </c>
      <c r="C6" t="s">
        <v>1036</v>
      </c>
      <c r="D6">
        <v>28.68</v>
      </c>
      <c r="E6">
        <v>8.8729999999999993</v>
      </c>
      <c r="F6" t="s">
        <v>4759</v>
      </c>
      <c r="G6">
        <v>2000</v>
      </c>
      <c r="H6" t="s">
        <v>4760</v>
      </c>
    </row>
    <row r="7" spans="1:8" x14ac:dyDescent="0.25">
      <c r="A7" t="s">
        <v>4761</v>
      </c>
      <c r="B7" t="s">
        <v>4745</v>
      </c>
      <c r="C7" t="s">
        <v>1036</v>
      </c>
      <c r="D7">
        <v>27.5</v>
      </c>
      <c r="E7">
        <v>10.199999999999999</v>
      </c>
      <c r="F7" t="s">
        <v>4762</v>
      </c>
      <c r="G7">
        <v>2015</v>
      </c>
      <c r="H7" t="s">
        <v>4743</v>
      </c>
    </row>
    <row r="8" spans="1:8" x14ac:dyDescent="0.25">
      <c r="A8" t="s">
        <v>4763</v>
      </c>
      <c r="B8" t="s">
        <v>4745</v>
      </c>
      <c r="C8" t="s">
        <v>1036</v>
      </c>
      <c r="D8">
        <v>27.2</v>
      </c>
      <c r="E8">
        <v>10.5</v>
      </c>
      <c r="F8" t="s">
        <v>4764</v>
      </c>
      <c r="G8">
        <v>2022</v>
      </c>
      <c r="H8" t="s">
        <v>4765</v>
      </c>
    </row>
    <row r="9" spans="1:8" x14ac:dyDescent="0.25">
      <c r="A9" t="s">
        <v>4835</v>
      </c>
      <c r="B9" t="s">
        <v>4745</v>
      </c>
      <c r="C9" t="s">
        <v>973</v>
      </c>
      <c r="D9">
        <v>26.8</v>
      </c>
      <c r="E9">
        <v>-2.8</v>
      </c>
      <c r="F9" t="s">
        <v>4836</v>
      </c>
      <c r="G9">
        <v>2023</v>
      </c>
      <c r="H9" t="s">
        <v>4837</v>
      </c>
    </row>
    <row r="10" spans="1:8" x14ac:dyDescent="0.25">
      <c r="A10" t="s">
        <v>4771</v>
      </c>
      <c r="B10" t="s">
        <v>4817</v>
      </c>
      <c r="C10" t="s">
        <v>1036</v>
      </c>
      <c r="D10">
        <v>28.68</v>
      </c>
      <c r="E10">
        <v>8.8729999999999993</v>
      </c>
      <c r="F10" t="s">
        <v>4841</v>
      </c>
      <c r="G10">
        <v>2002</v>
      </c>
      <c r="H10" t="s">
        <v>4760</v>
      </c>
    </row>
    <row r="11" spans="1:8" x14ac:dyDescent="0.25">
      <c r="A11" t="s">
        <v>4772</v>
      </c>
      <c r="B11" t="s">
        <v>4817</v>
      </c>
      <c r="C11" t="s">
        <v>1036</v>
      </c>
      <c r="D11">
        <v>27.5</v>
      </c>
      <c r="E11">
        <v>10.199999999999999</v>
      </c>
      <c r="F11" t="s">
        <v>4842</v>
      </c>
      <c r="G11">
        <v>2015</v>
      </c>
      <c r="H11" t="s">
        <v>4743</v>
      </c>
    </row>
    <row r="12" spans="1:8" x14ac:dyDescent="0.25">
      <c r="A12" t="s">
        <v>4773</v>
      </c>
      <c r="B12" t="s">
        <v>4817</v>
      </c>
      <c r="C12" t="s">
        <v>1036</v>
      </c>
      <c r="D12">
        <v>27.2</v>
      </c>
      <c r="E12">
        <v>10.5</v>
      </c>
      <c r="F12" t="s">
        <v>4842</v>
      </c>
      <c r="G12">
        <v>2022</v>
      </c>
      <c r="H12" t="s">
        <v>4765</v>
      </c>
    </row>
    <row r="13" spans="1:8" x14ac:dyDescent="0.25">
      <c r="A13" t="s">
        <v>4774</v>
      </c>
      <c r="B13" t="s">
        <v>4817</v>
      </c>
      <c r="C13" t="s">
        <v>4730</v>
      </c>
      <c r="D13">
        <v>26.417999999999999</v>
      </c>
      <c r="E13">
        <v>9.08</v>
      </c>
      <c r="F13" t="s">
        <v>4843</v>
      </c>
      <c r="G13">
        <v>2008</v>
      </c>
      <c r="H13" t="s">
        <v>4732</v>
      </c>
    </row>
    <row r="14" spans="1:8" x14ac:dyDescent="0.25">
      <c r="A14" t="s">
        <v>4775</v>
      </c>
      <c r="B14" t="s">
        <v>4817</v>
      </c>
      <c r="C14" t="s">
        <v>1036</v>
      </c>
      <c r="D14">
        <v>28.05</v>
      </c>
      <c r="E14">
        <v>9.6329999999999991</v>
      </c>
      <c r="F14" t="s">
        <v>4776</v>
      </c>
      <c r="G14">
        <v>1968</v>
      </c>
      <c r="H14" t="s">
        <v>4777</v>
      </c>
    </row>
    <row r="15" spans="1:8" x14ac:dyDescent="0.25">
      <c r="A15" t="s">
        <v>4778</v>
      </c>
      <c r="B15" t="s">
        <v>4784</v>
      </c>
      <c r="C15" t="s">
        <v>4746</v>
      </c>
      <c r="D15">
        <v>31.917999999999999</v>
      </c>
      <c r="E15">
        <v>3.3530000000000002</v>
      </c>
      <c r="F15" t="s">
        <v>4844</v>
      </c>
      <c r="G15">
        <v>1974</v>
      </c>
      <c r="H15" t="s">
        <v>4780</v>
      </c>
    </row>
    <row r="16" spans="1:8" x14ac:dyDescent="0.25">
      <c r="A16" t="s">
        <v>4783</v>
      </c>
      <c r="B16" t="s">
        <v>4784</v>
      </c>
      <c r="C16" t="s">
        <v>4746</v>
      </c>
      <c r="D16">
        <v>31.917999999999999</v>
      </c>
      <c r="E16">
        <v>3.3530000000000002</v>
      </c>
      <c r="F16" t="s">
        <v>4785</v>
      </c>
      <c r="G16">
        <v>1974</v>
      </c>
      <c r="H16" t="s">
        <v>4780</v>
      </c>
    </row>
    <row r="17" spans="1:8" x14ac:dyDescent="0.25">
      <c r="A17" t="s">
        <v>4786</v>
      </c>
      <c r="B17" t="s">
        <v>4784</v>
      </c>
      <c r="C17" t="s">
        <v>4746</v>
      </c>
      <c r="D17">
        <v>31.917999999999999</v>
      </c>
      <c r="E17">
        <v>3.3530000000000002</v>
      </c>
      <c r="F17" t="s">
        <v>4788</v>
      </c>
      <c r="G17" t="s">
        <v>4789</v>
      </c>
      <c r="H17" t="s">
        <v>4790</v>
      </c>
    </row>
    <row r="18" spans="1:8" x14ac:dyDescent="0.25">
      <c r="A18" t="s">
        <v>4791</v>
      </c>
      <c r="B18" t="s">
        <v>4784</v>
      </c>
      <c r="C18" t="s">
        <v>1036</v>
      </c>
      <c r="D18">
        <v>27.5</v>
      </c>
      <c r="E18">
        <v>10.199999999999999</v>
      </c>
      <c r="F18" t="s">
        <v>4845</v>
      </c>
      <c r="G18">
        <v>2015</v>
      </c>
      <c r="H18" t="s">
        <v>4793</v>
      </c>
    </row>
    <row r="19" spans="1:8" x14ac:dyDescent="0.25">
      <c r="A19" t="s">
        <v>4794</v>
      </c>
      <c r="B19" t="s">
        <v>4784</v>
      </c>
      <c r="C19" t="s">
        <v>1036</v>
      </c>
      <c r="D19">
        <v>27.2</v>
      </c>
      <c r="E19">
        <v>10.5</v>
      </c>
      <c r="F19" t="s">
        <v>4845</v>
      </c>
      <c r="G19">
        <v>2022</v>
      </c>
      <c r="H19" t="s">
        <v>4765</v>
      </c>
    </row>
    <row r="20" spans="1:8" x14ac:dyDescent="0.25">
      <c r="A20" t="s">
        <v>4781</v>
      </c>
      <c r="B20" s="19" t="s">
        <v>4784</v>
      </c>
      <c r="C20" t="s">
        <v>1824</v>
      </c>
      <c r="D20">
        <v>35.450000000000003</v>
      </c>
      <c r="E20">
        <v>-0.27</v>
      </c>
      <c r="F20" t="s">
        <v>4845</v>
      </c>
      <c r="G20">
        <v>1975</v>
      </c>
      <c r="H20" t="s">
        <v>4782</v>
      </c>
    </row>
    <row r="21" spans="1:8" x14ac:dyDescent="0.25">
      <c r="A21" t="s">
        <v>4733</v>
      </c>
      <c r="B21" s="21" t="s">
        <v>4734</v>
      </c>
      <c r="C21" t="s">
        <v>4735</v>
      </c>
      <c r="D21">
        <v>26.5</v>
      </c>
      <c r="E21">
        <v>8.8000000000000007</v>
      </c>
      <c r="F21" t="s">
        <v>4736</v>
      </c>
      <c r="G21">
        <v>2010</v>
      </c>
      <c r="H21" t="s">
        <v>4732</v>
      </c>
    </row>
    <row r="22" spans="1:8" x14ac:dyDescent="0.25">
      <c r="A22" t="s">
        <v>4712</v>
      </c>
      <c r="B22" s="19" t="s">
        <v>4805</v>
      </c>
      <c r="C22" t="s">
        <v>1030</v>
      </c>
      <c r="D22">
        <v>31.68</v>
      </c>
      <c r="E22">
        <v>6.0730000000000004</v>
      </c>
      <c r="F22" t="s">
        <v>4713</v>
      </c>
      <c r="G22" t="s">
        <v>4714</v>
      </c>
      <c r="H22" t="s">
        <v>4714</v>
      </c>
    </row>
    <row r="23" spans="1:8" x14ac:dyDescent="0.25">
      <c r="A23" t="s">
        <v>4715</v>
      </c>
      <c r="B23" s="19" t="s">
        <v>4716</v>
      </c>
      <c r="C23" t="s">
        <v>1030</v>
      </c>
      <c r="D23">
        <v>30.8</v>
      </c>
      <c r="E23">
        <v>5.5</v>
      </c>
      <c r="F23" t="s">
        <v>4717</v>
      </c>
      <c r="G23" t="s">
        <v>4718</v>
      </c>
      <c r="H23" t="s">
        <v>4718</v>
      </c>
    </row>
    <row r="24" spans="1:8" x14ac:dyDescent="0.25">
      <c r="A24" t="s">
        <v>4719</v>
      </c>
      <c r="B24" s="19" t="s">
        <v>4716</v>
      </c>
      <c r="C24" t="s">
        <v>1812</v>
      </c>
      <c r="D24">
        <v>31.129000000000001</v>
      </c>
      <c r="E24">
        <v>8.109</v>
      </c>
      <c r="F24" t="s">
        <v>4720</v>
      </c>
      <c r="G24" t="s">
        <v>4721</v>
      </c>
      <c r="H24" t="s">
        <v>4721</v>
      </c>
    </row>
    <row r="25" spans="1:8" x14ac:dyDescent="0.25">
      <c r="A25" t="s">
        <v>4737</v>
      </c>
      <c r="B25" s="19" t="s">
        <v>4738</v>
      </c>
      <c r="C25" t="s">
        <v>1030</v>
      </c>
      <c r="D25">
        <v>31.888999999999999</v>
      </c>
      <c r="E25">
        <v>5.9729999999999999</v>
      </c>
      <c r="F25" t="s">
        <v>4739</v>
      </c>
      <c r="G25">
        <v>1970</v>
      </c>
      <c r="H25" t="s">
        <v>4740</v>
      </c>
    </row>
    <row r="26" spans="1:8" x14ac:dyDescent="0.25">
      <c r="A26" t="s">
        <v>4741</v>
      </c>
      <c r="B26" s="19" t="s">
        <v>4716</v>
      </c>
      <c r="C26" t="s">
        <v>1036</v>
      </c>
      <c r="D26">
        <v>27.5</v>
      </c>
      <c r="E26">
        <v>10.199999999999999</v>
      </c>
      <c r="F26" t="s">
        <v>4742</v>
      </c>
      <c r="G26">
        <v>2015</v>
      </c>
      <c r="H26" t="s">
        <v>4743</v>
      </c>
    </row>
    <row r="27" spans="1:8" x14ac:dyDescent="0.25">
      <c r="A27" t="s">
        <v>4749</v>
      </c>
      <c r="B27" s="19" t="s">
        <v>4756</v>
      </c>
      <c r="C27" t="s">
        <v>4746</v>
      </c>
      <c r="D27">
        <v>32.049999999999997</v>
      </c>
      <c r="E27">
        <v>3.4</v>
      </c>
      <c r="F27" t="s">
        <v>4750</v>
      </c>
      <c r="G27">
        <v>1985</v>
      </c>
      <c r="H27" t="s">
        <v>4751</v>
      </c>
    </row>
    <row r="28" spans="1:8" x14ac:dyDescent="0.25">
      <c r="A28" t="s">
        <v>4752</v>
      </c>
      <c r="B28" s="19" t="s">
        <v>4756</v>
      </c>
      <c r="C28" t="s">
        <v>4746</v>
      </c>
      <c r="D28">
        <v>31.75</v>
      </c>
      <c r="E28">
        <v>3.3</v>
      </c>
      <c r="F28" t="s">
        <v>4753</v>
      </c>
      <c r="G28">
        <v>1980</v>
      </c>
      <c r="H28" t="s">
        <v>4754</v>
      </c>
    </row>
    <row r="29" spans="1:8" x14ac:dyDescent="0.25">
      <c r="A29" t="s">
        <v>4755</v>
      </c>
      <c r="B29" s="19" t="s">
        <v>4756</v>
      </c>
      <c r="C29" t="s">
        <v>4746</v>
      </c>
      <c r="D29">
        <v>31.917999999999999</v>
      </c>
      <c r="E29">
        <v>3.3530000000000002</v>
      </c>
      <c r="F29" t="s">
        <v>4747</v>
      </c>
      <c r="G29">
        <v>2018</v>
      </c>
      <c r="H29" t="s">
        <v>4831</v>
      </c>
    </row>
    <row r="30" spans="1:8" x14ac:dyDescent="0.25">
      <c r="A30" t="s">
        <v>4757</v>
      </c>
      <c r="B30" s="19" t="s">
        <v>4756</v>
      </c>
      <c r="C30" t="s">
        <v>4746</v>
      </c>
      <c r="D30">
        <v>32.049999999999997</v>
      </c>
      <c r="E30">
        <v>3.4</v>
      </c>
      <c r="F30" t="s">
        <v>4750</v>
      </c>
      <c r="G30">
        <v>2018</v>
      </c>
      <c r="H30" t="s">
        <v>4832</v>
      </c>
    </row>
    <row r="31" spans="1:8" x14ac:dyDescent="0.25">
      <c r="A31" t="s">
        <v>4758</v>
      </c>
      <c r="B31" s="19" t="s">
        <v>4756</v>
      </c>
      <c r="C31" t="s">
        <v>4746</v>
      </c>
      <c r="D31">
        <v>31.75</v>
      </c>
      <c r="E31">
        <v>3.3</v>
      </c>
      <c r="F31" t="s">
        <v>4753</v>
      </c>
      <c r="G31">
        <v>2018</v>
      </c>
      <c r="H31" t="s">
        <v>4833</v>
      </c>
    </row>
    <row r="32" spans="1:8" x14ac:dyDescent="0.25">
      <c r="A32" t="s">
        <v>4766</v>
      </c>
      <c r="B32" s="19" t="s">
        <v>4756</v>
      </c>
      <c r="C32" t="s">
        <v>4768</v>
      </c>
      <c r="D32">
        <v>31.95</v>
      </c>
      <c r="E32">
        <v>3.5</v>
      </c>
      <c r="F32" t="s">
        <v>4769</v>
      </c>
      <c r="G32">
        <v>2012</v>
      </c>
      <c r="H32" t="s">
        <v>4770</v>
      </c>
    </row>
    <row r="33" spans="1:8" x14ac:dyDescent="0.25">
      <c r="A33" t="s">
        <v>4838</v>
      </c>
      <c r="B33" s="19" t="s">
        <v>4756</v>
      </c>
      <c r="C33" t="s">
        <v>1036</v>
      </c>
      <c r="D33">
        <v>27.8</v>
      </c>
      <c r="E33">
        <v>10.1</v>
      </c>
      <c r="F33" t="s">
        <v>4839</v>
      </c>
      <c r="G33">
        <v>2024</v>
      </c>
      <c r="H33" t="s">
        <v>4840</v>
      </c>
    </row>
    <row r="34" spans="1:8" x14ac:dyDescent="0.25">
      <c r="A34" t="s">
        <v>4795</v>
      </c>
      <c r="B34" s="20" t="s">
        <v>4814</v>
      </c>
      <c r="C34" t="s">
        <v>1030</v>
      </c>
      <c r="D34">
        <v>32.200000000000003</v>
      </c>
      <c r="E34">
        <v>4.5</v>
      </c>
      <c r="F34" t="s">
        <v>4796</v>
      </c>
      <c r="G34">
        <v>1980</v>
      </c>
      <c r="H34" t="s">
        <v>4797</v>
      </c>
    </row>
  </sheetData>
  <autoFilter ref="A1:H34">
    <sortState ref="A2:H34">
      <sortCondition sortBy="cellColor" ref="B1:B34" dxfId="0"/>
    </sortState>
  </autoFilter>
  <pageMargins left="0.7" right="0.7" top="0.75" bottom="0.75" header="0.3" footer="0.3"/>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66"/>
  <sheetViews>
    <sheetView topLeftCell="A19" workbookViewId="0">
      <selection activeCell="C41" sqref="C41"/>
    </sheetView>
  </sheetViews>
  <sheetFormatPr baseColWidth="10" defaultRowHeight="15" x14ac:dyDescent="0.25"/>
  <cols>
    <col min="1" max="1" width="13.42578125" bestFit="1" customWidth="1"/>
    <col min="2" max="2" width="42.7109375" bestFit="1" customWidth="1"/>
    <col min="3" max="3" width="42.42578125" bestFit="1" customWidth="1"/>
    <col min="4" max="4" width="16.42578125" bestFit="1" customWidth="1"/>
    <col min="5" max="5" width="15.42578125" bestFit="1" customWidth="1"/>
    <col min="6" max="6" width="10.42578125" bestFit="1" customWidth="1"/>
    <col min="7" max="7" width="23.140625" bestFit="1" customWidth="1"/>
    <col min="8" max="8" width="19.28515625" bestFit="1" customWidth="1"/>
    <col min="9" max="9" width="40.42578125" bestFit="1" customWidth="1"/>
  </cols>
  <sheetData>
    <row r="1" spans="1:9" x14ac:dyDescent="0.25">
      <c r="A1" t="s">
        <v>5261</v>
      </c>
      <c r="B1" t="s">
        <v>5262</v>
      </c>
      <c r="C1" t="s">
        <v>5263</v>
      </c>
      <c r="D1" t="s">
        <v>5264</v>
      </c>
      <c r="E1" t="s">
        <v>5265</v>
      </c>
      <c r="F1" t="s">
        <v>4083</v>
      </c>
      <c r="G1" t="s">
        <v>5266</v>
      </c>
      <c r="H1" t="s">
        <v>5267</v>
      </c>
      <c r="I1" t="s">
        <v>5268</v>
      </c>
    </row>
    <row r="2" spans="1:9" x14ac:dyDescent="0.25">
      <c r="A2" t="s">
        <v>5269</v>
      </c>
      <c r="B2" t="s">
        <v>5270</v>
      </c>
      <c r="C2" t="s">
        <v>5271</v>
      </c>
      <c r="D2" t="s">
        <v>1812</v>
      </c>
      <c r="E2" t="s">
        <v>1080</v>
      </c>
      <c r="F2" t="s">
        <v>5272</v>
      </c>
      <c r="G2" s="23">
        <v>20790</v>
      </c>
      <c r="H2" s="23">
        <v>20894</v>
      </c>
      <c r="I2" t="s">
        <v>5273</v>
      </c>
    </row>
    <row r="3" spans="1:9" x14ac:dyDescent="0.25">
      <c r="A3" t="s">
        <v>5274</v>
      </c>
      <c r="B3" t="s">
        <v>5275</v>
      </c>
      <c r="C3" t="s">
        <v>5276</v>
      </c>
      <c r="D3" t="s">
        <v>5277</v>
      </c>
      <c r="E3" t="s">
        <v>983</v>
      </c>
      <c r="F3" t="s">
        <v>5272</v>
      </c>
      <c r="G3" s="24">
        <v>21064</v>
      </c>
      <c r="H3" s="24">
        <v>21889</v>
      </c>
      <c r="I3" t="s">
        <v>5278</v>
      </c>
    </row>
    <row r="4" spans="1:9" x14ac:dyDescent="0.25">
      <c r="A4" t="s">
        <v>5279</v>
      </c>
      <c r="B4" t="s">
        <v>5280</v>
      </c>
      <c r="C4" t="s">
        <v>5281</v>
      </c>
      <c r="D4" t="s">
        <v>1848</v>
      </c>
      <c r="E4" t="s">
        <v>5282</v>
      </c>
      <c r="F4" t="s">
        <v>5272</v>
      </c>
      <c r="G4" s="24">
        <v>21337</v>
      </c>
      <c r="H4" s="24">
        <v>21930</v>
      </c>
      <c r="I4" t="s">
        <v>5283</v>
      </c>
    </row>
    <row r="5" spans="1:9" x14ac:dyDescent="0.25">
      <c r="A5" t="s">
        <v>5284</v>
      </c>
      <c r="B5" t="s">
        <v>5285</v>
      </c>
      <c r="C5" t="s">
        <v>5286</v>
      </c>
      <c r="D5" t="s">
        <v>4746</v>
      </c>
      <c r="E5" t="s">
        <v>1824</v>
      </c>
      <c r="F5" t="s">
        <v>5287</v>
      </c>
      <c r="G5" s="24">
        <v>21976</v>
      </c>
      <c r="H5" s="24">
        <v>22372</v>
      </c>
      <c r="I5" t="s">
        <v>5288</v>
      </c>
    </row>
    <row r="6" spans="1:9" x14ac:dyDescent="0.25">
      <c r="A6" t="s">
        <v>5289</v>
      </c>
      <c r="B6" t="s">
        <v>5290</v>
      </c>
      <c r="C6" t="s">
        <v>5291</v>
      </c>
      <c r="D6" t="s">
        <v>1824</v>
      </c>
      <c r="E6" t="s">
        <v>5292</v>
      </c>
      <c r="F6" t="s">
        <v>5293</v>
      </c>
      <c r="G6" s="24">
        <v>22903</v>
      </c>
      <c r="H6" s="24">
        <v>23652</v>
      </c>
      <c r="I6" t="s">
        <v>5294</v>
      </c>
    </row>
    <row r="7" spans="1:9" x14ac:dyDescent="0.25">
      <c r="A7" t="s">
        <v>5295</v>
      </c>
      <c r="B7" t="s">
        <v>5296</v>
      </c>
      <c r="C7" t="s">
        <v>5297</v>
      </c>
      <c r="D7" t="s">
        <v>1012</v>
      </c>
      <c r="E7" t="s">
        <v>5292</v>
      </c>
      <c r="F7" t="s">
        <v>5293</v>
      </c>
      <c r="G7" s="24">
        <v>24473</v>
      </c>
      <c r="H7" s="24">
        <v>26495</v>
      </c>
      <c r="I7" t="s">
        <v>5298</v>
      </c>
    </row>
    <row r="8" spans="1:9" x14ac:dyDescent="0.25">
      <c r="A8" t="s">
        <v>5299</v>
      </c>
      <c r="B8" t="s">
        <v>5300</v>
      </c>
      <c r="C8" t="s">
        <v>5301</v>
      </c>
      <c r="D8" t="s">
        <v>4856</v>
      </c>
      <c r="E8" t="s">
        <v>466</v>
      </c>
      <c r="F8" t="s">
        <v>5287</v>
      </c>
      <c r="G8" s="23">
        <v>27454</v>
      </c>
      <c r="H8" s="23">
        <v>30635</v>
      </c>
      <c r="I8" t="s">
        <v>5302</v>
      </c>
    </row>
    <row r="9" spans="1:9" x14ac:dyDescent="0.25">
      <c r="A9" t="s">
        <v>5303</v>
      </c>
      <c r="B9" t="s">
        <v>5304</v>
      </c>
      <c r="C9" t="s">
        <v>5305</v>
      </c>
      <c r="D9" t="s">
        <v>1087</v>
      </c>
      <c r="E9" t="s">
        <v>1812</v>
      </c>
      <c r="F9" t="s">
        <v>5272</v>
      </c>
      <c r="G9" s="23">
        <v>22767</v>
      </c>
      <c r="H9" s="23">
        <v>23701</v>
      </c>
      <c r="I9" t="s">
        <v>5306</v>
      </c>
    </row>
    <row r="10" spans="1:9" x14ac:dyDescent="0.25">
      <c r="A10" t="s">
        <v>5307</v>
      </c>
      <c r="B10" t="s">
        <v>5308</v>
      </c>
      <c r="C10" t="s">
        <v>5309</v>
      </c>
      <c r="D10" t="s">
        <v>1030</v>
      </c>
      <c r="E10" t="s">
        <v>1824</v>
      </c>
      <c r="F10" t="s">
        <v>5272</v>
      </c>
      <c r="G10" s="23">
        <v>23788</v>
      </c>
      <c r="H10" s="23">
        <v>24775</v>
      </c>
      <c r="I10" t="s">
        <v>5310</v>
      </c>
    </row>
    <row r="11" spans="1:9" x14ac:dyDescent="0.25">
      <c r="A11" t="s">
        <v>5112</v>
      </c>
      <c r="B11" t="s">
        <v>5311</v>
      </c>
      <c r="C11" t="s">
        <v>5312</v>
      </c>
      <c r="D11" t="s">
        <v>4854</v>
      </c>
      <c r="E11" t="s">
        <v>1824</v>
      </c>
      <c r="F11" t="s">
        <v>5272</v>
      </c>
      <c r="G11" s="23">
        <v>36600</v>
      </c>
      <c r="H11" s="23">
        <v>37792</v>
      </c>
      <c r="I11" t="s">
        <v>5313</v>
      </c>
    </row>
    <row r="12" spans="1:9" x14ac:dyDescent="0.25">
      <c r="A12" t="s">
        <v>5113</v>
      </c>
      <c r="B12" t="s">
        <v>5314</v>
      </c>
      <c r="C12" t="s">
        <v>5315</v>
      </c>
      <c r="D12" t="s">
        <v>4854</v>
      </c>
      <c r="E12" t="s">
        <v>1824</v>
      </c>
      <c r="F12" t="s">
        <v>5272</v>
      </c>
      <c r="G12" s="23">
        <v>37052</v>
      </c>
      <c r="H12" s="23">
        <v>38610</v>
      </c>
      <c r="I12" t="s">
        <v>5316</v>
      </c>
    </row>
    <row r="13" spans="1:9" x14ac:dyDescent="0.25">
      <c r="A13" t="s">
        <v>5114</v>
      </c>
      <c r="B13" t="s">
        <v>5317</v>
      </c>
      <c r="C13" t="s">
        <v>5318</v>
      </c>
      <c r="D13" t="s">
        <v>4854</v>
      </c>
      <c r="E13" t="s">
        <v>1012</v>
      </c>
      <c r="F13" t="s">
        <v>5272</v>
      </c>
      <c r="G13" s="23">
        <v>36540</v>
      </c>
      <c r="H13" s="23">
        <v>37559</v>
      </c>
      <c r="I13" t="s">
        <v>5319</v>
      </c>
    </row>
    <row r="14" spans="1:9" x14ac:dyDescent="0.25">
      <c r="A14" t="s">
        <v>5115</v>
      </c>
      <c r="B14" t="s">
        <v>5320</v>
      </c>
      <c r="C14" t="s">
        <v>5321</v>
      </c>
      <c r="D14" t="s">
        <v>4854</v>
      </c>
      <c r="E14" t="s">
        <v>983</v>
      </c>
      <c r="F14" t="s">
        <v>5272</v>
      </c>
      <c r="G14" s="23">
        <v>35236</v>
      </c>
      <c r="H14" s="23">
        <v>36479</v>
      </c>
      <c r="I14" t="s">
        <v>5322</v>
      </c>
    </row>
    <row r="15" spans="1:9" x14ac:dyDescent="0.25">
      <c r="A15" t="s">
        <v>5116</v>
      </c>
      <c r="B15" t="s">
        <v>5323</v>
      </c>
      <c r="C15" t="s">
        <v>5324</v>
      </c>
      <c r="D15" t="s">
        <v>4854</v>
      </c>
      <c r="E15" t="s">
        <v>5325</v>
      </c>
      <c r="F15" t="s">
        <v>5272</v>
      </c>
      <c r="G15" s="23">
        <v>36595</v>
      </c>
      <c r="H15" s="23">
        <v>37855</v>
      </c>
      <c r="I15" t="s">
        <v>5326</v>
      </c>
    </row>
    <row r="16" spans="1:9" x14ac:dyDescent="0.25">
      <c r="A16" t="s">
        <v>5117</v>
      </c>
      <c r="B16" t="s">
        <v>5327</v>
      </c>
      <c r="C16" t="s">
        <v>5324</v>
      </c>
      <c r="D16" t="s">
        <v>1026</v>
      </c>
      <c r="E16" t="s">
        <v>983</v>
      </c>
      <c r="F16" t="s">
        <v>5272</v>
      </c>
      <c r="G16" s="23">
        <v>36595</v>
      </c>
      <c r="H16" s="23">
        <v>37855</v>
      </c>
      <c r="I16" t="s">
        <v>5328</v>
      </c>
    </row>
    <row r="17" spans="1:9" x14ac:dyDescent="0.25">
      <c r="A17" t="s">
        <v>5118</v>
      </c>
      <c r="B17" t="s">
        <v>5329</v>
      </c>
      <c r="C17" t="s">
        <v>5330</v>
      </c>
      <c r="D17" t="s">
        <v>5331</v>
      </c>
      <c r="E17" t="s">
        <v>1002</v>
      </c>
      <c r="F17" t="s">
        <v>5272</v>
      </c>
      <c r="G17" s="23">
        <v>37636</v>
      </c>
      <c r="H17" s="23">
        <v>38558</v>
      </c>
      <c r="I17" t="s">
        <v>5332</v>
      </c>
    </row>
    <row r="18" spans="1:9" x14ac:dyDescent="0.25">
      <c r="A18" t="s">
        <v>5119</v>
      </c>
      <c r="B18" t="s">
        <v>5333</v>
      </c>
      <c r="C18" t="s">
        <v>5334</v>
      </c>
      <c r="D18" t="s">
        <v>4854</v>
      </c>
      <c r="E18" t="s">
        <v>5335</v>
      </c>
      <c r="F18" t="s">
        <v>5272</v>
      </c>
      <c r="G18" s="23">
        <v>37884</v>
      </c>
      <c r="H18" s="23">
        <v>38867</v>
      </c>
      <c r="I18" t="s">
        <v>5336</v>
      </c>
    </row>
    <row r="19" spans="1:9" x14ac:dyDescent="0.25">
      <c r="A19" t="s">
        <v>5120</v>
      </c>
      <c r="B19" t="s">
        <v>5337</v>
      </c>
      <c r="C19" t="s">
        <v>5338</v>
      </c>
      <c r="D19" t="s">
        <v>1848</v>
      </c>
      <c r="E19" t="s">
        <v>4854</v>
      </c>
      <c r="F19" t="s">
        <v>5272</v>
      </c>
      <c r="G19" s="23">
        <v>38119</v>
      </c>
      <c r="H19" s="23">
        <v>39373</v>
      </c>
      <c r="I19" t="s">
        <v>5339</v>
      </c>
    </row>
    <row r="20" spans="1:9" x14ac:dyDescent="0.25">
      <c r="A20" t="s">
        <v>5121</v>
      </c>
      <c r="B20" t="s">
        <v>5340</v>
      </c>
      <c r="C20" t="s">
        <v>5324</v>
      </c>
      <c r="D20" t="s">
        <v>1848</v>
      </c>
      <c r="E20" t="s">
        <v>5341</v>
      </c>
      <c r="F20" t="s">
        <v>5272</v>
      </c>
      <c r="G20" s="23">
        <v>38582</v>
      </c>
      <c r="H20" s="23">
        <v>39624</v>
      </c>
      <c r="I20" t="s">
        <v>5342</v>
      </c>
    </row>
    <row r="21" spans="1:9" x14ac:dyDescent="0.25">
      <c r="A21" t="s">
        <v>5122</v>
      </c>
      <c r="B21" t="s">
        <v>5343</v>
      </c>
      <c r="C21" t="s">
        <v>5344</v>
      </c>
      <c r="D21" t="s">
        <v>5345</v>
      </c>
      <c r="E21" t="s">
        <v>4854</v>
      </c>
      <c r="F21" t="s">
        <v>5272</v>
      </c>
      <c r="G21" s="23">
        <v>38903</v>
      </c>
      <c r="H21" s="23">
        <v>39802</v>
      </c>
      <c r="I21" t="s">
        <v>5346</v>
      </c>
    </row>
    <row r="22" spans="1:9" x14ac:dyDescent="0.25">
      <c r="A22" t="s">
        <v>5123</v>
      </c>
      <c r="B22" t="s">
        <v>5347</v>
      </c>
      <c r="C22" t="s">
        <v>5348</v>
      </c>
      <c r="D22" t="s">
        <v>5349</v>
      </c>
      <c r="E22" t="s">
        <v>4854</v>
      </c>
      <c r="F22" t="s">
        <v>5272</v>
      </c>
      <c r="G22" s="23">
        <v>35476</v>
      </c>
      <c r="H22" s="23">
        <v>37026</v>
      </c>
      <c r="I22" t="s">
        <v>5350</v>
      </c>
    </row>
    <row r="23" spans="1:9" x14ac:dyDescent="0.25">
      <c r="A23" t="s">
        <v>5124</v>
      </c>
      <c r="B23" t="s">
        <v>5351</v>
      </c>
      <c r="C23" t="s">
        <v>5352</v>
      </c>
      <c r="D23" t="s">
        <v>5349</v>
      </c>
      <c r="E23" t="s">
        <v>4854</v>
      </c>
      <c r="F23" t="s">
        <v>5272</v>
      </c>
      <c r="G23" s="23">
        <v>36394</v>
      </c>
      <c r="H23" s="23">
        <v>37943</v>
      </c>
      <c r="I23" t="s">
        <v>5353</v>
      </c>
    </row>
    <row r="24" spans="1:9" x14ac:dyDescent="0.25">
      <c r="A24" t="s">
        <v>5125</v>
      </c>
      <c r="B24" t="s">
        <v>5354</v>
      </c>
      <c r="C24" t="s">
        <v>5355</v>
      </c>
      <c r="D24" t="s">
        <v>1810</v>
      </c>
      <c r="E24" t="s">
        <v>5345</v>
      </c>
      <c r="F24" t="s">
        <v>5272</v>
      </c>
      <c r="G24" s="23">
        <v>38037</v>
      </c>
      <c r="H24" s="23">
        <v>39243</v>
      </c>
      <c r="I24" t="s">
        <v>5356</v>
      </c>
    </row>
    <row r="25" spans="1:9" x14ac:dyDescent="0.25">
      <c r="A25" t="s">
        <v>5126</v>
      </c>
      <c r="B25" t="s">
        <v>5357</v>
      </c>
      <c r="C25" t="s">
        <v>5324</v>
      </c>
      <c r="D25" t="s">
        <v>1810</v>
      </c>
      <c r="E25" t="s">
        <v>5358</v>
      </c>
      <c r="F25" t="s">
        <v>5272</v>
      </c>
      <c r="G25" s="23">
        <v>38457</v>
      </c>
      <c r="H25" s="23">
        <v>39721</v>
      </c>
      <c r="I25" t="s">
        <v>5359</v>
      </c>
    </row>
    <row r="26" spans="1:9" x14ac:dyDescent="0.25">
      <c r="A26" t="s">
        <v>5127</v>
      </c>
      <c r="B26" t="s">
        <v>5360</v>
      </c>
      <c r="C26" t="s">
        <v>5344</v>
      </c>
      <c r="D26" t="s">
        <v>5361</v>
      </c>
      <c r="E26" t="s">
        <v>5345</v>
      </c>
      <c r="F26" t="s">
        <v>5272</v>
      </c>
      <c r="G26" s="23">
        <v>38970</v>
      </c>
      <c r="H26" s="23">
        <v>39921</v>
      </c>
      <c r="I26" t="s">
        <v>5362</v>
      </c>
    </row>
    <row r="27" spans="1:9" x14ac:dyDescent="0.25">
      <c r="A27" t="s">
        <v>5128</v>
      </c>
      <c r="B27" t="s">
        <v>5363</v>
      </c>
      <c r="C27" t="s">
        <v>5364</v>
      </c>
      <c r="D27" t="s">
        <v>5365</v>
      </c>
      <c r="E27" t="s">
        <v>5345</v>
      </c>
      <c r="F27" t="s">
        <v>5272</v>
      </c>
      <c r="G27" s="23">
        <v>39380</v>
      </c>
      <c r="H27" s="23">
        <v>40410</v>
      </c>
      <c r="I27" t="s">
        <v>5366</v>
      </c>
    </row>
    <row r="28" spans="1:9" x14ac:dyDescent="0.25">
      <c r="A28" t="s">
        <v>5129</v>
      </c>
      <c r="B28" t="s">
        <v>5367</v>
      </c>
      <c r="C28" t="s">
        <v>5368</v>
      </c>
      <c r="D28" t="s">
        <v>4854</v>
      </c>
      <c r="E28" t="s">
        <v>1824</v>
      </c>
      <c r="F28" t="s">
        <v>4334</v>
      </c>
      <c r="G28" s="23">
        <v>36206</v>
      </c>
      <c r="H28" s="23">
        <v>37159</v>
      </c>
      <c r="I28" t="s">
        <v>5369</v>
      </c>
    </row>
    <row r="29" spans="1:9" x14ac:dyDescent="0.25">
      <c r="A29" t="s">
        <v>5130</v>
      </c>
      <c r="B29" t="s">
        <v>5370</v>
      </c>
      <c r="C29" t="s">
        <v>5371</v>
      </c>
      <c r="D29" t="s">
        <v>4854</v>
      </c>
      <c r="E29" t="s">
        <v>1012</v>
      </c>
      <c r="F29" t="s">
        <v>4334</v>
      </c>
      <c r="G29" s="23">
        <v>37031</v>
      </c>
      <c r="H29" s="23">
        <v>38229</v>
      </c>
      <c r="I29" t="s">
        <v>5372</v>
      </c>
    </row>
    <row r="30" spans="1:9" x14ac:dyDescent="0.25">
      <c r="A30" t="s">
        <v>5131</v>
      </c>
      <c r="B30" t="s">
        <v>5373</v>
      </c>
      <c r="C30" t="s">
        <v>5374</v>
      </c>
      <c r="D30" t="s">
        <v>5341</v>
      </c>
      <c r="E30" t="s">
        <v>4854</v>
      </c>
      <c r="F30" t="s">
        <v>4334</v>
      </c>
      <c r="G30" s="23">
        <v>37478</v>
      </c>
      <c r="H30" s="23">
        <v>38426</v>
      </c>
      <c r="I30" t="s">
        <v>5375</v>
      </c>
    </row>
    <row r="31" spans="1:9" x14ac:dyDescent="0.25">
      <c r="A31" t="s">
        <v>5132</v>
      </c>
      <c r="B31" t="s">
        <v>5376</v>
      </c>
      <c r="C31" t="s">
        <v>5377</v>
      </c>
      <c r="D31" t="s">
        <v>4856</v>
      </c>
      <c r="E31" t="s">
        <v>1824</v>
      </c>
      <c r="F31" t="s">
        <v>4337</v>
      </c>
      <c r="G31" s="23">
        <v>37639</v>
      </c>
      <c r="H31" s="23">
        <v>38647</v>
      </c>
      <c r="I31" t="s">
        <v>5372</v>
      </c>
    </row>
    <row r="32" spans="1:9" x14ac:dyDescent="0.25">
      <c r="A32" t="s">
        <v>5133</v>
      </c>
      <c r="B32" t="s">
        <v>5378</v>
      </c>
      <c r="C32" t="s">
        <v>5379</v>
      </c>
      <c r="D32" t="s">
        <v>4856</v>
      </c>
      <c r="E32" t="s">
        <v>1824</v>
      </c>
      <c r="F32" t="s">
        <v>4337</v>
      </c>
      <c r="G32" s="23">
        <v>36689</v>
      </c>
      <c r="H32" s="23">
        <v>37641</v>
      </c>
      <c r="I32" t="s">
        <v>5380</v>
      </c>
    </row>
    <row r="33" spans="1:9" x14ac:dyDescent="0.25">
      <c r="A33" t="s">
        <v>5134</v>
      </c>
      <c r="B33" t="s">
        <v>5381</v>
      </c>
      <c r="C33" t="s">
        <v>5382</v>
      </c>
      <c r="D33" t="s">
        <v>4856</v>
      </c>
      <c r="E33" t="s">
        <v>1824</v>
      </c>
      <c r="F33" t="s">
        <v>4337</v>
      </c>
      <c r="G33" s="23">
        <v>36986</v>
      </c>
      <c r="H33" s="23">
        <v>38061</v>
      </c>
      <c r="I33" t="s">
        <v>5383</v>
      </c>
    </row>
    <row r="34" spans="1:9" x14ac:dyDescent="0.25">
      <c r="A34" t="s">
        <v>5135</v>
      </c>
      <c r="B34" t="s">
        <v>5384</v>
      </c>
      <c r="C34" t="s">
        <v>5385</v>
      </c>
      <c r="D34" t="s">
        <v>5386</v>
      </c>
      <c r="E34" t="s">
        <v>4856</v>
      </c>
      <c r="F34" t="s">
        <v>4337</v>
      </c>
      <c r="G34" s="23">
        <v>38405</v>
      </c>
      <c r="H34" s="23">
        <v>39659</v>
      </c>
      <c r="I34" t="s">
        <v>5387</v>
      </c>
    </row>
    <row r="35" spans="1:9" x14ac:dyDescent="0.25">
      <c r="A35" t="s">
        <v>5136</v>
      </c>
      <c r="B35" t="s">
        <v>5388</v>
      </c>
      <c r="C35" t="s">
        <v>5389</v>
      </c>
      <c r="D35" t="s">
        <v>5341</v>
      </c>
      <c r="E35" t="s">
        <v>5390</v>
      </c>
      <c r="F35" t="s">
        <v>4337</v>
      </c>
      <c r="G35" s="23">
        <v>38817</v>
      </c>
      <c r="H35" s="23">
        <v>40111</v>
      </c>
      <c r="I35" t="s">
        <v>5391</v>
      </c>
    </row>
    <row r="36" spans="1:9" x14ac:dyDescent="0.25">
      <c r="A36" t="s">
        <v>5137</v>
      </c>
      <c r="B36" t="s">
        <v>5392</v>
      </c>
      <c r="C36" t="s">
        <v>5393</v>
      </c>
      <c r="D36" t="s">
        <v>1812</v>
      </c>
      <c r="E36" t="s">
        <v>4856</v>
      </c>
      <c r="F36" t="s">
        <v>4337</v>
      </c>
      <c r="G36" s="23">
        <v>39217</v>
      </c>
      <c r="H36" s="23">
        <v>40500</v>
      </c>
      <c r="I36" t="s">
        <v>5394</v>
      </c>
    </row>
    <row r="37" spans="1:9" x14ac:dyDescent="0.25">
      <c r="A37" t="s">
        <v>5138</v>
      </c>
      <c r="B37" t="s">
        <v>5395</v>
      </c>
      <c r="C37" t="s">
        <v>5396</v>
      </c>
      <c r="D37" t="s">
        <v>4856</v>
      </c>
      <c r="E37" t="s">
        <v>1824</v>
      </c>
      <c r="F37" t="s">
        <v>5287</v>
      </c>
      <c r="G37" s="23">
        <v>35297</v>
      </c>
      <c r="H37" s="23">
        <v>36509</v>
      </c>
      <c r="I37" t="s">
        <v>5397</v>
      </c>
    </row>
    <row r="38" spans="1:9" x14ac:dyDescent="0.25">
      <c r="A38" t="s">
        <v>5139</v>
      </c>
      <c r="B38" t="s">
        <v>5398</v>
      </c>
      <c r="C38" t="s">
        <v>5399</v>
      </c>
      <c r="D38" t="s">
        <v>4856</v>
      </c>
      <c r="E38" t="s">
        <v>1824</v>
      </c>
      <c r="F38" t="s">
        <v>5287</v>
      </c>
      <c r="G38" s="23">
        <v>36170</v>
      </c>
      <c r="H38" s="23">
        <v>37427</v>
      </c>
      <c r="I38" t="s">
        <v>5400</v>
      </c>
    </row>
    <row r="39" spans="1:9" x14ac:dyDescent="0.25">
      <c r="A39" t="s">
        <v>5140</v>
      </c>
      <c r="B39" t="s">
        <v>5401</v>
      </c>
      <c r="C39" t="s">
        <v>5402</v>
      </c>
      <c r="D39" t="s">
        <v>4856</v>
      </c>
      <c r="E39" t="s">
        <v>1824</v>
      </c>
      <c r="F39" t="s">
        <v>5287</v>
      </c>
      <c r="G39" s="23">
        <v>36631</v>
      </c>
      <c r="H39" s="23">
        <v>37889</v>
      </c>
      <c r="I39" t="s">
        <v>5403</v>
      </c>
    </row>
    <row r="40" spans="1:9" x14ac:dyDescent="0.25">
      <c r="A40" t="s">
        <v>5141</v>
      </c>
      <c r="B40" t="s">
        <v>5404</v>
      </c>
      <c r="C40" t="s">
        <v>5405</v>
      </c>
      <c r="D40" t="s">
        <v>4856</v>
      </c>
      <c r="E40" t="s">
        <v>1824</v>
      </c>
      <c r="F40" t="s">
        <v>5287</v>
      </c>
      <c r="G40" s="23">
        <v>37062</v>
      </c>
      <c r="H40" s="23">
        <v>38321</v>
      </c>
      <c r="I40" t="s">
        <v>5406</v>
      </c>
    </row>
    <row r="41" spans="1:9" x14ac:dyDescent="0.25">
      <c r="A41" t="s">
        <v>5142</v>
      </c>
      <c r="B41" t="s">
        <v>5407</v>
      </c>
      <c r="C41" t="s">
        <v>5408</v>
      </c>
      <c r="D41" t="s">
        <v>4856</v>
      </c>
      <c r="E41" t="s">
        <v>1824</v>
      </c>
      <c r="F41" t="s">
        <v>5287</v>
      </c>
      <c r="G41" s="23">
        <v>37333</v>
      </c>
      <c r="H41" s="23">
        <v>38405</v>
      </c>
      <c r="I41" t="s">
        <v>5409</v>
      </c>
    </row>
    <row r="42" spans="1:9" x14ac:dyDescent="0.25">
      <c r="A42" t="s">
        <v>5143</v>
      </c>
      <c r="B42" t="s">
        <v>5410</v>
      </c>
      <c r="C42" t="s">
        <v>5411</v>
      </c>
      <c r="D42" t="s">
        <v>4856</v>
      </c>
      <c r="E42" t="s">
        <v>1824</v>
      </c>
      <c r="F42" t="s">
        <v>5287</v>
      </c>
      <c r="G42" s="23">
        <v>37524</v>
      </c>
      <c r="H42" s="23">
        <v>38701</v>
      </c>
      <c r="I42" t="s">
        <v>5412</v>
      </c>
    </row>
    <row r="43" spans="1:9" x14ac:dyDescent="0.25">
      <c r="A43" t="s">
        <v>5144</v>
      </c>
      <c r="B43" t="s">
        <v>5413</v>
      </c>
      <c r="C43" t="s">
        <v>5414</v>
      </c>
      <c r="D43" t="s">
        <v>4856</v>
      </c>
      <c r="E43" t="s">
        <v>1824</v>
      </c>
      <c r="F43" t="s">
        <v>5287</v>
      </c>
      <c r="G43" s="23">
        <v>37753</v>
      </c>
      <c r="H43" s="23">
        <v>38949</v>
      </c>
      <c r="I43" t="s">
        <v>5415</v>
      </c>
    </row>
    <row r="44" spans="1:9" x14ac:dyDescent="0.25">
      <c r="A44" t="s">
        <v>5145</v>
      </c>
      <c r="B44" t="s">
        <v>5416</v>
      </c>
      <c r="C44" t="s">
        <v>5417</v>
      </c>
      <c r="D44" t="s">
        <v>4856</v>
      </c>
      <c r="E44" t="s">
        <v>1824</v>
      </c>
      <c r="F44" t="s">
        <v>5287</v>
      </c>
      <c r="G44" s="23">
        <v>37753</v>
      </c>
      <c r="H44" s="23">
        <v>38949</v>
      </c>
      <c r="I44" t="s">
        <v>5418</v>
      </c>
    </row>
    <row r="45" spans="1:9" x14ac:dyDescent="0.25">
      <c r="A45" t="s">
        <v>5146</v>
      </c>
      <c r="B45" t="s">
        <v>5419</v>
      </c>
      <c r="C45" t="s">
        <v>5420</v>
      </c>
      <c r="D45" t="s">
        <v>4856</v>
      </c>
      <c r="E45" t="s">
        <v>1824</v>
      </c>
      <c r="F45" t="s">
        <v>5287</v>
      </c>
      <c r="G45" s="23">
        <v>38006</v>
      </c>
      <c r="H45" s="23">
        <v>39018</v>
      </c>
      <c r="I45" t="s">
        <v>5421</v>
      </c>
    </row>
    <row r="46" spans="1:9" x14ac:dyDescent="0.25">
      <c r="A46" t="s">
        <v>5147</v>
      </c>
      <c r="B46" t="s">
        <v>5422</v>
      </c>
      <c r="C46" t="s">
        <v>5423</v>
      </c>
      <c r="D46" t="s">
        <v>4856</v>
      </c>
      <c r="E46" t="s">
        <v>1824</v>
      </c>
      <c r="F46" t="s">
        <v>5287</v>
      </c>
      <c r="G46" s="23">
        <v>38006</v>
      </c>
      <c r="H46" s="23">
        <v>39018</v>
      </c>
      <c r="I46" t="s">
        <v>5424</v>
      </c>
    </row>
    <row r="47" spans="1:9" x14ac:dyDescent="0.25">
      <c r="A47" t="s">
        <v>5148</v>
      </c>
      <c r="B47" t="s">
        <v>5425</v>
      </c>
      <c r="C47" t="s">
        <v>5426</v>
      </c>
      <c r="D47" t="s">
        <v>4856</v>
      </c>
      <c r="E47" t="s">
        <v>1824</v>
      </c>
      <c r="F47" t="s">
        <v>5287</v>
      </c>
      <c r="G47" s="23">
        <v>38398</v>
      </c>
      <c r="H47" s="23">
        <v>39416</v>
      </c>
      <c r="I47" t="s">
        <v>5427</v>
      </c>
    </row>
    <row r="48" spans="1:9" x14ac:dyDescent="0.25">
      <c r="A48" t="s">
        <v>5149</v>
      </c>
      <c r="B48" t="s">
        <v>5428</v>
      </c>
      <c r="C48" t="s">
        <v>5429</v>
      </c>
      <c r="D48" t="s">
        <v>4856</v>
      </c>
      <c r="E48" t="s">
        <v>1012</v>
      </c>
      <c r="F48" t="s">
        <v>5287</v>
      </c>
      <c r="G48" s="23">
        <v>36719</v>
      </c>
      <c r="H48" s="23">
        <v>37672</v>
      </c>
      <c r="I48" t="s">
        <v>5430</v>
      </c>
    </row>
    <row r="49" spans="1:9" x14ac:dyDescent="0.25">
      <c r="A49" t="s">
        <v>5150</v>
      </c>
      <c r="B49" t="s">
        <v>5431</v>
      </c>
      <c r="C49" t="s">
        <v>5432</v>
      </c>
      <c r="D49" t="s">
        <v>4856</v>
      </c>
      <c r="E49" t="s">
        <v>1012</v>
      </c>
      <c r="F49" t="s">
        <v>5287</v>
      </c>
      <c r="G49" s="23">
        <v>37486</v>
      </c>
      <c r="H49" s="23">
        <v>38497</v>
      </c>
      <c r="I49" t="s">
        <v>5433</v>
      </c>
    </row>
    <row r="50" spans="1:9" x14ac:dyDescent="0.25">
      <c r="A50" t="s">
        <v>5151</v>
      </c>
      <c r="B50" t="s">
        <v>5434</v>
      </c>
      <c r="C50" t="s">
        <v>5435</v>
      </c>
      <c r="D50" t="s">
        <v>4856</v>
      </c>
      <c r="E50" t="s">
        <v>1012</v>
      </c>
      <c r="F50" t="s">
        <v>5287</v>
      </c>
      <c r="G50" s="23">
        <v>37700</v>
      </c>
      <c r="H50" s="23">
        <v>38640</v>
      </c>
      <c r="I50" t="s">
        <v>5436</v>
      </c>
    </row>
    <row r="51" spans="1:9" x14ac:dyDescent="0.25">
      <c r="A51" t="s">
        <v>5152</v>
      </c>
      <c r="B51" t="s">
        <v>5437</v>
      </c>
      <c r="C51" t="s">
        <v>5438</v>
      </c>
      <c r="D51" t="s">
        <v>4856</v>
      </c>
      <c r="E51" t="s">
        <v>1012</v>
      </c>
      <c r="F51" t="s">
        <v>5287</v>
      </c>
      <c r="G51" s="23">
        <v>37700</v>
      </c>
      <c r="H51" s="23">
        <v>38640</v>
      </c>
      <c r="I51" t="s">
        <v>5439</v>
      </c>
    </row>
    <row r="52" spans="1:9" x14ac:dyDescent="0.25">
      <c r="A52" t="s">
        <v>5153</v>
      </c>
      <c r="B52" t="s">
        <v>5440</v>
      </c>
      <c r="C52" t="s">
        <v>5441</v>
      </c>
      <c r="D52" t="s">
        <v>4856</v>
      </c>
      <c r="E52" t="s">
        <v>1878</v>
      </c>
      <c r="F52" t="s">
        <v>5287</v>
      </c>
      <c r="G52" s="23">
        <v>36571</v>
      </c>
      <c r="H52" s="23">
        <v>37904</v>
      </c>
      <c r="I52" t="s">
        <v>5442</v>
      </c>
    </row>
    <row r="53" spans="1:9" x14ac:dyDescent="0.25">
      <c r="A53" t="s">
        <v>5154</v>
      </c>
      <c r="B53" t="s">
        <v>5443</v>
      </c>
      <c r="C53" t="s">
        <v>5444</v>
      </c>
      <c r="D53" t="s">
        <v>1767</v>
      </c>
      <c r="E53" t="s">
        <v>5445</v>
      </c>
      <c r="F53" t="s">
        <v>5287</v>
      </c>
      <c r="G53" s="23">
        <v>37429</v>
      </c>
      <c r="H53" s="23">
        <v>38704</v>
      </c>
      <c r="I53" t="s">
        <v>5446</v>
      </c>
    </row>
    <row r="54" spans="1:9" x14ac:dyDescent="0.25">
      <c r="A54" t="s">
        <v>5155</v>
      </c>
      <c r="B54" t="s">
        <v>5447</v>
      </c>
      <c r="C54" t="s">
        <v>5448</v>
      </c>
      <c r="D54" t="s">
        <v>5390</v>
      </c>
      <c r="E54" t="s">
        <v>1812</v>
      </c>
      <c r="F54" t="s">
        <v>5287</v>
      </c>
      <c r="G54" s="23">
        <v>34222</v>
      </c>
      <c r="H54" s="23">
        <v>35389</v>
      </c>
      <c r="I54" t="s">
        <v>5449</v>
      </c>
    </row>
    <row r="55" spans="1:9" x14ac:dyDescent="0.25">
      <c r="A55" t="s">
        <v>5156</v>
      </c>
      <c r="B55" t="s">
        <v>5450</v>
      </c>
      <c r="C55" t="s">
        <v>5451</v>
      </c>
      <c r="D55" t="s">
        <v>5386</v>
      </c>
      <c r="E55" t="s">
        <v>4856</v>
      </c>
      <c r="F55" t="s">
        <v>5287</v>
      </c>
      <c r="G55" s="23">
        <v>34745</v>
      </c>
      <c r="H55" s="23">
        <v>36063</v>
      </c>
      <c r="I55" t="s">
        <v>5452</v>
      </c>
    </row>
    <row r="56" spans="1:9" x14ac:dyDescent="0.25">
      <c r="A56" t="s">
        <v>5157</v>
      </c>
      <c r="B56" t="s">
        <v>5453</v>
      </c>
      <c r="C56" t="s">
        <v>5454</v>
      </c>
      <c r="D56" t="s">
        <v>5386</v>
      </c>
      <c r="E56" t="s">
        <v>4856</v>
      </c>
      <c r="F56" t="s">
        <v>5287</v>
      </c>
      <c r="G56" s="23">
        <v>36392</v>
      </c>
      <c r="H56" s="23">
        <v>37620</v>
      </c>
      <c r="I56" t="s">
        <v>5455</v>
      </c>
    </row>
    <row r="57" spans="1:9" x14ac:dyDescent="0.25">
      <c r="A57" t="s">
        <v>5158</v>
      </c>
      <c r="B57" t="s">
        <v>5456</v>
      </c>
      <c r="C57" t="s">
        <v>5457</v>
      </c>
      <c r="D57" t="s">
        <v>1076</v>
      </c>
      <c r="E57" t="s">
        <v>4856</v>
      </c>
      <c r="F57" t="s">
        <v>5287</v>
      </c>
      <c r="G57" s="23">
        <v>38064</v>
      </c>
      <c r="H57" s="23">
        <v>39285</v>
      </c>
      <c r="I57" t="s">
        <v>5458</v>
      </c>
    </row>
    <row r="58" spans="1:9" x14ac:dyDescent="0.25">
      <c r="A58" t="s">
        <v>5159</v>
      </c>
      <c r="B58" t="s">
        <v>5459</v>
      </c>
      <c r="C58" t="s">
        <v>5460</v>
      </c>
      <c r="D58" t="s">
        <v>5461</v>
      </c>
      <c r="E58" t="s">
        <v>4856</v>
      </c>
      <c r="F58" t="s">
        <v>5287</v>
      </c>
      <c r="G58" s="23">
        <v>38558</v>
      </c>
      <c r="H58" s="23">
        <v>39736</v>
      </c>
      <c r="I58" t="s">
        <v>5462</v>
      </c>
    </row>
    <row r="59" spans="1:9" x14ac:dyDescent="0.25">
      <c r="A59" t="s">
        <v>5160</v>
      </c>
      <c r="B59" t="s">
        <v>5463</v>
      </c>
      <c r="C59" t="s">
        <v>5464</v>
      </c>
      <c r="D59" t="s">
        <v>1123</v>
      </c>
      <c r="E59" t="s">
        <v>4856</v>
      </c>
      <c r="F59" t="s">
        <v>5287</v>
      </c>
      <c r="G59" s="23">
        <v>39979</v>
      </c>
      <c r="H59" s="23">
        <v>43139</v>
      </c>
      <c r="I59" t="s">
        <v>5465</v>
      </c>
    </row>
    <row r="60" spans="1:9" x14ac:dyDescent="0.25">
      <c r="A60" t="s">
        <v>5161</v>
      </c>
      <c r="B60" t="s">
        <v>5466</v>
      </c>
      <c r="C60" t="s">
        <v>5467</v>
      </c>
      <c r="D60" t="s">
        <v>5461</v>
      </c>
      <c r="E60" t="s">
        <v>4856</v>
      </c>
      <c r="F60" t="s">
        <v>5287</v>
      </c>
      <c r="G60" s="23">
        <v>39401</v>
      </c>
      <c r="H60" s="23">
        <v>40415</v>
      </c>
      <c r="I60" t="s">
        <v>5468</v>
      </c>
    </row>
    <row r="61" spans="1:9" x14ac:dyDescent="0.25">
      <c r="A61" t="s">
        <v>5162</v>
      </c>
      <c r="B61" t="s">
        <v>5469</v>
      </c>
      <c r="C61" t="s">
        <v>5470</v>
      </c>
      <c r="D61" t="s">
        <v>5471</v>
      </c>
      <c r="E61" t="s">
        <v>4856</v>
      </c>
      <c r="F61" t="s">
        <v>5287</v>
      </c>
      <c r="G61" s="23">
        <v>39713</v>
      </c>
      <c r="H61" s="23">
        <v>40892</v>
      </c>
      <c r="I61" t="s">
        <v>5472</v>
      </c>
    </row>
    <row r="62" spans="1:9" x14ac:dyDescent="0.25">
      <c r="A62" t="s">
        <v>4153</v>
      </c>
      <c r="B62" t="s">
        <v>5473</v>
      </c>
      <c r="C62" t="s">
        <v>5474</v>
      </c>
      <c r="D62" t="s">
        <v>4856</v>
      </c>
      <c r="E62" t="s">
        <v>5475</v>
      </c>
      <c r="F62" t="s">
        <v>5287</v>
      </c>
      <c r="G62" s="23">
        <v>40104</v>
      </c>
      <c r="H62" s="23">
        <v>41120</v>
      </c>
      <c r="I62" t="s">
        <v>5476</v>
      </c>
    </row>
    <row r="63" spans="1:9" x14ac:dyDescent="0.25">
      <c r="A63" t="s">
        <v>5163</v>
      </c>
      <c r="B63" t="s">
        <v>5477</v>
      </c>
      <c r="C63" t="s">
        <v>5478</v>
      </c>
      <c r="D63" t="s">
        <v>5475</v>
      </c>
      <c r="E63" t="s">
        <v>2048</v>
      </c>
      <c r="F63" t="s">
        <v>5287</v>
      </c>
      <c r="G63" s="23">
        <v>40410</v>
      </c>
      <c r="H63" s="23">
        <v>41606</v>
      </c>
      <c r="I63" t="s">
        <v>5479</v>
      </c>
    </row>
    <row r="64" spans="1:9" x14ac:dyDescent="0.25">
      <c r="A64" t="s">
        <v>5164</v>
      </c>
      <c r="B64" t="s">
        <v>5480</v>
      </c>
      <c r="C64" t="s">
        <v>5481</v>
      </c>
      <c r="D64" t="s">
        <v>4856</v>
      </c>
      <c r="E64" t="s">
        <v>5482</v>
      </c>
      <c r="F64" t="s">
        <v>5287</v>
      </c>
      <c r="G64" s="23">
        <v>35807</v>
      </c>
      <c r="H64" s="23">
        <v>36819</v>
      </c>
      <c r="I64" t="s">
        <v>5483</v>
      </c>
    </row>
    <row r="65" spans="1:9" x14ac:dyDescent="0.25">
      <c r="A65" t="s">
        <v>5165</v>
      </c>
      <c r="B65" t="s">
        <v>5484</v>
      </c>
      <c r="C65" t="s">
        <v>5485</v>
      </c>
      <c r="D65" t="s">
        <v>4856</v>
      </c>
      <c r="E65" t="s">
        <v>5482</v>
      </c>
      <c r="F65" t="s">
        <v>5287</v>
      </c>
      <c r="G65" s="23">
        <v>37029</v>
      </c>
      <c r="H65" s="23">
        <v>38042</v>
      </c>
      <c r="I65" t="s">
        <v>5383</v>
      </c>
    </row>
    <row r="66" spans="1:9" x14ac:dyDescent="0.25">
      <c r="A66" t="s">
        <v>5166</v>
      </c>
      <c r="B66" t="s">
        <v>5486</v>
      </c>
      <c r="C66" t="s">
        <v>5487</v>
      </c>
      <c r="D66" t="s">
        <v>4856</v>
      </c>
      <c r="E66" t="s">
        <v>5482</v>
      </c>
      <c r="F66" t="s">
        <v>5287</v>
      </c>
      <c r="G66" s="23">
        <v>38579</v>
      </c>
      <c r="H66" s="23">
        <v>39558</v>
      </c>
      <c r="I66" t="s">
        <v>5488</v>
      </c>
    </row>
  </sheetData>
  <pageMargins left="0.7" right="0.7" top="0.75" bottom="0.75" header="0.3" footer="0.3"/>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6"/>
  <sheetViews>
    <sheetView workbookViewId="0">
      <selection activeCell="C15" sqref="C15"/>
    </sheetView>
  </sheetViews>
  <sheetFormatPr baseColWidth="10" defaultRowHeight="15" x14ac:dyDescent="0.25"/>
  <cols>
    <col min="1" max="1" width="29.42578125" customWidth="1"/>
    <col min="2" max="2" width="10.5703125" bestFit="1" customWidth="1"/>
    <col min="3" max="3" width="24.5703125" customWidth="1"/>
    <col min="4" max="4" width="7.42578125" bestFit="1" customWidth="1"/>
    <col min="5" max="5" width="16.85546875" customWidth="1"/>
    <col min="6" max="6" width="9.5703125" bestFit="1" customWidth="1"/>
    <col min="7" max="7" width="20.85546875" customWidth="1"/>
    <col min="8" max="8" width="19.85546875" customWidth="1"/>
  </cols>
  <sheetData>
    <row r="1" spans="1:8" ht="30.75" thickBot="1" x14ac:dyDescent="0.3">
      <c r="A1" s="32" t="s">
        <v>6100</v>
      </c>
      <c r="B1" s="32" t="s">
        <v>6101</v>
      </c>
      <c r="C1" s="32" t="s">
        <v>6102</v>
      </c>
      <c r="D1" s="32" t="s">
        <v>6103</v>
      </c>
      <c r="E1" s="32" t="s">
        <v>6104</v>
      </c>
      <c r="F1" s="32" t="s">
        <v>6105</v>
      </c>
      <c r="G1" s="32" t="s">
        <v>6106</v>
      </c>
      <c r="H1" s="32" t="s">
        <v>6107</v>
      </c>
    </row>
    <row r="2" spans="1:8" ht="15.75" thickBot="1" x14ac:dyDescent="0.3">
      <c r="A2" s="33" t="s">
        <v>6108</v>
      </c>
      <c r="B2" s="34" t="s">
        <v>6082</v>
      </c>
      <c r="C2" s="34" t="s">
        <v>6109</v>
      </c>
      <c r="D2" s="34" t="s">
        <v>6110</v>
      </c>
      <c r="E2" s="34" t="s">
        <v>6111</v>
      </c>
      <c r="F2" s="34" t="s">
        <v>6112</v>
      </c>
      <c r="G2" s="34" t="s">
        <v>6113</v>
      </c>
      <c r="H2" s="34" t="s">
        <v>6114</v>
      </c>
    </row>
    <row r="3" spans="1:8" ht="15.75" thickBot="1" x14ac:dyDescent="0.3">
      <c r="A3" s="33" t="s">
        <v>6108</v>
      </c>
      <c r="B3" s="34" t="s">
        <v>6081</v>
      </c>
      <c r="C3" s="34" t="s">
        <v>6115</v>
      </c>
      <c r="D3" s="34" t="s">
        <v>6116</v>
      </c>
      <c r="E3" s="34" t="s">
        <v>6111</v>
      </c>
      <c r="F3" s="34" t="s">
        <v>6112</v>
      </c>
      <c r="G3" s="34" t="s">
        <v>6113</v>
      </c>
      <c r="H3" s="34" t="s">
        <v>6114</v>
      </c>
    </row>
    <row r="4" spans="1:8" ht="29.25" thickBot="1" x14ac:dyDescent="0.3">
      <c r="A4" s="33" t="s">
        <v>6108</v>
      </c>
      <c r="B4" s="34" t="s">
        <v>6117</v>
      </c>
      <c r="C4" s="34" t="s">
        <v>6118</v>
      </c>
      <c r="D4" s="34" t="s">
        <v>6119</v>
      </c>
      <c r="E4" s="34" t="s">
        <v>6111</v>
      </c>
      <c r="F4" s="34" t="s">
        <v>6112</v>
      </c>
      <c r="G4" s="34" t="s">
        <v>6113</v>
      </c>
      <c r="H4" s="34" t="s">
        <v>6114</v>
      </c>
    </row>
    <row r="5" spans="1:8" ht="15.75" thickBot="1" x14ac:dyDescent="0.3">
      <c r="A5" s="33" t="s">
        <v>6108</v>
      </c>
      <c r="B5" s="34" t="s">
        <v>6080</v>
      </c>
      <c r="C5" s="34" t="s">
        <v>6120</v>
      </c>
      <c r="D5" s="34" t="s">
        <v>6110</v>
      </c>
      <c r="E5" s="34" t="s">
        <v>6111</v>
      </c>
      <c r="F5" s="34" t="s">
        <v>6112</v>
      </c>
      <c r="G5" s="34" t="s">
        <v>6113</v>
      </c>
      <c r="H5" s="34" t="s">
        <v>6114</v>
      </c>
    </row>
    <row r="6" spans="1:8" ht="29.25" thickBot="1" x14ac:dyDescent="0.3">
      <c r="A6" s="33" t="s">
        <v>6108</v>
      </c>
      <c r="B6" s="34" t="s">
        <v>6121</v>
      </c>
      <c r="C6" s="34" t="s">
        <v>6122</v>
      </c>
      <c r="D6" s="34" t="s">
        <v>6123</v>
      </c>
      <c r="E6" s="34" t="s">
        <v>6111</v>
      </c>
      <c r="F6" s="34" t="s">
        <v>6124</v>
      </c>
      <c r="G6" s="34" t="s">
        <v>6113</v>
      </c>
      <c r="H6" s="34" t="s">
        <v>6114</v>
      </c>
    </row>
    <row r="7" spans="1:8" ht="29.25" thickBot="1" x14ac:dyDescent="0.3">
      <c r="A7" s="33" t="s">
        <v>6108</v>
      </c>
      <c r="B7" s="34" t="s">
        <v>6125</v>
      </c>
      <c r="C7" s="34" t="s">
        <v>6126</v>
      </c>
      <c r="D7" s="34" t="s">
        <v>6123</v>
      </c>
      <c r="E7" s="34" t="s">
        <v>6111</v>
      </c>
      <c r="F7" s="34" t="s">
        <v>6124</v>
      </c>
      <c r="G7" s="34" t="s">
        <v>6113</v>
      </c>
      <c r="H7" s="34" t="s">
        <v>6114</v>
      </c>
    </row>
    <row r="8" spans="1:8" ht="15.75" thickBot="1" x14ac:dyDescent="0.3">
      <c r="A8" s="33" t="s">
        <v>6127</v>
      </c>
      <c r="B8" s="34" t="s">
        <v>6085</v>
      </c>
      <c r="C8" s="34" t="s">
        <v>6128</v>
      </c>
      <c r="D8" s="34" t="s">
        <v>6129</v>
      </c>
      <c r="E8" s="34" t="s">
        <v>6111</v>
      </c>
      <c r="F8" s="34" t="s">
        <v>6112</v>
      </c>
      <c r="G8" s="34" t="s">
        <v>6113</v>
      </c>
      <c r="H8" s="34" t="s">
        <v>6130</v>
      </c>
    </row>
    <row r="9" spans="1:8" ht="15.75" thickBot="1" x14ac:dyDescent="0.3">
      <c r="A9" s="33" t="s">
        <v>6127</v>
      </c>
      <c r="B9" s="34" t="s">
        <v>5533</v>
      </c>
      <c r="C9" s="34" t="s">
        <v>6131</v>
      </c>
      <c r="D9" s="34" t="s">
        <v>6132</v>
      </c>
      <c r="E9" s="34" t="s">
        <v>6111</v>
      </c>
      <c r="F9" s="34" t="s">
        <v>6112</v>
      </c>
      <c r="G9" s="34" t="s">
        <v>6113</v>
      </c>
      <c r="H9" s="34" t="s">
        <v>6130</v>
      </c>
    </row>
    <row r="10" spans="1:8" ht="15.75" thickBot="1" x14ac:dyDescent="0.3">
      <c r="A10" s="33" t="s">
        <v>6127</v>
      </c>
      <c r="B10" s="34" t="s">
        <v>5489</v>
      </c>
      <c r="C10" s="34" t="s">
        <v>6133</v>
      </c>
      <c r="D10" s="34" t="s">
        <v>6134</v>
      </c>
      <c r="E10" s="34" t="s">
        <v>6111</v>
      </c>
      <c r="F10" s="34" t="s">
        <v>6112</v>
      </c>
      <c r="G10" s="34" t="s">
        <v>6113</v>
      </c>
      <c r="H10" s="34" t="s">
        <v>6130</v>
      </c>
    </row>
    <row r="11" spans="1:8" ht="29.25" thickBot="1" x14ac:dyDescent="0.3">
      <c r="A11" s="33" t="s">
        <v>6135</v>
      </c>
      <c r="B11" s="34" t="s">
        <v>6078</v>
      </c>
      <c r="C11" s="34" t="s">
        <v>6136</v>
      </c>
      <c r="D11" s="34" t="s">
        <v>6137</v>
      </c>
      <c r="E11" s="34" t="s">
        <v>6111</v>
      </c>
      <c r="F11" s="34" t="s">
        <v>6112</v>
      </c>
      <c r="G11" s="34" t="s">
        <v>6138</v>
      </c>
      <c r="H11" s="33" t="s">
        <v>6139</v>
      </c>
    </row>
    <row r="12" spans="1:8" ht="15.75" thickBot="1" x14ac:dyDescent="0.3">
      <c r="A12" s="33" t="s">
        <v>6135</v>
      </c>
      <c r="B12" s="34" t="s">
        <v>6071</v>
      </c>
      <c r="C12" s="34" t="s">
        <v>6140</v>
      </c>
      <c r="D12" s="34" t="s">
        <v>6141</v>
      </c>
      <c r="E12" s="34" t="s">
        <v>6111</v>
      </c>
      <c r="F12" s="34" t="s">
        <v>6112</v>
      </c>
      <c r="G12" s="34" t="s">
        <v>6113</v>
      </c>
      <c r="H12" s="34" t="s">
        <v>6114</v>
      </c>
    </row>
    <row r="13" spans="1:8" ht="15.75" thickBot="1" x14ac:dyDescent="0.3">
      <c r="A13" s="33" t="s">
        <v>6135</v>
      </c>
      <c r="B13" s="34" t="s">
        <v>6070</v>
      </c>
      <c r="C13" s="34" t="s">
        <v>6142</v>
      </c>
      <c r="D13" s="34" t="s">
        <v>6141</v>
      </c>
      <c r="E13" s="34" t="s">
        <v>6111</v>
      </c>
      <c r="F13" s="34" t="s">
        <v>6112</v>
      </c>
      <c r="G13" s="34" t="s">
        <v>6113</v>
      </c>
      <c r="H13" s="34" t="s">
        <v>6114</v>
      </c>
    </row>
    <row r="14" spans="1:8" ht="29.25" thickBot="1" x14ac:dyDescent="0.3">
      <c r="A14" s="33" t="s">
        <v>6143</v>
      </c>
      <c r="B14" s="34" t="s">
        <v>4711</v>
      </c>
      <c r="C14" s="34" t="s">
        <v>6144</v>
      </c>
      <c r="D14" s="34" t="s">
        <v>6145</v>
      </c>
      <c r="E14" s="34" t="s">
        <v>6111</v>
      </c>
      <c r="F14" s="34" t="s">
        <v>6112</v>
      </c>
      <c r="G14" s="34" t="s">
        <v>6138</v>
      </c>
      <c r="H14" s="33" t="s">
        <v>6139</v>
      </c>
    </row>
    <row r="15" spans="1:8" ht="29.25" thickBot="1" x14ac:dyDescent="0.3">
      <c r="A15" s="33" t="s">
        <v>6143</v>
      </c>
      <c r="B15" s="34" t="s">
        <v>5734</v>
      </c>
      <c r="C15" s="34" t="s">
        <v>6146</v>
      </c>
      <c r="D15" s="34" t="s">
        <v>6147</v>
      </c>
      <c r="E15" s="34" t="s">
        <v>6111</v>
      </c>
      <c r="F15" s="34" t="s">
        <v>6112</v>
      </c>
      <c r="G15" s="34" t="s">
        <v>6113</v>
      </c>
      <c r="H15" s="34" t="s">
        <v>6148</v>
      </c>
    </row>
    <row r="16" spans="1:8" ht="15.75" thickBot="1" x14ac:dyDescent="0.3">
      <c r="A16" s="33" t="s">
        <v>6143</v>
      </c>
      <c r="B16" s="34" t="s">
        <v>6149</v>
      </c>
      <c r="C16" s="34" t="s">
        <v>6150</v>
      </c>
      <c r="D16" s="34" t="s">
        <v>6129</v>
      </c>
      <c r="E16" s="34" t="s">
        <v>6111</v>
      </c>
      <c r="F16" s="34" t="s">
        <v>6112</v>
      </c>
      <c r="G16" s="34" t="s">
        <v>6113</v>
      </c>
      <c r="H16" s="34" t="s">
        <v>6130</v>
      </c>
    </row>
  </sheetData>
  <pageMargins left="0.7" right="0.7" top="0.75" bottom="0.75" header="0.3" footer="0.3"/>
  <pageSetup paperSize="9" orientation="portrait" r:id="rId1"/>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76"/>
  <sheetViews>
    <sheetView workbookViewId="0">
      <selection activeCell="E12" sqref="E12"/>
    </sheetView>
  </sheetViews>
  <sheetFormatPr baseColWidth="10" defaultRowHeight="15.75" x14ac:dyDescent="0.25"/>
  <cols>
    <col min="1" max="1" width="48.7109375" style="2" customWidth="1"/>
    <col min="4" max="4" width="13.28515625" bestFit="1" customWidth="1"/>
    <col min="7" max="7" width="13.28515625" bestFit="1" customWidth="1"/>
  </cols>
  <sheetData>
    <row r="1" spans="1:7" x14ac:dyDescent="0.25">
      <c r="A1" s="1" t="s">
        <v>5489</v>
      </c>
    </row>
    <row r="2" spans="1:7" ht="30" x14ac:dyDescent="0.25">
      <c r="A2" s="1"/>
      <c r="D2" s="38" t="s">
        <v>6249</v>
      </c>
      <c r="E2" s="38" t="s">
        <v>4573</v>
      </c>
      <c r="F2" s="38" t="s">
        <v>4574</v>
      </c>
      <c r="G2" s="38" t="s">
        <v>6250</v>
      </c>
    </row>
    <row r="3" spans="1:7" ht="60" x14ac:dyDescent="0.25">
      <c r="A3" s="5" t="s">
        <v>6235</v>
      </c>
      <c r="D3" s="39" t="s">
        <v>6261</v>
      </c>
      <c r="E3" s="39" t="s">
        <v>6178</v>
      </c>
      <c r="F3" s="39" t="s">
        <v>68</v>
      </c>
      <c r="G3" s="39" t="s">
        <v>6262</v>
      </c>
    </row>
    <row r="4" spans="1:7" ht="75" x14ac:dyDescent="0.25">
      <c r="A4" s="5" t="s">
        <v>6154</v>
      </c>
      <c r="D4" s="39" t="s">
        <v>6281</v>
      </c>
      <c r="E4" s="39" t="s">
        <v>6188</v>
      </c>
      <c r="F4" s="39" t="s">
        <v>68</v>
      </c>
      <c r="G4" s="39" t="s">
        <v>6282</v>
      </c>
    </row>
    <row r="5" spans="1:7" ht="45" x14ac:dyDescent="0.25">
      <c r="A5" s="30" t="s">
        <v>6233</v>
      </c>
      <c r="D5" s="39" t="s">
        <v>6245</v>
      </c>
      <c r="E5" s="39" t="s">
        <v>6245</v>
      </c>
      <c r="F5" s="39" t="s">
        <v>68</v>
      </c>
      <c r="G5" s="39" t="s">
        <v>6283</v>
      </c>
    </row>
    <row r="6" spans="1:7" ht="45" x14ac:dyDescent="0.25">
      <c r="A6" s="30" t="s">
        <v>6234</v>
      </c>
      <c r="D6" s="39" t="s">
        <v>6284</v>
      </c>
      <c r="E6" s="39" t="s">
        <v>6285</v>
      </c>
      <c r="F6" s="39" t="s">
        <v>68</v>
      </c>
      <c r="G6" s="39" t="s">
        <v>6286</v>
      </c>
    </row>
    <row r="7" spans="1:7" ht="75" x14ac:dyDescent="0.25">
      <c r="A7" s="30" t="s">
        <v>6232</v>
      </c>
      <c r="D7" s="39" t="s">
        <v>6296</v>
      </c>
      <c r="E7" s="39" t="s">
        <v>6242</v>
      </c>
      <c r="F7" s="39" t="s">
        <v>68</v>
      </c>
      <c r="G7" s="39" t="s">
        <v>6297</v>
      </c>
    </row>
    <row r="8" spans="1:7" ht="45" x14ac:dyDescent="0.25">
      <c r="A8" s="30" t="s">
        <v>6231</v>
      </c>
      <c r="D8" s="39" t="s">
        <v>6243</v>
      </c>
      <c r="E8" s="39" t="s">
        <v>6243</v>
      </c>
      <c r="F8" s="39" t="s">
        <v>68</v>
      </c>
      <c r="G8" s="39" t="s">
        <v>6298</v>
      </c>
    </row>
    <row r="9" spans="1:7" ht="45" x14ac:dyDescent="0.25">
      <c r="A9" s="5" t="s">
        <v>5637</v>
      </c>
      <c r="D9" s="39" t="s">
        <v>6157</v>
      </c>
      <c r="E9" s="39" t="s">
        <v>6157</v>
      </c>
      <c r="F9" s="39" t="s">
        <v>68</v>
      </c>
      <c r="G9" s="39" t="s">
        <v>6299</v>
      </c>
    </row>
    <row r="10" spans="1:7" ht="60" x14ac:dyDescent="0.25">
      <c r="A10" s="5" t="s">
        <v>5642</v>
      </c>
      <c r="D10" s="39" t="s">
        <v>6300</v>
      </c>
      <c r="E10" s="39" t="s">
        <v>6244</v>
      </c>
      <c r="F10" s="39" t="s">
        <v>68</v>
      </c>
      <c r="G10" s="39" t="s">
        <v>6295</v>
      </c>
    </row>
    <row r="11" spans="1:7" ht="45" x14ac:dyDescent="0.25">
      <c r="A11" s="5" t="s">
        <v>6230</v>
      </c>
      <c r="D11" s="39" t="s">
        <v>6221</v>
      </c>
      <c r="E11" s="39" t="s">
        <v>6221</v>
      </c>
      <c r="F11" s="39" t="s">
        <v>68</v>
      </c>
      <c r="G11" s="39" t="s">
        <v>6312</v>
      </c>
    </row>
    <row r="12" spans="1:7" ht="45" x14ac:dyDescent="0.25">
      <c r="A12" s="5" t="s">
        <v>4582</v>
      </c>
      <c r="D12" s="39" t="s">
        <v>6238</v>
      </c>
      <c r="E12" s="39" t="s">
        <v>6238</v>
      </c>
      <c r="F12" s="39" t="s">
        <v>68</v>
      </c>
      <c r="G12" s="39" t="s">
        <v>6313</v>
      </c>
    </row>
    <row r="13" spans="1:7" ht="60" x14ac:dyDescent="0.25">
      <c r="A13" s="5" t="s">
        <v>5653</v>
      </c>
      <c r="D13" s="39" t="s">
        <v>5637</v>
      </c>
      <c r="E13" s="39" t="s">
        <v>6268</v>
      </c>
      <c r="F13" s="39" t="s">
        <v>6269</v>
      </c>
      <c r="G13" s="39" t="s">
        <v>6270</v>
      </c>
    </row>
    <row r="14" spans="1:7" ht="45" x14ac:dyDescent="0.25">
      <c r="A14" s="5" t="s">
        <v>6236</v>
      </c>
      <c r="D14" s="39" t="s">
        <v>6251</v>
      </c>
      <c r="E14" s="39" t="s">
        <v>6235</v>
      </c>
      <c r="F14" s="39" t="s">
        <v>6252</v>
      </c>
      <c r="G14" s="39" t="s">
        <v>6253</v>
      </c>
    </row>
    <row r="15" spans="1:7" ht="45" x14ac:dyDescent="0.25">
      <c r="A15" s="5" t="s">
        <v>5676</v>
      </c>
      <c r="D15" s="39" t="s">
        <v>6294</v>
      </c>
      <c r="E15" s="39" t="s">
        <v>6294</v>
      </c>
      <c r="F15" s="39" t="s">
        <v>299</v>
      </c>
      <c r="G15" s="39" t="s">
        <v>6295</v>
      </c>
    </row>
    <row r="16" spans="1:7" ht="45" x14ac:dyDescent="0.25">
      <c r="A16" s="30" t="s">
        <v>6188</v>
      </c>
      <c r="D16" s="39" t="s">
        <v>6265</v>
      </c>
      <c r="E16" s="39" t="s">
        <v>6266</v>
      </c>
      <c r="F16" s="39" t="s">
        <v>341</v>
      </c>
      <c r="G16" s="39" t="s">
        <v>6267</v>
      </c>
    </row>
    <row r="17" spans="1:7" ht="60" x14ac:dyDescent="0.25">
      <c r="A17" s="30" t="s">
        <v>6245</v>
      </c>
      <c r="D17" s="39" t="s">
        <v>6271</v>
      </c>
      <c r="E17" s="39" t="s">
        <v>5642</v>
      </c>
      <c r="F17" s="39" t="s">
        <v>341</v>
      </c>
      <c r="G17" s="39" t="s">
        <v>6272</v>
      </c>
    </row>
    <row r="18" spans="1:7" ht="45" x14ac:dyDescent="0.25">
      <c r="A18" s="5" t="s">
        <v>6248</v>
      </c>
      <c r="D18" s="39" t="s">
        <v>6278</v>
      </c>
      <c r="E18" s="39" t="s">
        <v>6279</v>
      </c>
      <c r="F18" s="39" t="s">
        <v>367</v>
      </c>
      <c r="G18" s="39" t="s">
        <v>6280</v>
      </c>
    </row>
    <row r="19" spans="1:7" ht="30" x14ac:dyDescent="0.25">
      <c r="A19" s="5" t="s">
        <v>393</v>
      </c>
      <c r="D19" s="39" t="s">
        <v>6307</v>
      </c>
      <c r="E19" s="39" t="s">
        <v>6240</v>
      </c>
      <c r="F19" s="39" t="s">
        <v>367</v>
      </c>
      <c r="G19" s="39" t="s">
        <v>6308</v>
      </c>
    </row>
    <row r="20" spans="1:7" ht="90" x14ac:dyDescent="0.25">
      <c r="A20" s="5" t="s">
        <v>4702</v>
      </c>
      <c r="D20" s="39" t="s">
        <v>6275</v>
      </c>
      <c r="E20" s="39" t="s">
        <v>4582</v>
      </c>
      <c r="F20" s="39" t="s">
        <v>6276</v>
      </c>
      <c r="G20" s="39" t="s">
        <v>6277</v>
      </c>
    </row>
    <row r="21" spans="1:7" ht="75" x14ac:dyDescent="0.25">
      <c r="A21" s="30" t="s">
        <v>6247</v>
      </c>
      <c r="D21" s="39" t="s">
        <v>6287</v>
      </c>
      <c r="E21" s="39" t="s">
        <v>393</v>
      </c>
      <c r="F21" s="39" t="s">
        <v>6276</v>
      </c>
      <c r="G21" s="39" t="s">
        <v>6288</v>
      </c>
    </row>
    <row r="22" spans="1:7" ht="60" x14ac:dyDescent="0.25">
      <c r="A22" s="30" t="s">
        <v>6246</v>
      </c>
      <c r="D22" s="39" t="s">
        <v>6263</v>
      </c>
      <c r="E22" s="39" t="s">
        <v>6232</v>
      </c>
      <c r="F22" s="39" t="s">
        <v>466</v>
      </c>
      <c r="G22" s="39" t="s">
        <v>6264</v>
      </c>
    </row>
    <row r="23" spans="1:7" ht="75" x14ac:dyDescent="0.25">
      <c r="A23" s="5" t="s">
        <v>6095</v>
      </c>
      <c r="D23" s="39" t="s">
        <v>6289</v>
      </c>
      <c r="E23" s="39" t="s">
        <v>6247</v>
      </c>
      <c r="F23" s="39" t="s">
        <v>466</v>
      </c>
      <c r="G23" s="39" t="s">
        <v>6290</v>
      </c>
    </row>
    <row r="24" spans="1:7" ht="30" x14ac:dyDescent="0.25">
      <c r="A24" s="5" t="s">
        <v>6242</v>
      </c>
      <c r="D24" s="39" t="s">
        <v>6291</v>
      </c>
      <c r="E24" s="39" t="s">
        <v>6292</v>
      </c>
      <c r="F24" s="39" t="s">
        <v>466</v>
      </c>
      <c r="G24" s="39" t="s">
        <v>6293</v>
      </c>
    </row>
    <row r="25" spans="1:7" ht="45" x14ac:dyDescent="0.25">
      <c r="A25" s="5" t="s">
        <v>6243</v>
      </c>
      <c r="D25" s="39" t="s">
        <v>6305</v>
      </c>
      <c r="E25" s="39" t="s">
        <v>6193</v>
      </c>
      <c r="F25" s="39" t="s">
        <v>466</v>
      </c>
      <c r="G25" s="39" t="s">
        <v>6306</v>
      </c>
    </row>
    <row r="26" spans="1:7" ht="45" x14ac:dyDescent="0.25">
      <c r="A26" s="5" t="s">
        <v>6157</v>
      </c>
      <c r="D26" s="39" t="s">
        <v>6314</v>
      </c>
      <c r="E26" s="39" t="s">
        <v>6237</v>
      </c>
      <c r="F26" s="39" t="s">
        <v>474</v>
      </c>
      <c r="G26" s="39" t="s">
        <v>6315</v>
      </c>
    </row>
    <row r="27" spans="1:7" ht="120" x14ac:dyDescent="0.25">
      <c r="A27" s="5" t="s">
        <v>6244</v>
      </c>
      <c r="D27" s="39" t="s">
        <v>6303</v>
      </c>
      <c r="E27" s="39" t="s">
        <v>6241</v>
      </c>
      <c r="F27" s="39" t="s">
        <v>630</v>
      </c>
      <c r="G27" s="39" t="s">
        <v>6304</v>
      </c>
    </row>
    <row r="28" spans="1:7" ht="45" x14ac:dyDescent="0.25">
      <c r="A28" s="5" t="s">
        <v>361</v>
      </c>
      <c r="D28" s="39" t="s">
        <v>6258</v>
      </c>
      <c r="E28" s="39" t="s">
        <v>6259</v>
      </c>
      <c r="F28" s="39" t="s">
        <v>725</v>
      </c>
      <c r="G28" s="39" t="s">
        <v>6260</v>
      </c>
    </row>
    <row r="29" spans="1:7" ht="60" x14ac:dyDescent="0.25">
      <c r="A29" s="5" t="s">
        <v>6241</v>
      </c>
      <c r="D29" s="39" t="s">
        <v>6254</v>
      </c>
      <c r="E29" s="39" t="s">
        <v>6255</v>
      </c>
      <c r="F29" s="39" t="s">
        <v>6256</v>
      </c>
      <c r="G29" s="39" t="s">
        <v>6257</v>
      </c>
    </row>
    <row r="30" spans="1:7" ht="45" x14ac:dyDescent="0.25">
      <c r="A30" s="5" t="s">
        <v>6193</v>
      </c>
      <c r="D30" s="39" t="s">
        <v>6273</v>
      </c>
      <c r="E30" s="39" t="s">
        <v>6230</v>
      </c>
      <c r="F30" s="39" t="s">
        <v>6256</v>
      </c>
      <c r="G30" s="39" t="s">
        <v>6274</v>
      </c>
    </row>
    <row r="31" spans="1:7" ht="45" x14ac:dyDescent="0.25">
      <c r="A31" s="5" t="s">
        <v>6240</v>
      </c>
      <c r="D31" s="39" t="s">
        <v>6301</v>
      </c>
      <c r="E31" s="39" t="s">
        <v>361</v>
      </c>
      <c r="F31" s="39" t="s">
        <v>6256</v>
      </c>
      <c r="G31" s="39" t="s">
        <v>6302</v>
      </c>
    </row>
    <row r="32" spans="1:7" ht="60" x14ac:dyDescent="0.25">
      <c r="A32" s="5" t="s">
        <v>6239</v>
      </c>
      <c r="D32" s="39" t="s">
        <v>6309</v>
      </c>
      <c r="E32" s="39" t="s">
        <v>6310</v>
      </c>
      <c r="F32" s="39" t="s">
        <v>6256</v>
      </c>
      <c r="G32" s="39" t="s">
        <v>6311</v>
      </c>
    </row>
    <row r="33" spans="1:1" x14ac:dyDescent="0.25">
      <c r="A33" s="5" t="s">
        <v>6221</v>
      </c>
    </row>
    <row r="34" spans="1:1" x14ac:dyDescent="0.25">
      <c r="A34" s="5" t="s">
        <v>6238</v>
      </c>
    </row>
    <row r="35" spans="1:1" x14ac:dyDescent="0.25">
      <c r="A35" s="5" t="s">
        <v>6237</v>
      </c>
    </row>
    <row r="36" spans="1:1" ht="15" x14ac:dyDescent="0.25">
      <c r="A36"/>
    </row>
    <row r="37" spans="1:1" ht="15" x14ac:dyDescent="0.25">
      <c r="A37"/>
    </row>
    <row r="38" spans="1:1" ht="15" x14ac:dyDescent="0.25">
      <c r="A38"/>
    </row>
    <row r="39" spans="1:1" ht="15" x14ac:dyDescent="0.25">
      <c r="A39"/>
    </row>
    <row r="40" spans="1:1" ht="15" x14ac:dyDescent="0.25">
      <c r="A40"/>
    </row>
    <row r="41" spans="1:1" ht="15" x14ac:dyDescent="0.25">
      <c r="A41"/>
    </row>
    <row r="42" spans="1:1" ht="15" x14ac:dyDescent="0.25">
      <c r="A42"/>
    </row>
    <row r="43" spans="1:1" ht="15" x14ac:dyDescent="0.25">
      <c r="A43"/>
    </row>
    <row r="44" spans="1:1" ht="15" x14ac:dyDescent="0.25">
      <c r="A44"/>
    </row>
    <row r="45" spans="1:1" ht="15" x14ac:dyDescent="0.25">
      <c r="A45"/>
    </row>
    <row r="46" spans="1:1" ht="15" x14ac:dyDescent="0.25">
      <c r="A46"/>
    </row>
    <row r="47" spans="1:1" ht="15" x14ac:dyDescent="0.25">
      <c r="A47"/>
    </row>
    <row r="48" spans="1:1" ht="15" x14ac:dyDescent="0.25">
      <c r="A48"/>
    </row>
    <row r="49" spans="1:1" ht="15" x14ac:dyDescent="0.25">
      <c r="A49"/>
    </row>
    <row r="50" spans="1:1" ht="15" x14ac:dyDescent="0.25">
      <c r="A50"/>
    </row>
    <row r="51" spans="1:1" ht="15" x14ac:dyDescent="0.25">
      <c r="A51"/>
    </row>
    <row r="52" spans="1:1" ht="15" x14ac:dyDescent="0.25">
      <c r="A52"/>
    </row>
    <row r="53" spans="1:1" ht="15" x14ac:dyDescent="0.25">
      <c r="A53"/>
    </row>
    <row r="54" spans="1:1" ht="15" x14ac:dyDescent="0.25">
      <c r="A54"/>
    </row>
    <row r="55" spans="1:1" ht="15" x14ac:dyDescent="0.25">
      <c r="A55"/>
    </row>
    <row r="56" spans="1:1" ht="15" x14ac:dyDescent="0.25">
      <c r="A56"/>
    </row>
    <row r="57" spans="1:1" ht="15" x14ac:dyDescent="0.25">
      <c r="A57"/>
    </row>
    <row r="58" spans="1:1" ht="15" x14ac:dyDescent="0.25">
      <c r="A58"/>
    </row>
    <row r="59" spans="1:1" ht="15" x14ac:dyDescent="0.25">
      <c r="A59"/>
    </row>
    <row r="60" spans="1:1" ht="15" x14ac:dyDescent="0.25">
      <c r="A60"/>
    </row>
    <row r="61" spans="1:1" ht="15" x14ac:dyDescent="0.25">
      <c r="A61"/>
    </row>
    <row r="62" spans="1:1" ht="15" x14ac:dyDescent="0.25">
      <c r="A62"/>
    </row>
    <row r="63" spans="1:1" ht="15" x14ac:dyDescent="0.25">
      <c r="A63"/>
    </row>
    <row r="64" spans="1:1" ht="15" x14ac:dyDescent="0.25">
      <c r="A64"/>
    </row>
    <row r="65" spans="1:1" ht="15" x14ac:dyDescent="0.25">
      <c r="A65"/>
    </row>
    <row r="66" spans="1:1" ht="15" x14ac:dyDescent="0.25">
      <c r="A66"/>
    </row>
    <row r="67" spans="1:1" ht="15" x14ac:dyDescent="0.25">
      <c r="A67"/>
    </row>
    <row r="68" spans="1:1" ht="15" x14ac:dyDescent="0.25">
      <c r="A68"/>
    </row>
    <row r="69" spans="1:1" ht="15" x14ac:dyDescent="0.25">
      <c r="A69"/>
    </row>
    <row r="70" spans="1:1" ht="15" x14ac:dyDescent="0.25">
      <c r="A70"/>
    </row>
    <row r="71" spans="1:1" ht="15" x14ac:dyDescent="0.25">
      <c r="A71"/>
    </row>
    <row r="72" spans="1:1" ht="15" x14ac:dyDescent="0.25">
      <c r="A72"/>
    </row>
    <row r="73" spans="1:1" ht="15" x14ac:dyDescent="0.25">
      <c r="A73"/>
    </row>
    <row r="74" spans="1:1" ht="15" x14ac:dyDescent="0.25">
      <c r="A74"/>
    </row>
    <row r="75" spans="1:1" ht="15" x14ac:dyDescent="0.25">
      <c r="A75"/>
    </row>
    <row r="76" spans="1:1" ht="15" x14ac:dyDescent="0.25">
      <c r="A76"/>
    </row>
  </sheetData>
  <autoFilter ref="D2:G32">
    <sortState ref="D3:G32">
      <sortCondition ref="F2:F32"/>
    </sortState>
  </autoFilter>
  <pageMargins left="0.7" right="0.7" top="0.75" bottom="0.75" header="0.3" footer="0.3"/>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76"/>
  <sheetViews>
    <sheetView workbookViewId="0">
      <selection activeCell="E12" sqref="E12"/>
    </sheetView>
  </sheetViews>
  <sheetFormatPr baseColWidth="10" defaultRowHeight="15.75" x14ac:dyDescent="0.25"/>
  <cols>
    <col min="1" max="1" width="48.7109375" style="2" customWidth="1"/>
    <col min="4" max="4" width="13.28515625" bestFit="1" customWidth="1"/>
    <col min="7" max="7" width="13.28515625" bestFit="1" customWidth="1"/>
  </cols>
  <sheetData>
    <row r="1" spans="1:7" x14ac:dyDescent="0.25">
      <c r="A1" s="1" t="s">
        <v>5489</v>
      </c>
    </row>
    <row r="2" spans="1:7" ht="30" x14ac:dyDescent="0.25">
      <c r="A2" s="1"/>
      <c r="D2" s="38" t="s">
        <v>6249</v>
      </c>
      <c r="E2" s="38" t="s">
        <v>4573</v>
      </c>
      <c r="F2" s="38" t="s">
        <v>4574</v>
      </c>
      <c r="G2" s="38" t="s">
        <v>6250</v>
      </c>
    </row>
    <row r="3" spans="1:7" ht="60" x14ac:dyDescent="0.25">
      <c r="A3" s="5" t="s">
        <v>6235</v>
      </c>
      <c r="D3" s="39" t="s">
        <v>6261</v>
      </c>
      <c r="E3" s="39" t="s">
        <v>6178</v>
      </c>
      <c r="F3" s="39" t="s">
        <v>68</v>
      </c>
      <c r="G3" s="39" t="s">
        <v>6262</v>
      </c>
    </row>
    <row r="4" spans="1:7" ht="75" x14ac:dyDescent="0.25">
      <c r="A4" s="5" t="s">
        <v>6154</v>
      </c>
      <c r="D4" s="39" t="s">
        <v>6281</v>
      </c>
      <c r="E4" s="39" t="s">
        <v>6188</v>
      </c>
      <c r="F4" s="39" t="s">
        <v>68</v>
      </c>
      <c r="G4" s="39" t="s">
        <v>6282</v>
      </c>
    </row>
    <row r="5" spans="1:7" ht="45" x14ac:dyDescent="0.25">
      <c r="A5" s="30" t="s">
        <v>6233</v>
      </c>
      <c r="D5" s="39" t="s">
        <v>6245</v>
      </c>
      <c r="E5" s="39" t="s">
        <v>6245</v>
      </c>
      <c r="F5" s="39" t="s">
        <v>68</v>
      </c>
      <c r="G5" s="39" t="s">
        <v>6283</v>
      </c>
    </row>
    <row r="6" spans="1:7" ht="45" x14ac:dyDescent="0.25">
      <c r="A6" s="30" t="s">
        <v>6234</v>
      </c>
      <c r="D6" s="39" t="s">
        <v>6284</v>
      </c>
      <c r="E6" s="39" t="s">
        <v>6285</v>
      </c>
      <c r="F6" s="39" t="s">
        <v>68</v>
      </c>
      <c r="G6" s="39" t="s">
        <v>6286</v>
      </c>
    </row>
    <row r="7" spans="1:7" ht="75" x14ac:dyDescent="0.25">
      <c r="A7" s="30" t="s">
        <v>6232</v>
      </c>
      <c r="D7" s="39" t="s">
        <v>6296</v>
      </c>
      <c r="E7" s="39" t="s">
        <v>6242</v>
      </c>
      <c r="F7" s="39" t="s">
        <v>68</v>
      </c>
      <c r="G7" s="39" t="s">
        <v>6297</v>
      </c>
    </row>
    <row r="8" spans="1:7" ht="45" x14ac:dyDescent="0.25">
      <c r="A8" s="30" t="s">
        <v>6231</v>
      </c>
      <c r="D8" s="39" t="s">
        <v>6243</v>
      </c>
      <c r="E8" s="39" t="s">
        <v>6243</v>
      </c>
      <c r="F8" s="39" t="s">
        <v>68</v>
      </c>
      <c r="G8" s="39" t="s">
        <v>6298</v>
      </c>
    </row>
    <row r="9" spans="1:7" ht="45" x14ac:dyDescent="0.25">
      <c r="A9" s="5" t="s">
        <v>5637</v>
      </c>
      <c r="D9" s="39" t="s">
        <v>6157</v>
      </c>
      <c r="E9" s="39" t="s">
        <v>6157</v>
      </c>
      <c r="F9" s="39" t="s">
        <v>68</v>
      </c>
      <c r="G9" s="39" t="s">
        <v>6299</v>
      </c>
    </row>
    <row r="10" spans="1:7" ht="60" x14ac:dyDescent="0.25">
      <c r="A10" s="5" t="s">
        <v>5642</v>
      </c>
      <c r="D10" s="39" t="s">
        <v>6300</v>
      </c>
      <c r="E10" s="39" t="s">
        <v>6244</v>
      </c>
      <c r="F10" s="39" t="s">
        <v>68</v>
      </c>
      <c r="G10" s="39" t="s">
        <v>6295</v>
      </c>
    </row>
    <row r="11" spans="1:7" ht="45" x14ac:dyDescent="0.25">
      <c r="A11" s="5" t="s">
        <v>6230</v>
      </c>
      <c r="D11" s="39" t="s">
        <v>6221</v>
      </c>
      <c r="E11" s="39" t="s">
        <v>6221</v>
      </c>
      <c r="F11" s="39" t="s">
        <v>68</v>
      </c>
      <c r="G11" s="39" t="s">
        <v>6312</v>
      </c>
    </row>
    <row r="12" spans="1:7" ht="45" x14ac:dyDescent="0.25">
      <c r="A12" s="5" t="s">
        <v>4582</v>
      </c>
      <c r="D12" s="39" t="s">
        <v>6238</v>
      </c>
      <c r="E12" s="39" t="s">
        <v>6238</v>
      </c>
      <c r="F12" s="39" t="s">
        <v>68</v>
      </c>
      <c r="G12" s="39" t="s">
        <v>6313</v>
      </c>
    </row>
    <row r="13" spans="1:7" ht="60" x14ac:dyDescent="0.25">
      <c r="A13" s="5" t="s">
        <v>5653</v>
      </c>
      <c r="D13" s="39" t="s">
        <v>5637</v>
      </c>
      <c r="E13" s="39" t="s">
        <v>6268</v>
      </c>
      <c r="F13" s="39" t="s">
        <v>6269</v>
      </c>
      <c r="G13" s="39" t="s">
        <v>6270</v>
      </c>
    </row>
    <row r="14" spans="1:7" ht="45" x14ac:dyDescent="0.25">
      <c r="A14" s="5" t="s">
        <v>6236</v>
      </c>
      <c r="D14" s="39" t="s">
        <v>6251</v>
      </c>
      <c r="E14" s="39" t="s">
        <v>6235</v>
      </c>
      <c r="F14" s="39" t="s">
        <v>6252</v>
      </c>
      <c r="G14" s="39" t="s">
        <v>6253</v>
      </c>
    </row>
    <row r="15" spans="1:7" ht="45" x14ac:dyDescent="0.25">
      <c r="A15" s="5" t="s">
        <v>5676</v>
      </c>
      <c r="D15" s="39" t="s">
        <v>6294</v>
      </c>
      <c r="E15" s="39" t="s">
        <v>6294</v>
      </c>
      <c r="F15" s="39" t="s">
        <v>299</v>
      </c>
      <c r="G15" s="39" t="s">
        <v>6295</v>
      </c>
    </row>
    <row r="16" spans="1:7" ht="45" x14ac:dyDescent="0.25">
      <c r="A16" s="30" t="s">
        <v>6188</v>
      </c>
      <c r="D16" s="39" t="s">
        <v>6265</v>
      </c>
      <c r="E16" s="39" t="s">
        <v>6266</v>
      </c>
      <c r="F16" s="39" t="s">
        <v>341</v>
      </c>
      <c r="G16" s="39" t="s">
        <v>6267</v>
      </c>
    </row>
    <row r="17" spans="1:7" ht="60" x14ac:dyDescent="0.25">
      <c r="A17" s="30" t="s">
        <v>6245</v>
      </c>
      <c r="D17" s="39" t="s">
        <v>6271</v>
      </c>
      <c r="E17" s="39" t="s">
        <v>5642</v>
      </c>
      <c r="F17" s="39" t="s">
        <v>341</v>
      </c>
      <c r="G17" s="39" t="s">
        <v>6272</v>
      </c>
    </row>
    <row r="18" spans="1:7" ht="45" x14ac:dyDescent="0.25">
      <c r="A18" s="5" t="s">
        <v>6248</v>
      </c>
      <c r="D18" s="39" t="s">
        <v>6278</v>
      </c>
      <c r="E18" s="39" t="s">
        <v>6279</v>
      </c>
      <c r="F18" s="39" t="s">
        <v>367</v>
      </c>
      <c r="G18" s="39" t="s">
        <v>6280</v>
      </c>
    </row>
    <row r="19" spans="1:7" ht="30" x14ac:dyDescent="0.25">
      <c r="A19" s="5" t="s">
        <v>393</v>
      </c>
      <c r="D19" s="39" t="s">
        <v>6307</v>
      </c>
      <c r="E19" s="39" t="s">
        <v>6240</v>
      </c>
      <c r="F19" s="39" t="s">
        <v>367</v>
      </c>
      <c r="G19" s="39" t="s">
        <v>6308</v>
      </c>
    </row>
    <row r="20" spans="1:7" ht="90" x14ac:dyDescent="0.25">
      <c r="A20" s="5" t="s">
        <v>4702</v>
      </c>
      <c r="D20" s="39" t="s">
        <v>6275</v>
      </c>
      <c r="E20" s="39" t="s">
        <v>4582</v>
      </c>
      <c r="F20" s="39" t="s">
        <v>6276</v>
      </c>
      <c r="G20" s="39" t="s">
        <v>6277</v>
      </c>
    </row>
    <row r="21" spans="1:7" ht="75" x14ac:dyDescent="0.25">
      <c r="A21" s="30" t="s">
        <v>6247</v>
      </c>
      <c r="D21" s="39" t="s">
        <v>6287</v>
      </c>
      <c r="E21" s="39" t="s">
        <v>393</v>
      </c>
      <c r="F21" s="39" t="s">
        <v>6276</v>
      </c>
      <c r="G21" s="39" t="s">
        <v>6288</v>
      </c>
    </row>
    <row r="22" spans="1:7" ht="60" x14ac:dyDescent="0.25">
      <c r="A22" s="30" t="s">
        <v>6246</v>
      </c>
      <c r="D22" s="39" t="s">
        <v>6263</v>
      </c>
      <c r="E22" s="39" t="s">
        <v>6232</v>
      </c>
      <c r="F22" s="39" t="s">
        <v>466</v>
      </c>
      <c r="G22" s="39" t="s">
        <v>6264</v>
      </c>
    </row>
    <row r="23" spans="1:7" ht="75" x14ac:dyDescent="0.25">
      <c r="A23" s="5" t="s">
        <v>6095</v>
      </c>
      <c r="D23" s="39" t="s">
        <v>6289</v>
      </c>
      <c r="E23" s="39" t="s">
        <v>6247</v>
      </c>
      <c r="F23" s="39" t="s">
        <v>466</v>
      </c>
      <c r="G23" s="39" t="s">
        <v>6290</v>
      </c>
    </row>
    <row r="24" spans="1:7" ht="30" x14ac:dyDescent="0.25">
      <c r="A24" s="5" t="s">
        <v>6242</v>
      </c>
      <c r="D24" s="39" t="s">
        <v>6291</v>
      </c>
      <c r="E24" s="39" t="s">
        <v>6292</v>
      </c>
      <c r="F24" s="39" t="s">
        <v>466</v>
      </c>
      <c r="G24" s="39" t="s">
        <v>6293</v>
      </c>
    </row>
    <row r="25" spans="1:7" ht="45" x14ac:dyDescent="0.25">
      <c r="A25" s="5" t="s">
        <v>6243</v>
      </c>
      <c r="D25" s="39" t="s">
        <v>6305</v>
      </c>
      <c r="E25" s="39" t="s">
        <v>6193</v>
      </c>
      <c r="F25" s="39" t="s">
        <v>466</v>
      </c>
      <c r="G25" s="39" t="s">
        <v>6306</v>
      </c>
    </row>
    <row r="26" spans="1:7" ht="45" x14ac:dyDescent="0.25">
      <c r="A26" s="5" t="s">
        <v>6157</v>
      </c>
      <c r="D26" s="39" t="s">
        <v>6314</v>
      </c>
      <c r="E26" s="39" t="s">
        <v>6237</v>
      </c>
      <c r="F26" s="39" t="s">
        <v>474</v>
      </c>
      <c r="G26" s="39" t="s">
        <v>6315</v>
      </c>
    </row>
    <row r="27" spans="1:7" ht="120" x14ac:dyDescent="0.25">
      <c r="A27" s="5" t="s">
        <v>6244</v>
      </c>
      <c r="D27" s="39" t="s">
        <v>6303</v>
      </c>
      <c r="E27" s="39" t="s">
        <v>6241</v>
      </c>
      <c r="F27" s="39" t="s">
        <v>630</v>
      </c>
      <c r="G27" s="39" t="s">
        <v>6304</v>
      </c>
    </row>
    <row r="28" spans="1:7" ht="45" x14ac:dyDescent="0.25">
      <c r="A28" s="5" t="s">
        <v>361</v>
      </c>
      <c r="D28" s="39" t="s">
        <v>6258</v>
      </c>
      <c r="E28" s="39" t="s">
        <v>6259</v>
      </c>
      <c r="F28" s="39" t="s">
        <v>725</v>
      </c>
      <c r="G28" s="39" t="s">
        <v>6260</v>
      </c>
    </row>
    <row r="29" spans="1:7" ht="60" x14ac:dyDescent="0.25">
      <c r="A29" s="5" t="s">
        <v>6241</v>
      </c>
      <c r="D29" s="39" t="s">
        <v>6254</v>
      </c>
      <c r="E29" s="39" t="s">
        <v>6255</v>
      </c>
      <c r="F29" s="39" t="s">
        <v>6256</v>
      </c>
      <c r="G29" s="39" t="s">
        <v>6257</v>
      </c>
    </row>
    <row r="30" spans="1:7" ht="45" x14ac:dyDescent="0.25">
      <c r="A30" s="5" t="s">
        <v>6193</v>
      </c>
      <c r="D30" s="39" t="s">
        <v>6273</v>
      </c>
      <c r="E30" s="39" t="s">
        <v>6230</v>
      </c>
      <c r="F30" s="39" t="s">
        <v>6256</v>
      </c>
      <c r="G30" s="39" t="s">
        <v>6274</v>
      </c>
    </row>
    <row r="31" spans="1:7" ht="45" x14ac:dyDescent="0.25">
      <c r="A31" s="5" t="s">
        <v>6240</v>
      </c>
      <c r="D31" s="39" t="s">
        <v>6301</v>
      </c>
      <c r="E31" s="39" t="s">
        <v>361</v>
      </c>
      <c r="F31" s="39" t="s">
        <v>6256</v>
      </c>
      <c r="G31" s="39" t="s">
        <v>6302</v>
      </c>
    </row>
    <row r="32" spans="1:7" ht="60" x14ac:dyDescent="0.25">
      <c r="A32" s="5" t="s">
        <v>6239</v>
      </c>
      <c r="D32" s="39" t="s">
        <v>6309</v>
      </c>
      <c r="E32" s="39" t="s">
        <v>6310</v>
      </c>
      <c r="F32" s="39" t="s">
        <v>6256</v>
      </c>
      <c r="G32" s="39" t="s">
        <v>6311</v>
      </c>
    </row>
    <row r="33" spans="1:1" x14ac:dyDescent="0.25">
      <c r="A33" s="5" t="s">
        <v>6221</v>
      </c>
    </row>
    <row r="34" spans="1:1" x14ac:dyDescent="0.25">
      <c r="A34" s="5" t="s">
        <v>6238</v>
      </c>
    </row>
    <row r="35" spans="1:1" x14ac:dyDescent="0.25">
      <c r="A35" s="5" t="s">
        <v>6237</v>
      </c>
    </row>
    <row r="36" spans="1:1" ht="15" x14ac:dyDescent="0.25">
      <c r="A36"/>
    </row>
    <row r="37" spans="1:1" ht="15" x14ac:dyDescent="0.25">
      <c r="A37"/>
    </row>
    <row r="38" spans="1:1" ht="15" x14ac:dyDescent="0.25">
      <c r="A38"/>
    </row>
    <row r="39" spans="1:1" ht="15" x14ac:dyDescent="0.25">
      <c r="A39"/>
    </row>
    <row r="40" spans="1:1" ht="15" x14ac:dyDescent="0.25">
      <c r="A40"/>
    </row>
    <row r="41" spans="1:1" ht="15" x14ac:dyDescent="0.25">
      <c r="A41"/>
    </row>
    <row r="42" spans="1:1" ht="15" x14ac:dyDescent="0.25">
      <c r="A42"/>
    </row>
    <row r="43" spans="1:1" ht="15" x14ac:dyDescent="0.25">
      <c r="A43"/>
    </row>
    <row r="44" spans="1:1" ht="15" x14ac:dyDescent="0.25">
      <c r="A44"/>
    </row>
    <row r="45" spans="1:1" ht="15" x14ac:dyDescent="0.25">
      <c r="A45"/>
    </row>
    <row r="46" spans="1:1" ht="15" x14ac:dyDescent="0.25">
      <c r="A46"/>
    </row>
    <row r="47" spans="1:1" ht="15" x14ac:dyDescent="0.25">
      <c r="A47"/>
    </row>
    <row r="48" spans="1:1" ht="15" x14ac:dyDescent="0.25">
      <c r="A48"/>
    </row>
    <row r="49" spans="1:1" ht="15" x14ac:dyDescent="0.25">
      <c r="A49"/>
    </row>
    <row r="50" spans="1:1" ht="15" x14ac:dyDescent="0.25">
      <c r="A50"/>
    </row>
    <row r="51" spans="1:1" ht="15" x14ac:dyDescent="0.25">
      <c r="A51"/>
    </row>
    <row r="52" spans="1:1" ht="15" x14ac:dyDescent="0.25">
      <c r="A52"/>
    </row>
    <row r="53" spans="1:1" ht="15" x14ac:dyDescent="0.25">
      <c r="A53"/>
    </row>
    <row r="54" spans="1:1" ht="15" x14ac:dyDescent="0.25">
      <c r="A54"/>
    </row>
    <row r="55" spans="1:1" ht="15" x14ac:dyDescent="0.25">
      <c r="A55"/>
    </row>
    <row r="56" spans="1:1" ht="15" x14ac:dyDescent="0.25">
      <c r="A56"/>
    </row>
    <row r="57" spans="1:1" ht="15" x14ac:dyDescent="0.25">
      <c r="A57"/>
    </row>
    <row r="58" spans="1:1" ht="15" x14ac:dyDescent="0.25">
      <c r="A58"/>
    </row>
    <row r="59" spans="1:1" ht="15" x14ac:dyDescent="0.25">
      <c r="A59"/>
    </row>
    <row r="60" spans="1:1" ht="15" x14ac:dyDescent="0.25">
      <c r="A60"/>
    </row>
    <row r="61" spans="1:1" ht="15" x14ac:dyDescent="0.25">
      <c r="A61"/>
    </row>
    <row r="62" spans="1:1" ht="15" x14ac:dyDescent="0.25">
      <c r="A62"/>
    </row>
    <row r="63" spans="1:1" ht="15" x14ac:dyDescent="0.25">
      <c r="A63"/>
    </row>
    <row r="64" spans="1:1" ht="15" x14ac:dyDescent="0.25">
      <c r="A64"/>
    </row>
    <row r="65" spans="1:1" ht="15" x14ac:dyDescent="0.25">
      <c r="A65"/>
    </row>
    <row r="66" spans="1:1" ht="15" x14ac:dyDescent="0.25">
      <c r="A66"/>
    </row>
    <row r="67" spans="1:1" ht="15" x14ac:dyDescent="0.25">
      <c r="A67"/>
    </row>
    <row r="68" spans="1:1" ht="15" x14ac:dyDescent="0.25">
      <c r="A68"/>
    </row>
    <row r="69" spans="1:1" ht="15" x14ac:dyDescent="0.25">
      <c r="A69"/>
    </row>
    <row r="70" spans="1:1" ht="15" x14ac:dyDescent="0.25">
      <c r="A70"/>
    </row>
    <row r="71" spans="1:1" ht="15" x14ac:dyDescent="0.25">
      <c r="A71"/>
    </row>
    <row r="72" spans="1:1" ht="15" x14ac:dyDescent="0.25">
      <c r="A72"/>
    </row>
    <row r="73" spans="1:1" ht="15" x14ac:dyDescent="0.25">
      <c r="A73"/>
    </row>
    <row r="74" spans="1:1" ht="15" x14ac:dyDescent="0.25">
      <c r="A74"/>
    </row>
    <row r="75" spans="1:1" ht="15" x14ac:dyDescent="0.25">
      <c r="A75"/>
    </row>
    <row r="76" spans="1:1" ht="15" x14ac:dyDescent="0.25">
      <c r="A76"/>
    </row>
  </sheetData>
  <autoFilter ref="D2:G32">
    <sortState ref="D3:G32">
      <sortCondition ref="F2:F32"/>
    </sortState>
  </autoFilter>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B7588E10-E821-4AC8-9BA0-D8C70C9E6BA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63</vt:i4>
      </vt:variant>
      <vt:variant>
        <vt:lpstr>Plages nommées</vt:lpstr>
      </vt:variant>
      <vt:variant>
        <vt:i4>1</vt:i4>
      </vt:variant>
    </vt:vector>
  </HeadingPairs>
  <TitlesOfParts>
    <vt:vector size="64" baseType="lpstr">
      <vt:lpstr>00-02-01</vt:lpstr>
      <vt:lpstr>000201-000203</vt:lpstr>
      <vt:lpstr>00-02-02</vt:lpstr>
      <vt:lpstr>000202-000201</vt:lpstr>
      <vt:lpstr>000202-000203</vt:lpstr>
      <vt:lpstr>00-02-03</vt:lpstr>
      <vt:lpstr>000203-000204</vt:lpstr>
      <vt:lpstr>00-02-04</vt:lpstr>
      <vt:lpstr>00-02-05</vt:lpstr>
      <vt:lpstr>01-01-01</vt:lpstr>
      <vt:lpstr>01-02-01</vt:lpstr>
      <vt:lpstr>01-02-02</vt:lpstr>
      <vt:lpstr>01-02-03</vt:lpstr>
      <vt:lpstr>01-02-04</vt:lpstr>
      <vt:lpstr>01-02-05</vt:lpstr>
      <vt:lpstr>01-02-06</vt:lpstr>
      <vt:lpstr>01-03-01</vt:lpstr>
      <vt:lpstr>02-01-01</vt:lpstr>
      <vt:lpstr>02-01-02</vt:lpstr>
      <vt:lpstr>02-01-03</vt:lpstr>
      <vt:lpstr>02-01-04</vt:lpstr>
      <vt:lpstr>02-01-05</vt:lpstr>
      <vt:lpstr>02-01-06</vt:lpstr>
      <vt:lpstr>02-01-07</vt:lpstr>
      <vt:lpstr>02-01-08</vt:lpstr>
      <vt:lpstr>02-01-09</vt:lpstr>
      <vt:lpstr>02-02-01</vt:lpstr>
      <vt:lpstr>02-02-02</vt:lpstr>
      <vt:lpstr>02-02-03</vt:lpstr>
      <vt:lpstr>02-02-04</vt:lpstr>
      <vt:lpstr>02-02-05</vt:lpstr>
      <vt:lpstr>02-03-01</vt:lpstr>
      <vt:lpstr>02-03-02</vt:lpstr>
      <vt:lpstr>02-03-03</vt:lpstr>
      <vt:lpstr>020303-020308</vt:lpstr>
      <vt:lpstr>02-03-04</vt:lpstr>
      <vt:lpstr>020304-020302</vt:lpstr>
      <vt:lpstr>020304-020308</vt:lpstr>
      <vt:lpstr>02-03-05</vt:lpstr>
      <vt:lpstr>020305-020201</vt:lpstr>
      <vt:lpstr>020305-020204</vt:lpstr>
      <vt:lpstr>020305-020308</vt:lpstr>
      <vt:lpstr>02-03-06</vt:lpstr>
      <vt:lpstr>020306-020201</vt:lpstr>
      <vt:lpstr>020306-020204</vt:lpstr>
      <vt:lpstr>02-03-07</vt:lpstr>
      <vt:lpstr>02-03-08</vt:lpstr>
      <vt:lpstr>020308-010206</vt:lpstr>
      <vt:lpstr>02-03-09</vt:lpstr>
      <vt:lpstr>03_01_01</vt:lpstr>
      <vt:lpstr>03_01_02</vt:lpstr>
      <vt:lpstr>03_02_01</vt:lpstr>
      <vt:lpstr>03_02_02</vt:lpstr>
      <vt:lpstr>03_02_03</vt:lpstr>
      <vt:lpstr>03_02_04</vt:lpstr>
      <vt:lpstr>03_02_05</vt:lpstr>
      <vt:lpstr>03_02_06</vt:lpstr>
      <vt:lpstr>03-02-07</vt:lpstr>
      <vt:lpstr>Feuil7</vt:lpstr>
      <vt:lpstr>Feuil1</vt:lpstr>
      <vt:lpstr>Feuil2</vt:lpstr>
      <vt:lpstr>Feuil3 (2)</vt:lpstr>
      <vt:lpstr>Feuil3</vt:lpstr>
      <vt:lpstr>Feuil1!Algerian_Hydrocarbon_Pipelines_Integrated</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Administrateur</dc:creator>
  <cp:lastModifiedBy>BSR</cp:lastModifiedBy>
  <dcterms:created xsi:type="dcterms:W3CDTF">2026-01-11T17:23:09Z</dcterms:created>
  <dcterms:modified xsi:type="dcterms:W3CDTF">2026-03-06T23:40:50Z</dcterms:modified>
</cp:coreProperties>
</file>